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B" sheetId="2" state="visible" r:id="rId2"/>
  </sheets>
  <definedNames>
    <definedName name="_xlnm._FilterDatabase" localSheetId="1" hidden="1">'RoB'!$A$1:$M$270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DE9D9"/>
      </patternFill>
    </fill>
    <fill>
      <patternFill patternType="solid">
        <fgColor rgb="002F75B5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18" customHeight="1">
      <c r="A1" s="1" t="inlineStr">
        <is>
          <t>偏倚风险评价（Murad 2018 条目）</t>
        </is>
      </c>
    </row>
    <row r="2" ht="18" customHeight="1">
      <c r="A2" s="2" t="inlineStr">
        <is>
          <t>两位评价员各填各的，做完之前不要看对方的文件，不要讨论具体的报告。这份文件只有报告编号，没有任何评价。</t>
        </is>
      </c>
    </row>
    <row r="3" ht="18" customHeight="1">
      <c r="A3" s="3" t="inlineStr">
        <is>
          <t>怎么填</t>
        </is>
      </c>
    </row>
    <row r="4" ht="18" customHeight="1">
      <c r="A4" s="4" t="inlineStr">
        <is>
          <t>• 和正式提取合并阅读：每篇全文只读一遍，同一遍里填提取表和这份偏倚风险表（作者 2026-10-25 同意）。两份表仍各自独立，由两人分别填。</t>
        </is>
      </c>
    </row>
    <row r="5" ht="32" customHeight="1">
      <c r="A5" s="4" t="inlineStr">
        <is>
          <t>• 每篇报告一行；每个条目选 Yes（满足）/ No / Unclear。条目文字见下方，是对 Murad 等 2018 和协议第 15 节的转述，请对照原文核对。</t>
        </is>
      </c>
    </row>
    <row r="6" ht="32" customHeight="1">
      <c r="A6" s="4" t="inlineStr">
        <is>
          <t>• 不算总分。adequate 列是公式：持续时间（exposure）、结局（outcome）、报告充分性（reporting）三项都是 Yes 才是 Yes；三项都填了而有一项不是 Yes 为 No；没填完为空。Unclear 按未满足算（这是 Claude 的读法，待确认）。</t>
        </is>
      </c>
    </row>
    <row r="7" ht="18" customHeight="1">
      <c r="A7" s="4" t="inlineStr">
        <is>
          <t>• 按这篇报告里用于主要问题的患者整体来评价；一篇里不同患者情况不同时，按多数或最关键的患者判断，并在 note 里写明。</t>
        </is>
      </c>
    </row>
    <row r="8" ht="18" customHeight="1">
      <c r="A8" s="4" t="inlineStr">
        <is>
          <t>• 挑战-再挑战、剂量-反应两项不适用，已省略（协议第 15 节）。本院 5 例不评价。</t>
        </is>
      </c>
    </row>
    <row r="9" ht="18" customHeight="1">
      <c r="A9" s="3" t="inlineStr">
        <is>
          <t>条目</t>
        </is>
      </c>
    </row>
    <row r="10" ht="48" customHeight="1">
      <c r="A10" s="4" t="inlineStr">
        <is>
          <t>• selection（Selection）：Do the patients represent the whole experience of the investigators (centre), or is the selection method stated, so that other similar patients are unlikely to have been left out?</t>
        </is>
      </c>
    </row>
    <row r="11" ht="48" customHeight="1">
      <c r="A11" s="4" t="inlineStr">
        <is>
          <t>• exposure（Ascertainment of exposure）：Are the timing of symptom onset and of operation stated precisely enough to give the duration of the index episode?</t>
        </is>
      </c>
    </row>
    <row r="12" ht="32" customHeight="1">
      <c r="A12" s="4" t="inlineStr">
        <is>
          <t>• outcome（Ascertainment of outcome）：Is splenic viability at operation stated, with its basis (operative findings or histology)?</t>
        </is>
      </c>
    </row>
    <row r="13" ht="48" customHeight="1">
      <c r="A13" s="4" t="inlineStr">
        <is>
          <t>• alternative（Alternative explanations）：Were other explanations for the outcome considered or ruled out (for example, the spleen removed for a technical reason, or a pre-existing splenic disease)?</t>
        </is>
      </c>
    </row>
    <row r="14" ht="48" customHeight="1">
      <c r="A14" s="4" t="inlineStr">
        <is>
          <t>• followup（Adequacy of follow-up）：Was follow-up long enough for the outcomes of interest (splenic status, recurrence) to occur, and is it reported?</t>
        </is>
      </c>
    </row>
    <row r="15" ht="32" customHeight="1">
      <c r="A15" s="4" t="inlineStr">
        <is>
          <t>• reporting（Sufficiency of reporting）：Are the patients described in enough detail for others to use the information in their own practice?</t>
        </is>
      </c>
    </row>
    <row r="16" ht="18" customHeight="1">
      <c r="A16" s="3" t="inlineStr">
        <is>
          <t>做完以后</t>
        </is>
      </c>
    </row>
    <row r="17" ht="48" customHeight="1">
      <c r="A17" s="4" t="inlineStr">
        <is>
          <t>• 各自另存带日期的副本。两人都做完后运行 `python3 -I tools/compare_rob.py compare 文件R1.xlsx 文件R2.xlsx --out DIR`，得到分歧清单；讨论，讨论不了的交杨俊；统一后的结果写入 rob.csv（报告编号、adequate），供敏感性分析 5 使用。</t>
        </is>
      </c>
    </row>
    <row r="18" ht="18" customHeight="1">
      <c r="A18" s="4" t="inlineStr">
        <is>
          <t>• 评价员是谁协议第 15 节只写了'两位评价员'；这里按提取员（舒俊、卞红强）安排，这是提议，待确认。</t>
        </is>
      </c>
    </row>
    <row r="19" ht="18" customHeight="1">
      <c r="A19" s="3" t="inlineStr">
        <is>
          <t>没有验证的事</t>
        </is>
      </c>
    </row>
    <row r="20" ht="18" customHeight="1">
      <c r="A20" s="4" t="inlineStr">
        <is>
          <t>• 没有在 Excel 或 WPS 里打开过；下拉列表、公式和版面是否正常没有验证。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7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9" customWidth="1" min="12" max="12"/>
    <col width="50" customWidth="1" min="13" max="13"/>
  </cols>
  <sheetData>
    <row r="1">
      <c r="A1" s="5" t="inlineStr">
        <is>
          <t>report_id</t>
        </is>
      </c>
      <c r="B1" s="5" t="inlineStr">
        <is>
          <t>year</t>
        </is>
      </c>
      <c r="C1" s="5" t="inlineStr">
        <is>
          <t>language</t>
        </is>
      </c>
      <c r="D1" s="5" t="inlineStr">
        <is>
          <t>title</t>
        </is>
      </c>
      <c r="E1" s="5" t="inlineStr">
        <is>
          <t>selection</t>
        </is>
      </c>
      <c r="F1" s="5" t="inlineStr">
        <is>
          <t>exposure</t>
        </is>
      </c>
      <c r="G1" s="5" t="inlineStr">
        <is>
          <t>outcome</t>
        </is>
      </c>
      <c r="H1" s="5" t="inlineStr">
        <is>
          <t>alternative</t>
        </is>
      </c>
      <c r="I1" s="5" t="inlineStr">
        <is>
          <t>followup</t>
        </is>
      </c>
      <c r="J1" s="5" t="inlineStr">
        <is>
          <t>reporting</t>
        </is>
      </c>
      <c r="K1" s="5" t="inlineStr">
        <is>
          <t>adequate</t>
        </is>
      </c>
      <c r="L1" s="5" t="inlineStr">
        <is>
          <t>reviewer</t>
        </is>
      </c>
      <c r="M1" s="5" t="inlineStr">
        <is>
          <t>note</t>
        </is>
      </c>
    </row>
    <row r="2">
      <c r="A2" s="6" t="inlineStr">
        <is>
          <t>WS0002</t>
        </is>
      </c>
      <c r="B2" s="6" t="inlineStr">
        <is>
          <t>2026</t>
        </is>
      </c>
      <c r="C2" s="6" t="inlineStr">
        <is>
          <t>English</t>
        </is>
      </c>
      <c r="D2" s="7" t="inlineStr">
        <is>
          <t>The diagnostic challenge of wandering spleen with torsion: a rare cause of acute abdomen in children - a case report.</t>
        </is>
      </c>
      <c r="K2" s="8">
        <f>IF(OR(F2="",G2="",J2=""),"",IF(AND(F2="Yes",G2="Yes",J2="Yes"),"Yes","No"))</f>
        <v/>
      </c>
      <c r="L2" s="8" t="inlineStr">
        <is>
          <t>R1</t>
        </is>
      </c>
    </row>
    <row r="3">
      <c r="A3" s="6" t="inlineStr">
        <is>
          <t>WS0008</t>
        </is>
      </c>
      <c r="B3" s="6" t="inlineStr">
        <is>
          <t>2026</t>
        </is>
      </c>
      <c r="C3" s="6" t="inlineStr">
        <is>
          <t>English</t>
        </is>
      </c>
      <c r="D3" s="7" t="inlineStr">
        <is>
          <t>Splenic Torsion in a 16-Year-Old Female With a Wandering Spleen: A Case Report.</t>
        </is>
      </c>
      <c r="K3" s="8">
        <f>IF(OR(F3="",G3="",J3=""),"",IF(AND(F3="Yes",G3="Yes",J3="Yes"),"Yes","No"))</f>
        <v/>
      </c>
      <c r="L3" s="8" t="inlineStr">
        <is>
          <t>R1</t>
        </is>
      </c>
    </row>
    <row r="4">
      <c r="A4" s="6" t="inlineStr">
        <is>
          <t>WS0011</t>
        </is>
      </c>
      <c r="B4" s="6" t="inlineStr">
        <is>
          <t>2026</t>
        </is>
      </c>
      <c r="C4" s="6" t="inlineStr">
        <is>
          <t>English</t>
        </is>
      </c>
      <c r="D4" s="7" t="inlineStr">
        <is>
          <t>Laparoscopic splenopexy for splenic torsion in a patient with heterotaxy and single ventricle physiology: A rare case report.</t>
        </is>
      </c>
      <c r="K4" s="8">
        <f>IF(OR(F4="",G4="",J4=""),"",IF(AND(F4="Yes",G4="Yes",J4="Yes"),"Yes","No"))</f>
        <v/>
      </c>
      <c r="L4" s="8" t="inlineStr">
        <is>
          <t>R1</t>
        </is>
      </c>
    </row>
    <row r="5">
      <c r="A5" s="6" t="inlineStr">
        <is>
          <t>WS0016</t>
        </is>
      </c>
      <c r="B5" s="6" t="inlineStr">
        <is>
          <t>2026</t>
        </is>
      </c>
      <c r="C5" s="6" t="inlineStr">
        <is>
          <t>English</t>
        </is>
      </c>
      <c r="D5" s="7" t="inlineStr">
        <is>
          <t>Surgical management of pediatric primary splenic lesions: safety and feasibility of transumbilical single-port laparoscopic partial splenectomy.</t>
        </is>
      </c>
      <c r="K5" s="8">
        <f>IF(OR(F5="",G5="",J5=""),"",IF(AND(F5="Yes",G5="Yes",J5="Yes"),"Yes","No"))</f>
        <v/>
      </c>
      <c r="L5" s="8" t="inlineStr">
        <is>
          <t>R1</t>
        </is>
      </c>
    </row>
    <row r="6">
      <c r="A6" s="6" t="inlineStr">
        <is>
          <t>WS0031</t>
        </is>
      </c>
      <c r="B6" s="6" t="inlineStr">
        <is>
          <t>2025</t>
        </is>
      </c>
      <c r="C6" s="6" t="inlineStr">
        <is>
          <t>English</t>
        </is>
      </c>
      <c r="D6" s="7" t="inlineStr">
        <is>
          <t>Gastric volvulus and wandering spleen in Pitt-Hopkins syndrome: first paediatric case report.</t>
        </is>
      </c>
      <c r="K6" s="8">
        <f>IF(OR(F6="",G6="",J6=""),"",IF(AND(F6="Yes",G6="Yes",J6="Yes"),"Yes","No"))</f>
        <v/>
      </c>
      <c r="L6" s="8" t="inlineStr">
        <is>
          <t>R1</t>
        </is>
      </c>
    </row>
    <row r="7">
      <c r="A7" s="6" t="inlineStr">
        <is>
          <t>WS0038</t>
        </is>
      </c>
      <c r="B7" s="6" t="inlineStr">
        <is>
          <t>2025</t>
        </is>
      </c>
      <c r="C7" s="6" t="inlineStr">
        <is>
          <t>English</t>
        </is>
      </c>
      <c r="D7" s="7" t="inlineStr">
        <is>
          <t>Wandering Spleen, A Rare Cause of Acute Abdomen: A Case Report.</t>
        </is>
      </c>
      <c r="K7" s="8">
        <f>IF(OR(F7="",G7="",J7=""),"",IF(AND(F7="Yes",G7="Yes",J7="Yes"),"Yes","No"))</f>
        <v/>
      </c>
      <c r="L7" s="8" t="inlineStr">
        <is>
          <t>R1</t>
        </is>
      </c>
    </row>
    <row r="8">
      <c r="A8" s="6" t="inlineStr">
        <is>
          <t>WS0040</t>
        </is>
      </c>
      <c r="B8" s="6" t="inlineStr">
        <is>
          <t>2025</t>
        </is>
      </c>
      <c r="C8" s="6" t="inlineStr">
        <is>
          <t>English</t>
        </is>
      </c>
      <c r="D8" s="7" t="inlineStr">
        <is>
          <t>Splenic Pedicle Volvulus in a Wandering Spleen: A Rare Pediatric Emergency.</t>
        </is>
      </c>
      <c r="K8" s="8">
        <f>IF(OR(F8="",G8="",J8=""),"",IF(AND(F8="Yes",G8="Yes",J8="Yes"),"Yes","No"))</f>
        <v/>
      </c>
      <c r="L8" s="8" t="inlineStr">
        <is>
          <t>R1</t>
        </is>
      </c>
    </row>
    <row r="9">
      <c r="A9" s="6" t="inlineStr">
        <is>
          <t>WS0042</t>
        </is>
      </c>
      <c r="B9" s="6" t="inlineStr">
        <is>
          <t>2025</t>
        </is>
      </c>
      <c r="C9" s="6" t="inlineStr">
        <is>
          <t>English</t>
        </is>
      </c>
      <c r="D9" s="7" t="inlineStr">
        <is>
          <t>Splenectomy for wandering spleen with pedicle torsion in a 17-year-old: a case report.</t>
        </is>
      </c>
      <c r="K9" s="8">
        <f>IF(OR(F9="",G9="",J9=""),"",IF(AND(F9="Yes",G9="Yes",J9="Yes"),"Yes","No"))</f>
        <v/>
      </c>
      <c r="L9" s="8" t="inlineStr">
        <is>
          <t>R1</t>
        </is>
      </c>
    </row>
    <row r="10">
      <c r="A10" s="6" t="inlineStr">
        <is>
          <t>WS0043</t>
        </is>
      </c>
      <c r="B10" s="6" t="inlineStr">
        <is>
          <t>2025</t>
        </is>
      </c>
      <c r="C10" s="6" t="inlineStr">
        <is>
          <t>English</t>
        </is>
      </c>
      <c r="D10" s="7" t="inlineStr">
        <is>
          <t>Detorsion of Wandering Spleen Causes Significant Hypersplenism Resulting in Thrombocytopenia and Spinal Cord Injury: A Case Report.</t>
        </is>
      </c>
      <c r="K10" s="8">
        <f>IF(OR(F10="",G10="",J10=""),"",IF(AND(F10="Yes",G10="Yes",J10="Yes"),"Yes","No"))</f>
        <v/>
      </c>
      <c r="L10" s="8" t="inlineStr">
        <is>
          <t>R1</t>
        </is>
      </c>
    </row>
    <row r="11">
      <c r="A11" s="6" t="inlineStr">
        <is>
          <t>WS0044</t>
        </is>
      </c>
      <c r="B11" s="6" t="inlineStr">
        <is>
          <t>2025</t>
        </is>
      </c>
      <c r="C11" s="6" t="inlineStr">
        <is>
          <t>English</t>
        </is>
      </c>
      <c r="D11" s="7" t="inlineStr">
        <is>
          <t>The enigmatic wandering spleen: managing three cases in a tertiary setting.</t>
        </is>
      </c>
      <c r="K11" s="8">
        <f>IF(OR(F11="",G11="",J11=""),"",IF(AND(F11="Yes",G11="Yes",J11="Yes"),"Yes","No"))</f>
        <v/>
      </c>
      <c r="L11" s="8" t="inlineStr">
        <is>
          <t>R1</t>
        </is>
      </c>
    </row>
    <row r="12">
      <c r="A12" s="6" t="inlineStr">
        <is>
          <t>WS0045</t>
        </is>
      </c>
      <c r="B12" s="6" t="inlineStr">
        <is>
          <t>2025</t>
        </is>
      </c>
      <c r="C12" s="6" t="inlineStr">
        <is>
          <t>English</t>
        </is>
      </c>
      <c r="D12" s="7" t="inlineStr">
        <is>
          <t>Wandering spleen torsion with splenic vein thrombosis: A case report.</t>
        </is>
      </c>
      <c r="K12" s="8">
        <f>IF(OR(F12="",G12="",J12=""),"",IF(AND(F12="Yes",G12="Yes",J12="Yes"),"Yes","No"))</f>
        <v/>
      </c>
      <c r="L12" s="8" t="inlineStr">
        <is>
          <t>R1</t>
        </is>
      </c>
    </row>
    <row r="13">
      <c r="A13" s="6" t="inlineStr">
        <is>
          <t>WS0047</t>
        </is>
      </c>
      <c r="B13" s="6" t="inlineStr">
        <is>
          <t>2025</t>
        </is>
      </c>
      <c r="C13" s="6" t="inlineStr">
        <is>
          <t>English</t>
        </is>
      </c>
      <c r="D13" s="7" t="inlineStr">
        <is>
          <t>Massively Enlarged Wandering Spleen With Torsion and Infarction in a 10-Year-Old: Case Report and Comprehensive Literature Review.</t>
        </is>
      </c>
      <c r="K13" s="8">
        <f>IF(OR(F13="",G13="",J13=""),"",IF(AND(F13="Yes",G13="Yes",J13="Yes"),"Yes","No"))</f>
        <v/>
      </c>
      <c r="L13" s="8" t="inlineStr">
        <is>
          <t>R1</t>
        </is>
      </c>
    </row>
    <row r="14">
      <c r="A14" s="6" t="inlineStr">
        <is>
          <t>WS0048</t>
        </is>
      </c>
      <c r="B14" s="6" t="inlineStr">
        <is>
          <t>2025</t>
        </is>
      </c>
      <c r="C14" s="6" t="inlineStr">
        <is>
          <t>English</t>
        </is>
      </c>
      <c r="D14" s="7" t="inlineStr">
        <is>
          <t>Wandering Spleen in a Pediatric Lung Transplant Patient With Filamin A Deficiency: An Incidental Finding.</t>
        </is>
      </c>
      <c r="K14" s="8">
        <f>IF(OR(F14="",G14="",J14=""),"",IF(AND(F14="Yes",G14="Yes",J14="Yes"),"Yes","No"))</f>
        <v/>
      </c>
      <c r="L14" s="8" t="inlineStr">
        <is>
          <t>R1</t>
        </is>
      </c>
    </row>
    <row r="15">
      <c r="A15" s="6" t="inlineStr">
        <is>
          <t>WS0049</t>
        </is>
      </c>
      <c r="B15" s="6" t="inlineStr">
        <is>
          <t>2025</t>
        </is>
      </c>
      <c r="C15" s="6" t="inlineStr">
        <is>
          <t>Chinese</t>
        </is>
      </c>
      <c r="D15" s="7" t="inlineStr">
        <is>
          <t>[Ultrasonic manifestations of splenic torsion in children].</t>
        </is>
      </c>
      <c r="K15" s="8">
        <f>IF(OR(F15="",G15="",J15=""),"",IF(AND(F15="Yes",G15="Yes",J15="Yes"),"Yes","No"))</f>
        <v/>
      </c>
      <c r="L15" s="8" t="inlineStr">
        <is>
          <t>R1</t>
        </is>
      </c>
    </row>
    <row r="16">
      <c r="A16" s="6" t="inlineStr">
        <is>
          <t>WS0052</t>
        </is>
      </c>
      <c r="B16" s="6" t="inlineStr">
        <is>
          <t>2024</t>
        </is>
      </c>
      <c r="C16" s="6" t="inlineStr">
        <is>
          <t>English</t>
        </is>
      </c>
      <c r="D16" s="7" t="inlineStr">
        <is>
          <t>Wandering Spleen Complicated by Thrombocytopenia, Acute Appendicitis, and Sepsis: A Case Report and Literature Review.</t>
        </is>
      </c>
      <c r="K16" s="8">
        <f>IF(OR(F16="",G16="",J16=""),"",IF(AND(F16="Yes",G16="Yes",J16="Yes"),"Yes","No"))</f>
        <v/>
      </c>
      <c r="L16" s="8" t="inlineStr">
        <is>
          <t>R1</t>
        </is>
      </c>
    </row>
    <row r="17">
      <c r="A17" s="6" t="inlineStr">
        <is>
          <t>WS0055</t>
        </is>
      </c>
      <c r="B17" s="6" t="inlineStr">
        <is>
          <t>2025</t>
        </is>
      </c>
      <c r="C17" s="6" t="inlineStr">
        <is>
          <t>English</t>
        </is>
      </c>
      <c r="D17" s="7" t="inlineStr">
        <is>
          <t>Ultrasonographic diagnosis of splenic torsion: a case report.</t>
        </is>
      </c>
      <c r="K17" s="8">
        <f>IF(OR(F17="",G17="",J17=""),"",IF(AND(F17="Yes",G17="Yes",J17="Yes"),"Yes","No"))</f>
        <v/>
      </c>
      <c r="L17" s="8" t="inlineStr">
        <is>
          <t>R1</t>
        </is>
      </c>
    </row>
    <row r="18">
      <c r="A18" s="6" t="inlineStr">
        <is>
          <t>WS0057</t>
        </is>
      </c>
      <c r="B18" s="6" t="inlineStr">
        <is>
          <t>2025</t>
        </is>
      </c>
      <c r="C18" s="6" t="inlineStr">
        <is>
          <t>English</t>
        </is>
      </c>
      <c r="D18" s="7" t="inlineStr">
        <is>
          <t>Wandering spleen presenting as a pelvic mass: A rare case report and literature review.</t>
        </is>
      </c>
      <c r="K18" s="8">
        <f>IF(OR(F18="",G18="",J18=""),"",IF(AND(F18="Yes",G18="Yes",J18="Yes"),"Yes","No"))</f>
        <v/>
      </c>
      <c r="L18" s="8" t="inlineStr">
        <is>
          <t>R1</t>
        </is>
      </c>
    </row>
    <row r="19">
      <c r="A19" s="6" t="inlineStr">
        <is>
          <t>WS0067</t>
        </is>
      </c>
      <c r="B19" s="6" t="inlineStr">
        <is>
          <t>2025</t>
        </is>
      </c>
      <c r="C19" s="6" t="inlineStr">
        <is>
          <t>English</t>
        </is>
      </c>
      <c r="D19" s="7" t="inlineStr">
        <is>
          <t>A case of torsed wandering spleen presenting as perforated acute appendicitis: A case report and literature review.</t>
        </is>
      </c>
      <c r="K19" s="8">
        <f>IF(OR(F19="",G19="",J19=""),"",IF(AND(F19="Yes",G19="Yes",J19="Yes"),"Yes","No"))</f>
        <v/>
      </c>
      <c r="L19" s="8" t="inlineStr">
        <is>
          <t>R1</t>
        </is>
      </c>
    </row>
    <row r="20">
      <c r="A20" s="6" t="inlineStr">
        <is>
          <t>WS0068</t>
        </is>
      </c>
      <c r="B20" s="6" t="inlineStr">
        <is>
          <t>2025</t>
        </is>
      </c>
      <c r="C20" s="6" t="inlineStr">
        <is>
          <t>English</t>
        </is>
      </c>
      <c r="D20" s="7" t="inlineStr">
        <is>
          <t>A painful twist: Wandering spleen with torsion and infarction: A case report.</t>
        </is>
      </c>
      <c r="K20" s="8">
        <f>IF(OR(F20="",G20="",J20=""),"",IF(AND(F20="Yes",G20="Yes",J20="Yes"),"Yes","No"))</f>
        <v/>
      </c>
      <c r="L20" s="8" t="inlineStr">
        <is>
          <t>R1</t>
        </is>
      </c>
    </row>
    <row r="21">
      <c r="A21" s="6" t="inlineStr">
        <is>
          <t>WS0069</t>
        </is>
      </c>
      <c r="B21" s="6" t="inlineStr">
        <is>
          <t>2025</t>
        </is>
      </c>
      <c r="C21" s="6" t="inlineStr">
        <is>
          <t>English</t>
        </is>
      </c>
      <c r="D21" s="7" t="inlineStr">
        <is>
          <t>An Unusual Cause of Pediatric Anemia and Jaundice.</t>
        </is>
      </c>
      <c r="K21" s="8">
        <f>IF(OR(F21="",G21="",J21=""),"",IF(AND(F21="Yes",G21="Yes",J21="Yes"),"Yes","No"))</f>
        <v/>
      </c>
      <c r="L21" s="8" t="inlineStr">
        <is>
          <t>R1</t>
        </is>
      </c>
    </row>
    <row r="22">
      <c r="A22" s="6" t="inlineStr">
        <is>
          <t>WS0072</t>
        </is>
      </c>
      <c r="B22" s="6" t="inlineStr">
        <is>
          <t>2025</t>
        </is>
      </c>
      <c r="C22" s="6" t="inlineStr">
        <is>
          <t>English</t>
        </is>
      </c>
      <c r="D22" s="7" t="inlineStr">
        <is>
          <t>Torsion of a wandering spleen, a rare cause of acute abdomen: A case report.</t>
        </is>
      </c>
      <c r="K22" s="8">
        <f>IF(OR(F22="",G22="",J22=""),"",IF(AND(F22="Yes",G22="Yes",J22="Yes"),"Yes","No"))</f>
        <v/>
      </c>
      <c r="L22" s="8" t="inlineStr">
        <is>
          <t>R1</t>
        </is>
      </c>
    </row>
    <row r="23">
      <c r="A23" s="6" t="inlineStr">
        <is>
          <t>WS0075</t>
        </is>
      </c>
      <c r="B23" s="6" t="inlineStr">
        <is>
          <t>2025</t>
        </is>
      </c>
      <c r="C23" s="6" t="inlineStr">
        <is>
          <t>English</t>
        </is>
      </c>
      <c r="D23" s="7" t="inlineStr">
        <is>
          <t>Torsion with necrosis of a wandering spleen in a child.</t>
        </is>
      </c>
      <c r="K23" s="8">
        <f>IF(OR(F23="",G23="",J23=""),"",IF(AND(F23="Yes",G23="Yes",J23="Yes"),"Yes","No"))</f>
        <v/>
      </c>
      <c r="L23" s="8" t="inlineStr">
        <is>
          <t>R1</t>
        </is>
      </c>
    </row>
    <row r="24">
      <c r="A24" s="6" t="inlineStr">
        <is>
          <t>WS0077</t>
        </is>
      </c>
      <c r="B24" s="6" t="inlineStr">
        <is>
          <t>2025</t>
        </is>
      </c>
      <c r="C24" s="6" t="inlineStr">
        <is>
          <t>English</t>
        </is>
      </c>
      <c r="D24" s="7" t="inlineStr">
        <is>
          <t>Acute Gastric Volvulus Associated with Wandering Spleen and Diaphragmatic Eventration in a 5-month-old Girl.</t>
        </is>
      </c>
      <c r="K24" s="8">
        <f>IF(OR(F24="",G24="",J24=""),"",IF(AND(F24="Yes",G24="Yes",J24="Yes"),"Yes","No"))</f>
        <v/>
      </c>
      <c r="L24" s="8" t="inlineStr">
        <is>
          <t>R1</t>
        </is>
      </c>
    </row>
    <row r="25">
      <c r="A25" s="6" t="inlineStr">
        <is>
          <t>WS0078</t>
        </is>
      </c>
      <c r="B25" s="6" t="inlineStr">
        <is>
          <t>2025</t>
        </is>
      </c>
      <c r="C25" s="6" t="inlineStr">
        <is>
          <t>English</t>
        </is>
      </c>
      <c r="D25" s="7" t="inlineStr">
        <is>
          <t>A case of mesenteroaxial gastric volvulus with wandering spleen in a 2-year-old boy.</t>
        </is>
      </c>
      <c r="K25" s="8">
        <f>IF(OR(F25="",G25="",J25=""),"",IF(AND(F25="Yes",G25="Yes",J25="Yes"),"Yes","No"))</f>
        <v/>
      </c>
      <c r="L25" s="8" t="inlineStr">
        <is>
          <t>R1</t>
        </is>
      </c>
    </row>
    <row r="26">
      <c r="A26" s="6" t="inlineStr">
        <is>
          <t>WS0079</t>
        </is>
      </c>
      <c r="B26" s="6" t="inlineStr">
        <is>
          <t>2025</t>
        </is>
      </c>
      <c r="C26" s="6" t="inlineStr">
        <is>
          <t>English</t>
        </is>
      </c>
      <c r="D26" s="7" t="inlineStr">
        <is>
          <t>Wandering spleen with torsion in pelvic: A case report and literature review.</t>
        </is>
      </c>
      <c r="K26" s="8">
        <f>IF(OR(F26="",G26="",J26=""),"",IF(AND(F26="Yes",G26="Yes",J26="Yes"),"Yes","No"))</f>
        <v/>
      </c>
      <c r="L26" s="8" t="inlineStr">
        <is>
          <t>R1</t>
        </is>
      </c>
    </row>
    <row r="27">
      <c r="A27" s="6" t="inlineStr">
        <is>
          <t>WS0092</t>
        </is>
      </c>
      <c r="B27" s="6" t="inlineStr">
        <is>
          <t>2024</t>
        </is>
      </c>
      <c r="C27" s="6" t="inlineStr">
        <is>
          <t>English</t>
        </is>
      </c>
      <c r="D27" s="7" t="inlineStr">
        <is>
          <t>Wandering spleen combined with pedicle torsion and splenic infarction: a rare case report and literature review.</t>
        </is>
      </c>
      <c r="K27" s="8">
        <f>IF(OR(F27="",G27="",J27=""),"",IF(AND(F27="Yes",G27="Yes",J27="Yes"),"Yes","No"))</f>
        <v/>
      </c>
      <c r="L27" s="8" t="inlineStr">
        <is>
          <t>R1</t>
        </is>
      </c>
    </row>
    <row r="28">
      <c r="A28" s="6" t="inlineStr">
        <is>
          <t>WS0093</t>
        </is>
      </c>
      <c r="B28" s="6" t="inlineStr">
        <is>
          <t>2024</t>
        </is>
      </c>
      <c r="C28" s="6" t="inlineStr">
        <is>
          <t>English</t>
        </is>
      </c>
      <c r="D28" s="7" t="inlineStr">
        <is>
          <t>Two cases of pediatric splenic torsion as a possible late complication of laparoscopic fundoplication.</t>
        </is>
      </c>
      <c r="K28" s="8">
        <f>IF(OR(F28="",G28="",J28=""),"",IF(AND(F28="Yes",G28="Yes",J28="Yes"),"Yes","No"))</f>
        <v/>
      </c>
      <c r="L28" s="8" t="inlineStr">
        <is>
          <t>R1</t>
        </is>
      </c>
    </row>
    <row r="29">
      <c r="A29" s="6" t="inlineStr">
        <is>
          <t>WS0108</t>
        </is>
      </c>
      <c r="B29" s="6" t="inlineStr">
        <is>
          <t>2024</t>
        </is>
      </c>
      <c r="C29" s="6" t="inlineStr">
        <is>
          <t>English</t>
        </is>
      </c>
      <c r="D29" s="7" t="inlineStr">
        <is>
          <t>Volvulus of a wandering spleen in a pediatric patient.</t>
        </is>
      </c>
      <c r="K29" s="8">
        <f>IF(OR(F29="",G29="",J29=""),"",IF(AND(F29="Yes",G29="Yes",J29="Yes"),"Yes","No"))</f>
        <v/>
      </c>
      <c r="L29" s="8" t="inlineStr">
        <is>
          <t>R1</t>
        </is>
      </c>
    </row>
    <row r="30">
      <c r="A30" s="6" t="inlineStr">
        <is>
          <t>WS0114</t>
        </is>
      </c>
      <c r="B30" s="6" t="inlineStr">
        <is>
          <t>2024</t>
        </is>
      </c>
      <c r="C30" s="6" t="inlineStr">
        <is>
          <t>English</t>
        </is>
      </c>
      <c r="D30" s="7" t="inlineStr">
        <is>
          <t>Wandering Spleen Torsion: A Diagnostic Challenge.</t>
        </is>
      </c>
      <c r="K30" s="8">
        <f>IF(OR(F30="",G30="",J30=""),"",IF(AND(F30="Yes",G30="Yes",J30="Yes"),"Yes","No"))</f>
        <v/>
      </c>
      <c r="L30" s="8" t="inlineStr">
        <is>
          <t>R1</t>
        </is>
      </c>
    </row>
    <row r="31">
      <c r="A31" s="6" t="inlineStr">
        <is>
          <t>WS0117</t>
        </is>
      </c>
      <c r="B31" s="6" t="inlineStr">
        <is>
          <t>2024</t>
        </is>
      </c>
      <c r="C31" s="6" t="inlineStr">
        <is>
          <t>English</t>
        </is>
      </c>
      <c r="D31" s="7" t="inlineStr">
        <is>
          <t>Laparoscopic exploration of a wandering spleen in a complex adolescent case with sigmoid volvulus and left-side portal hypertension: a case report.</t>
        </is>
      </c>
      <c r="K31" s="8">
        <f>IF(OR(F31="",G31="",J31=""),"",IF(AND(F31="Yes",G31="Yes",J31="Yes"),"Yes","No"))</f>
        <v/>
      </c>
      <c r="L31" s="8" t="inlineStr">
        <is>
          <t>R1</t>
        </is>
      </c>
    </row>
    <row r="32">
      <c r="A32" s="6" t="inlineStr">
        <is>
          <t>WS0120</t>
        </is>
      </c>
      <c r="B32" s="6" t="inlineStr">
        <is>
          <t>2025</t>
        </is>
      </c>
      <c r="C32" s="6" t="inlineStr">
        <is>
          <t>English</t>
        </is>
      </c>
      <c r="D32" s="7" t="inlineStr">
        <is>
          <t>Totally laparoscopic partial splenectomy and gastropexy for a splenic cyst in a wandering spleen.</t>
        </is>
      </c>
      <c r="K32" s="8">
        <f>IF(OR(F32="",G32="",J32=""),"",IF(AND(F32="Yes",G32="Yes",J32="Yes"),"Yes","No"))</f>
        <v/>
      </c>
      <c r="L32" s="8" t="inlineStr">
        <is>
          <t>R1</t>
        </is>
      </c>
    </row>
    <row r="33">
      <c r="A33" s="6" t="inlineStr">
        <is>
          <t>WS0124</t>
        </is>
      </c>
      <c r="B33" s="6" t="inlineStr">
        <is>
          <t>2024</t>
        </is>
      </c>
      <c r="C33" s="6" t="inlineStr">
        <is>
          <t>English</t>
        </is>
      </c>
      <c r="D33" s="7" t="inlineStr">
        <is>
          <t>Splenic torsion as a cause of acute abdomen.</t>
        </is>
      </c>
      <c r="K33" s="8">
        <f>IF(OR(F33="",G33="",J33=""),"",IF(AND(F33="Yes",G33="Yes",J33="Yes"),"Yes","No"))</f>
        <v/>
      </c>
      <c r="L33" s="8" t="inlineStr">
        <is>
          <t>R1</t>
        </is>
      </c>
    </row>
    <row r="34">
      <c r="A34" s="6" t="inlineStr">
        <is>
          <t>WS0132</t>
        </is>
      </c>
      <c r="B34" s="6" t="inlineStr">
        <is>
          <t>2023</t>
        </is>
      </c>
      <c r="C34" s="6" t="inlineStr">
        <is>
          <t>English</t>
        </is>
      </c>
      <c r="D34" s="7" t="inlineStr">
        <is>
          <t>IMAGING MANIFESTATIONS OF WANDERING SPLEEN WITH TORSION.</t>
        </is>
      </c>
      <c r="K34" s="8">
        <f>IF(OR(F34="",G34="",J34=""),"",IF(AND(F34="Yes",G34="Yes",J34="Yes"),"Yes","No"))</f>
        <v/>
      </c>
      <c r="L34" s="8" t="inlineStr">
        <is>
          <t>R1</t>
        </is>
      </c>
    </row>
    <row r="35">
      <c r="A35" s="6" t="inlineStr">
        <is>
          <t>WS0141</t>
        </is>
      </c>
      <c r="B35" s="6" t="inlineStr">
        <is>
          <t>2023</t>
        </is>
      </c>
      <c r="C35" s="6" t="inlineStr">
        <is>
          <t>English</t>
        </is>
      </c>
      <c r="D35" s="7" t="inlineStr">
        <is>
          <t>Acute Gastric Volvulus With Wandering Spleen in a Two-Year-Old Child: A Rare Association.</t>
        </is>
      </c>
      <c r="K35" s="8">
        <f>IF(OR(F35="",G35="",J35=""),"",IF(AND(F35="Yes",G35="Yes",J35="Yes"),"Yes","No"))</f>
        <v/>
      </c>
      <c r="L35" s="8" t="inlineStr">
        <is>
          <t>R1</t>
        </is>
      </c>
    </row>
    <row r="36">
      <c r="A36" s="6" t="inlineStr">
        <is>
          <t>WS0142</t>
        </is>
      </c>
      <c r="B36" s="6" t="inlineStr">
        <is>
          <t>2023</t>
        </is>
      </c>
      <c r="C36" s="6" t="inlineStr">
        <is>
          <t>English</t>
        </is>
      </c>
      <c r="D36" s="7" t="inlineStr">
        <is>
          <t>A wandering spleen with 720 degrees torsion and persistent ascending and descending mesocolon in a 5-year-old Syrian male: A case report.</t>
        </is>
      </c>
      <c r="K36" s="8">
        <f>IF(OR(F36="",G36="",J36=""),"",IF(AND(F36="Yes",G36="Yes",J36="Yes"),"Yes","No"))</f>
        <v/>
      </c>
      <c r="L36" s="8" t="inlineStr">
        <is>
          <t>R1</t>
        </is>
      </c>
    </row>
    <row r="37">
      <c r="A37" s="6" t="inlineStr">
        <is>
          <t>WS0150</t>
        </is>
      </c>
      <c r="B37" s="6" t="inlineStr">
        <is>
          <t>2022</t>
        </is>
      </c>
      <c r="C37" s="6" t="inlineStr">
        <is>
          <t>English</t>
        </is>
      </c>
      <c r="D37" s="7" t="inlineStr">
        <is>
          <t>Case Report: Gut and spleen anomalies associated with DYRK1A syndrome.</t>
        </is>
      </c>
      <c r="K37" s="8">
        <f>IF(OR(F37="",G37="",J37=""),"",IF(AND(F37="Yes",G37="Yes",J37="Yes"),"Yes","No"))</f>
        <v/>
      </c>
      <c r="L37" s="8" t="inlineStr">
        <is>
          <t>R1</t>
        </is>
      </c>
    </row>
    <row r="38">
      <c r="A38" s="6" t="inlineStr">
        <is>
          <t>WS0156</t>
        </is>
      </c>
      <c r="B38" s="6" t="inlineStr">
        <is>
          <t>2022</t>
        </is>
      </c>
      <c r="C38" s="6" t="inlineStr">
        <is>
          <t>English</t>
        </is>
      </c>
      <c r="D38" s="7" t="inlineStr">
        <is>
          <t>Wandering Spleen with Splenic Torsion: Unusual Cause of Acute Abdomen.</t>
        </is>
      </c>
      <c r="K38" s="8">
        <f>IF(OR(F38="",G38="",J38=""),"",IF(AND(F38="Yes",G38="Yes",J38="Yes"),"Yes","No"))</f>
        <v/>
      </c>
      <c r="L38" s="8" t="inlineStr">
        <is>
          <t>R1</t>
        </is>
      </c>
    </row>
    <row r="39">
      <c r="A39" s="6" t="inlineStr">
        <is>
          <t>WS0159</t>
        </is>
      </c>
      <c r="B39" s="6" t="inlineStr">
        <is>
          <t>2022</t>
        </is>
      </c>
      <c r="C39" s="6" t="inlineStr">
        <is>
          <t>English</t>
        </is>
      </c>
      <c r="D39" s="7" t="inlineStr">
        <is>
          <t>The Cause of an Unusual Abdominal Pain in Children: Splenic Torsiyon - Three Case Report.</t>
        </is>
      </c>
      <c r="K39" s="8">
        <f>IF(OR(F39="",G39="",J39=""),"",IF(AND(F39="Yes",G39="Yes",J39="Yes"),"Yes","No"))</f>
        <v/>
      </c>
      <c r="L39" s="8" t="inlineStr">
        <is>
          <t>R1</t>
        </is>
      </c>
    </row>
    <row r="40">
      <c r="A40" s="6" t="inlineStr">
        <is>
          <t>WS0160</t>
        </is>
      </c>
      <c r="B40" s="6" t="inlineStr">
        <is>
          <t>2022</t>
        </is>
      </c>
      <c r="C40" s="6" t="inlineStr">
        <is>
          <t>English</t>
        </is>
      </c>
      <c r="D40" s="7" t="inlineStr">
        <is>
          <t>Successful laparoscopic-assisted partial splenectomy and splenopexy with umbilical approach to wandering spleen with an enlarged cyst in a pediatric patient.</t>
        </is>
      </c>
      <c r="K40" s="8">
        <f>IF(OR(F40="",G40="",J40=""),"",IF(AND(F40="Yes",G40="Yes",J40="Yes"),"Yes","No"))</f>
        <v/>
      </c>
      <c r="L40" s="8" t="inlineStr">
        <is>
          <t>R1</t>
        </is>
      </c>
    </row>
    <row r="41">
      <c r="A41" s="6" t="inlineStr">
        <is>
          <t>WS0164</t>
        </is>
      </c>
      <c r="B41" s="6" t="inlineStr">
        <is>
          <t>2022</t>
        </is>
      </c>
      <c r="C41" s="6" t="inlineStr">
        <is>
          <t>English</t>
        </is>
      </c>
      <c r="D41" s="7" t="inlineStr">
        <is>
          <t>Volvulus of the stomach and wandering spleen after repair of congenital diaphragmatic hernia: unexpected manifestations in a neonate.</t>
        </is>
      </c>
      <c r="K41" s="8">
        <f>IF(OR(F41="",G41="",J41=""),"",IF(AND(F41="Yes",G41="Yes",J41="Yes"),"Yes","No"))</f>
        <v/>
      </c>
      <c r="L41" s="8" t="inlineStr">
        <is>
          <t>R1</t>
        </is>
      </c>
    </row>
    <row r="42">
      <c r="A42" s="6" t="inlineStr">
        <is>
          <t>WS0167</t>
        </is>
      </c>
      <c r="B42" s="6" t="inlineStr">
        <is>
          <t>2022</t>
        </is>
      </c>
      <c r="C42" s="6" t="inlineStr">
        <is>
          <t>English</t>
        </is>
      </c>
      <c r="D42" s="7" t="inlineStr">
        <is>
          <t>Pediatric Splenic Torsion in an Orthotopic Spleen without Fixation Elements.</t>
        </is>
      </c>
      <c r="K42" s="8">
        <f>IF(OR(F42="",G42="",J42=""),"",IF(AND(F42="Yes",G42="Yes",J42="Yes"),"Yes","No"))</f>
        <v/>
      </c>
      <c r="L42" s="8" t="inlineStr">
        <is>
          <t>R1</t>
        </is>
      </c>
    </row>
    <row r="43">
      <c r="A43" s="6" t="inlineStr">
        <is>
          <t>WS0168</t>
        </is>
      </c>
      <c r="B43" s="6" t="inlineStr">
        <is>
          <t>2023</t>
        </is>
      </c>
      <c r="C43" s="6" t="inlineStr">
        <is>
          <t>English</t>
        </is>
      </c>
      <c r="D43" s="7" t="inlineStr">
        <is>
          <t>A new surgical approach for a child with acute torsion of the wandering spleen: A case report.</t>
        </is>
      </c>
      <c r="K43" s="8">
        <f>IF(OR(F43="",G43="",J43=""),"",IF(AND(F43="Yes",G43="Yes",J43="Yes"),"Yes","No"))</f>
        <v/>
      </c>
      <c r="L43" s="8" t="inlineStr">
        <is>
          <t>R1</t>
        </is>
      </c>
    </row>
    <row r="44">
      <c r="A44" s="6" t="inlineStr">
        <is>
          <t>WS0172</t>
        </is>
      </c>
      <c r="B44" s="6" t="inlineStr">
        <is>
          <t>2022</t>
        </is>
      </c>
      <c r="C44" s="6" t="inlineStr">
        <is>
          <t>English</t>
        </is>
      </c>
      <c r="D44" s="7" t="inlineStr">
        <is>
          <t>Wandering spleen with torsion and infarction: A case report.</t>
        </is>
      </c>
      <c r="K44" s="8">
        <f>IF(OR(F44="",G44="",J44=""),"",IF(AND(F44="Yes",G44="Yes",J44="Yes"),"Yes","No"))</f>
        <v/>
      </c>
      <c r="L44" s="8" t="inlineStr">
        <is>
          <t>R1</t>
        </is>
      </c>
    </row>
    <row r="45">
      <c r="A45" s="6" t="inlineStr">
        <is>
          <t>WS0173</t>
        </is>
      </c>
      <c r="B45" s="6" t="inlineStr">
        <is>
          <t>2022</t>
        </is>
      </c>
      <c r="C45" s="6" t="inlineStr">
        <is>
          <t>English</t>
        </is>
      </c>
      <c r="D45" s="7" t="inlineStr">
        <is>
          <t>Diagnosis and treatment of splenic torsion in children: preoperative thrombocytosis predicts splenic infarction.</t>
        </is>
      </c>
      <c r="K45" s="8">
        <f>IF(OR(F45="",G45="",J45=""),"",IF(AND(F45="Yes",G45="Yes",J45="Yes"),"Yes","No"))</f>
        <v/>
      </c>
      <c r="L45" s="8" t="inlineStr">
        <is>
          <t>R1</t>
        </is>
      </c>
    </row>
    <row r="46">
      <c r="A46" s="6" t="inlineStr">
        <is>
          <t>WS0175</t>
        </is>
      </c>
      <c r="B46" s="6" t="inlineStr">
        <is>
          <t>2022</t>
        </is>
      </c>
      <c r="C46" s="6" t="inlineStr">
        <is>
          <t>English</t>
        </is>
      </c>
      <c r="D46" s="7" t="inlineStr">
        <is>
          <t>Acute Abdomen Due to Torsion of a Wandering Spleen in a Child.</t>
        </is>
      </c>
      <c r="K46" s="8">
        <f>IF(OR(F46="",G46="",J46=""),"",IF(AND(F46="Yes",G46="Yes",J46="Yes"),"Yes","No"))</f>
        <v/>
      </c>
      <c r="L46" s="8" t="inlineStr">
        <is>
          <t>R1</t>
        </is>
      </c>
    </row>
    <row r="47">
      <c r="A47" s="6" t="inlineStr">
        <is>
          <t>WS0176</t>
        </is>
      </c>
      <c r="B47" s="6" t="inlineStr">
        <is>
          <t>2022</t>
        </is>
      </c>
      <c r="C47" s="6" t="inlineStr">
        <is>
          <t>English</t>
        </is>
      </c>
      <c r="D47" s="7" t="inlineStr">
        <is>
          <t>Wandering spleen with torsion: a rare cause of acute abdomen in a 14-year-old girl.</t>
        </is>
      </c>
      <c r="K47" s="8">
        <f>IF(OR(F47="",G47="",J47=""),"",IF(AND(F47="Yes",G47="Yes",J47="Yes"),"Yes","No"))</f>
        <v/>
      </c>
      <c r="L47" s="8" t="inlineStr">
        <is>
          <t>R1</t>
        </is>
      </c>
    </row>
    <row r="48">
      <c r="A48" s="6" t="inlineStr">
        <is>
          <t>WS0179</t>
        </is>
      </c>
      <c r="B48" s="6" t="inlineStr">
        <is>
          <t>2023</t>
        </is>
      </c>
      <c r="C48" s="6" t="inlineStr">
        <is>
          <t>English</t>
        </is>
      </c>
      <c r="D48" s="7" t="inlineStr">
        <is>
          <t>Torsion of wandering spleen after Fontan operation in a patient with situs inversus: a rare complication.</t>
        </is>
      </c>
      <c r="K48" s="8">
        <f>IF(OR(F48="",G48="",J48=""),"",IF(AND(F48="Yes",G48="Yes",J48="Yes"),"Yes","No"))</f>
        <v/>
      </c>
      <c r="L48" s="8" t="inlineStr">
        <is>
          <t>R1</t>
        </is>
      </c>
    </row>
    <row r="49">
      <c r="A49" s="6" t="inlineStr">
        <is>
          <t>WS0180</t>
        </is>
      </c>
      <c r="B49" s="6" t="inlineStr">
        <is>
          <t>2022</t>
        </is>
      </c>
      <c r="C49" s="6" t="inlineStr">
        <is>
          <t>English</t>
        </is>
      </c>
      <c r="D49" s="7" t="inlineStr">
        <is>
          <t>Spontaneous reset of the wandering spleen with acute torsion.</t>
        </is>
      </c>
      <c r="K49" s="8">
        <f>IF(OR(F49="",G49="",J49=""),"",IF(AND(F49="Yes",G49="Yes",J49="Yes"),"Yes","No"))</f>
        <v/>
      </c>
      <c r="L49" s="8" t="inlineStr">
        <is>
          <t>R1</t>
        </is>
      </c>
    </row>
    <row r="50">
      <c r="A50" s="6" t="inlineStr">
        <is>
          <t>WS0182</t>
        </is>
      </c>
      <c r="B50" s="6" t="inlineStr">
        <is>
          <t>2022</t>
        </is>
      </c>
      <c r="C50" s="6" t="inlineStr">
        <is>
          <t>English</t>
        </is>
      </c>
      <c r="D50" s="7" t="inlineStr">
        <is>
          <t>The left gastro-omental vessels are able to maintain the entire spleen blood supply.</t>
        </is>
      </c>
      <c r="K50" s="8">
        <f>IF(OR(F50="",G50="",J50=""),"",IF(AND(F50="Yes",G50="Yes",J50="Yes"),"Yes","No"))</f>
        <v/>
      </c>
      <c r="L50" s="8" t="inlineStr">
        <is>
          <t>R1</t>
        </is>
      </c>
    </row>
    <row r="51">
      <c r="A51" s="6" t="inlineStr">
        <is>
          <t>WS0183</t>
        </is>
      </c>
      <c r="B51" s="6" t="inlineStr">
        <is>
          <t>2022</t>
        </is>
      </c>
      <c r="C51" s="6" t="inlineStr">
        <is>
          <t>English</t>
        </is>
      </c>
      <c r="D51" s="7" t="inlineStr">
        <is>
          <t>Wandering spleen torsion in a patient with polysplenia syndrome.</t>
        </is>
      </c>
      <c r="K51" s="8">
        <f>IF(OR(F51="",G51="",J51=""),"",IF(AND(F51="Yes",G51="Yes",J51="Yes"),"Yes","No"))</f>
        <v/>
      </c>
      <c r="L51" s="8" t="inlineStr">
        <is>
          <t>R1</t>
        </is>
      </c>
    </row>
    <row r="52">
      <c r="A52" s="6" t="inlineStr">
        <is>
          <t>WS0186</t>
        </is>
      </c>
      <c r="B52" s="6" t="inlineStr">
        <is>
          <t>2022</t>
        </is>
      </c>
      <c r="C52" s="6" t="inlineStr">
        <is>
          <t>English</t>
        </is>
      </c>
      <c r="D52" s="7" t="inlineStr">
        <is>
          <t>Patients with gastric volvulus recurrence have high incidence of wandering spleen requiring laparoscopic gastropexy and splenopexy.</t>
        </is>
      </c>
      <c r="K52" s="8">
        <f>IF(OR(F52="",G52="",J52=""),"",IF(AND(F52="Yes",G52="Yes",J52="Yes"),"Yes","No"))</f>
        <v/>
      </c>
      <c r="L52" s="8" t="inlineStr">
        <is>
          <t>R1</t>
        </is>
      </c>
    </row>
    <row r="53">
      <c r="A53" s="6" t="inlineStr">
        <is>
          <t>WS0188</t>
        </is>
      </c>
      <c r="B53" s="6" t="inlineStr">
        <is>
          <t>2022</t>
        </is>
      </c>
      <c r="C53" s="6" t="inlineStr">
        <is>
          <t>English</t>
        </is>
      </c>
      <c r="D53" s="7" t="inlineStr">
        <is>
          <t>Torsed wandering spleen as a cause of recurrent abdominal pain in a child.</t>
        </is>
      </c>
      <c r="K53" s="8">
        <f>IF(OR(F53="",G53="",J53=""),"",IF(AND(F53="Yes",G53="Yes",J53="Yes"),"Yes","No"))</f>
        <v/>
      </c>
      <c r="L53" s="8" t="inlineStr">
        <is>
          <t>R1</t>
        </is>
      </c>
    </row>
    <row r="54">
      <c r="A54" s="6" t="inlineStr">
        <is>
          <t>WS0191</t>
        </is>
      </c>
      <c r="B54" s="6" t="inlineStr">
        <is>
          <t>2021</t>
        </is>
      </c>
      <c r="C54" s="6" t="inlineStr">
        <is>
          <t>English</t>
        </is>
      </c>
      <c r="D54" s="7" t="inlineStr">
        <is>
          <t>Case Report: Conservative Non-operative Management of a Neonate With Torted Wandering Spleen.</t>
        </is>
      </c>
      <c r="K54" s="8">
        <f>IF(OR(F54="",G54="",J54=""),"",IF(AND(F54="Yes",G54="Yes",J54="Yes"),"Yes","No"))</f>
        <v/>
      </c>
      <c r="L54" s="8" t="inlineStr">
        <is>
          <t>R1</t>
        </is>
      </c>
    </row>
    <row r="55">
      <c r="A55" s="6" t="inlineStr">
        <is>
          <t>WS0193</t>
        </is>
      </c>
      <c r="B55" s="6" t="inlineStr">
        <is>
          <t>2022</t>
        </is>
      </c>
      <c r="C55" s="6" t="inlineStr">
        <is>
          <t>English</t>
        </is>
      </c>
      <c r="D55" s="7" t="inlineStr">
        <is>
          <t>Dwarfism associated with wandering splenomegaly.</t>
        </is>
      </c>
      <c r="K55" s="8">
        <f>IF(OR(F55="",G55="",J55=""),"",IF(AND(F55="Yes",G55="Yes",J55="Yes"),"Yes","No"))</f>
        <v/>
      </c>
      <c r="L55" s="8" t="inlineStr">
        <is>
          <t>R1</t>
        </is>
      </c>
    </row>
    <row r="56">
      <c r="A56" s="6" t="inlineStr">
        <is>
          <t>WS0199</t>
        </is>
      </c>
      <c r="B56" s="6" t="inlineStr">
        <is>
          <t>2021</t>
        </is>
      </c>
      <c r="C56" s="6" t="inlineStr">
        <is>
          <t>English</t>
        </is>
      </c>
      <c r="D56" s="7" t="inlineStr">
        <is>
          <t>Successful treatment of floating splenic volvulus: Two case reports and a literature review.</t>
        </is>
      </c>
      <c r="K56" s="8">
        <f>IF(OR(F56="",G56="",J56=""),"",IF(AND(F56="Yes",G56="Yes",J56="Yes"),"Yes","No"))</f>
        <v/>
      </c>
      <c r="L56" s="8" t="inlineStr">
        <is>
          <t>R1</t>
        </is>
      </c>
    </row>
    <row r="57">
      <c r="A57" s="6" t="inlineStr">
        <is>
          <t>WS0205</t>
        </is>
      </c>
      <c r="B57" s="6" t="inlineStr">
        <is>
          <t>2021</t>
        </is>
      </c>
      <c r="C57" s="6" t="inlineStr">
        <is>
          <t>English</t>
        </is>
      </c>
      <c r="D57" s="7" t="inlineStr">
        <is>
          <t>Wandering splenomegaly reduction after splenopexy.</t>
        </is>
      </c>
      <c r="K57" s="8">
        <f>IF(OR(F57="",G57="",J57=""),"",IF(AND(F57="Yes",G57="Yes",J57="Yes"),"Yes","No"))</f>
        <v/>
      </c>
      <c r="L57" s="8" t="inlineStr">
        <is>
          <t>R1</t>
        </is>
      </c>
    </row>
    <row r="58">
      <c r="A58" s="6" t="inlineStr">
        <is>
          <t>WS0212</t>
        </is>
      </c>
      <c r="B58" s="6" t="inlineStr">
        <is>
          <t>2021</t>
        </is>
      </c>
      <c r="C58" s="6" t="inlineStr">
        <is>
          <t>English</t>
        </is>
      </c>
      <c r="D58" s="7" t="inlineStr">
        <is>
          <t>Laparoscopic management of gastric volvulus, diaphragmatic eventration and wandering spleen in a child.</t>
        </is>
      </c>
      <c r="K58" s="8">
        <f>IF(OR(F58="",G58="",J58=""),"",IF(AND(F58="Yes",G58="Yes",J58="Yes"),"Yes","No"))</f>
        <v/>
      </c>
      <c r="L58" s="8" t="inlineStr">
        <is>
          <t>R1</t>
        </is>
      </c>
    </row>
    <row r="59">
      <c r="A59" s="6" t="inlineStr">
        <is>
          <t>WS0216</t>
        </is>
      </c>
      <c r="B59" s="6" t="inlineStr">
        <is>
          <t>2021</t>
        </is>
      </c>
      <c r="C59" s="6" t="inlineStr">
        <is>
          <t>English</t>
        </is>
      </c>
      <c r="D59" s="7" t="inlineStr">
        <is>
          <t>Challenge of diagnosing splenic torsion in a paediatric patient with gastroschisis.</t>
        </is>
      </c>
      <c r="K59" s="8">
        <f>IF(OR(F59="",G59="",J59=""),"",IF(AND(F59="Yes",G59="Yes",J59="Yes"),"Yes","No"))</f>
        <v/>
      </c>
      <c r="L59" s="8" t="inlineStr">
        <is>
          <t>R1</t>
        </is>
      </c>
    </row>
    <row r="60">
      <c r="A60" s="6" t="inlineStr">
        <is>
          <t>WS0220</t>
        </is>
      </c>
      <c r="B60" s="6" t="inlineStr">
        <is>
          <t>2021</t>
        </is>
      </c>
      <c r="C60" s="6" t="inlineStr">
        <is>
          <t>English</t>
        </is>
      </c>
      <c r="D60" s="7" t="inlineStr">
        <is>
          <t>Abdominopelvic ectopic spleen with a comprehensive imaging examination: a case report.</t>
        </is>
      </c>
      <c r="K60" s="8">
        <f>IF(OR(F60="",G60="",J60=""),"",IF(AND(F60="Yes",G60="Yes",J60="Yes"),"Yes","No"))</f>
        <v/>
      </c>
      <c r="L60" s="8" t="inlineStr">
        <is>
          <t>R1</t>
        </is>
      </c>
    </row>
    <row r="61">
      <c r="A61" s="6" t="inlineStr">
        <is>
          <t>WS0228</t>
        </is>
      </c>
      <c r="B61" s="6" t="inlineStr">
        <is>
          <t>2021</t>
        </is>
      </c>
      <c r="C61" s="6" t="inlineStr">
        <is>
          <t>English</t>
        </is>
      </c>
      <c r="D61" s="7" t="inlineStr">
        <is>
          <t>Surgical Approach of Wandering Spleen in Infants and Children: A Systematic Review.</t>
        </is>
      </c>
      <c r="K61" s="8">
        <f>IF(OR(F61="",G61="",J61=""),"",IF(AND(F61="Yes",G61="Yes",J61="Yes"),"Yes","No"))</f>
        <v/>
      </c>
      <c r="L61" s="8" t="inlineStr">
        <is>
          <t>R1</t>
        </is>
      </c>
    </row>
    <row r="62">
      <c r="A62" s="6" t="inlineStr">
        <is>
          <t>WS0229</t>
        </is>
      </c>
      <c r="B62" s="6" t="inlineStr">
        <is>
          <t>2021</t>
        </is>
      </c>
      <c r="C62" s="6" t="inlineStr">
        <is>
          <t>English</t>
        </is>
      </c>
      <c r="D62" s="7" t="inlineStr">
        <is>
          <t>The likely association between wandering spleen and absent left kidney.</t>
        </is>
      </c>
      <c r="K62" s="8">
        <f>IF(OR(F62="",G62="",J62=""),"",IF(AND(F62="Yes",G62="Yes",J62="Yes"),"Yes","No"))</f>
        <v/>
      </c>
      <c r="L62" s="8" t="inlineStr">
        <is>
          <t>R1</t>
        </is>
      </c>
    </row>
    <row r="63">
      <c r="A63" s="6" t="inlineStr">
        <is>
          <t>WS0232</t>
        </is>
      </c>
      <c r="B63" s="6" t="inlineStr">
        <is>
          <t>2020</t>
        </is>
      </c>
      <c r="C63" s="6" t="inlineStr">
        <is>
          <t>English</t>
        </is>
      </c>
      <c r="D63" s="7" t="inlineStr">
        <is>
          <t>Torsion of a Wandering Spleen Managed Conservatively: Rare and Interesting.</t>
        </is>
      </c>
      <c r="K63" s="8">
        <f>IF(OR(F63="",G63="",J63=""),"",IF(AND(F63="Yes",G63="Yes",J63="Yes"),"Yes","No"))</f>
        <v/>
      </c>
      <c r="L63" s="8" t="inlineStr">
        <is>
          <t>R1</t>
        </is>
      </c>
    </row>
    <row r="64">
      <c r="A64" s="6" t="inlineStr">
        <is>
          <t>WS0237</t>
        </is>
      </c>
      <c r="B64" s="6" t="inlineStr">
        <is>
          <t>2021</t>
        </is>
      </c>
      <c r="C64" s="6" t="inlineStr">
        <is>
          <t>English</t>
        </is>
      </c>
      <c r="D64" s="7" t="inlineStr">
        <is>
          <t>Laparoscopic retroperitoneal splenopexy for wandering spleen: A novel technique using a three-incision retroperitoneal pouch.</t>
        </is>
      </c>
      <c r="K64" s="8">
        <f>IF(OR(F64="",G64="",J64=""),"",IF(AND(F64="Yes",G64="Yes",J64="Yes"),"Yes","No"))</f>
        <v/>
      </c>
      <c r="L64" s="8" t="inlineStr">
        <is>
          <t>R1</t>
        </is>
      </c>
    </row>
    <row r="65">
      <c r="A65" s="6" t="inlineStr">
        <is>
          <t>WS0239</t>
        </is>
      </c>
      <c r="B65" s="6" t="inlineStr">
        <is>
          <t>2020</t>
        </is>
      </c>
      <c r="C65" s="6" t="inlineStr">
        <is>
          <t>English</t>
        </is>
      </c>
      <c r="D65" s="7" t="inlineStr">
        <is>
          <t>Splenoptosis in young female, case report.</t>
        </is>
      </c>
      <c r="K65" s="8">
        <f>IF(OR(F65="",G65="",J65=""),"",IF(AND(F65="Yes",G65="Yes",J65="Yes"),"Yes","No"))</f>
        <v/>
      </c>
      <c r="L65" s="8" t="inlineStr">
        <is>
          <t>R1</t>
        </is>
      </c>
    </row>
    <row r="66">
      <c r="A66" s="6" t="inlineStr">
        <is>
          <t>WS0240</t>
        </is>
      </c>
      <c r="B66" s="6" t="inlineStr">
        <is>
          <t>2020</t>
        </is>
      </c>
      <c r="C66" s="6" t="inlineStr">
        <is>
          <t>English</t>
        </is>
      </c>
      <c r="D66" s="7" t="inlineStr">
        <is>
          <t>Treatment of a congenital diaphragmatic hernia with associated wandering spleen: Case report of a 17-year-old girl.</t>
        </is>
      </c>
      <c r="K66" s="8">
        <f>IF(OR(F66="",G66="",J66=""),"",IF(AND(F66="Yes",G66="Yes",J66="Yes"),"Yes","No"))</f>
        <v/>
      </c>
      <c r="L66" s="8" t="inlineStr">
        <is>
          <t>R1</t>
        </is>
      </c>
    </row>
    <row r="67">
      <c r="A67" s="6" t="inlineStr">
        <is>
          <t>WS0244</t>
        </is>
      </c>
      <c r="B67" s="6" t="inlineStr">
        <is>
          <t>2020</t>
        </is>
      </c>
      <c r="C67" s="6" t="inlineStr">
        <is>
          <t>English</t>
        </is>
      </c>
      <c r="D67" s="7" t="inlineStr">
        <is>
          <t>Wandering spleen with splenic torsion in a toddler: A case report and literature review.</t>
        </is>
      </c>
      <c r="K67" s="8">
        <f>IF(OR(F67="",G67="",J67=""),"",IF(AND(F67="Yes",G67="Yes",J67="Yes"),"Yes","No"))</f>
        <v/>
      </c>
      <c r="L67" s="8" t="inlineStr">
        <is>
          <t>R1</t>
        </is>
      </c>
    </row>
    <row r="68">
      <c r="A68" s="6" t="inlineStr">
        <is>
          <t>WS0248</t>
        </is>
      </c>
      <c r="B68" s="6" t="inlineStr">
        <is>
          <t>2020</t>
        </is>
      </c>
      <c r="C68" s="6" t="inlineStr">
        <is>
          <t>English</t>
        </is>
      </c>
      <c r="D68" s="7" t="inlineStr">
        <is>
          <t>Rare Cause of Abdominal Pain in an Adolescent Patient: Splenic Infarction in Absence of Causative Underlying Hematologic Disorder.</t>
        </is>
      </c>
      <c r="K68" s="8">
        <f>IF(OR(F68="",G68="",J68=""),"",IF(AND(F68="Yes",G68="Yes",J68="Yes"),"Yes","No"))</f>
        <v/>
      </c>
      <c r="L68" s="8" t="inlineStr">
        <is>
          <t>R1</t>
        </is>
      </c>
    </row>
    <row r="69">
      <c r="A69" s="6" t="inlineStr">
        <is>
          <t>WS0253</t>
        </is>
      </c>
      <c r="B69" s="6" t="inlineStr">
        <is>
          <t>2020</t>
        </is>
      </c>
      <c r="C69" s="6" t="inlineStr">
        <is>
          <t>English</t>
        </is>
      </c>
      <c r="D69" s="7" t="inlineStr">
        <is>
          <t>Torsion of Wandering Spleen Attached to the Omentum: A Rare Case Report from Iran.</t>
        </is>
      </c>
      <c r="K69" s="8">
        <f>IF(OR(F69="",G69="",J69=""),"",IF(AND(F69="Yes",G69="Yes",J69="Yes"),"Yes","No"))</f>
        <v/>
      </c>
      <c r="L69" s="8" t="inlineStr">
        <is>
          <t>R1</t>
        </is>
      </c>
    </row>
    <row r="70">
      <c r="A70" s="6" t="inlineStr">
        <is>
          <t>WS0257</t>
        </is>
      </c>
      <c r="B70" s="6" t="inlineStr">
        <is>
          <t>2020</t>
        </is>
      </c>
      <c r="C70" s="6" t="inlineStr">
        <is>
          <t>English</t>
        </is>
      </c>
      <c r="D70" s="7" t="inlineStr">
        <is>
          <t>Torsion of wandering spleen: radiological findings.</t>
        </is>
      </c>
      <c r="K70" s="8">
        <f>IF(OR(F70="",G70="",J70=""),"",IF(AND(F70="Yes",G70="Yes",J70="Yes"),"Yes","No"))</f>
        <v/>
      </c>
      <c r="L70" s="8" t="inlineStr">
        <is>
          <t>R1</t>
        </is>
      </c>
    </row>
    <row r="71">
      <c r="A71" s="6" t="inlineStr">
        <is>
          <t>WS0264</t>
        </is>
      </c>
      <c r="B71" s="6" t="inlineStr">
        <is>
          <t>2020</t>
        </is>
      </c>
      <c r="C71" s="6" t="inlineStr">
        <is>
          <t>English</t>
        </is>
      </c>
      <c r="D71" s="7" t="inlineStr">
        <is>
          <t>Acute abdomen due to an infarction of wandering spleen: case report.</t>
        </is>
      </c>
      <c r="K71" s="8">
        <f>IF(OR(F71="",G71="",J71=""),"",IF(AND(F71="Yes",G71="Yes",J71="Yes"),"Yes","No"))</f>
        <v/>
      </c>
      <c r="L71" s="8" t="inlineStr">
        <is>
          <t>R1</t>
        </is>
      </c>
    </row>
    <row r="72">
      <c r="A72" s="6" t="inlineStr">
        <is>
          <t>WS0272</t>
        </is>
      </c>
      <c r="B72" s="6" t="inlineStr">
        <is>
          <t>2019</t>
        </is>
      </c>
      <c r="C72" s="6" t="inlineStr">
        <is>
          <t>English</t>
        </is>
      </c>
      <c r="D72" s="7" t="inlineStr">
        <is>
          <t>Wandering Spleen in a 1-Year-Old Girl: An Enigmatic Journey to Find the Hiding Necrotic Spleen.</t>
        </is>
      </c>
      <c r="K72" s="8">
        <f>IF(OR(F72="",G72="",J72=""),"",IF(AND(F72="Yes",G72="Yes",J72="Yes"),"Yes","No"))</f>
        <v/>
      </c>
      <c r="L72" s="8" t="inlineStr">
        <is>
          <t>R1</t>
        </is>
      </c>
    </row>
    <row r="73">
      <c r="A73" s="6" t="inlineStr">
        <is>
          <t>WS0277</t>
        </is>
      </c>
      <c r="B73" s="6" t="inlineStr">
        <is>
          <t>2020</t>
        </is>
      </c>
      <c r="C73" s="6" t="inlineStr">
        <is>
          <t>English</t>
        </is>
      </c>
      <c r="D73" s="7" t="inlineStr">
        <is>
          <t>Torsion of a wandering spleen.</t>
        </is>
      </c>
      <c r="K73" s="8">
        <f>IF(OR(F73="",G73="",J73=""),"",IF(AND(F73="Yes",G73="Yes",J73="Yes"),"Yes","No"))</f>
        <v/>
      </c>
      <c r="L73" s="8" t="inlineStr">
        <is>
          <t>R1</t>
        </is>
      </c>
    </row>
    <row r="74">
      <c r="A74" s="6" t="inlineStr">
        <is>
          <t>WS0286</t>
        </is>
      </c>
      <c r="B74" s="6" t="inlineStr">
        <is>
          <t>2019</t>
        </is>
      </c>
      <c r="C74" s="6" t="inlineStr">
        <is>
          <t>English</t>
        </is>
      </c>
      <c r="D74" s="7" t="inlineStr">
        <is>
          <t>Wandering spleen with splenic torsion in a child with DiGeorge syndrome.</t>
        </is>
      </c>
      <c r="K74" s="8">
        <f>IF(OR(F74="",G74="",J74=""),"",IF(AND(F74="Yes",G74="Yes",J74="Yes"),"Yes","No"))</f>
        <v/>
      </c>
      <c r="L74" s="8" t="inlineStr">
        <is>
          <t>R1</t>
        </is>
      </c>
    </row>
    <row r="75">
      <c r="A75" s="6" t="inlineStr">
        <is>
          <t>WS0292</t>
        </is>
      </c>
      <c r="B75" s="6" t="inlineStr">
        <is>
          <t>2019</t>
        </is>
      </c>
      <c r="C75" s="6" t="inlineStr">
        <is>
          <t>English</t>
        </is>
      </c>
      <c r="D75" s="7" t="inlineStr">
        <is>
          <t>Concurrent occurrence of a wandering spleen, organoaxial gastric volvulus, pancreatic volvulus, and cholestasis - A rare cause of an acute abdomen.</t>
        </is>
      </c>
      <c r="K75" s="8">
        <f>IF(OR(F75="",G75="",J75=""),"",IF(AND(F75="Yes",G75="Yes",J75="Yes"),"Yes","No"))</f>
        <v/>
      </c>
      <c r="L75" s="8" t="inlineStr">
        <is>
          <t>R1</t>
        </is>
      </c>
    </row>
    <row r="76">
      <c r="A76" s="6" t="inlineStr">
        <is>
          <t>WS0293</t>
        </is>
      </c>
      <c r="B76" s="6" t="inlineStr">
        <is>
          <t>2019</t>
        </is>
      </c>
      <c r="C76" s="6" t="inlineStr">
        <is>
          <t>English</t>
        </is>
      </c>
      <c r="D76" s="7" t="inlineStr">
        <is>
          <t>Splenic torsion with involvement of pancreas and descending colon in a 9-year-old boy.</t>
        </is>
      </c>
      <c r="K76" s="8">
        <f>IF(OR(F76="",G76="",J76=""),"",IF(AND(F76="Yes",G76="Yes",J76="Yes"),"Yes","No"))</f>
        <v/>
      </c>
      <c r="L76" s="8" t="inlineStr">
        <is>
          <t>R1</t>
        </is>
      </c>
    </row>
    <row r="77">
      <c r="A77" s="6" t="inlineStr">
        <is>
          <t>WS0320</t>
        </is>
      </c>
      <c r="B77" s="6" t="inlineStr">
        <is>
          <t>2018</t>
        </is>
      </c>
      <c r="C77" s="6" t="inlineStr">
        <is>
          <t>English</t>
        </is>
      </c>
      <c r="D77" s="7" t="inlineStr">
        <is>
          <t>Acute torsion of a wandering spleen: a paediatric emergency.</t>
        </is>
      </c>
      <c r="K77" s="8">
        <f>IF(OR(F77="",G77="",J77=""),"",IF(AND(F77="Yes",G77="Yes",J77="Yes"),"Yes","No"))</f>
        <v/>
      </c>
      <c r="L77" s="8" t="inlineStr">
        <is>
          <t>R1</t>
        </is>
      </c>
    </row>
    <row r="78">
      <c r="A78" s="6" t="inlineStr">
        <is>
          <t>WS0321</t>
        </is>
      </c>
      <c r="B78" s="6" t="inlineStr">
        <is>
          <t>2018</t>
        </is>
      </c>
      <c r="C78" s="6" t="inlineStr">
        <is>
          <t>English</t>
        </is>
      </c>
      <c r="D78" s="7" t="inlineStr">
        <is>
          <t>Emergencies in the Treatment of Wandering Spleen</t>
        </is>
      </c>
      <c r="K78" s="8">
        <f>IF(OR(F78="",G78="",J78=""),"",IF(AND(F78="Yes",G78="Yes",J78="Yes"),"Yes","No"))</f>
        <v/>
      </c>
      <c r="L78" s="8" t="inlineStr">
        <is>
          <t>R1</t>
        </is>
      </c>
    </row>
    <row r="79">
      <c r="A79" s="6" t="inlineStr">
        <is>
          <t>WS0330</t>
        </is>
      </c>
      <c r="B79" s="6" t="inlineStr">
        <is>
          <t>2018</t>
        </is>
      </c>
      <c r="C79" s="6" t="inlineStr">
        <is>
          <t>English</t>
        </is>
      </c>
      <c r="D79" s="7" t="inlineStr">
        <is>
          <t>Laparoscopic splenectomy for a simultaneous wandering spleen along with an ectopic accessory spleen. Case report and review of the literature.</t>
        </is>
      </c>
      <c r="K79" s="8">
        <f>IF(OR(F79="",G79="",J79=""),"",IF(AND(F79="Yes",G79="Yes",J79="Yes"),"Yes","No"))</f>
        <v/>
      </c>
      <c r="L79" s="8" t="inlineStr">
        <is>
          <t>R1</t>
        </is>
      </c>
    </row>
    <row r="80">
      <c r="A80" s="6" t="inlineStr">
        <is>
          <t>WS0336</t>
        </is>
      </c>
      <c r="B80" s="6" t="inlineStr">
        <is>
          <t>2018</t>
        </is>
      </c>
      <c r="C80" s="6" t="inlineStr">
        <is>
          <t>English</t>
        </is>
      </c>
      <c r="D80" s="7" t="inlineStr">
        <is>
          <t>Wandering spleen: a unique cause of acute abdomen.</t>
        </is>
      </c>
      <c r="K80" s="8">
        <f>IF(OR(F80="",G80="",J80=""),"",IF(AND(F80="Yes",G80="Yes",J80="Yes"),"Yes","No"))</f>
        <v/>
      </c>
      <c r="L80" s="8" t="inlineStr">
        <is>
          <t>R1</t>
        </is>
      </c>
    </row>
    <row r="81">
      <c r="A81" s="6" t="inlineStr">
        <is>
          <t>WS0342</t>
        </is>
      </c>
      <c r="B81" s="6" t="inlineStr">
        <is>
          <t>2017</t>
        </is>
      </c>
      <c r="C81" s="6" t="inlineStr">
        <is>
          <t>English</t>
        </is>
      </c>
      <c r="D81" s="7" t="inlineStr">
        <is>
          <t>Laparoscopic splenopexy for wandering spleen, a video demonstration of technique by encircling the spleen with polyglactin 910 woven mesh.</t>
        </is>
      </c>
      <c r="K81" s="8">
        <f>IF(OR(F81="",G81="",J81=""),"",IF(AND(F81="Yes",G81="Yes",J81="Yes"),"Yes","No"))</f>
        <v/>
      </c>
      <c r="L81" s="8" t="inlineStr">
        <is>
          <t>R1</t>
        </is>
      </c>
    </row>
    <row r="82">
      <c r="A82" s="6" t="inlineStr">
        <is>
          <t>WS0344</t>
        </is>
      </c>
      <c r="B82" s="6" t="inlineStr">
        <is>
          <t>2017</t>
        </is>
      </c>
      <c r="C82" s="6" t="inlineStr">
        <is>
          <t>English</t>
        </is>
      </c>
      <c r="D82" s="7" t="inlineStr">
        <is>
          <t>Torsion of a wandering spleen in an adolescent with Gaucher disease.</t>
        </is>
      </c>
      <c r="K82" s="8">
        <f>IF(OR(F82="",G82="",J82=""),"",IF(AND(F82="Yes",G82="Yes",J82="Yes"),"Yes","No"))</f>
        <v/>
      </c>
      <c r="L82" s="8" t="inlineStr">
        <is>
          <t>R1</t>
        </is>
      </c>
    </row>
    <row r="83">
      <c r="A83" s="6" t="inlineStr">
        <is>
          <t>WS0354</t>
        </is>
      </c>
      <c r="B83" s="6" t="inlineStr">
        <is>
          <t>2018</t>
        </is>
      </c>
      <c r="C83" s="6" t="inlineStr">
        <is>
          <t>English</t>
        </is>
      </c>
      <c r="D83" s="7" t="inlineStr">
        <is>
          <t>You wander... you lose! Importance of surgical intervention in wandering spleen.</t>
        </is>
      </c>
      <c r="K83" s="8">
        <f>IF(OR(F83="",G83="",J83=""),"",IF(AND(F83="Yes",G83="Yes",J83="Yes"),"Yes","No"))</f>
        <v/>
      </c>
      <c r="L83" s="8" t="inlineStr">
        <is>
          <t>R1</t>
        </is>
      </c>
    </row>
    <row r="84">
      <c r="A84" s="6" t="inlineStr">
        <is>
          <t>WS0357</t>
        </is>
      </c>
      <c r="B84" s="6" t="inlineStr">
        <is>
          <t>2016</t>
        </is>
      </c>
      <c r="C84" s="6" t="inlineStr">
        <is>
          <t>English</t>
        </is>
      </c>
      <c r="D84" s="7" t="inlineStr">
        <is>
          <t>Wandering spleen with a ten-time twisted vascular pedicle.</t>
        </is>
      </c>
      <c r="K84" s="8">
        <f>IF(OR(F84="",G84="",J84=""),"",IF(AND(F84="Yes",G84="Yes",J84="Yes"),"Yes","No"))</f>
        <v/>
      </c>
      <c r="L84" s="8" t="inlineStr">
        <is>
          <t>R1</t>
        </is>
      </c>
    </row>
    <row r="85">
      <c r="A85" s="6" t="inlineStr">
        <is>
          <t>WS0359</t>
        </is>
      </c>
      <c r="B85" s="6" t="inlineStr">
        <is>
          <t>2016</t>
        </is>
      </c>
      <c r="C85" s="6" t="inlineStr">
        <is>
          <t>English</t>
        </is>
      </c>
      <c r="D85" s="7" t="inlineStr">
        <is>
          <t>Wandering Spleen and Organoaxial Gastric Volvulus after Morgagni Hernia Repair: A Case Report and Review of the Literature.</t>
        </is>
      </c>
      <c r="K85" s="8">
        <f>IF(OR(F85="",G85="",J85=""),"",IF(AND(F85="Yes",G85="Yes",J85="Yes"),"Yes","No"))</f>
        <v/>
      </c>
      <c r="L85" s="8" t="inlineStr">
        <is>
          <t>R1</t>
        </is>
      </c>
    </row>
    <row r="86">
      <c r="A86" s="6" t="inlineStr">
        <is>
          <t>WS0363</t>
        </is>
      </c>
      <c r="B86" s="6" t="inlineStr">
        <is>
          <t>2016</t>
        </is>
      </c>
      <c r="C86" s="6" t="inlineStr">
        <is>
          <t>English</t>
        </is>
      </c>
      <c r="D86" s="7" t="inlineStr">
        <is>
          <t>A Physician's Nightmare: Fever of Unknown Origin.</t>
        </is>
      </c>
      <c r="K86" s="8">
        <f>IF(OR(F86="",G86="",J86=""),"",IF(AND(F86="Yes",G86="Yes",J86="Yes"),"Yes","No"))</f>
        <v/>
      </c>
      <c r="L86" s="8" t="inlineStr">
        <is>
          <t>R1</t>
        </is>
      </c>
    </row>
    <row r="87">
      <c r="A87" s="6" t="inlineStr">
        <is>
          <t>WS0368</t>
        </is>
      </c>
      <c r="B87" s="6" t="inlineStr">
        <is>
          <t>2016</t>
        </is>
      </c>
      <c r="C87" s="6" t="inlineStr">
        <is>
          <t>English</t>
        </is>
      </c>
      <c r="D87" s="7" t="inlineStr">
        <is>
          <t>The Great Pretender: Pediatric Wandering Spleen: Two Case Reports and Review of the Literature.</t>
        </is>
      </c>
      <c r="K87" s="8">
        <f>IF(OR(F87="",G87="",J87=""),"",IF(AND(F87="Yes",G87="Yes",J87="Yes"),"Yes","No"))</f>
        <v/>
      </c>
      <c r="L87" s="8" t="inlineStr">
        <is>
          <t>R1</t>
        </is>
      </c>
    </row>
    <row r="88">
      <c r="A88" s="6" t="inlineStr">
        <is>
          <t>WS0378</t>
        </is>
      </c>
      <c r="B88" s="6" t="inlineStr">
        <is>
          <t>2016</t>
        </is>
      </c>
      <c r="C88" s="6" t="inlineStr">
        <is>
          <t>English</t>
        </is>
      </c>
      <c r="D88" s="7" t="inlineStr">
        <is>
          <t>Torsion of wandering spleen.</t>
        </is>
      </c>
      <c r="K88" s="8">
        <f>IF(OR(F88="",G88="",J88=""),"",IF(AND(F88="Yes",G88="Yes",J88="Yes"),"Yes","No"))</f>
        <v/>
      </c>
      <c r="L88" s="8" t="inlineStr">
        <is>
          <t>R1</t>
        </is>
      </c>
    </row>
    <row r="89">
      <c r="A89" s="6" t="inlineStr">
        <is>
          <t>WS0381</t>
        </is>
      </c>
      <c r="B89" s="6" t="inlineStr">
        <is>
          <t>2016</t>
        </is>
      </c>
      <c r="C89" s="6" t="inlineStr">
        <is>
          <t>English</t>
        </is>
      </c>
      <c r="D89" s="7" t="inlineStr">
        <is>
          <t>A Rare Case of Splenic Torsion with Sigmoid Volvulus in a 14-Year-Old Girl.</t>
        </is>
      </c>
      <c r="K89" s="8">
        <f>IF(OR(F89="",G89="",J89=""),"",IF(AND(F89="Yes",G89="Yes",J89="Yes"),"Yes","No"))</f>
        <v/>
      </c>
      <c r="L89" s="8" t="inlineStr">
        <is>
          <t>R1</t>
        </is>
      </c>
    </row>
    <row r="90">
      <c r="A90" s="6" t="inlineStr">
        <is>
          <t>WS0396</t>
        </is>
      </c>
      <c r="B90" s="6" t="inlineStr">
        <is>
          <t>2015</t>
        </is>
      </c>
      <c r="C90" s="6" t="inlineStr">
        <is>
          <t>English</t>
        </is>
      </c>
      <c r="D90" s="7" t="inlineStr">
        <is>
          <t>Acute torsion of wandering spleen in a 17-year-old girl.</t>
        </is>
      </c>
      <c r="K90" s="8">
        <f>IF(OR(F90="",G90="",J90=""),"",IF(AND(F90="Yes",G90="Yes",J90="Yes"),"Yes","No"))</f>
        <v/>
      </c>
      <c r="L90" s="8" t="inlineStr">
        <is>
          <t>R1</t>
        </is>
      </c>
    </row>
    <row r="91">
      <c r="A91" s="6" t="inlineStr">
        <is>
          <t>WS0399</t>
        </is>
      </c>
      <c r="B91" s="6" t="inlineStr">
        <is>
          <t>2015</t>
        </is>
      </c>
      <c r="C91" s="6" t="inlineStr">
        <is>
          <t>English</t>
        </is>
      </c>
      <c r="D91" s="7" t="inlineStr">
        <is>
          <t>Urgent laparoscopic mesh splenopexy for torsion of wandering spleen and distal pancreas: A case report.</t>
        </is>
      </c>
      <c r="K91" s="8">
        <f>IF(OR(F91="",G91="",J91=""),"",IF(AND(F91="Yes",G91="Yes",J91="Yes"),"Yes","No"))</f>
        <v/>
      </c>
      <c r="L91" s="8" t="inlineStr">
        <is>
          <t>R1</t>
        </is>
      </c>
    </row>
    <row r="92">
      <c r="A92" s="6" t="inlineStr">
        <is>
          <t>WS0400</t>
        </is>
      </c>
      <c r="B92" s="6" t="inlineStr">
        <is>
          <t>2017</t>
        </is>
      </c>
      <c r="C92" s="6" t="inlineStr">
        <is>
          <t>English</t>
        </is>
      </c>
      <c r="D92" s="7" t="inlineStr">
        <is>
          <t>Wandering spleen: a surgical enigma.</t>
        </is>
      </c>
      <c r="K92" s="8">
        <f>IF(OR(F92="",G92="",J92=""),"",IF(AND(F92="Yes",G92="Yes",J92="Yes"),"Yes","No"))</f>
        <v/>
      </c>
      <c r="L92" s="8" t="inlineStr">
        <is>
          <t>R1</t>
        </is>
      </c>
    </row>
    <row r="93">
      <c r="A93" s="6" t="inlineStr">
        <is>
          <t>WS0411</t>
        </is>
      </c>
      <c r="B93" s="6" t="inlineStr">
        <is>
          <t>2014</t>
        </is>
      </c>
      <c r="C93" s="6" t="inlineStr">
        <is>
          <t>English</t>
        </is>
      </c>
      <c r="D93" s="7" t="inlineStr">
        <is>
          <t>Splenorenal collaterals as hallmark for a twisted wandering spleen in a 14-year-old girl with abdominal pain: a case report.</t>
        </is>
      </c>
      <c r="K93" s="8">
        <f>IF(OR(F93="",G93="",J93=""),"",IF(AND(F93="Yes",G93="Yes",J93="Yes"),"Yes","No"))</f>
        <v/>
      </c>
      <c r="L93" s="8" t="inlineStr">
        <is>
          <t>R1</t>
        </is>
      </c>
    </row>
    <row r="94">
      <c r="A94" s="6" t="inlineStr">
        <is>
          <t>WS0412</t>
        </is>
      </c>
      <c r="B94" s="6" t="inlineStr">
        <is>
          <t>2014</t>
        </is>
      </c>
      <c r="C94" s="6" t="inlineStr">
        <is>
          <t>English</t>
        </is>
      </c>
      <c r="D94" s="7" t="inlineStr">
        <is>
          <t>Single-incision laparoscopic splenectomy and splenic autotransplantation for an enlarged wandering spleen with torsion.</t>
        </is>
      </c>
      <c r="K94" s="8">
        <f>IF(OR(F94="",G94="",J94=""),"",IF(AND(F94="Yes",G94="Yes",J94="Yes"),"Yes","No"))</f>
        <v/>
      </c>
      <c r="L94" s="8" t="inlineStr">
        <is>
          <t>R1</t>
        </is>
      </c>
    </row>
    <row r="95">
      <c r="A95" s="6" t="inlineStr">
        <is>
          <t>WS0416</t>
        </is>
      </c>
      <c r="B95" s="6" t="inlineStr">
        <is>
          <t>2014</t>
        </is>
      </c>
      <c r="C95" s="6" t="inlineStr">
        <is>
          <t>English</t>
        </is>
      </c>
      <c r="D95" s="7" t="inlineStr">
        <is>
          <t>Torsion of a wandering spleen: an unusual abdominal catastrophe.</t>
        </is>
      </c>
      <c r="K95" s="8">
        <f>IF(OR(F95="",G95="",J95=""),"",IF(AND(F95="Yes",G95="Yes",J95="Yes"),"Yes","No"))</f>
        <v/>
      </c>
      <c r="L95" s="8" t="inlineStr">
        <is>
          <t>R1</t>
        </is>
      </c>
    </row>
    <row r="96">
      <c r="A96" s="6" t="inlineStr">
        <is>
          <t>WS0424</t>
        </is>
      </c>
      <c r="B96" s="6" t="inlineStr">
        <is>
          <t>2014</t>
        </is>
      </c>
      <c r="C96" s="6" t="inlineStr">
        <is>
          <t>English</t>
        </is>
      </c>
      <c r="D96" s="7" t="inlineStr">
        <is>
          <t>Torsion of wandering spleen, an unusual cause of acute abdomen; a report of two cases.</t>
        </is>
      </c>
      <c r="K96" s="8">
        <f>IF(OR(F96="",G96="",J96=""),"",IF(AND(F96="Yes",G96="Yes",J96="Yes"),"Yes","No"))</f>
        <v/>
      </c>
      <c r="L96" s="8" t="inlineStr">
        <is>
          <t>R1</t>
        </is>
      </c>
    </row>
    <row r="97">
      <c r="A97" s="6" t="inlineStr">
        <is>
          <t>WS0426</t>
        </is>
      </c>
      <c r="B97" s="6" t="inlineStr">
        <is>
          <t>2014</t>
        </is>
      </c>
      <c r="C97" s="6" t="inlineStr">
        <is>
          <t>English</t>
        </is>
      </c>
      <c r="D97" s="7" t="inlineStr">
        <is>
          <t>Torsion of a wandering spleen: a case report.</t>
        </is>
      </c>
      <c r="K97" s="8">
        <f>IF(OR(F97="",G97="",J97=""),"",IF(AND(F97="Yes",G97="Yes",J97="Yes"),"Yes","No"))</f>
        <v/>
      </c>
      <c r="L97" s="8" t="inlineStr">
        <is>
          <t>R1</t>
        </is>
      </c>
    </row>
    <row r="98">
      <c r="A98" s="6" t="inlineStr">
        <is>
          <t>WS0427</t>
        </is>
      </c>
      <c r="B98" s="6" t="inlineStr">
        <is>
          <t>2014</t>
        </is>
      </c>
      <c r="C98" s="6" t="inlineStr">
        <is>
          <t>English</t>
        </is>
      </c>
      <c r="D98" s="7" t="inlineStr">
        <is>
          <t>Pancreatic volvulus with wandering spleen and gastric volvulus: an unusual triad for acute abdomen in a surgical emergency.</t>
        </is>
      </c>
      <c r="K98" s="8">
        <f>IF(OR(F98="",G98="",J98=""),"",IF(AND(F98="Yes",G98="Yes",J98="Yes"),"Yes","No"))</f>
        <v/>
      </c>
      <c r="L98" s="8" t="inlineStr">
        <is>
          <t>R1</t>
        </is>
      </c>
    </row>
    <row r="99">
      <c r="A99" s="6" t="inlineStr">
        <is>
          <t>WS0432</t>
        </is>
      </c>
      <c r="B99" s="6" t="inlineStr">
        <is>
          <t>2014</t>
        </is>
      </c>
      <c r="C99" s="6" t="inlineStr">
        <is>
          <t>English</t>
        </is>
      </c>
      <c r="D99" s="7" t="inlineStr">
        <is>
          <t>Salvage splenopexy for torsion of wandering spleen in a child.</t>
        </is>
      </c>
      <c r="K99" s="8">
        <f>IF(OR(F99="",G99="",J99=""),"",IF(AND(F99="Yes",G99="Yes",J99="Yes"),"Yes","No"))</f>
        <v/>
      </c>
      <c r="L99" s="8" t="inlineStr">
        <is>
          <t>R1</t>
        </is>
      </c>
    </row>
    <row r="100">
      <c r="A100" s="6" t="inlineStr">
        <is>
          <t>WS0435</t>
        </is>
      </c>
      <c r="B100" s="6" t="inlineStr">
        <is>
          <t>2014</t>
        </is>
      </c>
      <c r="C100" s="6" t="inlineStr">
        <is>
          <t>English</t>
        </is>
      </c>
      <c r="D100" s="7" t="inlineStr">
        <is>
          <t>An etiologic dilemma of wandering spleen in childhood: is it congenital or acquired?</t>
        </is>
      </c>
      <c r="K100" s="8">
        <f>IF(OR(F100="",G100="",J100=""),"",IF(AND(F100="Yes",G100="Yes",J100="Yes"),"Yes","No"))</f>
        <v/>
      </c>
      <c r="L100" s="8" t="inlineStr">
        <is>
          <t>R1</t>
        </is>
      </c>
    </row>
    <row r="101">
      <c r="A101" s="6" t="inlineStr">
        <is>
          <t>WS0441</t>
        </is>
      </c>
      <c r="B101" s="6" t="inlineStr">
        <is>
          <t>2014</t>
        </is>
      </c>
      <c r="C101" s="6" t="inlineStr">
        <is>
          <t>English</t>
        </is>
      </c>
      <c r="D101" s="7" t="inlineStr">
        <is>
          <t>Non-operative management of a rare diagnosis of splenic torsion in a child with a history of giant omphalocele: a case report and literature review.</t>
        </is>
      </c>
      <c r="K101" s="8">
        <f>IF(OR(F101="",G101="",J101=""),"",IF(AND(F101="Yes",G101="Yes",J101="Yes"),"Yes","No"))</f>
        <v/>
      </c>
      <c r="L101" s="8" t="inlineStr">
        <is>
          <t>R1</t>
        </is>
      </c>
    </row>
    <row r="102">
      <c r="A102" s="6" t="inlineStr">
        <is>
          <t>WS0444</t>
        </is>
      </c>
      <c r="B102" s="6" t="inlineStr">
        <is>
          <t>2014</t>
        </is>
      </c>
      <c r="C102" s="6" t="inlineStr">
        <is>
          <t>English</t>
        </is>
      </c>
      <c r="D102" s="7" t="inlineStr">
        <is>
          <t>Wandering spleen: 'presentation in adolescent with high thrombotic risk'.</t>
        </is>
      </c>
      <c r="K102" s="8">
        <f>IF(OR(F102="",G102="",J102=""),"",IF(AND(F102="Yes",G102="Yes",J102="Yes"),"Yes","No"))</f>
        <v/>
      </c>
      <c r="L102" s="8" t="inlineStr">
        <is>
          <t>R1</t>
        </is>
      </c>
    </row>
    <row r="103">
      <c r="A103" s="6" t="inlineStr">
        <is>
          <t>WS0449</t>
        </is>
      </c>
      <c r="B103" s="6" t="inlineStr">
        <is>
          <t>2014</t>
        </is>
      </c>
      <c r="C103" s="6" t="inlineStr">
        <is>
          <t>English</t>
        </is>
      </c>
      <c r="D103" s="7" t="inlineStr">
        <is>
          <t>Wandering spleen in children: a report of 3 cases and a brief literature review underlining the importance of diagnostic imaging.</t>
        </is>
      </c>
      <c r="K103" s="8">
        <f>IF(OR(F103="",G103="",J103=""),"",IF(AND(F103="Yes",G103="Yes",J103="Yes"),"Yes","No"))</f>
        <v/>
      </c>
      <c r="L103" s="8" t="inlineStr">
        <is>
          <t>R1</t>
        </is>
      </c>
    </row>
    <row r="104">
      <c r="A104" s="6" t="inlineStr">
        <is>
          <t>WS0451</t>
        </is>
      </c>
      <c r="B104" s="6" t="inlineStr">
        <is>
          <t>2013</t>
        </is>
      </c>
      <c r="C104" s="6" t="inlineStr">
        <is>
          <t>English</t>
        </is>
      </c>
      <c r="D104" s="7" t="inlineStr">
        <is>
          <t>Left upper quadrant pain: upside down spleen.</t>
        </is>
      </c>
      <c r="K104" s="8">
        <f>IF(OR(F104="",G104="",J104=""),"",IF(AND(F104="Yes",G104="Yes",J104="Yes"),"Yes","No"))</f>
        <v/>
      </c>
      <c r="L104" s="8" t="inlineStr">
        <is>
          <t>R1</t>
        </is>
      </c>
    </row>
    <row r="105">
      <c r="A105" s="6" t="inlineStr">
        <is>
          <t>WS0455</t>
        </is>
      </c>
      <c r="B105" s="6" t="inlineStr">
        <is>
          <t>2014</t>
        </is>
      </c>
      <c r="C105" s="6" t="inlineStr">
        <is>
          <t>English</t>
        </is>
      </c>
      <c r="D105" s="7" t="inlineStr">
        <is>
          <t>Hereditary spherocytosis and wandering spleen.</t>
        </is>
      </c>
      <c r="K105" s="8">
        <f>IF(OR(F105="",G105="",J105=""),"",IF(AND(F105="Yes",G105="Yes",J105="Yes"),"Yes","No"))</f>
        <v/>
      </c>
      <c r="L105" s="8" t="inlineStr">
        <is>
          <t>R1</t>
        </is>
      </c>
    </row>
    <row r="106">
      <c r="A106" s="6" t="inlineStr">
        <is>
          <t>WS0461</t>
        </is>
      </c>
      <c r="B106" s="6" t="inlineStr">
        <is>
          <t>2013</t>
        </is>
      </c>
      <c r="C106" s="6" t="inlineStr">
        <is>
          <t>English</t>
        </is>
      </c>
      <c r="D106" s="7" t="inlineStr">
        <is>
          <t>Novel no-stop FLNA mutation causes multi-organ involvement in males.</t>
        </is>
      </c>
      <c r="K106" s="8">
        <f>IF(OR(F106="",G106="",J106=""),"",IF(AND(F106="Yes",G106="Yes",J106="Yes"),"Yes","No"))</f>
        <v/>
      </c>
      <c r="L106" s="8" t="inlineStr">
        <is>
          <t>R1</t>
        </is>
      </c>
    </row>
    <row r="107">
      <c r="A107" s="6" t="inlineStr">
        <is>
          <t>WS0474</t>
        </is>
      </c>
      <c r="B107" s="6" t="inlineStr">
        <is>
          <t>2013</t>
        </is>
      </c>
      <c r="C107" s="6" t="inlineStr">
        <is>
          <t>English</t>
        </is>
      </c>
      <c r="D107" s="7" t="inlineStr">
        <is>
          <t>Splenic torsion after congenital diaphragmatic hernia repair: case report and review of the literature.</t>
        </is>
      </c>
      <c r="K107" s="8">
        <f>IF(OR(F107="",G107="",J107=""),"",IF(AND(F107="Yes",G107="Yes",J107="Yes"),"Yes","No"))</f>
        <v/>
      </c>
      <c r="L107" s="8" t="inlineStr">
        <is>
          <t>R1</t>
        </is>
      </c>
    </row>
    <row r="108">
      <c r="A108" s="6" t="inlineStr">
        <is>
          <t>WS0475</t>
        </is>
      </c>
      <c r="B108" s="6" t="inlineStr">
        <is>
          <t>2013</t>
        </is>
      </c>
      <c r="C108" s="6" t="inlineStr">
        <is>
          <t>English</t>
        </is>
      </c>
      <c r="D108" s="7" t="inlineStr">
        <is>
          <t>Wandering spleen as a cause of mesenteric and portal varices: a new etiology?</t>
        </is>
      </c>
      <c r="K108" s="8">
        <f>IF(OR(F108="",G108="",J108=""),"",IF(AND(F108="Yes",G108="Yes",J108="Yes"),"Yes","No"))</f>
        <v/>
      </c>
      <c r="L108" s="8" t="inlineStr">
        <is>
          <t>R1</t>
        </is>
      </c>
    </row>
    <row r="109">
      <c r="A109" s="6" t="inlineStr">
        <is>
          <t>WS0478</t>
        </is>
      </c>
      <c r="B109" s="6" t="inlineStr">
        <is>
          <t>2013</t>
        </is>
      </c>
      <c r="C109" s="6" t="inlineStr">
        <is>
          <t>English</t>
        </is>
      </c>
      <c r="D109" s="7" t="inlineStr">
        <is>
          <t>Acute abdominal pain in the pediatric emergency department: a case of right lower quadrant wandering spleen that acutely torsed.</t>
        </is>
      </c>
      <c r="K109" s="8">
        <f>IF(OR(F109="",G109="",J109=""),"",IF(AND(F109="Yes",G109="Yes",J109="Yes"),"Yes","No"))</f>
        <v/>
      </c>
      <c r="L109" s="8" t="inlineStr">
        <is>
          <t>R1</t>
        </is>
      </c>
    </row>
    <row r="110">
      <c r="A110" s="6" t="inlineStr">
        <is>
          <t>WS0479</t>
        </is>
      </c>
      <c r="B110" s="6" t="inlineStr">
        <is>
          <t>2013</t>
        </is>
      </c>
      <c r="C110" s="6" t="inlineStr">
        <is>
          <t>English</t>
        </is>
      </c>
      <c r="D110" s="7" t="inlineStr">
        <is>
          <t>Acute abdomen due to splenic torsion.</t>
        </is>
      </c>
      <c r="K110" s="8">
        <f>IF(OR(F110="",G110="",J110=""),"",IF(AND(F110="Yes",G110="Yes",J110="Yes"),"Yes","No"))</f>
        <v/>
      </c>
      <c r="L110" s="8" t="inlineStr">
        <is>
          <t>R1</t>
        </is>
      </c>
    </row>
    <row r="111">
      <c r="A111" s="6" t="inlineStr">
        <is>
          <t>WS0483</t>
        </is>
      </c>
      <c r="B111" s="6" t="inlineStr">
        <is>
          <t>2013</t>
        </is>
      </c>
      <c r="C111" s="6" t="inlineStr">
        <is>
          <t>English</t>
        </is>
      </c>
      <c r="D111" s="7" t="inlineStr">
        <is>
          <t>Atypical presentation of a wandering spleen in niemann-pick disease.</t>
        </is>
      </c>
      <c r="K111" s="8">
        <f>IF(OR(F111="",G111="",J111=""),"",IF(AND(F111="Yes",G111="Yes",J111="Yes"),"Yes","No"))</f>
        <v/>
      </c>
      <c r="L111" s="8" t="inlineStr">
        <is>
          <t>R1</t>
        </is>
      </c>
    </row>
    <row r="112">
      <c r="A112" s="6" t="inlineStr">
        <is>
          <t>WS0486</t>
        </is>
      </c>
      <c r="B112" s="6" t="inlineStr">
        <is>
          <t>2013</t>
        </is>
      </c>
      <c r="C112" s="6" t="inlineStr">
        <is>
          <t>English</t>
        </is>
      </c>
      <c r="D112" s="7" t="inlineStr">
        <is>
          <t>Torsion of wandering spleen as a rare reason for acute abdomen: A presentation of two cases.</t>
        </is>
      </c>
      <c r="K112" s="8">
        <f>IF(OR(F112="",G112="",J112=""),"",IF(AND(F112="Yes",G112="Yes",J112="Yes"),"Yes","No"))</f>
        <v/>
      </c>
      <c r="L112" s="8" t="inlineStr">
        <is>
          <t>R1</t>
        </is>
      </c>
    </row>
    <row r="113">
      <c r="A113" s="6" t="inlineStr">
        <is>
          <t>WS0493</t>
        </is>
      </c>
      <c r="B113" s="6" t="inlineStr">
        <is>
          <t>2012</t>
        </is>
      </c>
      <c r="C113" s="6" t="inlineStr">
        <is>
          <t>English</t>
        </is>
      </c>
      <c r="D113" s="7" t="inlineStr">
        <is>
          <t>Acute splenic torsion in children: which is the best treatment? A case report.</t>
        </is>
      </c>
      <c r="K113" s="8">
        <f>IF(OR(F113="",G113="",J113=""),"",IF(AND(F113="Yes",G113="Yes",J113="Yes"),"Yes","No"))</f>
        <v/>
      </c>
      <c r="L113" s="8" t="inlineStr">
        <is>
          <t>R1</t>
        </is>
      </c>
    </row>
    <row r="114">
      <c r="A114" s="6" t="inlineStr">
        <is>
          <t>WS0498</t>
        </is>
      </c>
      <c r="B114" s="6" t="inlineStr">
        <is>
          <t>2013</t>
        </is>
      </c>
      <c r="C114" s="6" t="inlineStr">
        <is>
          <t>English</t>
        </is>
      </c>
      <c r="D114" s="7" t="inlineStr">
        <is>
          <t>Torsion in wandering spleen: CT demonstration of whirl sign.</t>
        </is>
      </c>
      <c r="K114" s="8">
        <f>IF(OR(F114="",G114="",J114=""),"",IF(AND(F114="Yes",G114="Yes",J114="Yes"),"Yes","No"))</f>
        <v/>
      </c>
      <c r="L114" s="8" t="inlineStr">
        <is>
          <t>R1</t>
        </is>
      </c>
    </row>
    <row r="115">
      <c r="A115" s="6" t="inlineStr">
        <is>
          <t>WS0499</t>
        </is>
      </c>
      <c r="B115" s="6" t="inlineStr">
        <is>
          <t>2012</t>
        </is>
      </c>
      <c r="C115" s="6" t="inlineStr">
        <is>
          <t>English</t>
        </is>
      </c>
      <c r="D115" s="7" t="inlineStr">
        <is>
          <t>14 year-old female with splenic torsion.</t>
        </is>
      </c>
      <c r="K115" s="8">
        <f>IF(OR(F115="",G115="",J115=""),"",IF(AND(F115="Yes",G115="Yes",J115="Yes"),"Yes","No"))</f>
        <v/>
      </c>
      <c r="L115" s="8" t="inlineStr">
        <is>
          <t>R1</t>
        </is>
      </c>
    </row>
    <row r="116">
      <c r="A116" s="6" t="inlineStr">
        <is>
          <t>WS0514</t>
        </is>
      </c>
      <c r="B116" s="6" t="inlineStr">
        <is>
          <t>2012</t>
        </is>
      </c>
      <c r="C116" s="6" t="inlineStr">
        <is>
          <t>English</t>
        </is>
      </c>
      <c r="D116" s="7" t="inlineStr">
        <is>
          <t>Wandering spleen in a child with symptoms of acute abdomen: ultrasonographic diagnosis. Case report.</t>
        </is>
      </c>
      <c r="K116" s="8">
        <f>IF(OR(F116="",G116="",J116=""),"",IF(AND(F116="Yes",G116="Yes",J116="Yes"),"Yes","No"))</f>
        <v/>
      </c>
      <c r="L116" s="8" t="inlineStr">
        <is>
          <t>R1</t>
        </is>
      </c>
    </row>
    <row r="117">
      <c r="A117" s="6" t="inlineStr">
        <is>
          <t>WS0526</t>
        </is>
      </c>
      <c r="B117" s="6" t="inlineStr">
        <is>
          <t>2010</t>
        </is>
      </c>
      <c r="C117" s="6" t="inlineStr">
        <is>
          <t>English</t>
        </is>
      </c>
      <c r="D117" s="7" t="inlineStr">
        <is>
          <t>Paediatric wandering spleens in Malawi.</t>
        </is>
      </c>
      <c r="K117" s="8">
        <f>IF(OR(F117="",G117="",J117=""),"",IF(AND(F117="Yes",G117="Yes",J117="Yes"),"Yes","No"))</f>
        <v/>
      </c>
      <c r="L117" s="8" t="inlineStr">
        <is>
          <t>R1</t>
        </is>
      </c>
    </row>
    <row r="118">
      <c r="A118" s="6" t="inlineStr">
        <is>
          <t>WS0529</t>
        </is>
      </c>
      <c r="B118" s="6" t="inlineStr">
        <is>
          <t>2011</t>
        </is>
      </c>
      <c r="C118" s="6" t="inlineStr">
        <is>
          <t>English</t>
        </is>
      </c>
      <c r="D118" s="7" t="inlineStr">
        <is>
          <t>Wandering spleen with torsion and complete infarction.</t>
        </is>
      </c>
      <c r="K118" s="8">
        <f>IF(OR(F118="",G118="",J118=""),"",IF(AND(F118="Yes",G118="Yes",J118="Yes"),"Yes","No"))</f>
        <v/>
      </c>
      <c r="L118" s="8" t="inlineStr">
        <is>
          <t>R1</t>
        </is>
      </c>
    </row>
    <row r="119">
      <c r="A119" s="6" t="inlineStr">
        <is>
          <t>WS0537</t>
        </is>
      </c>
      <c r="B119" s="6" t="inlineStr">
        <is>
          <t>2011</t>
        </is>
      </c>
      <c r="C119" s="6" t="inlineStr">
        <is>
          <t>English</t>
        </is>
      </c>
      <c r="D119" s="7" t="inlineStr">
        <is>
          <t>An unusual case of acute pancreatitis and gastric outlet obstruction associated with wandering spleen treated by laparoscopic splenopexy.</t>
        </is>
      </c>
      <c r="K119" s="8">
        <f>IF(OR(F119="",G119="",J119=""),"",IF(AND(F119="Yes",G119="Yes",J119="Yes"),"Yes","No"))</f>
        <v/>
      </c>
      <c r="L119" s="8" t="inlineStr">
        <is>
          <t>R1</t>
        </is>
      </c>
    </row>
    <row r="120">
      <c r="A120" s="6" t="inlineStr">
        <is>
          <t>WS0538</t>
        </is>
      </c>
      <c r="B120" s="6" t="inlineStr">
        <is>
          <t>2010</t>
        </is>
      </c>
      <c r="C120" s="6" t="inlineStr">
        <is>
          <t>English</t>
        </is>
      </c>
      <c r="D120" s="7" t="inlineStr">
        <is>
          <t>Wandering spleen mimicking acute appendicitis-an unusual presentation of a rare surgical anomaly.</t>
        </is>
      </c>
      <c r="K120" s="8">
        <f>IF(OR(F120="",G120="",J120=""),"",IF(AND(F120="Yes",G120="Yes",J120="Yes"),"Yes","No"))</f>
        <v/>
      </c>
      <c r="L120" s="8" t="inlineStr">
        <is>
          <t>R1</t>
        </is>
      </c>
    </row>
    <row r="121">
      <c r="A121" s="6" t="inlineStr">
        <is>
          <t>WS0541</t>
        </is>
      </c>
      <c r="B121" s="6" t="inlineStr">
        <is>
          <t>2011</t>
        </is>
      </c>
      <c r="C121" s="6" t="inlineStr">
        <is>
          <t>English</t>
        </is>
      </c>
      <c r="D121" s="7" t="inlineStr">
        <is>
          <t>Right abdominal mass in a 2 year-old child.</t>
        </is>
      </c>
      <c r="K121" s="8">
        <f>IF(OR(F121="",G121="",J121=""),"",IF(AND(F121="Yes",G121="Yes",J121="Yes"),"Yes","No"))</f>
        <v/>
      </c>
      <c r="L121" s="8" t="inlineStr">
        <is>
          <t>R1</t>
        </is>
      </c>
    </row>
    <row r="122">
      <c r="A122" s="6" t="inlineStr">
        <is>
          <t>WS0548</t>
        </is>
      </c>
      <c r="B122" s="6" t="inlineStr">
        <is>
          <t>2010</t>
        </is>
      </c>
      <c r="C122" s="6" t="inlineStr">
        <is>
          <t>English</t>
        </is>
      </c>
      <c r="D122" s="7" t="inlineStr">
        <is>
          <t>Post-traumatic acute abdominal pain.</t>
        </is>
      </c>
      <c r="K122" s="8">
        <f>IF(OR(F122="",G122="",J122=""),"",IF(AND(F122="Yes",G122="Yes",J122="Yes"),"Yes","No"))</f>
        <v/>
      </c>
      <c r="L122" s="8" t="inlineStr">
        <is>
          <t>R1</t>
        </is>
      </c>
    </row>
    <row r="123">
      <c r="A123" s="6" t="inlineStr">
        <is>
          <t>WS0550</t>
        </is>
      </c>
      <c r="B123" s="6" t="inlineStr">
        <is>
          <t>2010</t>
        </is>
      </c>
      <c r="C123" s="6" t="inlineStr">
        <is>
          <t>English</t>
        </is>
      </c>
      <c r="D123" s="7" t="inlineStr">
        <is>
          <t>Wandering spleen in children: multicenter retrospective study.</t>
        </is>
      </c>
      <c r="K123" s="8">
        <f>IF(OR(F123="",G123="",J123=""),"",IF(AND(F123="Yes",G123="Yes",J123="Yes"),"Yes","No"))</f>
        <v/>
      </c>
      <c r="L123" s="8" t="inlineStr">
        <is>
          <t>R1</t>
        </is>
      </c>
    </row>
    <row r="124">
      <c r="A124" s="6" t="inlineStr">
        <is>
          <t>WS0551</t>
        </is>
      </c>
      <c r="B124" s="6" t="inlineStr">
        <is>
          <t>2010</t>
        </is>
      </c>
      <c r="C124" s="6" t="inlineStr">
        <is>
          <t>English</t>
        </is>
      </c>
      <c r="D124" s="7" t="inlineStr">
        <is>
          <t>Multimodality imaging of a neonatal wandering spleen.</t>
        </is>
      </c>
      <c r="K124" s="8">
        <f>IF(OR(F124="",G124="",J124=""),"",IF(AND(F124="Yes",G124="Yes",J124="Yes"),"Yes","No"))</f>
        <v/>
      </c>
      <c r="L124" s="8" t="inlineStr">
        <is>
          <t>R1</t>
        </is>
      </c>
    </row>
    <row r="125">
      <c r="A125" s="6" t="inlineStr">
        <is>
          <t>WS0552</t>
        </is>
      </c>
      <c r="B125" s="6" t="inlineStr">
        <is>
          <t>2010</t>
        </is>
      </c>
      <c r="C125" s="6" t="inlineStr">
        <is>
          <t>English</t>
        </is>
      </c>
      <c r="D125" s="7" t="inlineStr">
        <is>
          <t>Laparoscopic splenopexy and gastropexy for wandering spleen associated with gastric volvulus.</t>
        </is>
      </c>
      <c r="K125" s="8">
        <f>IF(OR(F125="",G125="",J125=""),"",IF(AND(F125="Yes",G125="Yes",J125="Yes"),"Yes","No"))</f>
        <v/>
      </c>
      <c r="L125" s="8" t="inlineStr">
        <is>
          <t>R1</t>
        </is>
      </c>
    </row>
    <row r="126">
      <c r="A126" s="6" t="inlineStr">
        <is>
          <t>WS0553</t>
        </is>
      </c>
      <c r="B126" s="6" t="inlineStr">
        <is>
          <t>2010</t>
        </is>
      </c>
      <c r="C126" s="6" t="inlineStr">
        <is>
          <t>English</t>
        </is>
      </c>
      <c r="D126" s="7" t="inlineStr">
        <is>
          <t>Wandering spleen causing gastric outlet obstruction and pancreatitis.</t>
        </is>
      </c>
      <c r="K126" s="8">
        <f>IF(OR(F126="",G126="",J126=""),"",IF(AND(F126="Yes",G126="Yes",J126="Yes"),"Yes","No"))</f>
        <v/>
      </c>
      <c r="L126" s="8" t="inlineStr">
        <is>
          <t>R1</t>
        </is>
      </c>
    </row>
    <row r="127">
      <c r="A127" s="6" t="inlineStr">
        <is>
          <t>WS0554</t>
        </is>
      </c>
      <c r="B127" s="6" t="inlineStr">
        <is>
          <t>2010</t>
        </is>
      </c>
      <c r="C127" s="6" t="inlineStr">
        <is>
          <t>English</t>
        </is>
      </c>
      <c r="D127" s="7" t="inlineStr">
        <is>
          <t>Splenomegaly as presentation of a wandering spleen.</t>
        </is>
      </c>
      <c r="K127" s="8">
        <f>IF(OR(F127="",G127="",J127=""),"",IF(AND(F127="Yes",G127="Yes",J127="Yes"),"Yes","No"))</f>
        <v/>
      </c>
      <c r="L127" s="8" t="inlineStr">
        <is>
          <t>R1</t>
        </is>
      </c>
    </row>
    <row r="128">
      <c r="A128" s="6" t="inlineStr">
        <is>
          <t>WS0571</t>
        </is>
      </c>
      <c r="B128" s="6" t="inlineStr">
        <is>
          <t>2009</t>
        </is>
      </c>
      <c r="C128" s="6" t="inlineStr">
        <is>
          <t>English</t>
        </is>
      </c>
      <c r="D128" s="7" t="inlineStr">
        <is>
          <t>Acute torsion of wandering spleen: report of one case.</t>
        </is>
      </c>
      <c r="K128" s="8">
        <f>IF(OR(F128="",G128="",J128=""),"",IF(AND(F128="Yes",G128="Yes",J128="Yes"),"Yes","No"))</f>
        <v/>
      </c>
      <c r="L128" s="8" t="inlineStr">
        <is>
          <t>R1</t>
        </is>
      </c>
    </row>
    <row r="129">
      <c r="A129" s="6" t="inlineStr">
        <is>
          <t>WS0575</t>
        </is>
      </c>
      <c r="B129" s="6" t="inlineStr">
        <is>
          <t>2009</t>
        </is>
      </c>
      <c r="C129" s="6" t="inlineStr">
        <is>
          <t>English</t>
        </is>
      </c>
      <c r="D129" s="7" t="inlineStr">
        <is>
          <t>Delayed presentation of congenital diaphragmatic hernia with intrathoracic gastric volvulus.</t>
        </is>
      </c>
      <c r="K129" s="8">
        <f>IF(OR(F129="",G129="",J129=""),"",IF(AND(F129="Yes",G129="Yes",J129="Yes"),"Yes","No"))</f>
        <v/>
      </c>
      <c r="L129" s="8" t="inlineStr">
        <is>
          <t>R1</t>
        </is>
      </c>
    </row>
    <row r="130">
      <c r="A130" s="6" t="inlineStr">
        <is>
          <t>WS0577</t>
        </is>
      </c>
      <c r="B130" s="6" t="inlineStr">
        <is>
          <t>2010</t>
        </is>
      </c>
      <c r="C130" s="6" t="inlineStr">
        <is>
          <t>English</t>
        </is>
      </c>
      <c r="D130" s="7" t="inlineStr">
        <is>
          <t>Clinical image. The "wandering" spleen.</t>
        </is>
      </c>
      <c r="K130" s="8">
        <f>IF(OR(F130="",G130="",J130=""),"",IF(AND(F130="Yes",G130="Yes",J130="Yes"),"Yes","No"))</f>
        <v/>
      </c>
      <c r="L130" s="8" t="inlineStr">
        <is>
          <t>R1</t>
        </is>
      </c>
    </row>
    <row r="131">
      <c r="A131" s="6" t="inlineStr">
        <is>
          <t>WS0580</t>
        </is>
      </c>
      <c r="B131" s="6" t="inlineStr">
        <is>
          <t>2009</t>
        </is>
      </c>
      <c r="C131" s="6" t="inlineStr">
        <is>
          <t>English</t>
        </is>
      </c>
      <c r="D131" s="7" t="inlineStr">
        <is>
          <t>Abdominal pain and wandering spleen in young children: the importance of an early diagnosis.</t>
        </is>
      </c>
      <c r="K131" s="8">
        <f>IF(OR(F131="",G131="",J131=""),"",IF(AND(F131="Yes",G131="Yes",J131="Yes"),"Yes","No"))</f>
        <v/>
      </c>
      <c r="L131" s="8" t="inlineStr">
        <is>
          <t>R1</t>
        </is>
      </c>
    </row>
    <row r="132">
      <c r="A132" s="6" t="inlineStr">
        <is>
          <t>WS0581</t>
        </is>
      </c>
      <c r="B132" s="6" t="inlineStr">
        <is>
          <t>2010</t>
        </is>
      </c>
      <c r="C132" s="6" t="inlineStr">
        <is>
          <t>English</t>
        </is>
      </c>
      <c r="D132" s="7" t="inlineStr">
        <is>
          <t>Wandering spleen causing intestinal obstruction after repair of congenital diaphragmatic hernia.</t>
        </is>
      </c>
      <c r="K132" s="8">
        <f>IF(OR(F132="",G132="",J132=""),"",IF(AND(F132="Yes",G132="Yes",J132="Yes"),"Yes","No"))</f>
        <v/>
      </c>
      <c r="L132" s="8" t="inlineStr">
        <is>
          <t>R1</t>
        </is>
      </c>
    </row>
    <row r="133">
      <c r="A133" s="6" t="inlineStr">
        <is>
          <t>WS0585</t>
        </is>
      </c>
      <c r="B133" s="6" t="inlineStr">
        <is>
          <t>2009</t>
        </is>
      </c>
      <c r="C133" s="6" t="inlineStr">
        <is>
          <t>English</t>
        </is>
      </c>
      <c r="D133" s="7" t="inlineStr">
        <is>
          <t>Laparoscopic gastropexy for the treatment of gastric volvulus associated with wandering spleen.</t>
        </is>
      </c>
      <c r="K133" s="8">
        <f>IF(OR(F133="",G133="",J133=""),"",IF(AND(F133="Yes",G133="Yes",J133="Yes"),"Yes","No"))</f>
        <v/>
      </c>
      <c r="L133" s="8" t="inlineStr">
        <is>
          <t>R1</t>
        </is>
      </c>
    </row>
    <row r="134">
      <c r="A134" s="6" t="inlineStr">
        <is>
          <t>WS0593</t>
        </is>
      </c>
      <c r="B134" s="6" t="inlineStr">
        <is>
          <t>2008</t>
        </is>
      </c>
      <c r="C134" s="6" t="inlineStr">
        <is>
          <t>English</t>
        </is>
      </c>
      <c r="D134" s="7" t="inlineStr">
        <is>
          <t>Wandering spleen presenting as recurrent abdominal pain in a young female.</t>
        </is>
      </c>
      <c r="K134" s="8">
        <f>IF(OR(F134="",G134="",J134=""),"",IF(AND(F134="Yes",G134="Yes",J134="Yes"),"Yes","No"))</f>
        <v/>
      </c>
      <c r="L134" s="8" t="inlineStr">
        <is>
          <t>R1</t>
        </is>
      </c>
    </row>
    <row r="135">
      <c r="A135" s="6" t="inlineStr">
        <is>
          <t>WS0594</t>
        </is>
      </c>
      <c r="B135" s="6" t="inlineStr">
        <is>
          <t>2008</t>
        </is>
      </c>
      <c r="C135" s="6" t="inlineStr">
        <is>
          <t>English</t>
        </is>
      </c>
      <c r="D135" s="7" t="inlineStr">
        <is>
          <t>Unusual association of omphalocele and wandering spleen.</t>
        </is>
      </c>
      <c r="K135" s="8">
        <f>IF(OR(F135="",G135="",J135=""),"",IF(AND(F135="Yes",G135="Yes",J135="Yes"),"Yes","No"))</f>
        <v/>
      </c>
      <c r="L135" s="8" t="inlineStr">
        <is>
          <t>R1</t>
        </is>
      </c>
    </row>
    <row r="136">
      <c r="A136" s="6" t="inlineStr">
        <is>
          <t>WS0595</t>
        </is>
      </c>
      <c r="B136" s="6" t="inlineStr">
        <is>
          <t>2008</t>
        </is>
      </c>
      <c r="C136" s="6" t="inlineStr">
        <is>
          <t>English</t>
        </is>
      </c>
      <c r="D136" s="7" t="inlineStr">
        <is>
          <t>The torsion of a wandering pelvic spleen: A case report.</t>
        </is>
      </c>
      <c r="K136" s="8">
        <f>IF(OR(F136="",G136="",J136=""),"",IF(AND(F136="Yes",G136="Yes",J136="Yes"),"Yes","No"))</f>
        <v/>
      </c>
      <c r="L136" s="8" t="inlineStr">
        <is>
          <t>R1</t>
        </is>
      </c>
    </row>
    <row r="137">
      <c r="A137" s="6" t="inlineStr">
        <is>
          <t>WS0601</t>
        </is>
      </c>
      <c r="B137" s="6" t="inlineStr">
        <is>
          <t>2008</t>
        </is>
      </c>
      <c r="C137" s="6" t="inlineStr">
        <is>
          <t>English</t>
        </is>
      </c>
      <c r="D137" s="7" t="inlineStr">
        <is>
          <t>Familial wandering spleen: a first instance.</t>
        </is>
      </c>
      <c r="K137" s="8">
        <f>IF(OR(F137="",G137="",J137=""),"",IF(AND(F137="Yes",G137="Yes",J137="Yes"),"Yes","No"))</f>
        <v/>
      </c>
      <c r="L137" s="8" t="inlineStr">
        <is>
          <t>R1</t>
        </is>
      </c>
    </row>
    <row r="138">
      <c r="A138" s="6" t="inlineStr">
        <is>
          <t>WS0602</t>
        </is>
      </c>
      <c r="B138" s="6" t="inlineStr">
        <is>
          <t>2008</t>
        </is>
      </c>
      <c r="C138" s="6" t="inlineStr">
        <is>
          <t>English</t>
        </is>
      </c>
      <c r="D138" s="7" t="inlineStr">
        <is>
          <t>Marfanoid hypermobility syndrome and skeletal abnormalities in a rare case of torsion of wandering spleen.</t>
        </is>
      </c>
      <c r="K138" s="8">
        <f>IF(OR(F138="",G138="",J138=""),"",IF(AND(F138="Yes",G138="Yes",J138="Yes"),"Yes","No"))</f>
        <v/>
      </c>
      <c r="L138" s="8" t="inlineStr">
        <is>
          <t>R1</t>
        </is>
      </c>
    </row>
    <row r="139">
      <c r="A139" s="6" t="inlineStr">
        <is>
          <t>WS0612</t>
        </is>
      </c>
      <c r="B139" s="6" t="inlineStr">
        <is>
          <t>2008</t>
        </is>
      </c>
      <c r="C139" s="6" t="inlineStr">
        <is>
          <t>English</t>
        </is>
      </c>
      <c r="D139" s="7" t="inlineStr">
        <is>
          <t>Wandering Spleen: A Rare Diagnosis with Variable Presentation.</t>
        </is>
      </c>
      <c r="K139" s="8">
        <f>IF(OR(F139="",G139="",J139=""),"",IF(AND(F139="Yes",G139="Yes",J139="Yes"),"Yes","No"))</f>
        <v/>
      </c>
      <c r="L139" s="8" t="inlineStr">
        <is>
          <t>R1</t>
        </is>
      </c>
    </row>
    <row r="140">
      <c r="A140" s="6" t="inlineStr">
        <is>
          <t>WS0619</t>
        </is>
      </c>
      <c r="B140" s="6" t="inlineStr">
        <is>
          <t>2007</t>
        </is>
      </c>
      <c r="C140" s="6" t="inlineStr">
        <is>
          <t>English</t>
        </is>
      </c>
      <c r="D140" s="7" t="inlineStr">
        <is>
          <t>Splenic cyst in a wandering spleen: laparoscopic treatment with preservation of splenic function.</t>
        </is>
      </c>
      <c r="K140" s="8">
        <f>IF(OR(F140="",G140="",J140=""),"",IF(AND(F140="Yes",G140="Yes",J140="Yes"),"Yes","No"))</f>
        <v/>
      </c>
      <c r="L140" s="8" t="inlineStr">
        <is>
          <t>R1</t>
        </is>
      </c>
    </row>
    <row r="141">
      <c r="A141" s="6" t="inlineStr">
        <is>
          <t>WS0623</t>
        </is>
      </c>
      <c r="B141" s="6" t="inlineStr">
        <is>
          <t>2007</t>
        </is>
      </c>
      <c r="C141" s="6" t="inlineStr">
        <is>
          <t>English</t>
        </is>
      </c>
      <c r="D141" s="7" t="inlineStr">
        <is>
          <t>Laparoscopic splenopexy and cystectomy for an enlarged wandering spleen and splenic cyst.</t>
        </is>
      </c>
      <c r="K141" s="8">
        <f>IF(OR(F141="",G141="",J141=""),"",IF(AND(F141="Yes",G141="Yes",J141="Yes"),"Yes","No"))</f>
        <v/>
      </c>
      <c r="L141" s="8" t="inlineStr">
        <is>
          <t>R1</t>
        </is>
      </c>
    </row>
    <row r="142">
      <c r="A142" s="6" t="inlineStr">
        <is>
          <t>WS0624</t>
        </is>
      </c>
      <c r="B142" s="6" t="inlineStr">
        <is>
          <t>2007</t>
        </is>
      </c>
      <c r="C142" s="6" t="inlineStr">
        <is>
          <t>English</t>
        </is>
      </c>
      <c r="D142" s="7" t="inlineStr">
        <is>
          <t>Laparoscopic splenopexy for a wandering spleen in a child.</t>
        </is>
      </c>
      <c r="K142" s="8">
        <f>IF(OR(F142="",G142="",J142=""),"",IF(AND(F142="Yes",G142="Yes",J142="Yes"),"Yes","No"))</f>
        <v/>
      </c>
      <c r="L142" s="8" t="inlineStr">
        <is>
          <t>R1</t>
        </is>
      </c>
    </row>
    <row r="143">
      <c r="A143" s="6" t="inlineStr">
        <is>
          <t>WS0629</t>
        </is>
      </c>
      <c r="B143" s="6" t="inlineStr">
        <is>
          <t>2007</t>
        </is>
      </c>
      <c r="C143" s="6" t="inlineStr">
        <is>
          <t>English</t>
        </is>
      </c>
      <c r="D143" s="7" t="inlineStr">
        <is>
          <t>Wandering spleen: an unusual association with gastric volvulus.</t>
        </is>
      </c>
      <c r="K143" s="8">
        <f>IF(OR(F143="",G143="",J143=""),"",IF(AND(F143="Yes",G143="Yes",J143="Yes"),"Yes","No"))</f>
        <v/>
      </c>
      <c r="L143" s="8" t="inlineStr">
        <is>
          <t>R1</t>
        </is>
      </c>
    </row>
    <row r="144">
      <c r="A144" s="6" t="inlineStr">
        <is>
          <t>WS0630</t>
        </is>
      </c>
      <c r="B144" s="6" t="inlineStr">
        <is>
          <t>2007</t>
        </is>
      </c>
      <c r="C144" s="6" t="inlineStr">
        <is>
          <t>English</t>
        </is>
      </c>
      <c r="D144" s="7" t="inlineStr">
        <is>
          <t>Surgical treatment of patients with wandering spleen: report of six cases with a review of the literature.</t>
        </is>
      </c>
      <c r="K144" s="8">
        <f>IF(OR(F144="",G144="",J144=""),"",IF(AND(F144="Yes",G144="Yes",J144="Yes"),"Yes","No"))</f>
        <v/>
      </c>
      <c r="L144" s="8" t="inlineStr">
        <is>
          <t>R1</t>
        </is>
      </c>
    </row>
    <row r="145">
      <c r="A145" s="6" t="inlineStr">
        <is>
          <t>WS0632</t>
        </is>
      </c>
      <c r="B145" s="6" t="inlineStr">
        <is>
          <t>2007</t>
        </is>
      </c>
      <c r="C145" s="6" t="inlineStr">
        <is>
          <t>English</t>
        </is>
      </c>
      <c r="D145" s="7" t="inlineStr">
        <is>
          <t>Eventration of the diaphragm and associations.</t>
        </is>
      </c>
      <c r="K145" s="8">
        <f>IF(OR(F145="",G145="",J145=""),"",IF(AND(F145="Yes",G145="Yes",J145="Yes"),"Yes","No"))</f>
        <v/>
      </c>
      <c r="L145" s="8" t="inlineStr">
        <is>
          <t>R1</t>
        </is>
      </c>
    </row>
    <row r="146">
      <c r="A146" s="6" t="inlineStr">
        <is>
          <t>WS0637</t>
        </is>
      </c>
      <c r="B146" s="6" t="inlineStr">
        <is>
          <t>2002</t>
        </is>
      </c>
      <c r="C146" s="6" t="inlineStr">
        <is>
          <t>English</t>
        </is>
      </c>
      <c r="D146" s="7" t="inlineStr">
        <is>
          <t>Torsion of wandering spleen: case report and literature review.</t>
        </is>
      </c>
      <c r="K146" s="8">
        <f>IF(OR(F146="",G146="",J146=""),"",IF(AND(F146="Yes",G146="Yes",J146="Yes"),"Yes","No"))</f>
        <v/>
      </c>
      <c r="L146" s="8" t="inlineStr">
        <is>
          <t>R1</t>
        </is>
      </c>
    </row>
    <row r="147">
      <c r="A147" s="6" t="inlineStr">
        <is>
          <t>WS0638</t>
        </is>
      </c>
      <c r="B147" s="6" t="inlineStr">
        <is>
          <t>2006</t>
        </is>
      </c>
      <c r="C147" s="6" t="inlineStr">
        <is>
          <t>English</t>
        </is>
      </c>
      <c r="D147" s="7" t="inlineStr">
        <is>
          <t>Splenic autotransplantation for a congested and enlarged wandering spleen with torsion: report of a case.</t>
        </is>
      </c>
      <c r="K147" s="8">
        <f>IF(OR(F147="",G147="",J147=""),"",IF(AND(F147="Yes",G147="Yes",J147="Yes"),"Yes","No"))</f>
        <v/>
      </c>
      <c r="L147" s="8" t="inlineStr">
        <is>
          <t>R1</t>
        </is>
      </c>
    </row>
    <row r="148">
      <c r="A148" s="6" t="inlineStr">
        <is>
          <t>WS0642</t>
        </is>
      </c>
      <c r="B148" s="6" t="inlineStr">
        <is>
          <t>2006</t>
        </is>
      </c>
      <c r="C148" s="6" t="inlineStr">
        <is>
          <t>English</t>
        </is>
      </c>
      <c r="D148" s="7" t="inlineStr">
        <is>
          <t>The wandering spleen: CT findings and possible pitfalls in diagnosis.</t>
        </is>
      </c>
      <c r="K148" s="8">
        <f>IF(OR(F148="",G148="",J148=""),"",IF(AND(F148="Yes",G148="Yes",J148="Yes"),"Yes","No"))</f>
        <v/>
      </c>
      <c r="L148" s="8" t="inlineStr">
        <is>
          <t>R1</t>
        </is>
      </c>
    </row>
    <row r="149">
      <c r="A149" s="6" t="inlineStr">
        <is>
          <t>WS0645</t>
        </is>
      </c>
      <c r="B149" s="6" t="inlineStr">
        <is>
          <t>2006</t>
        </is>
      </c>
      <c r="C149" s="6" t="inlineStr">
        <is>
          <t>English</t>
        </is>
      </c>
      <c r="D149" s="7" t="inlineStr">
        <is>
          <t>Laparoscopic splenopexy for wandering spleen: extraperitoneal pocket splenopexy.</t>
        </is>
      </c>
      <c r="K149" s="8">
        <f>IF(OR(F149="",G149="",J149=""),"",IF(AND(F149="Yes",G149="Yes",J149="Yes"),"Yes","No"))</f>
        <v/>
      </c>
      <c r="L149" s="8" t="inlineStr">
        <is>
          <t>R1</t>
        </is>
      </c>
    </row>
    <row r="150">
      <c r="A150" s="6" t="inlineStr">
        <is>
          <t>WS0653</t>
        </is>
      </c>
      <c r="B150" s="6" t="inlineStr">
        <is>
          <t>2006</t>
        </is>
      </c>
      <c r="C150" s="6" t="inlineStr">
        <is>
          <t>English</t>
        </is>
      </c>
      <c r="D150" s="7" t="inlineStr">
        <is>
          <t>Pediatric wandering spleen successfully treated by laparoscopic splenopexy.</t>
        </is>
      </c>
      <c r="K150" s="8">
        <f>IF(OR(F150="",G150="",J150=""),"",IF(AND(F150="Yes",G150="Yes",J150="Yes"),"Yes","No"))</f>
        <v/>
      </c>
      <c r="L150" s="8" t="inlineStr">
        <is>
          <t>R1</t>
        </is>
      </c>
    </row>
    <row r="151">
      <c r="A151" s="6" t="inlineStr">
        <is>
          <t>WS0656</t>
        </is>
      </c>
      <c r="B151" s="6" t="inlineStr">
        <is>
          <t>2006</t>
        </is>
      </c>
      <c r="C151" s="6" t="inlineStr">
        <is>
          <t>English</t>
        </is>
      </c>
      <c r="D151" s="7" t="inlineStr">
        <is>
          <t>Splenoptosis complicated by a large splenic cyst: case report and discussion of combined management.</t>
        </is>
      </c>
      <c r="K151" s="8">
        <f>IF(OR(F151="",G151="",J151=""),"",IF(AND(F151="Yes",G151="Yes",J151="Yes"),"Yes","No"))</f>
        <v/>
      </c>
      <c r="L151" s="8" t="inlineStr">
        <is>
          <t>R1</t>
        </is>
      </c>
    </row>
    <row r="152">
      <c r="A152" s="6" t="inlineStr">
        <is>
          <t>WS0658</t>
        </is>
      </c>
      <c r="B152" s="6" t="inlineStr">
        <is>
          <t>2006</t>
        </is>
      </c>
      <c r="C152" s="6" t="inlineStr">
        <is>
          <t>English</t>
        </is>
      </c>
      <c r="D152" s="7" t="inlineStr">
        <is>
          <t>An unusual case of hemoperitoneum owing to acute splenic torsion in a child with immunoglobulin deficiency.</t>
        </is>
      </c>
      <c r="K152" s="8">
        <f>IF(OR(F152="",G152="",J152=""),"",IF(AND(F152="Yes",G152="Yes",J152="Yes"),"Yes","No"))</f>
        <v/>
      </c>
      <c r="L152" s="8" t="inlineStr">
        <is>
          <t>R1</t>
        </is>
      </c>
    </row>
    <row r="153">
      <c r="A153" s="6" t="inlineStr">
        <is>
          <t>WS0660</t>
        </is>
      </c>
      <c r="B153" s="6" t="inlineStr">
        <is>
          <t>2005</t>
        </is>
      </c>
      <c r="C153" s="6" t="inlineStr">
        <is>
          <t>English</t>
        </is>
      </c>
      <c r="D153" s="7" t="inlineStr">
        <is>
          <t>Torsion of a wandering spleen with whorled appearance of the splenic hilum in CT scan.</t>
        </is>
      </c>
      <c r="K153" s="8">
        <f>IF(OR(F153="",G153="",J153=""),"",IF(AND(F153="Yes",G153="Yes",J153="Yes"),"Yes","No"))</f>
        <v/>
      </c>
      <c r="L153" s="8" t="inlineStr">
        <is>
          <t>R1</t>
        </is>
      </c>
    </row>
    <row r="154">
      <c r="A154" s="6" t="inlineStr">
        <is>
          <t>WS0664</t>
        </is>
      </c>
      <c r="B154" s="6" t="inlineStr">
        <is>
          <t>2005</t>
        </is>
      </c>
      <c r="C154" s="6" t="inlineStr">
        <is>
          <t>English</t>
        </is>
      </c>
      <c r="D154" s="7" t="inlineStr">
        <is>
          <t>Laparoscopic splenopexy of a pediatric wandering spleen by creation of a retroperitoneal pocket.</t>
        </is>
      </c>
      <c r="K154" s="8">
        <f>IF(OR(F154="",G154="",J154=""),"",IF(AND(F154="Yes",G154="Yes",J154="Yes"),"Yes","No"))</f>
        <v/>
      </c>
      <c r="L154" s="8" t="inlineStr">
        <is>
          <t>R1</t>
        </is>
      </c>
    </row>
    <row r="155">
      <c r="A155" s="6" t="inlineStr">
        <is>
          <t>WS0667</t>
        </is>
      </c>
      <c r="B155" s="6" t="inlineStr">
        <is>
          <t>2005</t>
        </is>
      </c>
      <c r="C155" s="6" t="inlineStr">
        <is>
          <t>English</t>
        </is>
      </c>
      <c r="D155" s="7" t="inlineStr">
        <is>
          <t>Weird activity and the wandering spleen.</t>
        </is>
      </c>
      <c r="K155" s="8">
        <f>IF(OR(F155="",G155="",J155=""),"",IF(AND(F155="Yes",G155="Yes",J155="Yes"),"Yes","No"))</f>
        <v/>
      </c>
      <c r="L155" s="8" t="inlineStr">
        <is>
          <t>R1</t>
        </is>
      </c>
    </row>
    <row r="156">
      <c r="A156" s="6" t="inlineStr">
        <is>
          <t>WS0668</t>
        </is>
      </c>
      <c r="B156" s="6" t="inlineStr">
        <is>
          <t>2005</t>
        </is>
      </c>
      <c r="C156" s="6" t="inlineStr">
        <is>
          <t>English</t>
        </is>
      </c>
      <c r="D156" s="7" t="inlineStr">
        <is>
          <t>Wandering spleen--the challenge of ultrasound diagnosis: report of 7 cases.</t>
        </is>
      </c>
      <c r="K156" s="8">
        <f>IF(OR(F156="",G156="",J156=""),"",IF(AND(F156="Yes",G156="Yes",J156="Yes"),"Yes","No"))</f>
        <v/>
      </c>
      <c r="L156" s="8" t="inlineStr">
        <is>
          <t>R1</t>
        </is>
      </c>
    </row>
    <row r="157">
      <c r="A157" s="6" t="inlineStr">
        <is>
          <t>WS0678</t>
        </is>
      </c>
      <c r="B157" s="6" t="inlineStr">
        <is>
          <t>2005</t>
        </is>
      </c>
      <c r="C157" s="6" t="inlineStr">
        <is>
          <t>English</t>
        </is>
      </c>
      <c r="D157" s="7" t="inlineStr">
        <is>
          <t>Laparoscopic pocket splenopexy for wandering spleen: a case report.</t>
        </is>
      </c>
      <c r="K157" s="8">
        <f>IF(OR(F157="",G157="",J157=""),"",IF(AND(F157="Yes",G157="Yes",J157="Yes"),"Yes","No"))</f>
        <v/>
      </c>
      <c r="L157" s="8" t="inlineStr">
        <is>
          <t>R1</t>
        </is>
      </c>
    </row>
    <row r="158">
      <c r="A158" s="6" t="inlineStr">
        <is>
          <t>WS0681</t>
        </is>
      </c>
      <c r="B158" s="6" t="inlineStr">
        <is>
          <t>2005</t>
        </is>
      </c>
      <c r="C158" s="6" t="inlineStr">
        <is>
          <t>English</t>
        </is>
      </c>
      <c r="D158" s="7" t="inlineStr">
        <is>
          <t>Enlarged wandering spleen treated with hemisplenectomy and fixation of the residual spleen.</t>
        </is>
      </c>
      <c r="K158" s="8">
        <f>IF(OR(F158="",G158="",J158=""),"",IF(AND(F158="Yes",G158="Yes",J158="Yes"),"Yes","No"))</f>
        <v/>
      </c>
      <c r="L158" s="8" t="inlineStr">
        <is>
          <t>R1</t>
        </is>
      </c>
    </row>
    <row r="159">
      <c r="A159" s="6" t="inlineStr">
        <is>
          <t>WS0683</t>
        </is>
      </c>
      <c r="B159" s="6" t="inlineStr">
        <is>
          <t>2005</t>
        </is>
      </c>
      <c r="C159" s="6" t="inlineStr">
        <is>
          <t>English</t>
        </is>
      </c>
      <c r="D159" s="7" t="inlineStr">
        <is>
          <t>The technique of laparoscopic retroperitoneal splenopexy for symptomatic wandering spleen in childhood.</t>
        </is>
      </c>
      <c r="K159" s="8">
        <f>IF(OR(F159="",G159="",J159=""),"",IF(AND(F159="Yes",G159="Yes",J159="Yes"),"Yes","No"))</f>
        <v/>
      </c>
      <c r="L159" s="8" t="inlineStr">
        <is>
          <t>R1</t>
        </is>
      </c>
    </row>
    <row r="160">
      <c r="A160" s="6" t="inlineStr">
        <is>
          <t>WS0686</t>
        </is>
      </c>
      <c r="B160" s="6" t="inlineStr">
        <is>
          <t>2005</t>
        </is>
      </c>
      <c r="C160" s="6" t="inlineStr">
        <is>
          <t>English</t>
        </is>
      </c>
      <c r="D160" s="7" t="inlineStr">
        <is>
          <t>Autoinfarcted wandering spleen and fatal pneumococcal sepsis in an infant.</t>
        </is>
      </c>
      <c r="K160" s="8">
        <f>IF(OR(F160="",G160="",J160=""),"",IF(AND(F160="Yes",G160="Yes",J160="Yes"),"Yes","No"))</f>
        <v/>
      </c>
      <c r="L160" s="8" t="inlineStr">
        <is>
          <t>R1</t>
        </is>
      </c>
    </row>
    <row r="161">
      <c r="A161" s="6" t="inlineStr">
        <is>
          <t>WS0687</t>
        </is>
      </c>
      <c r="B161" s="6" t="inlineStr">
        <is>
          <t>2005</t>
        </is>
      </c>
      <c r="C161" s="6" t="inlineStr">
        <is>
          <t>English</t>
        </is>
      </c>
      <c r="D161" s="7" t="inlineStr">
        <is>
          <t>Torsion of a wandering spleen with stomach volvulus and nonrotation: extraperitoneal pocket splenopexy.</t>
        </is>
      </c>
      <c r="K161" s="8">
        <f>IF(OR(F161="",G161="",J161=""),"",IF(AND(F161="Yes",G161="Yes",J161="Yes"),"Yes","No"))</f>
        <v/>
      </c>
      <c r="L161" s="8" t="inlineStr">
        <is>
          <t>R1</t>
        </is>
      </c>
    </row>
    <row r="162">
      <c r="A162" s="6" t="inlineStr">
        <is>
          <t>WS0695</t>
        </is>
      </c>
      <c r="B162" s="6" t="inlineStr">
        <is>
          <t>2004</t>
        </is>
      </c>
      <c r="C162" s="6" t="inlineStr">
        <is>
          <t>English</t>
        </is>
      </c>
      <c r="D162" s="7" t="inlineStr">
        <is>
          <t>Recurrent torsion of a wandering spleen.</t>
        </is>
      </c>
      <c r="K162" s="8">
        <f>IF(OR(F162="",G162="",J162=""),"",IF(AND(F162="Yes",G162="Yes",J162="Yes"),"Yes","No"))</f>
        <v/>
      </c>
      <c r="L162" s="8" t="inlineStr">
        <is>
          <t>R1</t>
        </is>
      </c>
    </row>
    <row r="163">
      <c r="A163" s="6" t="inlineStr">
        <is>
          <t>WS0696</t>
        </is>
      </c>
      <c r="B163" s="6" t="inlineStr">
        <is>
          <t>2004</t>
        </is>
      </c>
      <c r="C163" s="6" t="inlineStr">
        <is>
          <t>English</t>
        </is>
      </c>
      <c r="D163" s="7" t="inlineStr">
        <is>
          <t>Associated malformations in delayed presentation of congenital diaphragmatic hernia.</t>
        </is>
      </c>
      <c r="K163" s="8">
        <f>IF(OR(F163="",G163="",J163=""),"",IF(AND(F163="Yes",G163="Yes",J163="Yes"),"Yes","No"))</f>
        <v/>
      </c>
      <c r="L163" s="8" t="inlineStr">
        <is>
          <t>R1</t>
        </is>
      </c>
    </row>
    <row r="164">
      <c r="A164" s="6" t="inlineStr">
        <is>
          <t>WS0699</t>
        </is>
      </c>
      <c r="B164" s="6" t="inlineStr">
        <is>
          <t>2004</t>
        </is>
      </c>
      <c r="C164" s="6" t="inlineStr">
        <is>
          <t>English</t>
        </is>
      </c>
      <c r="D164" s="7" t="inlineStr">
        <is>
          <t>Torsion of a wandering spleen presenting with acute abdomen: a case report.</t>
        </is>
      </c>
      <c r="K164" s="8">
        <f>IF(OR(F164="",G164="",J164=""),"",IF(AND(F164="Yes",G164="Yes",J164="Yes"),"Yes","No"))</f>
        <v/>
      </c>
      <c r="L164" s="8" t="inlineStr">
        <is>
          <t>R1</t>
        </is>
      </c>
    </row>
    <row r="165">
      <c r="A165" s="6" t="inlineStr">
        <is>
          <t>WS0702</t>
        </is>
      </c>
      <c r="B165" s="6" t="inlineStr">
        <is>
          <t>2004</t>
        </is>
      </c>
      <c r="C165" s="6" t="inlineStr">
        <is>
          <t>English</t>
        </is>
      </c>
      <c r="D165" s="7" t="inlineStr">
        <is>
          <t>Wandering spleen: a rare cause of mesenteroaxial gastric volvulus.</t>
        </is>
      </c>
      <c r="K165" s="8">
        <f>IF(OR(F165="",G165="",J165=""),"",IF(AND(F165="Yes",G165="Yes",J165="Yes"),"Yes","No"))</f>
        <v/>
      </c>
      <c r="L165" s="8" t="inlineStr">
        <is>
          <t>R1</t>
        </is>
      </c>
    </row>
    <row r="166">
      <c r="A166" s="6" t="inlineStr">
        <is>
          <t>WS0705</t>
        </is>
      </c>
      <c r="B166" s="6" t="inlineStr">
        <is>
          <t>2004</t>
        </is>
      </c>
      <c r="C166" s="6" t="inlineStr">
        <is>
          <t>English</t>
        </is>
      </c>
      <c r="D166" s="7" t="inlineStr">
        <is>
          <t>Avulsion of wandering spleen after traumatic torsion.</t>
        </is>
      </c>
      <c r="K166" s="8">
        <f>IF(OR(F166="",G166="",J166=""),"",IF(AND(F166="Yes",G166="Yes",J166="Yes"),"Yes","No"))</f>
        <v/>
      </c>
      <c r="L166" s="8" t="inlineStr">
        <is>
          <t>R1</t>
        </is>
      </c>
    </row>
    <row r="167">
      <c r="A167" s="6" t="inlineStr">
        <is>
          <t>WS0706</t>
        </is>
      </c>
      <c r="B167" s="6" t="inlineStr">
        <is>
          <t>2004</t>
        </is>
      </c>
      <c r="C167" s="6" t="inlineStr">
        <is>
          <t>English</t>
        </is>
      </c>
      <c r="D167" s="7" t="inlineStr">
        <is>
          <t>Splenic haemorrhage in a newborn as the first manifestation of wandering spleen syndrome.</t>
        </is>
      </c>
      <c r="K167" s="8">
        <f>IF(OR(F167="",G167="",J167=""),"",IF(AND(F167="Yes",G167="Yes",J167="Yes"),"Yes","No"))</f>
        <v/>
      </c>
      <c r="L167" s="8" t="inlineStr">
        <is>
          <t>R1</t>
        </is>
      </c>
    </row>
    <row r="168">
      <c r="A168" s="6" t="inlineStr">
        <is>
          <t>WS0707</t>
        </is>
      </c>
      <c r="B168" s="6" t="inlineStr">
        <is>
          <t>2004</t>
        </is>
      </c>
      <c r="C168" s="6" t="inlineStr">
        <is>
          <t>English</t>
        </is>
      </c>
      <c r="D168" s="7" t="inlineStr">
        <is>
          <t>The wandering spleen: something to bear in mind in the presence of a mobile abdominal mass.</t>
        </is>
      </c>
      <c r="K168" s="8">
        <f>IF(OR(F168="",G168="",J168=""),"",IF(AND(F168="Yes",G168="Yes",J168="Yes"),"Yes","No"))</f>
        <v/>
      </c>
      <c r="L168" s="8" t="inlineStr">
        <is>
          <t>R1</t>
        </is>
      </c>
    </row>
    <row r="169">
      <c r="A169" s="6" t="inlineStr">
        <is>
          <t>WS0709</t>
        </is>
      </c>
      <c r="B169" s="6" t="inlineStr">
        <is>
          <t>2004</t>
        </is>
      </c>
      <c r="C169" s="6" t="inlineStr">
        <is>
          <t>English</t>
        </is>
      </c>
      <c r="D169" s="7" t="inlineStr">
        <is>
          <t>Acute torsion of the spleen: diagnosis and management.</t>
        </is>
      </c>
      <c r="K169" s="8">
        <f>IF(OR(F169="",G169="",J169=""),"",IF(AND(F169="Yes",G169="Yes",J169="Yes"),"Yes","No"))</f>
        <v/>
      </c>
      <c r="L169" s="8" t="inlineStr">
        <is>
          <t>R1</t>
        </is>
      </c>
    </row>
    <row r="170">
      <c r="A170" s="6" t="inlineStr">
        <is>
          <t>WS0714</t>
        </is>
      </c>
      <c r="B170" s="6" t="inlineStr">
        <is>
          <t>2003</t>
        </is>
      </c>
      <c r="C170" s="6" t="inlineStr">
        <is>
          <t>English</t>
        </is>
      </c>
      <c r="D170" s="7" t="inlineStr">
        <is>
          <t>Wandering spleen: a rare cause of abdominal pain.</t>
        </is>
      </c>
      <c r="K170" s="8">
        <f>IF(OR(F170="",G170="",J170=""),"",IF(AND(F170="Yes",G170="Yes",J170="Yes"),"Yes","No"))</f>
        <v/>
      </c>
      <c r="L170" s="8" t="inlineStr">
        <is>
          <t>R1</t>
        </is>
      </c>
    </row>
    <row r="171">
      <c r="A171" s="6" t="inlineStr">
        <is>
          <t>WS0717</t>
        </is>
      </c>
      <c r="B171" s="6" t="inlineStr">
        <is>
          <t>2003</t>
        </is>
      </c>
      <c r="C171" s="6" t="inlineStr">
        <is>
          <t>English</t>
        </is>
      </c>
      <c r="D171" s="7" t="inlineStr">
        <is>
          <t>Splenic volvulus.</t>
        </is>
      </c>
      <c r="K171" s="8">
        <f>IF(OR(F171="",G171="",J171=""),"",IF(AND(F171="Yes",G171="Yes",J171="Yes"),"Yes","No"))</f>
        <v/>
      </c>
      <c r="L171" s="8" t="inlineStr">
        <is>
          <t>R1</t>
        </is>
      </c>
    </row>
    <row r="172">
      <c r="A172" s="6" t="inlineStr">
        <is>
          <t>WS0719</t>
        </is>
      </c>
      <c r="B172" s="6" t="inlineStr">
        <is>
          <t>2003</t>
        </is>
      </c>
      <c r="C172" s="6" t="inlineStr">
        <is>
          <t>English</t>
        </is>
      </c>
      <c r="D172" s="7" t="inlineStr">
        <is>
          <t>Wandering spleen and its complications in children: a case series and review of the literature.</t>
        </is>
      </c>
      <c r="K172" s="8">
        <f>IF(OR(F172="",G172="",J172=""),"",IF(AND(F172="Yes",G172="Yes",J172="Yes"),"Yes","No"))</f>
        <v/>
      </c>
      <c r="L172" s="8" t="inlineStr">
        <is>
          <t>R1</t>
        </is>
      </c>
    </row>
    <row r="173">
      <c r="A173" s="6" t="inlineStr">
        <is>
          <t>WS0724</t>
        </is>
      </c>
      <c r="B173" s="6" t="inlineStr">
        <is>
          <t>2003</t>
        </is>
      </c>
      <c r="C173" s="6" t="inlineStr">
        <is>
          <t>English</t>
        </is>
      </c>
      <c r="D173" s="7" t="inlineStr">
        <is>
          <t>Mass at the splenic hilum: a clue to torsion of a wandering spleen located in a normal left upper quadrant position.</t>
        </is>
      </c>
      <c r="K173" s="8">
        <f>IF(OR(F173="",G173="",J173=""),"",IF(AND(F173="Yes",G173="Yes",J173="Yes"),"Yes","No"))</f>
        <v/>
      </c>
      <c r="L173" s="8" t="inlineStr">
        <is>
          <t>R1</t>
        </is>
      </c>
    </row>
    <row r="174">
      <c r="A174" s="6" t="inlineStr">
        <is>
          <t>WS0731</t>
        </is>
      </c>
      <c r="B174" s="6" t="inlineStr">
        <is>
          <t>2003</t>
        </is>
      </c>
      <c r="C174" s="6" t="inlineStr">
        <is>
          <t>English</t>
        </is>
      </c>
      <c r="D174" s="7" t="inlineStr">
        <is>
          <t>Avulsion of wandering spleen after traumatic torsion.</t>
        </is>
      </c>
      <c r="K174" s="8">
        <f>IF(OR(F174="",G174="",J174=""),"",IF(AND(F174="Yes",G174="Yes",J174="Yes"),"Yes","No"))</f>
        <v/>
      </c>
      <c r="L174" s="8" t="inlineStr">
        <is>
          <t>R1</t>
        </is>
      </c>
    </row>
    <row r="175">
      <c r="A175" s="6" t="inlineStr">
        <is>
          <t>WS0732</t>
        </is>
      </c>
      <c r="B175" s="6" t="inlineStr">
        <is>
          <t>2003</t>
        </is>
      </c>
      <c r="C175" s="6" t="inlineStr">
        <is>
          <t>English</t>
        </is>
      </c>
      <c r="D175" s="7" t="inlineStr">
        <is>
          <t>Splenic torsion.</t>
        </is>
      </c>
      <c r="K175" s="8">
        <f>IF(OR(F175="",G175="",J175=""),"",IF(AND(F175="Yes",G175="Yes",J175="Yes"),"Yes","No"))</f>
        <v/>
      </c>
      <c r="L175" s="8" t="inlineStr">
        <is>
          <t>R1</t>
        </is>
      </c>
    </row>
    <row r="176">
      <c r="A176" s="6" t="inlineStr">
        <is>
          <t>WS0734</t>
        </is>
      </c>
      <c r="B176" s="6" t="inlineStr">
        <is>
          <t>2003</t>
        </is>
      </c>
      <c r="C176" s="6" t="inlineStr">
        <is>
          <t>English</t>
        </is>
      </c>
      <c r="D176" s="7" t="inlineStr">
        <is>
          <t>Multidetector-row CT appearance of acute torsion of wandering spleen in a child.</t>
        </is>
      </c>
      <c r="K176" s="8">
        <f>IF(OR(F176="",G176="",J176=""),"",IF(AND(F176="Yes",G176="Yes",J176="Yes"),"Yes","No"))</f>
        <v/>
      </c>
      <c r="L176" s="8" t="inlineStr">
        <is>
          <t>R1</t>
        </is>
      </c>
    </row>
    <row r="177">
      <c r="A177" s="6" t="inlineStr">
        <is>
          <t>WS0741</t>
        </is>
      </c>
      <c r="B177" s="6" t="inlineStr">
        <is>
          <t>2002</t>
        </is>
      </c>
      <c r="C177" s="6" t="inlineStr">
        <is>
          <t>English</t>
        </is>
      </c>
      <c r="D177" s="7" t="inlineStr">
        <is>
          <t>Clinical presentation of wandering spleen.</t>
        </is>
      </c>
      <c r="K177" s="8">
        <f>IF(OR(F177="",G177="",J177=""),"",IF(AND(F177="Yes",G177="Yes",J177="Yes"),"Yes","No"))</f>
        <v/>
      </c>
      <c r="L177" s="8" t="inlineStr">
        <is>
          <t>R1</t>
        </is>
      </c>
    </row>
    <row r="178">
      <c r="A178" s="6" t="inlineStr">
        <is>
          <t>WS0746</t>
        </is>
      </c>
      <c r="B178" s="6" t="inlineStr">
        <is>
          <t>2002</t>
        </is>
      </c>
      <c r="C178" s="6" t="inlineStr">
        <is>
          <t>English</t>
        </is>
      </c>
      <c r="D178" s="7" t="inlineStr">
        <is>
          <t>Torsion of a wandering spleen.</t>
        </is>
      </c>
      <c r="K178" s="8">
        <f>IF(OR(F178="",G178="",J178=""),"",IF(AND(F178="Yes",G178="Yes",J178="Yes"),"Yes","No"))</f>
        <v/>
      </c>
      <c r="L178" s="8" t="inlineStr">
        <is>
          <t>R1</t>
        </is>
      </c>
    </row>
    <row r="179">
      <c r="A179" s="6" t="inlineStr">
        <is>
          <t>WS0749</t>
        </is>
      </c>
      <c r="B179" s="6" t="inlineStr">
        <is>
          <t>2002</t>
        </is>
      </c>
      <c r="C179" s="6" t="inlineStr">
        <is>
          <t>English</t>
        </is>
      </c>
      <c r="D179" s="7" t="inlineStr">
        <is>
          <t>Wandering spleen: case report and literature review.</t>
        </is>
      </c>
      <c r="K179" s="8">
        <f>IF(OR(F179="",G179="",J179=""),"",IF(AND(F179="Yes",G179="Yes",J179="Yes"),"Yes","No"))</f>
        <v/>
      </c>
      <c r="L179" s="8" t="inlineStr">
        <is>
          <t>R1</t>
        </is>
      </c>
    </row>
    <row r="180">
      <c r="A180" s="6" t="inlineStr">
        <is>
          <t>WS0760</t>
        </is>
      </c>
      <c r="B180" s="6" t="inlineStr">
        <is>
          <t>2001</t>
        </is>
      </c>
      <c r="C180" s="6" t="inlineStr">
        <is>
          <t>English</t>
        </is>
      </c>
      <c r="D180" s="7" t="inlineStr">
        <is>
          <t>Re: "Gastric volvulus associated with wandering spleen in a child".</t>
        </is>
      </c>
      <c r="K180" s="8">
        <f>IF(OR(F180="",G180="",J180=""),"",IF(AND(F180="Yes",G180="Yes",J180="Yes"),"Yes","No"))</f>
        <v/>
      </c>
      <c r="L180" s="8" t="inlineStr">
        <is>
          <t>R1</t>
        </is>
      </c>
    </row>
    <row r="181">
      <c r="A181" s="6" t="inlineStr">
        <is>
          <t>WS0761</t>
        </is>
      </c>
      <c r="B181" s="6" t="inlineStr">
        <is>
          <t>2001</t>
        </is>
      </c>
      <c r="C181" s="6" t="inlineStr">
        <is>
          <t>English</t>
        </is>
      </c>
      <c r="D181" s="7" t="inlineStr">
        <is>
          <t>Wandering spleen in a young girl with Gaucher disease.</t>
        </is>
      </c>
      <c r="K181" s="8">
        <f>IF(OR(F181="",G181="",J181=""),"",IF(AND(F181="Yes",G181="Yes",J181="Yes"),"Yes","No"))</f>
        <v/>
      </c>
      <c r="L181" s="8" t="inlineStr">
        <is>
          <t>R1</t>
        </is>
      </c>
    </row>
    <row r="182">
      <c r="A182" s="6" t="inlineStr">
        <is>
          <t>WS0765</t>
        </is>
      </c>
      <c r="B182" s="6" t="inlineStr">
        <is>
          <t>2001</t>
        </is>
      </c>
      <c r="C182" s="6" t="inlineStr">
        <is>
          <t>English</t>
        </is>
      </c>
      <c r="D182" s="7" t="inlineStr">
        <is>
          <t>Gastric volvulus associated with congenital diaphragmatic hernia, wandering spleen, and intrathoracic left kidney: CT findings.</t>
        </is>
      </c>
      <c r="K182" s="8">
        <f>IF(OR(F182="",G182="",J182=""),"",IF(AND(F182="Yes",G182="Yes",J182="Yes"),"Yes","No"))</f>
        <v/>
      </c>
      <c r="L182" s="8" t="inlineStr">
        <is>
          <t>R1</t>
        </is>
      </c>
    </row>
    <row r="183">
      <c r="A183" s="6" t="inlineStr">
        <is>
          <t>WS0771</t>
        </is>
      </c>
      <c r="B183" s="6" t="inlineStr">
        <is>
          <t>2001</t>
        </is>
      </c>
      <c r="C183" s="6" t="inlineStr">
        <is>
          <t>English</t>
        </is>
      </c>
      <c r="D183" s="7" t="inlineStr">
        <is>
          <t>Left diaphragmatic eventration with a suprapubic spleen: report of a case.</t>
        </is>
      </c>
      <c r="K183" s="8">
        <f>IF(OR(F183="",G183="",J183=""),"",IF(AND(F183="Yes",G183="Yes",J183="Yes"),"Yes","No"))</f>
        <v/>
      </c>
      <c r="L183" s="8" t="inlineStr">
        <is>
          <t>R1</t>
        </is>
      </c>
    </row>
    <row r="184">
      <c r="A184" s="6" t="inlineStr">
        <is>
          <t>WS0776</t>
        </is>
      </c>
      <c r="B184" s="6" t="inlineStr">
        <is>
          <t>2001</t>
        </is>
      </c>
      <c r="C184" s="6" t="inlineStr">
        <is>
          <t>English</t>
        </is>
      </c>
      <c r="D184" s="7" t="inlineStr">
        <is>
          <t>Value of power Doppler sonography in the evaluation of torsion in a wandering spleen.</t>
        </is>
      </c>
      <c r="K184" s="8">
        <f>IF(OR(F184="",G184="",J184=""),"",IF(AND(F184="Yes",G184="Yes",J184="Yes"),"Yes","No"))</f>
        <v/>
      </c>
      <c r="L184" s="8" t="inlineStr">
        <is>
          <t>R1</t>
        </is>
      </c>
    </row>
    <row r="185">
      <c r="A185" s="6" t="inlineStr">
        <is>
          <t>WS0777</t>
        </is>
      </c>
      <c r="B185" s="6" t="inlineStr">
        <is>
          <t>2000</t>
        </is>
      </c>
      <c r="C185" s="6" t="inlineStr">
        <is>
          <t>English</t>
        </is>
      </c>
      <c r="D185" s="7" t="inlineStr">
        <is>
          <t>Wandering spleen presenting as an asymptomatic mass.</t>
        </is>
      </c>
      <c r="K185" s="8">
        <f>IF(OR(F185="",G185="",J185=""),"",IF(AND(F185="Yes",G185="Yes",J185="Yes"),"Yes","No"))</f>
        <v/>
      </c>
      <c r="L185" s="8" t="inlineStr">
        <is>
          <t>R1</t>
        </is>
      </c>
    </row>
    <row r="186">
      <c r="A186" s="6" t="inlineStr">
        <is>
          <t>WS0778</t>
        </is>
      </c>
      <c r="B186" s="6" t="inlineStr">
        <is>
          <t>2000</t>
        </is>
      </c>
      <c r="C186" s="6" t="inlineStr">
        <is>
          <t>English</t>
        </is>
      </c>
      <c r="D186" s="7" t="inlineStr">
        <is>
          <t>A case of wandering spleen causing urinary symptoms after correction of a posterolateral diaphragmatic hernia.</t>
        </is>
      </c>
      <c r="K186" s="8">
        <f>IF(OR(F186="",G186="",J186=""),"",IF(AND(F186="Yes",G186="Yes",J186="Yes"),"Yes","No"))</f>
        <v/>
      </c>
      <c r="L186" s="8" t="inlineStr">
        <is>
          <t>R1</t>
        </is>
      </c>
    </row>
    <row r="187">
      <c r="A187" s="6" t="inlineStr">
        <is>
          <t>WS0780</t>
        </is>
      </c>
      <c r="B187" s="6" t="inlineStr">
        <is>
          <t>2000</t>
        </is>
      </c>
      <c r="C187" s="6" t="inlineStr">
        <is>
          <t>English</t>
        </is>
      </c>
      <c r="D187" s="7" t="inlineStr">
        <is>
          <t>Intrauterine torsion of a wandering spleen presenting as an abdominal cystic swelling.</t>
        </is>
      </c>
      <c r="K187" s="8">
        <f>IF(OR(F187="",G187="",J187=""),"",IF(AND(F187="Yes",G187="Yes",J187="Yes"),"Yes","No"))</f>
        <v/>
      </c>
      <c r="L187" s="8" t="inlineStr">
        <is>
          <t>R1</t>
        </is>
      </c>
    </row>
    <row r="188">
      <c r="A188" s="6" t="inlineStr">
        <is>
          <t>WS0789</t>
        </is>
      </c>
      <c r="B188" s="6" t="inlineStr">
        <is>
          <t>2000</t>
        </is>
      </c>
      <c r="C188" s="6" t="inlineStr">
        <is>
          <t>English</t>
        </is>
      </c>
      <c r="D188" s="7" t="inlineStr">
        <is>
          <t>Gastric volvulus associated with wandering spleen in a child.</t>
        </is>
      </c>
      <c r="K188" s="8">
        <f>IF(OR(F188="",G188="",J188=""),"",IF(AND(F188="Yes",G188="Yes",J188="Yes"),"Yes","No"))</f>
        <v/>
      </c>
      <c r="L188" s="8" t="inlineStr">
        <is>
          <t>R1</t>
        </is>
      </c>
    </row>
    <row r="189">
      <c r="A189" s="6" t="inlineStr">
        <is>
          <t>WS1283</t>
        </is>
      </c>
      <c r="B189" s="6" t="inlineStr">
        <is>
          <t>2026</t>
        </is>
      </c>
      <c r="C189" s="6" t="inlineStr">
        <is>
          <t>English</t>
        </is>
      </c>
      <c r="D189" s="7" t="inlineStr">
        <is>
          <t>Splenic torsion of a wandering spleen and polysplenia syndrome in a 10-year-old boy with cyanotic congenital heart disease: A case report</t>
        </is>
      </c>
      <c r="K189" s="8">
        <f>IF(OR(F189="",G189="",J189=""),"",IF(AND(F189="Yes",G189="Yes",J189="Yes"),"Yes","No"))</f>
        <v/>
      </c>
      <c r="L189" s="8" t="inlineStr">
        <is>
          <t>R1</t>
        </is>
      </c>
    </row>
    <row r="190">
      <c r="A190" s="6" t="inlineStr">
        <is>
          <t>WS1289</t>
        </is>
      </c>
      <c r="B190" s="6" t="inlineStr">
        <is>
          <t>2021</t>
        </is>
      </c>
      <c r="C190" s="6" t="inlineStr">
        <is>
          <t>English</t>
        </is>
      </c>
      <c r="D190" s="7" t="inlineStr">
        <is>
          <t>Splenic infarction: Torsion of a wandering spleen in a child</t>
        </is>
      </c>
      <c r="K190" s="8">
        <f>IF(OR(F190="",G190="",J190=""),"",IF(AND(F190="Yes",G190="Yes",J190="Yes"),"Yes","No"))</f>
        <v/>
      </c>
      <c r="L190" s="8" t="inlineStr">
        <is>
          <t>R1</t>
        </is>
      </c>
    </row>
    <row r="191">
      <c r="A191" s="6" t="inlineStr">
        <is>
          <t>WS1293</t>
        </is>
      </c>
      <c r="B191" s="6" t="inlineStr">
        <is>
          <t>2025</t>
        </is>
      </c>
      <c r="C191" s="6" t="inlineStr">
        <is>
          <t>English</t>
        </is>
      </c>
      <c r="D191" s="7" t="inlineStr">
        <is>
          <t>Wandering spleen and intestinal malrotation in a 14-year-old female: a case report</t>
        </is>
      </c>
      <c r="K191" s="8">
        <f>IF(OR(F191="",G191="",J191=""),"",IF(AND(F191="Yes",G191="Yes",J191="Yes"),"Yes","No"))</f>
        <v/>
      </c>
      <c r="L191" s="8" t="inlineStr">
        <is>
          <t>R1</t>
        </is>
      </c>
    </row>
    <row r="192">
      <c r="A192" s="6" t="inlineStr">
        <is>
          <t>WS1311</t>
        </is>
      </c>
      <c r="B192" s="6" t="inlineStr">
        <is>
          <t>2024</t>
        </is>
      </c>
      <c r="C192" s="6" t="inlineStr">
        <is>
          <t>English</t>
        </is>
      </c>
      <c r="D192" s="7" t="inlineStr">
        <is>
          <t>Splenic infarction following recurrent torsion of a wandering spleen: A case report</t>
        </is>
      </c>
      <c r="K192" s="8">
        <f>IF(OR(F192="",G192="",J192=""),"",IF(AND(F192="Yes",G192="Yes",J192="Yes"),"Yes","No"))</f>
        <v/>
      </c>
      <c r="L192" s="8" t="inlineStr">
        <is>
          <t>R1</t>
        </is>
      </c>
    </row>
    <row r="193">
      <c r="A193" s="6" t="inlineStr">
        <is>
          <t>WS1339</t>
        </is>
      </c>
      <c r="B193" s="6" t="inlineStr">
        <is>
          <t>2024</t>
        </is>
      </c>
      <c r="C193" s="6" t="inlineStr">
        <is>
          <t>English</t>
        </is>
      </c>
      <c r="D193" s="7" t="inlineStr">
        <is>
          <t>Wandering spleen resulting in gastric volvulus in a child with vanishing gastroschisis: A case report</t>
        </is>
      </c>
      <c r="K193" s="8">
        <f>IF(OR(F193="",G193="",J193=""),"",IF(AND(F193="Yes",G193="Yes",J193="Yes"),"Yes","No"))</f>
        <v/>
      </c>
      <c r="L193" s="8" t="inlineStr">
        <is>
          <t>R1</t>
        </is>
      </c>
    </row>
    <row r="194">
      <c r="A194" s="6" t="inlineStr">
        <is>
          <t>WS1352</t>
        </is>
      </c>
      <c r="B194" s="6" t="inlineStr">
        <is>
          <t>2024</t>
        </is>
      </c>
      <c r="C194" s="6" t="inlineStr">
        <is>
          <t>English</t>
        </is>
      </c>
      <c r="D194" s="7" t="inlineStr">
        <is>
          <t>Clinics in diagnostic imaging (218)</t>
        </is>
      </c>
      <c r="K194" s="8">
        <f>IF(OR(F194="",G194="",J194=""),"",IF(AND(F194="Yes",G194="Yes",J194="Yes"),"Yes","No"))</f>
        <v/>
      </c>
      <c r="L194" s="8" t="inlineStr">
        <is>
          <t>R1</t>
        </is>
      </c>
    </row>
    <row r="195">
      <c r="A195" s="6" t="inlineStr">
        <is>
          <t>WS1359</t>
        </is>
      </c>
      <c r="B195" s="6" t="inlineStr">
        <is>
          <t>2022</t>
        </is>
      </c>
      <c r="C195" s="6" t="inlineStr">
        <is>
          <t>English</t>
        </is>
      </c>
      <c r="D195" s="7" t="inlineStr">
        <is>
          <t>Wandering Spleen Torsion: A Rare Case of Acute Abdomen</t>
        </is>
      </c>
      <c r="K195" s="8">
        <f>IF(OR(F195="",G195="",J195=""),"",IF(AND(F195="Yes",G195="Yes",J195="Yes"),"Yes","No"))</f>
        <v/>
      </c>
      <c r="L195" s="8" t="inlineStr">
        <is>
          <t>R1</t>
        </is>
      </c>
    </row>
    <row r="196">
      <c r="A196" s="6" t="inlineStr">
        <is>
          <t>WS1361</t>
        </is>
      </c>
      <c r="B196" s="6" t="inlineStr">
        <is>
          <t>2021</t>
        </is>
      </c>
      <c r="C196" s="6" t="inlineStr">
        <is>
          <t>English</t>
        </is>
      </c>
      <c r="D196" s="7" t="inlineStr">
        <is>
          <t>Torsion of wandering spleen, splenectomy and autotransplantation of splenic slices</t>
        </is>
      </c>
      <c r="K196" s="8">
        <f>IF(OR(F196="",G196="",J196=""),"",IF(AND(F196="Yes",G196="Yes",J196="Yes"),"Yes","No"))</f>
        <v/>
      </c>
      <c r="L196" s="8" t="inlineStr">
        <is>
          <t>R1</t>
        </is>
      </c>
    </row>
    <row r="197">
      <c r="A197" s="6" t="inlineStr">
        <is>
          <t>WS1367</t>
        </is>
      </c>
      <c r="B197" s="6" t="inlineStr">
        <is>
          <t>2025</t>
        </is>
      </c>
      <c r="C197" s="6" t="inlineStr">
        <is>
          <t>English</t>
        </is>
      </c>
      <c r="D197" s="7" t="inlineStr">
        <is>
          <t>Beyond the usual: three unique cases of wandering spleen in Indonesia</t>
        </is>
      </c>
      <c r="K197" s="8">
        <f>IF(OR(F197="",G197="",J197=""),"",IF(AND(F197="Yes",G197="Yes",J197="Yes"),"Yes","No"))</f>
        <v/>
      </c>
      <c r="L197" s="8" t="inlineStr">
        <is>
          <t>R1</t>
        </is>
      </c>
    </row>
    <row r="198">
      <c r="A198" s="6" t="inlineStr">
        <is>
          <t>WS1373</t>
        </is>
      </c>
      <c r="B198" s="6" t="inlineStr">
        <is>
          <t>2020</t>
        </is>
      </c>
      <c r="C198" s="6" t="inlineStr">
        <is>
          <t>English</t>
        </is>
      </c>
      <c r="D198" s="7" t="inlineStr">
        <is>
          <t>Wandering spleen in a pediatric patient</t>
        </is>
      </c>
      <c r="K198" s="8">
        <f>IF(OR(F198="",G198="",J198=""),"",IF(AND(F198="Yes",G198="Yes",J198="Yes"),"Yes","No"))</f>
        <v/>
      </c>
      <c r="L198" s="8" t="inlineStr">
        <is>
          <t>R1</t>
        </is>
      </c>
    </row>
    <row r="199">
      <c r="A199" s="6" t="inlineStr">
        <is>
          <t>WS1388</t>
        </is>
      </c>
      <c r="B199" s="6" t="inlineStr">
        <is>
          <t>2024</t>
        </is>
      </c>
      <c r="C199" s="6" t="inlineStr">
        <is>
          <t>English</t>
        </is>
      </c>
      <c r="D199" s="7" t="inlineStr">
        <is>
          <t>Recurrent splenic volvulus after splenopexy in an 11-year-old child: A case report</t>
        </is>
      </c>
      <c r="K199" s="8">
        <f>IF(OR(F199="",G199="",J199=""),"",IF(AND(F199="Yes",G199="Yes",J199="Yes"),"Yes","No"))</f>
        <v/>
      </c>
      <c r="L199" s="8" t="inlineStr">
        <is>
          <t>R1</t>
        </is>
      </c>
    </row>
    <row r="200">
      <c r="A200" s="6" t="inlineStr">
        <is>
          <t>WS1439</t>
        </is>
      </c>
      <c r="B200" s="6" t="inlineStr">
        <is>
          <t>2020</t>
        </is>
      </c>
      <c r="C200" s="6" t="inlineStr">
        <is>
          <t>English</t>
        </is>
      </c>
      <c r="D200" s="7" t="inlineStr">
        <is>
          <t>Adolescent with Spontaneous Splenic Rupture as a Cause of Hemoperitoneum in the Emergency Department: Case Report and Literature Review</t>
        </is>
      </c>
      <c r="K200" s="8">
        <f>IF(OR(F200="",G200="",J200=""),"",IF(AND(F200="Yes",G200="Yes",J200="Yes"),"Yes","No"))</f>
        <v/>
      </c>
      <c r="L200" s="8" t="inlineStr">
        <is>
          <t>R1</t>
        </is>
      </c>
    </row>
    <row r="201">
      <c r="A201" s="6" t="inlineStr">
        <is>
          <t>WS1507</t>
        </is>
      </c>
      <c r="B201" s="6" t="inlineStr">
        <is>
          <t>2017</t>
        </is>
      </c>
      <c r="C201" s="6" t="inlineStr">
        <is>
          <t>English</t>
        </is>
      </c>
      <c r="D201" s="7" t="inlineStr">
        <is>
          <t>Wandering spleen associated with omphalocele in a neonate: An unusual case with non-operative management</t>
        </is>
      </c>
      <c r="K201" s="8">
        <f>IF(OR(F201="",G201="",J201=""),"",IF(AND(F201="Yes",G201="Yes",J201="Yes"),"Yes","No"))</f>
        <v/>
      </c>
      <c r="L201" s="8" t="inlineStr">
        <is>
          <t>R1</t>
        </is>
      </c>
    </row>
    <row r="202">
      <c r="A202" s="6" t="inlineStr">
        <is>
          <t>WS1512</t>
        </is>
      </c>
      <c r="B202" s="6" t="inlineStr">
        <is>
          <t>2017</t>
        </is>
      </c>
      <c r="C202" s="6" t="inlineStr">
        <is>
          <t>English</t>
        </is>
      </c>
      <c r="D202" s="7" t="inlineStr">
        <is>
          <t>Splenic torsion presenting as splenic vein thrombosis</t>
        </is>
      </c>
      <c r="K202" s="8">
        <f>IF(OR(F202="",G202="",J202=""),"",IF(AND(F202="Yes",G202="Yes",J202="Yes"),"Yes","No"))</f>
        <v/>
      </c>
      <c r="L202" s="8" t="inlineStr">
        <is>
          <t>R1</t>
        </is>
      </c>
    </row>
    <row r="203">
      <c r="A203" s="6" t="inlineStr">
        <is>
          <t>WS1513</t>
        </is>
      </c>
      <c r="B203" s="6" t="inlineStr">
        <is>
          <t>2023</t>
        </is>
      </c>
      <c r="C203" s="6" t="inlineStr">
        <is>
          <t>Chinese</t>
        </is>
      </c>
      <c r="D203" s="7" t="inlineStr">
        <is>
          <t>小儿脾韧带缺如并原位脾扭转1例并文献复习</t>
        </is>
      </c>
      <c r="K203" s="8">
        <f>IF(OR(F203="",G203="",J203=""),"",IF(AND(F203="Yes",G203="Yes",J203="Yes"),"Yes","No"))</f>
        <v/>
      </c>
      <c r="L203" s="8" t="inlineStr">
        <is>
          <t>R1</t>
        </is>
      </c>
    </row>
    <row r="204">
      <c r="A204" s="6" t="inlineStr">
        <is>
          <t>WS1526</t>
        </is>
      </c>
      <c r="B204" s="6" t="inlineStr">
        <is>
          <t>2026</t>
        </is>
      </c>
      <c r="C204" s="6" t="inlineStr">
        <is>
          <t>English</t>
        </is>
      </c>
      <c r="D204" s="7" t="inlineStr">
        <is>
          <t>Splenic torsion secondary to a pelvic wandering spleen</t>
        </is>
      </c>
      <c r="K204" s="8">
        <f>IF(OR(F204="",G204="",J204=""),"",IF(AND(F204="Yes",G204="Yes",J204="Yes"),"Yes","No"))</f>
        <v/>
      </c>
      <c r="L204" s="8" t="inlineStr">
        <is>
          <t>R1</t>
        </is>
      </c>
    </row>
    <row r="205">
      <c r="A205" s="6" t="inlineStr">
        <is>
          <t>WS1527</t>
        </is>
      </c>
      <c r="B205" s="6" t="inlineStr">
        <is>
          <t>2019</t>
        </is>
      </c>
      <c r="C205" s="6" t="inlineStr">
        <is>
          <t>English</t>
        </is>
      </c>
      <c r="D205" s="7" t="inlineStr">
        <is>
          <t>Torsion of wandering spleen in an infant associated with hamartomatous vascular malformation</t>
        </is>
      </c>
      <c r="K205" s="8">
        <f>IF(OR(F205="",G205="",J205=""),"",IF(AND(F205="Yes",G205="Yes",J205="Yes"),"Yes","No"))</f>
        <v/>
      </c>
      <c r="L205" s="8" t="inlineStr">
        <is>
          <t>R1</t>
        </is>
      </c>
    </row>
    <row r="206">
      <c r="A206" s="6" t="inlineStr">
        <is>
          <t>WS1537</t>
        </is>
      </c>
      <c r="B206" s="6" t="inlineStr">
        <is>
          <t>2023</t>
        </is>
      </c>
      <c r="C206" s="6" t="inlineStr">
        <is>
          <t>English</t>
        </is>
      </c>
      <c r="D206" s="7" t="inlineStr">
        <is>
          <t>Surgical crossroads: Unravelling mesenteroaxial volvulus and diaphragmatic eventration</t>
        </is>
      </c>
      <c r="K206" s="8">
        <f>IF(OR(F206="",G206="",J206=""),"",IF(AND(F206="Yes",G206="Yes",J206="Yes"),"Yes","No"))</f>
        <v/>
      </c>
      <c r="L206" s="8" t="inlineStr">
        <is>
          <t>R1</t>
        </is>
      </c>
    </row>
    <row r="207">
      <c r="A207" s="6" t="inlineStr">
        <is>
          <t>WS1553</t>
        </is>
      </c>
      <c r="B207" s="6" t="inlineStr">
        <is>
          <t>2017</t>
        </is>
      </c>
      <c r="C207" s="6" t="inlineStr">
        <is>
          <t>English</t>
        </is>
      </c>
      <c r="D207" s="7" t="inlineStr">
        <is>
          <t>Splenic and pancreatic torsion after giant omphalocele repair</t>
        </is>
      </c>
      <c r="K207" s="8">
        <f>IF(OR(F207="",G207="",J207=""),"",IF(AND(F207="Yes",G207="Yes",J207="Yes"),"Yes","No"))</f>
        <v/>
      </c>
      <c r="L207" s="8" t="inlineStr">
        <is>
          <t>R1</t>
        </is>
      </c>
    </row>
    <row r="208">
      <c r="A208" s="6" t="inlineStr">
        <is>
          <t>WS1565</t>
        </is>
      </c>
      <c r="B208" s="6" t="inlineStr">
        <is>
          <t>2018</t>
        </is>
      </c>
      <c r="C208" s="6" t="inlineStr">
        <is>
          <t>Chinese</t>
        </is>
      </c>
      <c r="D208" s="7" t="inlineStr">
        <is>
          <t>脾扭转1例</t>
        </is>
      </c>
      <c r="K208" s="8">
        <f>IF(OR(F208="",G208="",J208=""),"",IF(AND(F208="Yes",G208="Yes",J208="Yes"),"Yes","No"))</f>
        <v/>
      </c>
      <c r="L208" s="8" t="inlineStr">
        <is>
          <t>R1</t>
        </is>
      </c>
    </row>
    <row r="209">
      <c r="A209" s="6" t="inlineStr">
        <is>
          <t>WS1577</t>
        </is>
      </c>
      <c r="B209" s="6" t="inlineStr">
        <is>
          <t>2017</t>
        </is>
      </c>
      <c r="C209" s="6" t="inlineStr">
        <is>
          <t>English</t>
        </is>
      </c>
      <c r="D209" s="7" t="inlineStr">
        <is>
          <t>Update on a previously reported male with a FLNA missense mutation</t>
        </is>
      </c>
      <c r="K209" s="8">
        <f>IF(OR(F209="",G209="",J209=""),"",IF(AND(F209="Yes",G209="Yes",J209="Yes"),"Yes","No"))</f>
        <v/>
      </c>
      <c r="L209" s="8" t="inlineStr">
        <is>
          <t>R1</t>
        </is>
      </c>
    </row>
    <row r="210">
      <c r="A210" s="6" t="inlineStr">
        <is>
          <t>WS1578</t>
        </is>
      </c>
      <c r="B210" s="6" t="inlineStr">
        <is>
          <t>2019</t>
        </is>
      </c>
      <c r="C210" s="6" t="inlineStr">
        <is>
          <t>English</t>
        </is>
      </c>
      <c r="D210" s="7" t="inlineStr">
        <is>
          <t>Acute presentation of pediatric splenic torsion</t>
        </is>
      </c>
      <c r="K210" s="8">
        <f>IF(OR(F210="",G210="",J210=""),"",IF(AND(F210="Yes",G210="Yes",J210="Yes"),"Yes","No"))</f>
        <v/>
      </c>
      <c r="L210" s="8" t="inlineStr">
        <is>
          <t>R1</t>
        </is>
      </c>
    </row>
    <row r="211">
      <c r="A211" s="6" t="inlineStr">
        <is>
          <t>WS1584</t>
        </is>
      </c>
      <c r="B211" s="6" t="inlineStr">
        <is>
          <t>2024</t>
        </is>
      </c>
      <c r="C211" s="6" t="inlineStr">
        <is>
          <t>English</t>
        </is>
      </c>
      <c r="D211" s="7" t="inlineStr">
        <is>
          <t>Unusual gastric distention in a 1-year-old infant</t>
        </is>
      </c>
      <c r="K211" s="8">
        <f>IF(OR(F211="",G211="",J211=""),"",IF(AND(F211="Yes",G211="Yes",J211="Yes"),"Yes","No"))</f>
        <v/>
      </c>
      <c r="L211" s="8" t="inlineStr">
        <is>
          <t>R1</t>
        </is>
      </c>
    </row>
    <row r="212">
      <c r="A212" s="6" t="inlineStr">
        <is>
          <t>WS1589</t>
        </is>
      </c>
      <c r="B212" s="6" t="inlineStr">
        <is>
          <t>2025</t>
        </is>
      </c>
      <c r="C212" s="6" t="inlineStr">
        <is>
          <t>English</t>
        </is>
      </c>
      <c r="D212" s="7" t="inlineStr">
        <is>
          <t>CLINICAL CASE OF COMBINATION OF ACUTE APPENDICITIS WITH SPLEEN TORSION IN A CHILD</t>
        </is>
      </c>
      <c r="K212" s="8">
        <f>IF(OR(F212="",G212="",J212=""),"",IF(AND(F212="Yes",G212="Yes",J212="Yes"),"Yes","No"))</f>
        <v/>
      </c>
      <c r="L212" s="8" t="inlineStr">
        <is>
          <t>R1</t>
        </is>
      </c>
    </row>
    <row r="213">
      <c r="A213" s="6" t="inlineStr">
        <is>
          <t>WS1592</t>
        </is>
      </c>
      <c r="B213" s="6" t="inlineStr">
        <is>
          <t>2019</t>
        </is>
      </c>
      <c r="C213" s="6" t="inlineStr">
        <is>
          <t>English</t>
        </is>
      </c>
      <c r="D213" s="7" t="inlineStr">
        <is>
          <t>Recurrent abdominal pain with thrombocytosis:A presentation of wandering spleen</t>
        </is>
      </c>
      <c r="K213" s="8">
        <f>IF(OR(F213="",G213="",J213=""),"",IF(AND(F213="Yes",G213="Yes",J213="Yes"),"Yes","No"))</f>
        <v/>
      </c>
      <c r="L213" s="8" t="inlineStr">
        <is>
          <t>R1</t>
        </is>
      </c>
    </row>
    <row r="214">
      <c r="A214" s="6" t="inlineStr">
        <is>
          <t>WS1614</t>
        </is>
      </c>
      <c r="B214" s="6" t="inlineStr">
        <is>
          <t>2021</t>
        </is>
      </c>
      <c r="C214" s="6" t="inlineStr">
        <is>
          <t>English</t>
        </is>
      </c>
      <c r="D214" s="7" t="inlineStr">
        <is>
          <t>Wandering spleen-a possible cause of adrenal ”mass“-case report</t>
        </is>
      </c>
      <c r="K214" s="8">
        <f>IF(OR(F214="",G214="",J214=""),"",IF(AND(F214="Yes",G214="Yes",J214="Yes"),"Yes","No"))</f>
        <v/>
      </c>
      <c r="L214" s="8" t="inlineStr">
        <is>
          <t>R1</t>
        </is>
      </c>
    </row>
    <row r="215">
      <c r="A215" s="6" t="inlineStr">
        <is>
          <t>WS1639</t>
        </is>
      </c>
      <c r="B215" s="6" t="inlineStr">
        <is>
          <t>2013</t>
        </is>
      </c>
      <c r="C215" s="6" t="inlineStr">
        <is>
          <t>English</t>
        </is>
      </c>
      <c r="D215" s="7" t="inlineStr">
        <is>
          <t>Acute gastric volvulus and wandering spleen: A rare association</t>
        </is>
      </c>
      <c r="K215" s="8">
        <f>IF(OR(F215="",G215="",J215=""),"",IF(AND(F215="Yes",G215="Yes",J215="Yes"),"Yes","No"))</f>
        <v/>
      </c>
      <c r="L215" s="8" t="inlineStr">
        <is>
          <t>R1</t>
        </is>
      </c>
    </row>
    <row r="216">
      <c r="A216" s="6" t="inlineStr">
        <is>
          <t>WS1649</t>
        </is>
      </c>
      <c r="B216" s="6" t="inlineStr">
        <is>
          <t>2013</t>
        </is>
      </c>
      <c r="C216" s="6" t="inlineStr">
        <is>
          <t>English</t>
        </is>
      </c>
      <c r="D216" s="7" t="inlineStr">
        <is>
          <t>Wandering spleen and splenic torsion associated with upper respiratory tract infection</t>
        </is>
      </c>
      <c r="K216" s="8">
        <f>IF(OR(F216="",G216="",J216=""),"",IF(AND(F216="Yes",G216="Yes",J216="Yes"),"Yes","No"))</f>
        <v/>
      </c>
      <c r="L216" s="8" t="inlineStr">
        <is>
          <t>R1</t>
        </is>
      </c>
    </row>
    <row r="217">
      <c r="A217" s="6" t="inlineStr">
        <is>
          <t>WS1651</t>
        </is>
      </c>
      <c r="B217" s="6" t="inlineStr">
        <is>
          <t>2008</t>
        </is>
      </c>
      <c r="C217" s="6" t="inlineStr">
        <is>
          <t>English</t>
        </is>
      </c>
      <c r="D217" s="7" t="inlineStr">
        <is>
          <t>Wandering spleen presenting as recurrent abdominal pain in a young female</t>
        </is>
      </c>
      <c r="K217" s="8">
        <f>IF(OR(F217="",G217="",J217=""),"",IF(AND(F217="Yes",G217="Yes",J217="Yes"),"Yes","No"))</f>
        <v/>
      </c>
      <c r="L217" s="8" t="inlineStr">
        <is>
          <t>R1</t>
        </is>
      </c>
    </row>
    <row r="218">
      <c r="A218" s="6" t="inlineStr">
        <is>
          <t>WS1685</t>
        </is>
      </c>
      <c r="B218" s="6" t="inlineStr">
        <is>
          <t>2010</t>
        </is>
      </c>
      <c r="C218" s="6" t="inlineStr">
        <is>
          <t>English</t>
        </is>
      </c>
      <c r="D218" s="7" t="inlineStr">
        <is>
          <t>A wandering spleen: A common presentation of an uncommon anomaly</t>
        </is>
      </c>
      <c r="K218" s="8">
        <f>IF(OR(F218="",G218="",J218=""),"",IF(AND(F218="Yes",G218="Yes",J218="Yes"),"Yes","No"))</f>
        <v/>
      </c>
      <c r="L218" s="8" t="inlineStr">
        <is>
          <t>R1</t>
        </is>
      </c>
    </row>
    <row r="219">
      <c r="A219" s="6" t="inlineStr">
        <is>
          <t>WS1704</t>
        </is>
      </c>
      <c r="B219" s="6" t="inlineStr">
        <is>
          <t>2007</t>
        </is>
      </c>
      <c r="C219" s="6" t="inlineStr">
        <is>
          <t>English</t>
        </is>
      </c>
      <c r="D219" s="7" t="inlineStr">
        <is>
          <t>Torsion in a paediatric wandering spleen: Case report and review of literature</t>
        </is>
      </c>
      <c r="K219" s="8">
        <f>IF(OR(F219="",G219="",J219=""),"",IF(AND(F219="Yes",G219="Yes",J219="Yes"),"Yes","No"))</f>
        <v/>
      </c>
      <c r="L219" s="8" t="inlineStr">
        <is>
          <t>R1</t>
        </is>
      </c>
    </row>
    <row r="220">
      <c r="A220" s="6" t="inlineStr">
        <is>
          <t>WS1856</t>
        </is>
      </c>
      <c r="B220" s="6" t="inlineStr">
        <is>
          <t>2024</t>
        </is>
      </c>
      <c r="C220" s="6" t="inlineStr">
        <is>
          <t>Chinese</t>
        </is>
      </c>
      <c r="D220" s="7" t="inlineStr">
        <is>
          <t>以急腹症表现的儿童游走脾伴脾功能亢进1例</t>
        </is>
      </c>
      <c r="K220" s="8">
        <f>IF(OR(F220="",G220="",J220=""),"",IF(AND(F220="Yes",G220="Yes",J220="Yes"),"Yes","No"))</f>
        <v/>
      </c>
      <c r="L220" s="8" t="inlineStr">
        <is>
          <t>R1</t>
        </is>
      </c>
    </row>
    <row r="221">
      <c r="A221" s="6" t="inlineStr">
        <is>
          <t>WS1859</t>
        </is>
      </c>
      <c r="B221" s="6" t="inlineStr">
        <is>
          <t>2024</t>
        </is>
      </c>
      <c r="C221" s="6" t="inlineStr">
        <is>
          <t>Chinese</t>
        </is>
      </c>
      <c r="D221" s="7" t="inlineStr">
        <is>
          <t>儿童脾扭转诊治的单中心回顾性研究</t>
        </is>
      </c>
      <c r="K221" s="8">
        <f>IF(OR(F221="",G221="",J221=""),"",IF(AND(F221="Yes",G221="Yes",J221="Yes"),"Yes","No"))</f>
        <v/>
      </c>
      <c r="L221" s="8" t="inlineStr">
        <is>
          <t>R1</t>
        </is>
      </c>
    </row>
    <row r="222">
      <c r="A222" s="6" t="inlineStr">
        <is>
          <t>WS1860</t>
        </is>
      </c>
      <c r="B222" s="6" t="inlineStr">
        <is>
          <t>2024</t>
        </is>
      </c>
      <c r="C222" s="6" t="inlineStr">
        <is>
          <t>Chinese</t>
        </is>
      </c>
      <c r="D222" s="7" t="inlineStr">
        <is>
          <t>儿童游离脾伴脾蒂及胰尾扭转一例</t>
        </is>
      </c>
      <c r="K222" s="8">
        <f>IF(OR(F222="",G222="",J222=""),"",IF(AND(F222="Yes",G222="Yes",J222="Yes"),"Yes","No"))</f>
        <v/>
      </c>
      <c r="L222" s="8" t="inlineStr">
        <is>
          <t>R1</t>
        </is>
      </c>
    </row>
    <row r="223">
      <c r="A223" s="6" t="inlineStr">
        <is>
          <t>WS1867</t>
        </is>
      </c>
      <c r="B223" s="6" t="inlineStr">
        <is>
          <t>2023</t>
        </is>
      </c>
      <c r="C223" s="6" t="inlineStr">
        <is>
          <t>Chinese</t>
        </is>
      </c>
      <c r="D223" s="7" t="inlineStr">
        <is>
          <t>游走脾伴蒂扭转1例</t>
        </is>
      </c>
      <c r="K223" s="8">
        <f>IF(OR(F223="",G223="",J223=""),"",IF(AND(F223="Yes",G223="Yes",J223="Yes"),"Yes","No"))</f>
        <v/>
      </c>
      <c r="L223" s="8" t="inlineStr">
        <is>
          <t>R1</t>
        </is>
      </c>
    </row>
    <row r="224">
      <c r="A224" s="6" t="inlineStr">
        <is>
          <t>WS1868</t>
        </is>
      </c>
      <c r="B224" s="6" t="inlineStr">
        <is>
          <t>2023</t>
        </is>
      </c>
      <c r="C224" s="6" t="inlineStr">
        <is>
          <t>Chinese</t>
        </is>
      </c>
      <c r="D224" s="7" t="inlineStr">
        <is>
          <t>“十字”切口型腹膜囊袋脾固定术治疗先天性游走脾伴扭转</t>
        </is>
      </c>
      <c r="K224" s="8">
        <f>IF(OR(F224="",G224="",J224=""),"",IF(AND(F224="Yes",G224="Yes",J224="Yes"),"Yes","No"))</f>
        <v/>
      </c>
      <c r="L224" s="8" t="inlineStr">
        <is>
          <t>R1</t>
        </is>
      </c>
    </row>
    <row r="225">
      <c r="A225" s="6" t="inlineStr">
        <is>
          <t>WS1869</t>
        </is>
      </c>
      <c r="B225" s="6" t="inlineStr">
        <is>
          <t>2023</t>
        </is>
      </c>
      <c r="C225" s="6" t="inlineStr">
        <is>
          <t>Chinese</t>
        </is>
      </c>
      <c r="D225" s="7" t="inlineStr">
        <is>
          <t>儿童游走脾伴蒂扭转、脾梗死1例</t>
        </is>
      </c>
      <c r="K225" s="8">
        <f>IF(OR(F225="",G225="",J225=""),"",IF(AND(F225="Yes",G225="Yes",J225="Yes"),"Yes","No"))</f>
        <v/>
      </c>
      <c r="L225" s="8" t="inlineStr">
        <is>
          <t>R1</t>
        </is>
      </c>
    </row>
    <row r="226">
      <c r="A226" s="6" t="inlineStr">
        <is>
          <t>WS1880</t>
        </is>
      </c>
      <c r="B226" s="6" t="inlineStr">
        <is>
          <t>2022</t>
        </is>
      </c>
      <c r="C226" s="6" t="inlineStr">
        <is>
          <t>Chinese</t>
        </is>
      </c>
      <c r="D226" s="7" t="inlineStr">
        <is>
          <t>游走脾急腹症1例</t>
        </is>
      </c>
      <c r="K226" s="8">
        <f>IF(OR(F226="",G226="",J226=""),"",IF(AND(F226="Yes",G226="Yes",J226="Yes"),"Yes","No"))</f>
        <v/>
      </c>
      <c r="L226" s="8" t="inlineStr">
        <is>
          <t>R1</t>
        </is>
      </c>
    </row>
    <row r="227">
      <c r="A227" s="6" t="inlineStr">
        <is>
          <t>WS1890</t>
        </is>
      </c>
      <c r="B227" s="6" t="inlineStr">
        <is>
          <t>2021</t>
        </is>
      </c>
      <c r="C227" s="6" t="inlineStr">
        <is>
          <t>Chinese</t>
        </is>
      </c>
      <c r="D227" s="7" t="inlineStr">
        <is>
          <t>游走脾合并胃扭转、左侧膈疝一例报告并文献复习</t>
        </is>
      </c>
      <c r="K227" s="8">
        <f>IF(OR(F227="",G227="",J227=""),"",IF(AND(F227="Yes",G227="Yes",J227="Yes"),"Yes","No"))</f>
        <v/>
      </c>
      <c r="L227" s="8" t="inlineStr">
        <is>
          <t>R1</t>
        </is>
      </c>
    </row>
    <row r="228">
      <c r="A228" s="6" t="inlineStr">
        <is>
          <t>WS1892</t>
        </is>
      </c>
      <c r="B228" s="6" t="inlineStr">
        <is>
          <t>2021</t>
        </is>
      </c>
      <c r="C228" s="6" t="inlineStr">
        <is>
          <t>Chinese</t>
        </is>
      </c>
      <c r="D228" s="7" t="inlineStr">
        <is>
          <t>超声诊断儿童脾扭转并副脾扭转1例</t>
        </is>
      </c>
      <c r="K228" s="8">
        <f>IF(OR(F228="",G228="",J228=""),"",IF(AND(F228="Yes",G228="Yes",J228="Yes"),"Yes","No"))</f>
        <v/>
      </c>
      <c r="L228" s="8" t="inlineStr">
        <is>
          <t>R1</t>
        </is>
      </c>
    </row>
    <row r="229">
      <c r="A229" s="6" t="inlineStr">
        <is>
          <t>WS1902</t>
        </is>
      </c>
      <c r="B229" s="6" t="inlineStr">
        <is>
          <t>2020</t>
        </is>
      </c>
      <c r="C229" s="6" t="inlineStr">
        <is>
          <t>Chinese</t>
        </is>
      </c>
      <c r="D229" s="7" t="inlineStr">
        <is>
          <t>腹腔镜梗死脾切除、残余脾腹膜后固定术治疗游走脾扭转2例并文献复习</t>
        </is>
      </c>
      <c r="K229" s="8">
        <f>IF(OR(F229="",G229="",J229=""),"",IF(AND(F229="Yes",G229="Yes",J229="Yes"),"Yes","No"))</f>
        <v/>
      </c>
      <c r="L229" s="8" t="inlineStr">
        <is>
          <t>R1</t>
        </is>
      </c>
    </row>
    <row r="230">
      <c r="A230" s="6" t="inlineStr">
        <is>
          <t>WS1903</t>
        </is>
      </c>
      <c r="B230" s="6" t="inlineStr">
        <is>
          <t>2020</t>
        </is>
      </c>
      <c r="C230" s="6" t="inlineStr">
        <is>
          <t>Chinese</t>
        </is>
      </c>
      <c r="D230" s="7" t="inlineStr">
        <is>
          <t>腹腔镜切除异位脾扭转1例报告</t>
        </is>
      </c>
      <c r="K230" s="8">
        <f>IF(OR(F230="",G230="",J230=""),"",IF(AND(F230="Yes",G230="Yes",J230="Yes"),"Yes","No"))</f>
        <v/>
      </c>
      <c r="L230" s="8" t="inlineStr">
        <is>
          <t>R1</t>
        </is>
      </c>
    </row>
    <row r="231">
      <c r="A231" s="6" t="inlineStr">
        <is>
          <t>WS1908</t>
        </is>
      </c>
      <c r="B231" s="6" t="inlineStr">
        <is>
          <t>2019</t>
        </is>
      </c>
      <c r="C231" s="6" t="inlineStr">
        <is>
          <t>Chinese</t>
        </is>
      </c>
      <c r="D231" s="7" t="inlineStr">
        <is>
          <t>一例游离脾伴胃扭转的病例汇报</t>
        </is>
      </c>
      <c r="K231" s="8">
        <f>IF(OR(F231="",G231="",J231=""),"",IF(AND(F231="Yes",G231="Yes",J231="Yes"),"Yes","No"))</f>
        <v/>
      </c>
      <c r="L231" s="8" t="inlineStr">
        <is>
          <t>R1</t>
        </is>
      </c>
    </row>
    <row r="232">
      <c r="A232" s="6" t="inlineStr">
        <is>
          <t>WS1913</t>
        </is>
      </c>
      <c r="B232" s="6" t="inlineStr">
        <is>
          <t>2019</t>
        </is>
      </c>
      <c r="C232" s="6" t="inlineStr">
        <is>
          <t>Chinese</t>
        </is>
      </c>
      <c r="D232" s="7" t="inlineStr">
        <is>
          <t>游走脾并蒂扭转、脾梗死1例报告</t>
        </is>
      </c>
      <c r="K232" s="8">
        <f>IF(OR(F232="",G232="",J232=""),"",IF(AND(F232="Yes",G232="Yes",J232="Yes"),"Yes","No"))</f>
        <v/>
      </c>
      <c r="L232" s="8" t="inlineStr">
        <is>
          <t>R1</t>
        </is>
      </c>
    </row>
    <row r="233">
      <c r="A233" s="6" t="inlineStr">
        <is>
          <t>WS1916</t>
        </is>
      </c>
      <c r="B233" s="6" t="inlineStr">
        <is>
          <t>2019</t>
        </is>
      </c>
      <c r="C233" s="6" t="inlineStr">
        <is>
          <t>Chinese</t>
        </is>
      </c>
      <c r="D233" s="7" t="inlineStr">
        <is>
          <t>游走脾发育不良合并腹股沟疝超声表现1例</t>
        </is>
      </c>
      <c r="K233" s="8">
        <f>IF(OR(F233="",G233="",J233=""),"",IF(AND(F233="Yes",G233="Yes",J233="Yes"),"Yes","No"))</f>
        <v/>
      </c>
      <c r="L233" s="8" t="inlineStr">
        <is>
          <t>R1</t>
        </is>
      </c>
    </row>
    <row r="234">
      <c r="A234" s="6" t="inlineStr">
        <is>
          <t>WS1925</t>
        </is>
      </c>
      <c r="B234" s="6" t="inlineStr">
        <is>
          <t>2018</t>
        </is>
      </c>
      <c r="C234" s="6" t="inlineStr">
        <is>
          <t>Chinese</t>
        </is>
      </c>
      <c r="D234" s="7" t="inlineStr">
        <is>
          <t>T型腹膜囊袋固定术治疗游走脾二例</t>
        </is>
      </c>
      <c r="K234" s="8">
        <f>IF(OR(F234="",G234="",J234=""),"",IF(AND(F234="Yes",G234="Yes",J234="Yes"),"Yes","No"))</f>
        <v/>
      </c>
      <c r="L234" s="8" t="inlineStr">
        <is>
          <t>R1</t>
        </is>
      </c>
    </row>
    <row r="235">
      <c r="A235" s="6" t="inlineStr">
        <is>
          <t>WS1927</t>
        </is>
      </c>
      <c r="B235" s="6" t="inlineStr">
        <is>
          <t>2018</t>
        </is>
      </c>
      <c r="C235" s="6" t="inlineStr">
        <is>
          <t>Chinese</t>
        </is>
      </c>
      <c r="D235" s="7" t="inlineStr">
        <is>
          <t>妊娠合并异位脾一例并文献分析</t>
        </is>
      </c>
      <c r="K235" s="8">
        <f>IF(OR(F235="",G235="",J235=""),"",IF(AND(F235="Yes",G235="Yes",J235="Yes"),"Yes","No"))</f>
        <v/>
      </c>
      <c r="L235" s="8" t="inlineStr">
        <is>
          <t>R1</t>
        </is>
      </c>
    </row>
    <row r="236">
      <c r="A236" s="6" t="inlineStr">
        <is>
          <t>WS1929</t>
        </is>
      </c>
      <c r="B236" s="6" t="inlineStr">
        <is>
          <t>2018</t>
        </is>
      </c>
      <c r="C236" s="6" t="inlineStr">
        <is>
          <t>Chinese</t>
        </is>
      </c>
      <c r="D236" s="7" t="inlineStr">
        <is>
          <t>腹腔镜切除异位脾扭转一例</t>
        </is>
      </c>
      <c r="K236" s="8">
        <f>IF(OR(F236="",G236="",J236=""),"",IF(AND(F236="Yes",G236="Yes",J236="Yes"),"Yes","No"))</f>
        <v/>
      </c>
      <c r="L236" s="8" t="inlineStr">
        <is>
          <t>R1</t>
        </is>
      </c>
    </row>
    <row r="237">
      <c r="A237" s="6" t="inlineStr">
        <is>
          <t>WS1972</t>
        </is>
      </c>
      <c r="B237" s="6" t="inlineStr">
        <is>
          <t>2014</t>
        </is>
      </c>
      <c r="C237" s="6" t="inlineStr">
        <is>
          <t>Chinese</t>
        </is>
      </c>
      <c r="D237" s="7" t="inlineStr">
        <is>
          <t>超声诊断内脏反位伴多脾合并游走脾扭转1例</t>
        </is>
      </c>
      <c r="K237" s="8">
        <f>IF(OR(F237="",G237="",J237=""),"",IF(AND(F237="Yes",G237="Yes",J237="Yes"),"Yes","No"))</f>
        <v/>
      </c>
      <c r="L237" s="8" t="inlineStr">
        <is>
          <t>R1</t>
        </is>
      </c>
    </row>
    <row r="238">
      <c r="A238" s="6" t="inlineStr">
        <is>
          <t>WS2001</t>
        </is>
      </c>
      <c r="B238" s="6" t="inlineStr">
        <is>
          <t>2012</t>
        </is>
      </c>
      <c r="C238" s="6" t="inlineStr">
        <is>
          <t>Chinese</t>
        </is>
      </c>
      <c r="D238" s="7" t="inlineStr">
        <is>
          <t>超声诊断小儿游走脾并脾扭转、脾梗死1例</t>
        </is>
      </c>
      <c r="K238" s="8">
        <f>IF(OR(F238="",G238="",J238=""),"",IF(AND(F238="Yes",G238="Yes",J238="Yes"),"Yes","No"))</f>
        <v/>
      </c>
      <c r="L238" s="8" t="inlineStr">
        <is>
          <t>R1</t>
        </is>
      </c>
    </row>
    <row r="239">
      <c r="A239" s="6" t="inlineStr">
        <is>
          <t>WS2011</t>
        </is>
      </c>
      <c r="B239" s="6" t="inlineStr">
        <is>
          <t>2011</t>
        </is>
      </c>
      <c r="C239" s="6" t="inlineStr">
        <is>
          <t>Chinese</t>
        </is>
      </c>
      <c r="D239" s="7" t="inlineStr">
        <is>
          <t>腹腔镜脾部分切除、残余脾腹膜外固定术治疗游走脾并扭转一例</t>
        </is>
      </c>
      <c r="K239" s="8">
        <f>IF(OR(F239="",G239="",J239=""),"",IF(AND(F239="Yes",G239="Yes",J239="Yes"),"Yes","No"))</f>
        <v/>
      </c>
      <c r="L239" s="8" t="inlineStr">
        <is>
          <t>R1</t>
        </is>
      </c>
    </row>
    <row r="240">
      <c r="A240" s="6" t="inlineStr">
        <is>
          <t>WS2018</t>
        </is>
      </c>
      <c r="B240" s="6" t="inlineStr">
        <is>
          <t>2011</t>
        </is>
      </c>
      <c r="C240" s="6" t="inlineStr">
        <is>
          <t>Chinese</t>
        </is>
      </c>
      <c r="D240" s="7" t="inlineStr">
        <is>
          <t>CT诊断儿童游走脾伴脾蒂扭转一例</t>
        </is>
      </c>
      <c r="K240" s="8">
        <f>IF(OR(F240="",G240="",J240=""),"",IF(AND(F240="Yes",G240="Yes",J240="Yes"),"Yes","No"))</f>
        <v/>
      </c>
      <c r="L240" s="8" t="inlineStr">
        <is>
          <t>R1</t>
        </is>
      </c>
    </row>
    <row r="241">
      <c r="A241" s="6" t="inlineStr">
        <is>
          <t>WS2025</t>
        </is>
      </c>
      <c r="B241" s="6" t="inlineStr">
        <is>
          <t>2010</t>
        </is>
      </c>
      <c r="C241" s="6" t="inlineStr">
        <is>
          <t>Chinese</t>
        </is>
      </c>
      <c r="D241" s="7" t="inlineStr">
        <is>
          <t>游走脾脏一例</t>
        </is>
      </c>
      <c r="K241" s="8">
        <f>IF(OR(F241="",G241="",J241=""),"",IF(AND(F241="Yes",G241="Yes",J241="Yes"),"Yes","No"))</f>
        <v/>
      </c>
      <c r="L241" s="8" t="inlineStr">
        <is>
          <t>R1</t>
        </is>
      </c>
    </row>
    <row r="242">
      <c r="A242" s="6" t="inlineStr">
        <is>
          <t>WS2032</t>
        </is>
      </c>
      <c r="B242" s="6" t="inlineStr">
        <is>
          <t>2010</t>
        </is>
      </c>
      <c r="C242" s="6" t="inlineStr">
        <is>
          <t>Chinese</t>
        </is>
      </c>
      <c r="D242" s="7" t="inlineStr">
        <is>
          <t>小儿游离脾扭转一例</t>
        </is>
      </c>
      <c r="K242" s="8">
        <f>IF(OR(F242="",G242="",J242=""),"",IF(AND(F242="Yes",G242="Yes",J242="Yes"),"Yes","No"))</f>
        <v/>
      </c>
      <c r="L242" s="8" t="inlineStr">
        <is>
          <t>R1</t>
        </is>
      </c>
    </row>
    <row r="243">
      <c r="A243" s="6" t="inlineStr">
        <is>
          <t>WS2040</t>
        </is>
      </c>
      <c r="B243" s="6" t="inlineStr">
        <is>
          <t>2009</t>
        </is>
      </c>
      <c r="C243" s="6" t="inlineStr">
        <is>
          <t>Chinese</t>
        </is>
      </c>
      <c r="D243" s="7" t="inlineStr">
        <is>
          <t>脾扭转的CT诊断1例</t>
        </is>
      </c>
      <c r="K243" s="8">
        <f>IF(OR(F243="",G243="",J243=""),"",IF(AND(F243="Yes",G243="Yes",J243="Yes"),"Yes","No"))</f>
        <v/>
      </c>
      <c r="L243" s="8" t="inlineStr">
        <is>
          <t>R1</t>
        </is>
      </c>
    </row>
    <row r="244">
      <c r="A244" s="6" t="inlineStr">
        <is>
          <t>WS2041</t>
        </is>
      </c>
      <c r="B244" s="6" t="inlineStr">
        <is>
          <t>2009</t>
        </is>
      </c>
      <c r="C244" s="6" t="inlineStr">
        <is>
          <t>Chinese</t>
        </is>
      </c>
      <c r="D244" s="7" t="inlineStr">
        <is>
          <t>游走脾并脾扭转一例</t>
        </is>
      </c>
      <c r="K244" s="8">
        <f>IF(OR(F244="",G244="",J244=""),"",IF(AND(F244="Yes",G244="Yes",J244="Yes"),"Yes","No"))</f>
        <v/>
      </c>
      <c r="L244" s="8" t="inlineStr">
        <is>
          <t>R1</t>
        </is>
      </c>
    </row>
    <row r="245">
      <c r="A245" s="6" t="inlineStr">
        <is>
          <t>WS2044</t>
        </is>
      </c>
      <c r="B245" s="6" t="inlineStr">
        <is>
          <t>2009</t>
        </is>
      </c>
      <c r="C245" s="6" t="inlineStr">
        <is>
          <t>Chinese</t>
        </is>
      </c>
      <c r="D245" s="7" t="inlineStr">
        <is>
          <t>一例小儿游离脾扭转行脾切除围手术期的护理</t>
        </is>
      </c>
      <c r="K245" s="8">
        <f>IF(OR(F245="",G245="",J245=""),"",IF(AND(F245="Yes",G245="Yes",J245="Yes"),"Yes","No"))</f>
        <v/>
      </c>
      <c r="L245" s="8" t="inlineStr">
        <is>
          <t>R1</t>
        </is>
      </c>
    </row>
    <row r="246">
      <c r="A246" s="6" t="inlineStr">
        <is>
          <t>WS2046</t>
        </is>
      </c>
      <c r="B246" s="6" t="inlineStr">
        <is>
          <t>2009</t>
        </is>
      </c>
      <c r="C246" s="6" t="inlineStr">
        <is>
          <t>Chinese</t>
        </is>
      </c>
      <c r="D246" s="7" t="inlineStr">
        <is>
          <t>游走脾扭转</t>
        </is>
      </c>
      <c r="K246" s="8">
        <f>IF(OR(F246="",G246="",J246=""),"",IF(AND(F246="Yes",G246="Yes",J246="Yes"),"Yes","No"))</f>
        <v/>
      </c>
      <c r="L246" s="8" t="inlineStr">
        <is>
          <t>R1</t>
        </is>
      </c>
    </row>
    <row r="247">
      <c r="A247" s="6" t="inlineStr">
        <is>
          <t>WS2058</t>
        </is>
      </c>
      <c r="B247" s="6" t="inlineStr">
        <is>
          <t>2008</t>
        </is>
      </c>
      <c r="C247" s="6" t="inlineStr">
        <is>
          <t>Chinese</t>
        </is>
      </c>
      <c r="D247" s="7" t="inlineStr">
        <is>
          <t>超声诊断游走脾1例</t>
        </is>
      </c>
      <c r="K247" s="8">
        <f>IF(OR(F247="",G247="",J247=""),"",IF(AND(F247="Yes",G247="Yes",J247="Yes"),"Yes","No"))</f>
        <v/>
      </c>
      <c r="L247" s="8" t="inlineStr">
        <is>
          <t>R1</t>
        </is>
      </c>
    </row>
    <row r="248">
      <c r="A248" s="6" t="inlineStr">
        <is>
          <t>WS2059</t>
        </is>
      </c>
      <c r="B248" s="6" t="inlineStr">
        <is>
          <t>2007</t>
        </is>
      </c>
      <c r="C248" s="6" t="inlineStr">
        <is>
          <t>Chinese</t>
        </is>
      </c>
      <c r="D248" s="7" t="inlineStr">
        <is>
          <t>异位脾误诊为盆腔肿物1例</t>
        </is>
      </c>
      <c r="K248" s="8">
        <f>IF(OR(F248="",G248="",J248=""),"",IF(AND(F248="Yes",G248="Yes",J248="Yes"),"Yes","No"))</f>
        <v/>
      </c>
      <c r="L248" s="8" t="inlineStr">
        <is>
          <t>R1</t>
        </is>
      </c>
    </row>
    <row r="249">
      <c r="A249" s="6" t="inlineStr">
        <is>
          <t>WS2062</t>
        </is>
      </c>
      <c r="B249" s="6" t="inlineStr">
        <is>
          <t>2007</t>
        </is>
      </c>
      <c r="C249" s="6" t="inlineStr">
        <is>
          <t>Chinese</t>
        </is>
      </c>
      <c r="D249" s="7" t="inlineStr">
        <is>
          <t>游走脾合并蒂扭转一例报道</t>
        </is>
      </c>
      <c r="K249" s="8">
        <f>IF(OR(F249="",G249="",J249=""),"",IF(AND(F249="Yes",G249="Yes",J249="Yes"),"Yes","No"))</f>
        <v/>
      </c>
      <c r="L249" s="8" t="inlineStr">
        <is>
          <t>R1</t>
        </is>
      </c>
    </row>
    <row r="250">
      <c r="A250" s="6" t="inlineStr">
        <is>
          <t>WS2083</t>
        </is>
      </c>
      <c r="B250" s="6" t="inlineStr">
        <is>
          <t>2005</t>
        </is>
      </c>
      <c r="C250" s="6" t="inlineStr">
        <is>
          <t>Chinese</t>
        </is>
      </c>
      <c r="D250" s="7" t="inlineStr">
        <is>
          <t>游走脾并脾蒂扭转二例</t>
        </is>
      </c>
      <c r="K250" s="8">
        <f>IF(OR(F250="",G250="",J250=""),"",IF(AND(F250="Yes",G250="Yes",J250="Yes"),"Yes","No"))</f>
        <v/>
      </c>
      <c r="L250" s="8" t="inlineStr">
        <is>
          <t>R1</t>
        </is>
      </c>
    </row>
    <row r="251">
      <c r="A251" s="6" t="inlineStr">
        <is>
          <t>WS2092</t>
        </is>
      </c>
      <c r="B251" s="6" t="inlineStr">
        <is>
          <t>2004</t>
        </is>
      </c>
      <c r="C251" s="6" t="inlineStr">
        <is>
          <t>Chinese</t>
        </is>
      </c>
      <c r="D251" s="7" t="inlineStr">
        <is>
          <t>游离脾扭转1例</t>
        </is>
      </c>
      <c r="K251" s="8">
        <f>IF(OR(F251="",G251="",J251=""),"",IF(AND(F251="Yes",G251="Yes",J251="Yes"),"Yes","No"))</f>
        <v/>
      </c>
      <c r="L251" s="8" t="inlineStr">
        <is>
          <t>R1</t>
        </is>
      </c>
    </row>
    <row r="252">
      <c r="A252" s="6" t="inlineStr">
        <is>
          <t>WS2093</t>
        </is>
      </c>
      <c r="B252" s="6" t="inlineStr">
        <is>
          <t>2004</t>
        </is>
      </c>
      <c r="C252" s="6" t="inlineStr">
        <is>
          <t>Chinese</t>
        </is>
      </c>
      <c r="D252" s="7" t="inlineStr">
        <is>
          <t>腹腔镜下胃固定术治疗小儿胃扭转并游走脾一例</t>
        </is>
      </c>
      <c r="K252" s="8">
        <f>IF(OR(F252="",G252="",J252=""),"",IF(AND(F252="Yes",G252="Yes",J252="Yes"),"Yes","No"))</f>
        <v/>
      </c>
      <c r="L252" s="8" t="inlineStr">
        <is>
          <t>R1</t>
        </is>
      </c>
    </row>
    <row r="253">
      <c r="A253" s="6" t="inlineStr">
        <is>
          <t>WS2101</t>
        </is>
      </c>
      <c r="B253" s="6" t="inlineStr">
        <is>
          <t>2003</t>
        </is>
      </c>
      <c r="C253" s="6" t="inlineStr">
        <is>
          <t>Chinese</t>
        </is>
      </c>
      <c r="D253" s="7" t="inlineStr">
        <is>
          <t>超声诊断异位脾、脾蒂扭转1例</t>
        </is>
      </c>
      <c r="K253" s="8">
        <f>IF(OR(F253="",G253="",J253=""),"",IF(AND(F253="Yes",G253="Yes",J253="Yes"),"Yes","No"))</f>
        <v/>
      </c>
      <c r="L253" s="8" t="inlineStr">
        <is>
          <t>R1</t>
        </is>
      </c>
    </row>
    <row r="254">
      <c r="A254" s="6" t="inlineStr">
        <is>
          <t>WS2111</t>
        </is>
      </c>
      <c r="B254" s="6" t="inlineStr">
        <is>
          <t>2003</t>
        </is>
      </c>
      <c r="C254" s="6" t="inlineStr">
        <is>
          <t>Chinese</t>
        </is>
      </c>
      <c r="D254" s="7" t="inlineStr">
        <is>
          <t>异位脾扭转合并副脾误诊1例</t>
        </is>
      </c>
      <c r="K254" s="8">
        <f>IF(OR(F254="",G254="",J254=""),"",IF(AND(F254="Yes",G254="Yes",J254="Yes"),"Yes","No"))</f>
        <v/>
      </c>
      <c r="L254" s="8" t="inlineStr">
        <is>
          <t>R1</t>
        </is>
      </c>
    </row>
    <row r="255">
      <c r="A255" s="6" t="inlineStr">
        <is>
          <t>WS2114</t>
        </is>
      </c>
      <c r="B255" s="6" t="inlineStr">
        <is>
          <t>2002</t>
        </is>
      </c>
      <c r="C255" s="6" t="inlineStr">
        <is>
          <t>Chinese</t>
        </is>
      </c>
      <c r="D255" s="7" t="inlineStr">
        <is>
          <t>游离脾扭转误诊为卵巢肿瘤1例</t>
        </is>
      </c>
      <c r="K255" s="8">
        <f>IF(OR(F255="",G255="",J255=""),"",IF(AND(F255="Yes",G255="Yes",J255="Yes"),"Yes","No"))</f>
        <v/>
      </c>
      <c r="L255" s="8" t="inlineStr">
        <is>
          <t>R1</t>
        </is>
      </c>
    </row>
    <row r="256">
      <c r="A256" s="6" t="inlineStr">
        <is>
          <t>WS2116</t>
        </is>
      </c>
      <c r="B256" s="6" t="inlineStr">
        <is>
          <t>2002</t>
        </is>
      </c>
      <c r="C256" s="6" t="inlineStr">
        <is>
          <t>Chinese</t>
        </is>
      </c>
      <c r="D256" s="7" t="inlineStr">
        <is>
          <t>超声诊断游走脾1例</t>
        </is>
      </c>
      <c r="K256" s="8">
        <f>IF(OR(F256="",G256="",J256=""),"",IF(AND(F256="Yes",G256="Yes",J256="Yes"),"Yes","No"))</f>
        <v/>
      </c>
      <c r="L256" s="8" t="inlineStr">
        <is>
          <t>R1</t>
        </is>
      </c>
    </row>
    <row r="257">
      <c r="A257" s="6" t="inlineStr">
        <is>
          <t>WS2119</t>
        </is>
      </c>
      <c r="B257" s="6" t="inlineStr">
        <is>
          <t>2002</t>
        </is>
      </c>
      <c r="C257" s="6" t="inlineStr">
        <is>
          <t>Chinese</t>
        </is>
      </c>
      <c r="D257" s="7" t="inlineStr">
        <is>
          <t>脾扭转误诊2例</t>
        </is>
      </c>
      <c r="K257" s="8">
        <f>IF(OR(F257="",G257="",J257=""),"",IF(AND(F257="Yes",G257="Yes",J257="Yes"),"Yes","No"))</f>
        <v/>
      </c>
      <c r="L257" s="8" t="inlineStr">
        <is>
          <t>R1</t>
        </is>
      </c>
    </row>
    <row r="258">
      <c r="A258" s="6" t="inlineStr">
        <is>
          <t>WS2125</t>
        </is>
      </c>
      <c r="B258" s="6" t="inlineStr">
        <is>
          <t>2001</t>
        </is>
      </c>
      <c r="C258" s="6" t="inlineStr">
        <is>
          <t>Chinese</t>
        </is>
      </c>
      <c r="D258" s="7" t="inlineStr">
        <is>
          <t>游走脾误诊为卵巢性腺瘤1例</t>
        </is>
      </c>
      <c r="K258" s="8">
        <f>IF(OR(F258="",G258="",J258=""),"",IF(AND(F258="Yes",G258="Yes",J258="Yes"),"Yes","No"))</f>
        <v/>
      </c>
      <c r="L258" s="8" t="inlineStr">
        <is>
          <t>R1</t>
        </is>
      </c>
    </row>
    <row r="259">
      <c r="A259" s="6" t="inlineStr">
        <is>
          <t>WS2127</t>
        </is>
      </c>
      <c r="B259" s="6" t="inlineStr">
        <is>
          <t>2001</t>
        </is>
      </c>
      <c r="C259" s="6" t="inlineStr">
        <is>
          <t>Chinese</t>
        </is>
      </c>
      <c r="D259" s="7" t="inlineStr">
        <is>
          <t>B超诊断游走脾蒂扭转脾梗塞1例</t>
        </is>
      </c>
      <c r="K259" s="8">
        <f>IF(OR(F259="",G259="",J259=""),"",IF(AND(F259="Yes",G259="Yes",J259="Yes"),"Yes","No"))</f>
        <v/>
      </c>
      <c r="L259" s="8" t="inlineStr">
        <is>
          <t>R1</t>
        </is>
      </c>
    </row>
    <row r="260">
      <c r="A260" s="6" t="inlineStr">
        <is>
          <t>WS2130</t>
        </is>
      </c>
      <c r="B260" s="6" t="inlineStr">
        <is>
          <t>2001</t>
        </is>
      </c>
      <c r="C260" s="6" t="inlineStr">
        <is>
          <t>Chinese</t>
        </is>
      </c>
      <c r="D260" s="7" t="inlineStr">
        <is>
          <t>小儿游走脾致脾梗死1例</t>
        </is>
      </c>
      <c r="K260" s="8">
        <f>IF(OR(F260="",G260="",J260=""),"",IF(AND(F260="Yes",G260="Yes",J260="Yes"),"Yes","No"))</f>
        <v/>
      </c>
      <c r="L260" s="8" t="inlineStr">
        <is>
          <t>R1</t>
        </is>
      </c>
    </row>
    <row r="261">
      <c r="A261" s="6" t="inlineStr">
        <is>
          <t>WS2135</t>
        </is>
      </c>
      <c r="B261" s="6" t="inlineStr">
        <is>
          <t>2001</t>
        </is>
      </c>
      <c r="C261" s="6" t="inlineStr">
        <is>
          <t>Chinese</t>
        </is>
      </c>
      <c r="D261" s="7" t="inlineStr">
        <is>
          <t>超声诊断小儿游走脾伴脾蒂扭转2例</t>
        </is>
      </c>
      <c r="K261" s="8">
        <f>IF(OR(F261="",G261="",J261=""),"",IF(AND(F261="Yes",G261="Yes",J261="Yes"),"Yes","No"))</f>
        <v/>
      </c>
      <c r="L261" s="8" t="inlineStr">
        <is>
          <t>R1</t>
        </is>
      </c>
    </row>
    <row r="262">
      <c r="A262" s="6" t="inlineStr">
        <is>
          <t>WS2137</t>
        </is>
      </c>
      <c r="B262" s="6" t="inlineStr">
        <is>
          <t>2000</t>
        </is>
      </c>
      <c r="C262" s="6" t="inlineStr">
        <is>
          <t>Chinese</t>
        </is>
      </c>
      <c r="D262" s="7" t="inlineStr">
        <is>
          <t>游走脾并蒂扭转1例报告</t>
        </is>
      </c>
      <c r="K262" s="8">
        <f>IF(OR(F262="",G262="",J262=""),"",IF(AND(F262="Yes",G262="Yes",J262="Yes"),"Yes","No"))</f>
        <v/>
      </c>
      <c r="L262" s="8" t="inlineStr">
        <is>
          <t>R1</t>
        </is>
      </c>
    </row>
    <row r="263">
      <c r="A263" s="6" t="inlineStr">
        <is>
          <t>WS2138</t>
        </is>
      </c>
      <c r="B263" s="6" t="inlineStr">
        <is>
          <t>2000</t>
        </is>
      </c>
      <c r="C263" s="6" t="inlineStr">
        <is>
          <t>Chinese</t>
        </is>
      </c>
      <c r="D263" s="7" t="inlineStr">
        <is>
          <t>游走脾伴脾蒂扭转1例报告</t>
        </is>
      </c>
      <c r="K263" s="8">
        <f>IF(OR(F263="",G263="",J263=""),"",IF(AND(F263="Yes",G263="Yes",J263="Yes"),"Yes","No"))</f>
        <v/>
      </c>
      <c r="L263" s="8" t="inlineStr">
        <is>
          <t>R1</t>
        </is>
      </c>
    </row>
    <row r="264">
      <c r="A264" s="6" t="inlineStr">
        <is>
          <t>WS2145</t>
        </is>
      </c>
      <c r="B264" s="6" t="inlineStr">
        <is>
          <t>2000</t>
        </is>
      </c>
      <c r="C264" s="6" t="inlineStr">
        <is>
          <t>Chinese</t>
        </is>
      </c>
      <c r="D264" s="7" t="inlineStr">
        <is>
          <t>游走脾并发胃扭转三例</t>
        </is>
      </c>
      <c r="K264" s="8">
        <f>IF(OR(F264="",G264="",J264=""),"",IF(AND(F264="Yes",G264="Yes",J264="Yes"),"Yes","No"))</f>
        <v/>
      </c>
      <c r="L264" s="8" t="inlineStr">
        <is>
          <t>R1</t>
        </is>
      </c>
    </row>
    <row r="265">
      <c r="A265" s="6" t="inlineStr">
        <is>
          <t>WS2313</t>
        </is>
      </c>
      <c r="B265" s="6" t="inlineStr">
        <is>
          <t>2021</t>
        </is>
      </c>
      <c r="C265" s="6" t="inlineStr">
        <is>
          <t>Chinese</t>
        </is>
      </c>
      <c r="D265" s="7" t="inlineStr">
        <is>
          <t>儿童脾扭转1例</t>
        </is>
      </c>
      <c r="K265" s="8">
        <f>IF(OR(F265="",G265="",J265=""),"",IF(AND(F265="Yes",G265="Yes",J265="Yes"),"Yes","No"))</f>
        <v/>
      </c>
      <c r="L265" s="8" t="inlineStr">
        <is>
          <t>R1</t>
        </is>
      </c>
    </row>
    <row r="266">
      <c r="A266" s="6" t="inlineStr">
        <is>
          <t>WS2314</t>
        </is>
      </c>
      <c r="B266" s="6" t="inlineStr">
        <is>
          <t>2014</t>
        </is>
      </c>
      <c r="C266" s="6" t="inlineStr">
        <is>
          <t>Chinese</t>
        </is>
      </c>
      <c r="D266" s="7" t="inlineStr">
        <is>
          <t>儿童游走脾并蒂扭转、脾坏死1例</t>
        </is>
      </c>
      <c r="K266" s="8">
        <f>IF(OR(F266="",G266="",J266=""),"",IF(AND(F266="Yes",G266="Yes",J266="Yes"),"Yes","No"))</f>
        <v/>
      </c>
      <c r="L266" s="8" t="inlineStr">
        <is>
          <t>R1</t>
        </is>
      </c>
    </row>
    <row r="267">
      <c r="A267" s="6" t="inlineStr">
        <is>
          <t>WS2317</t>
        </is>
      </c>
      <c r="B267" s="6" t="inlineStr">
        <is>
          <t>2007</t>
        </is>
      </c>
      <c r="C267" s="6" t="inlineStr">
        <is>
          <t>Chinese</t>
        </is>
      </c>
      <c r="D267" s="7" t="inlineStr">
        <is>
          <t>静脉滴注银杏达莫注射液过敏1例/斜视术后反复发生的结膜囊肿1例/异位脾误诊为盆腔肿物1例/侵蚀性葡萄胎引起心力衰竭1例</t>
        </is>
      </c>
      <c r="K267" s="8">
        <f>IF(OR(F267="",G267="",J267=""),"",IF(AND(F267="Yes",G267="Yes",J267="Yes"),"Yes","No"))</f>
        <v/>
      </c>
      <c r="L267" s="8" t="inlineStr">
        <is>
          <t>R1</t>
        </is>
      </c>
    </row>
    <row r="268">
      <c r="A268" s="6" t="inlineStr">
        <is>
          <t>WS2348</t>
        </is>
      </c>
      <c r="B268" s="6" t="inlineStr">
        <is>
          <t>2023</t>
        </is>
      </c>
      <c r="C268" s="6" t="inlineStr">
        <is>
          <t>Chinese</t>
        </is>
      </c>
      <c r="D268" s="7" t="inlineStr">
        <is>
          <t>儿童游走脾扭转并破裂出血1例报告并文献复习</t>
        </is>
      </c>
      <c r="K268" s="8">
        <f>IF(OR(F268="",G268="",J268=""),"",IF(AND(F268="Yes",G268="Yes",J268="Yes"),"Yes","No"))</f>
        <v/>
      </c>
      <c r="L268" s="8" t="inlineStr">
        <is>
          <t>R1</t>
        </is>
      </c>
    </row>
    <row r="269">
      <c r="A269" s="6" t="inlineStr">
        <is>
          <t>WS2480</t>
        </is>
      </c>
      <c r="B269" s="6" t="inlineStr">
        <is>
          <t>2010</t>
        </is>
      </c>
      <c r="C269" s="6" t="inlineStr">
        <is>
          <t>Chinese</t>
        </is>
      </c>
      <c r="D269" s="7" t="inlineStr">
        <is>
          <t>游走脾脏1例</t>
        </is>
      </c>
      <c r="K269" s="8">
        <f>IF(OR(F269="",G269="",J269=""),"",IF(AND(F269="Yes",G269="Yes",J269="Yes"),"Yes","No"))</f>
        <v/>
      </c>
      <c r="L269" s="8" t="inlineStr">
        <is>
          <t>R1</t>
        </is>
      </c>
    </row>
    <row r="270">
      <c r="A270" s="6" t="inlineStr">
        <is>
          <t>WS2484</t>
        </is>
      </c>
      <c r="B270" s="6" t="inlineStr">
        <is>
          <t>2010</t>
        </is>
      </c>
      <c r="C270" s="6" t="inlineStr">
        <is>
          <t>Chinese</t>
        </is>
      </c>
      <c r="D270" s="7" t="inlineStr">
        <is>
          <t>小儿游离脾扭转1例</t>
        </is>
      </c>
      <c r="K270" s="8">
        <f>IF(OR(F270="",G270="",J270=""),"",IF(AND(F270="Yes",G270="Yes",J270="Yes"),"Yes","No"))</f>
        <v/>
      </c>
      <c r="L270" s="8" t="inlineStr">
        <is>
          <t>R1</t>
        </is>
      </c>
    </row>
  </sheetData>
  <autoFilter ref="A1:M270"/>
  <dataValidations count="1">
    <dataValidation sqref="E2:J270" showDropDown="0" showInputMessage="0" showErrorMessage="0" allowBlank="1" type="list">
      <formula1>"Yes,No,Unclear"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Risk of bias R1 (blank)</dc:title>
  <dcterms:created xmlns:dcterms="http://purl.org/dc/terms/" xmlns:xsi="http://www.w3.org/2001/XMLSchema-instance" xsi:type="dcterms:W3CDTF">2026-10-25T07:47:09Z</dcterms:created>
  <dcterms:modified xmlns:dcterms="http://purl.org/dc/terms/" xmlns:xsi="http://www.w3.org/2001/XMLSchema-instance" xsi:type="dcterms:W3CDTF">2026-10-25T07:47:09Z</dcterms:modified>
</cp:coreProperties>
</file>