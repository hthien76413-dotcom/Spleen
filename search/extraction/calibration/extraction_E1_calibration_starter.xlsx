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ibration_list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Patient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Duration_calc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DE9D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7" fillId="11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提取校准：先做 10 篇（起始表）</t>
        </is>
      </c>
    </row>
    <row r="2" ht="32" customHeight="1">
      <c r="A2" s="20" t="inlineStr">
        <is>
          <t>这份文件里只有 10 篇报告的编号和提取员代码，没有任何数据。请只根据全文填写；做完之前不要打开对方的文件，也不要看预试验提取表，不要讨论具体的报告。</t>
        </is>
      </c>
    </row>
    <row r="3" ht="18" customHeight="1">
      <c r="A3" s="3" t="inlineStr">
        <is>
          <t>要做什么</t>
        </is>
      </c>
    </row>
    <row r="4" ht="48" customHeight="1">
      <c r="A4" s="2" t="inlineStr">
        <is>
          <t>• 提取员：E1 = 舒俊，E2 = 卞红强（Reports 表的 extractor 列已填好；Patients 表里新增的每一行也要填上）。一人一份，另存为自己的副本（`extraction_E1.xlsx` 或 `extraction_E2.xlsx`），每次用完另存带日期的副本，不覆盖旧的。</t>
        </is>
      </c>
    </row>
    <row r="5" ht="32" customHeight="1">
      <c r="A5" s="2" t="inlineStr">
        <is>
          <t>• Calibration_list 表是这 10 篇的名单（编号、标题、DOI、链接）。用自己电脑里已有的全文，按 WS 编号命名（如 WS0159.pdf）；PDF 和提取表都不要放进仓库。逐例资料在线上附录或补充材料里的，附录也要取到，取不到的告诉杨俊。</t>
        </is>
      </c>
    </row>
    <row r="6" ht="32" customHeight="1">
      <c r="A6" s="2" t="inlineStr">
        <is>
          <t>• 先读完整篇，再填表。Reports 表：每篇一行（已建好 10 行，其余列自己填）。Patients 表：每名符合条件的儿童一行，patient_id 写成 WS0159_P1、WS0159_P2…，report_id 填 WS 编号，extractor 填 E1 或 E2。</t>
        </is>
      </c>
    </row>
    <row r="7" ht="32" customHeight="1">
      <c r="A7" s="2" t="inlineStr">
        <is>
          <t>• 哪些儿童提取、哪些不提取：只提取 18 岁以下、报告里有个体描述的儿童；成人不提取；只有汇总数据的，人数填 Reports 表 n_children_aggregate，不进 Patients 表（提取说明第 3 节）。</t>
        </is>
      </c>
    </row>
    <row r="8" ht="48" customHeight="1">
      <c r="A8" s="2" t="inlineStr">
        <is>
          <t>• 两个关键变量：指数发作的持续天数（按 9 条换算规则，同时填 idx_dur_verbatim 原文写法和出处 src_exposure）；脾脏术中是否存活（viability，同时填依据 viab_basis 和出处 src_outcome）。规则和例子见提取说明第 5–8 节。</t>
        </is>
      </c>
    </row>
    <row r="9" ht="18" customHeight="1">
      <c r="A9" s="2" t="inlineStr">
        <is>
          <t>• 空白 = 还没提取；NR = 报告里没有这项信息。不要凭印象猜一个值，也不要用空白表示'报告没写'。拿不准的写在 notes，留待共识讨论。</t>
        </is>
      </c>
    </row>
    <row r="10" ht="18" customHeight="1">
      <c r="A10" s="2" t="inlineStr">
        <is>
          <t>• 灰色列是公式，不要改；表头前三行和 Lists 表不要改。下拉列表的格子不要手打列表以外的值。</t>
        </is>
      </c>
    </row>
    <row r="11" ht="18" customHeight="1">
      <c r="A11" s="2" t="inlineStr">
        <is>
          <t>• 只录不可识别的信息：不写姓名、住院号、出生日期、具体日期。</t>
        </is>
      </c>
    </row>
    <row r="12" ht="32" customHeight="1">
      <c r="A12" s="2" t="inlineStr">
        <is>
          <t>• 【不是提取规则，是请求】抽样时按摘要关键词没有找到用'范围'写法（如'2–3 个月'）表示病程的报告。若读全文时发现哪篇用了这种写法，请在该篇 notes 里写 range-wording，并把 WS 编号告诉杨俊。</t>
        </is>
      </c>
    </row>
    <row r="13" ht="18" customHeight="1">
      <c r="A13" s="3" t="inlineStr">
        <is>
          <t>做完以后</t>
        </is>
      </c>
    </row>
    <row r="14" ht="48" customHeight="1">
      <c r="A14" s="2" t="inlineStr">
        <is>
          <t>• 保存前对照提取说明第 11.1 节的自查清单；然后运行 `python3 -I tools/compare_extraction.py check 你的文件.xlsx --extractor E1`（E2 同理），把格式错误改掉。check 只看格式，不看对错，也不显示对方的任何内容。</t>
        </is>
      </c>
    </row>
    <row r="15" ht="32" customHeight="1">
      <c r="A15" s="2" t="inlineStr">
        <is>
          <t>• 把自己的文件交杨俊保管（提取说明第 2.1 节）。两人都交了以后，由杨俊决定谁运行 `compare`；分歧清单发给两位提取员，先讨论，讨论不了的交杨俊，把统一的读法写进提取说明第 12 节。</t>
        </is>
      </c>
    </row>
    <row r="16" ht="18" customHeight="1">
      <c r="A16" s="2" t="inlineStr">
        <is>
          <t>• 校准只有 10 篇，患者可能只有二三十人，kappa 不可靠，主要看分歧清单。校准用的 10 篇在正式提取里照样再做一遍，用校准后的规则。</t>
        </is>
      </c>
    </row>
    <row r="17" ht="18" customHeight="1">
      <c r="A17" s="3" t="inlineStr">
        <is>
          <t>没有验证的事</t>
        </is>
      </c>
    </row>
    <row r="18" ht="18" customHeight="1">
      <c r="A18" s="2" t="inlineStr">
        <is>
          <t>• 这份文件没有在 Excel 或 WPS 里打开过；下拉列表和版面实际是否正常没有验证。</t>
        </is>
      </c>
    </row>
    <row r="19" ht="18" customHeight="1"/>
    <row r="20" ht="18" customHeight="1"/>
    <row r="21" ht="18" customHeight="1"/>
    <row r="22" ht="36" customHeight="1"/>
    <row r="23" ht="36" customHeight="1"/>
    <row r="24" ht="54" customHeight="1"/>
    <row r="25" ht="54" customHeight="1"/>
    <row r="26" ht="36" customHeight="1"/>
    <row r="27" ht="36" customHeight="1"/>
    <row r="28" ht="36" customHeight="1"/>
    <row r="29" ht="18" customHeight="1"/>
    <row r="30" ht="5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10" customWidth="1" min="4" max="4"/>
    <col width="12" customWidth="1" min="5" max="5"/>
    <col width="70" customWidth="1" min="6" max="6"/>
    <col width="34" customWidth="1" min="7" max="7"/>
    <col width="60" customWidth="1" min="8" max="8"/>
  </cols>
  <sheetData>
    <row r="1">
      <c r="A1" s="21" t="inlineStr">
        <is>
          <t>No.</t>
        </is>
      </c>
      <c r="B1" s="21" t="inlineStr">
        <is>
          <t>WS ID</t>
        </is>
      </c>
      <c r="C1" s="21" t="inlineStr">
        <is>
          <t>Year</t>
        </is>
      </c>
      <c r="D1" s="21" t="inlineStr">
        <is>
          <t>Language</t>
        </is>
      </c>
      <c r="E1" s="21" t="inlineStr">
        <is>
          <t>Abstract in database record</t>
        </is>
      </c>
      <c r="F1" s="21" t="inlineStr">
        <is>
          <t>Title</t>
        </is>
      </c>
      <c r="G1" s="21" t="inlineStr">
        <is>
          <t>DOI</t>
        </is>
      </c>
      <c r="H1" s="21" t="inlineStr">
        <is>
          <t>Link</t>
        </is>
      </c>
    </row>
    <row r="2">
      <c r="A2" s="22" t="n">
        <v>1</v>
      </c>
      <c r="B2" s="22" t="inlineStr">
        <is>
          <t>WS0159</t>
        </is>
      </c>
      <c r="C2" s="22" t="inlineStr">
        <is>
          <t>2022</t>
        </is>
      </c>
      <c r="D2" s="22" t="inlineStr">
        <is>
          <t>English</t>
        </is>
      </c>
      <c r="E2" s="22" t="inlineStr">
        <is>
          <t>yes</t>
        </is>
      </c>
      <c r="F2" s="2" t="inlineStr">
        <is>
          <t>The Cause of an Unusual Abdominal Pain in Children: Splenic Torsiyon - Three Case Report.</t>
        </is>
      </c>
      <c r="G2" s="22" t="inlineStr">
        <is>
          <t>10.14744/semb.2021.64872</t>
        </is>
      </c>
      <c r="H2" s="22" t="inlineStr">
        <is>
          <t>https://pubmed.ncbi.nlm.nih.gov/36304217/</t>
        </is>
      </c>
    </row>
    <row r="3">
      <c r="A3" s="22" t="n">
        <v>2</v>
      </c>
      <c r="B3" s="22" t="inlineStr">
        <is>
          <t>WS0732</t>
        </is>
      </c>
      <c r="C3" s="22" t="inlineStr">
        <is>
          <t>2003</t>
        </is>
      </c>
      <c r="D3" s="22" t="inlineStr">
        <is>
          <t>English</t>
        </is>
      </c>
      <c r="E3" s="22" t="inlineStr">
        <is>
          <t>no</t>
        </is>
      </c>
      <c r="F3" s="2" t="inlineStr">
        <is>
          <t>Splenic torsion.</t>
        </is>
      </c>
      <c r="G3" s="22" t="inlineStr">
        <is>
          <t>10.1148/rg.232025110</t>
        </is>
      </c>
      <c r="H3" s="22" t="inlineStr">
        <is>
          <t>https://pubmed.ncbi.nlm.nih.gov/12640148/</t>
        </is>
      </c>
    </row>
    <row r="4">
      <c r="A4" s="22" t="n">
        <v>3</v>
      </c>
      <c r="B4" s="22" t="inlineStr">
        <is>
          <t>WS1859</t>
        </is>
      </c>
      <c r="C4" s="22" t="inlineStr">
        <is>
          <t>2024</t>
        </is>
      </c>
      <c r="D4" s="22" t="inlineStr">
        <is>
          <t>Chinese</t>
        </is>
      </c>
      <c r="E4" s="22" t="inlineStr">
        <is>
          <t>yes</t>
        </is>
      </c>
      <c r="F4" s="2" t="inlineStr">
        <is>
          <t>儿童脾扭转诊治的单中心回顾性研究</t>
        </is>
      </c>
      <c r="G4" s="22" t="inlineStr">
        <is>
          <t>10.3969/j.issn.2095-5340.2024.05.008</t>
        </is>
      </c>
      <c r="H4" s="22" t="inlineStr">
        <is>
          <t>https://d.wanfangdata.com.cn/periodical/CiBQZXJpb2RpY2FsQ0hJU29scjkyMDI2MDkxNTE0MjIxORIRZnl5eGR6enoyMDI0MDUwMDgaCGliMWIydWh6</t>
        </is>
      </c>
    </row>
    <row r="5">
      <c r="A5" s="22" t="n">
        <v>4</v>
      </c>
      <c r="B5" s="22" t="inlineStr">
        <is>
          <t>WS1903</t>
        </is>
      </c>
      <c r="C5" s="22" t="inlineStr">
        <is>
          <t>2020</t>
        </is>
      </c>
      <c r="D5" s="22" t="inlineStr">
        <is>
          <t>Chinese</t>
        </is>
      </c>
      <c r="E5" s="22" t="inlineStr">
        <is>
          <t>yes</t>
        </is>
      </c>
      <c r="F5" s="2" t="inlineStr">
        <is>
          <t>腹腔镜切除异位脾扭转1例报告</t>
        </is>
      </c>
      <c r="G5" s="22" t="inlineStr">
        <is>
          <t>10.13499/j.cnki.fqjwkzz.2020.03.239</t>
        </is>
      </c>
      <c r="H5" s="22" t="inlineStr">
        <is>
          <t>https://d.wanfangdata.com.cn/periodical/CiBQZXJpb2RpY2FsQ0hJU29scjkyMDI2MDkxNTE0MjIxORIQZnFqd2t6ejIwMjAwMzAyMBoIaWIxYjJ1aHo%3D</t>
        </is>
      </c>
    </row>
    <row r="6">
      <c r="A6" s="22" t="n">
        <v>5</v>
      </c>
      <c r="B6" s="22" t="inlineStr">
        <is>
          <t>WS0709</t>
        </is>
      </c>
      <c r="C6" s="22" t="inlineStr">
        <is>
          <t>2004</t>
        </is>
      </c>
      <c r="D6" s="22" t="inlineStr">
        <is>
          <t>English</t>
        </is>
      </c>
      <c r="E6" s="22" t="inlineStr">
        <is>
          <t>yes</t>
        </is>
      </c>
      <c r="F6" s="2" t="inlineStr">
        <is>
          <t>Acute torsion of the spleen: diagnosis and management.</t>
        </is>
      </c>
      <c r="G6" s="22" t="inlineStr">
        <is>
          <t>10.1007/s00383-003-1110-6</t>
        </is>
      </c>
      <c r="H6" s="22" t="inlineStr">
        <is>
          <t>https://pubmed.ncbi.nlm.nih.gov/14758498/</t>
        </is>
      </c>
    </row>
    <row r="7">
      <c r="A7" s="22" t="n">
        <v>6</v>
      </c>
      <c r="B7" s="22" t="inlineStr">
        <is>
          <t>WS1367</t>
        </is>
      </c>
      <c r="C7" s="22" t="inlineStr">
        <is>
          <t>2025</t>
        </is>
      </c>
      <c r="D7" s="22" t="inlineStr">
        <is>
          <t>English</t>
        </is>
      </c>
      <c r="E7" s="22" t="inlineStr">
        <is>
          <t>yes</t>
        </is>
      </c>
      <c r="F7" s="2" t="inlineStr">
        <is>
          <t>Beyond the usual: three unique cases of wandering spleen in Indonesia</t>
        </is>
      </c>
      <c r="G7" s="22" t="inlineStr">
        <is>
          <t>10.1186/s43055-025-01488-z</t>
        </is>
      </c>
      <c r="H7" s="22" t="inlineStr">
        <is>
          <t>https://www.scopus.com/pages/publications/105006757181?origin=resultslist</t>
        </is>
      </c>
    </row>
    <row r="8">
      <c r="A8" s="22" t="n">
        <v>7</v>
      </c>
      <c r="B8" s="22" t="inlineStr">
        <is>
          <t>WS0551</t>
        </is>
      </c>
      <c r="C8" s="22" t="inlineStr">
        <is>
          <t>2010</t>
        </is>
      </c>
      <c r="D8" s="22" t="inlineStr">
        <is>
          <t>English</t>
        </is>
      </c>
      <c r="E8" s="22" t="inlineStr">
        <is>
          <t>yes</t>
        </is>
      </c>
      <c r="F8" s="2" t="inlineStr">
        <is>
          <t>Multimodality imaging of a neonatal wandering spleen.</t>
        </is>
      </c>
      <c r="G8" s="22" t="inlineStr">
        <is>
          <t>10.1016/j.clinimag.2009.09.001</t>
        </is>
      </c>
      <c r="H8" s="22" t="inlineStr">
        <is>
          <t>https://pubmed.ncbi.nlm.nih.gov/20630344/</t>
        </is>
      </c>
    </row>
    <row r="9">
      <c r="A9" s="22" t="n">
        <v>8</v>
      </c>
      <c r="B9" s="22" t="inlineStr">
        <is>
          <t>WS1880</t>
        </is>
      </c>
      <c r="C9" s="22" t="inlineStr">
        <is>
          <t>2022</t>
        </is>
      </c>
      <c r="D9" s="22" t="inlineStr">
        <is>
          <t>Chinese</t>
        </is>
      </c>
      <c r="E9" s="22" t="inlineStr">
        <is>
          <t>yes</t>
        </is>
      </c>
      <c r="F9" s="2" t="inlineStr">
        <is>
          <t>游走脾急腹症1例</t>
        </is>
      </c>
      <c r="G9" s="22" t="inlineStr">
        <is>
          <t>10.3969/j.issn.1004-3594.2022.12.016</t>
        </is>
      </c>
      <c r="H9" s="22" t="inlineStr">
        <is>
          <t>https://d.wanfangdata.com.cn/periodical/CiBQZXJpb2RpY2FsQ0hJU29scjkyMDI2MDkxNTE0MjIxORINd2p5eDIwMjIxMjAxNhoIaWIxYjJ1aHo%3D</t>
        </is>
      </c>
    </row>
    <row r="10">
      <c r="A10" s="22" t="n">
        <v>9</v>
      </c>
      <c r="B10" s="22" t="inlineStr">
        <is>
          <t>WS1388</t>
        </is>
      </c>
      <c r="C10" s="22" t="inlineStr">
        <is>
          <t>2024</t>
        </is>
      </c>
      <c r="D10" s="22" t="inlineStr">
        <is>
          <t>English</t>
        </is>
      </c>
      <c r="E10" s="22" t="inlineStr">
        <is>
          <t>yes</t>
        </is>
      </c>
      <c r="F10" s="2" t="inlineStr">
        <is>
          <t>Recurrent splenic volvulus after splenopexy in an 11-year-old child: A case report</t>
        </is>
      </c>
      <c r="G10" s="22" t="inlineStr">
        <is>
          <t>10.1016/j.epsc.2024.102877</t>
        </is>
      </c>
      <c r="H10" s="22" t="inlineStr">
        <is>
          <t>https://www.scopus.com/pages/publications/85204080322?origin=resultslist</t>
        </is>
      </c>
    </row>
    <row r="11">
      <c r="A11" s="22" t="n">
        <v>10</v>
      </c>
      <c r="B11" s="22" t="inlineStr">
        <is>
          <t>WS0668</t>
        </is>
      </c>
      <c r="C11" s="22" t="inlineStr">
        <is>
          <t>2005</t>
        </is>
      </c>
      <c r="D11" s="22" t="inlineStr">
        <is>
          <t>English</t>
        </is>
      </c>
      <c r="E11" s="22" t="inlineStr">
        <is>
          <t>yes</t>
        </is>
      </c>
      <c r="F11" s="2" t="inlineStr">
        <is>
          <t>Wandering spleen--the challenge of ultrasound diagnosis: report of 7 cases.</t>
        </is>
      </c>
      <c r="G11" s="22" t="inlineStr">
        <is>
          <t>10.1002/jcu.20165</t>
        </is>
      </c>
      <c r="H11" s="22" t="inlineStr">
        <is>
          <t>https://pubmed.ncbi.nlm.nih.gov/16281274/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Q8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4" customWidth="1" min="4" max="4"/>
    <col width="12" customWidth="1" min="5" max="5"/>
    <col width="10" customWidth="1" min="6" max="6"/>
    <col width="20" customWidth="1" min="7" max="7"/>
    <col width="11" customWidth="1" min="8" max="8"/>
    <col width="26" customWidth="1" min="9" max="9"/>
    <col width="14" customWidth="1" min="10" max="10"/>
    <col width="16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30" customWidth="1" min="17" max="17"/>
  </cols>
  <sheetData>
    <row r="1" ht="22" customHeight="1">
      <c r="A1" s="4" t="inlineStr">
        <is>
          <t>report_id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journal</t>
        </is>
      </c>
      <c r="E1" s="5" t="inlineStr">
        <is>
          <t>country</t>
        </is>
      </c>
      <c r="F1" s="5" t="inlineStr">
        <is>
          <t>language</t>
        </is>
      </c>
      <c r="G1" s="5" t="inlineStr">
        <is>
          <t>design</t>
        </is>
      </c>
      <c r="H1" s="5" t="inlineStr">
        <is>
          <t>consecutive</t>
        </is>
      </c>
      <c r="I1" s="5" t="inlineStr">
        <is>
          <t>institution</t>
        </is>
      </c>
      <c r="J1" s="5" t="inlineStr">
        <is>
          <t>study_period</t>
        </is>
      </c>
      <c r="K1" s="5" t="inlineStr">
        <is>
          <t>linked_duplicates</t>
        </is>
      </c>
      <c r="L1" s="5" t="inlineStr">
        <is>
          <t>n_children_individual</t>
        </is>
      </c>
      <c r="M1" s="5" t="inlineStr">
        <is>
          <t>n_children_aggregate</t>
        </is>
      </c>
      <c r="N1" s="5" t="inlineStr">
        <is>
          <t>pub_period</t>
        </is>
      </c>
      <c r="O1" s="4" t="inlineStr">
        <is>
          <t>extractor</t>
        </is>
      </c>
      <c r="P1" s="4" t="inlineStr">
        <is>
          <t>date_extracted</t>
        </is>
      </c>
      <c r="Q1" s="6" t="inlineStr">
        <is>
          <t>notes</t>
        </is>
      </c>
    </row>
    <row r="2" ht="62" customHeight="1">
      <c r="A2" s="4" t="inlineStr">
        <is>
          <t>Report ID</t>
        </is>
      </c>
      <c r="B2" s="5" t="inlineStr">
        <is>
          <t>First author</t>
        </is>
      </c>
      <c r="C2" s="5" t="inlineStr">
        <is>
          <t>Year</t>
        </is>
      </c>
      <c r="D2" s="5" t="inlineStr">
        <is>
          <t>Journal</t>
        </is>
      </c>
      <c r="E2" s="5" t="inlineStr">
        <is>
          <t>Country</t>
        </is>
      </c>
      <c r="F2" s="5" t="inlineStr">
        <is>
          <t>Language</t>
        </is>
      </c>
      <c r="G2" s="5" t="inlineStr">
        <is>
          <t>Design</t>
        </is>
      </c>
      <c r="H2" s="5" t="inlineStr">
        <is>
          <t>Consecutive series</t>
        </is>
      </c>
      <c r="I2" s="5" t="inlineStr">
        <is>
          <t>Institution</t>
        </is>
      </c>
      <c r="J2" s="5" t="inlineStr">
        <is>
          <t>Study period</t>
        </is>
      </c>
      <c r="K2" s="5" t="inlineStr">
        <is>
          <t>Linked duplicate reports</t>
        </is>
      </c>
      <c r="L2" s="5" t="inlineStr">
        <is>
          <t>Children with individual data</t>
        </is>
      </c>
      <c r="M2" s="5" t="inlineStr">
        <is>
          <t>Children aggregate-only</t>
        </is>
      </c>
      <c r="N2" s="5" t="inlineStr">
        <is>
          <t>Period of publication (derived)</t>
        </is>
      </c>
      <c r="O2" s="4" t="inlineStr">
        <is>
          <t>Extractor</t>
        </is>
      </c>
      <c r="P2" s="4" t="inlineStr">
        <is>
          <t>Date extracted</t>
        </is>
      </c>
      <c r="Q2" s="6" t="inlineStr">
        <is>
          <t>Notes</t>
        </is>
      </c>
    </row>
    <row r="3" ht="100" customHeight="1">
      <c r="A3" s="7" t="inlineStr">
        <is>
          <t>WS 编号；本机构用 OWN</t>
        </is>
      </c>
      <c r="B3" s="7" t="inlineStr"/>
      <c r="C3" s="7" t="inlineStr">
        <is>
          <t>发表年份</t>
        </is>
      </c>
      <c r="D3" s="7" t="inlineStr"/>
      <c r="E3" s="7" t="inlineStr"/>
      <c r="F3" s="7" t="inlineStr">
        <is>
          <t>English / Chinese</t>
        </is>
      </c>
      <c r="G3" s="7" t="inlineStr">
        <is>
          <t>Case report / Case series / Cohort / Letter / Review with new patients</t>
        </is>
      </c>
      <c r="H3" s="7" t="inlineStr">
        <is>
          <t>Yes / No / Unclear</t>
        </is>
      </c>
      <c r="I3" s="7" t="inlineStr">
        <is>
          <t>用于重复核对</t>
        </is>
      </c>
      <c r="J3" s="7" t="inlineStr">
        <is>
          <t>用于重复核对</t>
        </is>
      </c>
      <c r="K3" s="7" t="inlineStr">
        <is>
          <t>同一患者的其他报告 WS 编号</t>
        </is>
      </c>
      <c r="L3" s="7" t="inlineStr">
        <is>
          <t>整数</t>
        </is>
      </c>
      <c r="M3" s="7" t="inlineStr">
        <is>
          <t>整数；&gt;0 时去 IPD_requests 表登记</t>
        </is>
      </c>
      <c r="N3" s="7" t="inlineStr">
        <is>
          <t>公式，勿改：before 2000 / 2000-2014 / 2015 onward（第 16 节）</t>
        </is>
      </c>
      <c r="O3" s="7" t="inlineStr">
        <is>
          <t>E1 = 舒俊，E2 = 卞红强，Consensus</t>
        </is>
      </c>
      <c r="P3" s="7" t="inlineStr">
        <is>
          <t>yyyy-mm-dd</t>
        </is>
      </c>
      <c r="Q3" s="7" t="inlineStr"/>
    </row>
    <row r="4">
      <c r="A4" t="inlineStr">
        <is>
          <t>WS0159</t>
        </is>
      </c>
      <c r="N4" s="9">
        <f>IF(ISNUMBER(C4),IF(C4&lt;2000,"before 2000",IF(C4&lt;=2014,"2000-2014","2015 onward")),"")</f>
        <v/>
      </c>
      <c r="O4" t="inlineStr">
        <is>
          <t>E1</t>
        </is>
      </c>
      <c r="P4" s="8" t="n"/>
    </row>
    <row r="5">
      <c r="A5" t="inlineStr">
        <is>
          <t>WS0732</t>
        </is>
      </c>
      <c r="N5" s="9">
        <f>IF(ISNUMBER(C5),IF(C5&lt;2000,"before 2000",IF(C5&lt;=2014,"2000-2014","2015 onward")),"")</f>
        <v/>
      </c>
      <c r="O5" t="inlineStr">
        <is>
          <t>E1</t>
        </is>
      </c>
      <c r="P5" s="8" t="n"/>
    </row>
    <row r="6">
      <c r="A6" t="inlineStr">
        <is>
          <t>WS1859</t>
        </is>
      </c>
      <c r="N6" s="9">
        <f>IF(ISNUMBER(C6),IF(C6&lt;2000,"before 2000",IF(C6&lt;=2014,"2000-2014","2015 onward")),"")</f>
        <v/>
      </c>
      <c r="O6" t="inlineStr">
        <is>
          <t>E1</t>
        </is>
      </c>
      <c r="P6" s="8" t="n"/>
    </row>
    <row r="7">
      <c r="A7" t="inlineStr">
        <is>
          <t>WS1903</t>
        </is>
      </c>
      <c r="N7" s="9">
        <f>IF(ISNUMBER(C7),IF(C7&lt;2000,"before 2000",IF(C7&lt;=2014,"2000-2014","2015 onward")),"")</f>
        <v/>
      </c>
      <c r="O7" t="inlineStr">
        <is>
          <t>E1</t>
        </is>
      </c>
      <c r="P7" s="8" t="n"/>
    </row>
    <row r="8">
      <c r="A8" t="inlineStr">
        <is>
          <t>WS0709</t>
        </is>
      </c>
      <c r="N8" s="9">
        <f>IF(ISNUMBER(C8),IF(C8&lt;2000,"before 2000",IF(C8&lt;=2014,"2000-2014","2015 onward")),"")</f>
        <v/>
      </c>
      <c r="O8" t="inlineStr">
        <is>
          <t>E1</t>
        </is>
      </c>
      <c r="P8" s="8" t="n"/>
    </row>
    <row r="9">
      <c r="A9" t="inlineStr">
        <is>
          <t>WS1367</t>
        </is>
      </c>
      <c r="N9" s="9">
        <f>IF(ISNUMBER(C9),IF(C9&lt;2000,"before 2000",IF(C9&lt;=2014,"2000-2014","2015 onward")),"")</f>
        <v/>
      </c>
      <c r="O9" t="inlineStr">
        <is>
          <t>E1</t>
        </is>
      </c>
      <c r="P9" s="8" t="n"/>
    </row>
    <row r="10">
      <c r="A10" t="inlineStr">
        <is>
          <t>WS0551</t>
        </is>
      </c>
      <c r="N10" s="9">
        <f>IF(ISNUMBER(C10),IF(C10&lt;2000,"before 2000",IF(C10&lt;=2014,"2000-2014","2015 onward")),"")</f>
        <v/>
      </c>
      <c r="O10" t="inlineStr">
        <is>
          <t>E1</t>
        </is>
      </c>
      <c r="P10" s="8" t="n"/>
    </row>
    <row r="11">
      <c r="A11" t="inlineStr">
        <is>
          <t>WS1880</t>
        </is>
      </c>
      <c r="N11" s="9">
        <f>IF(ISNUMBER(C11),IF(C11&lt;2000,"before 2000",IF(C11&lt;=2014,"2000-2014","2015 onward")),"")</f>
        <v/>
      </c>
      <c r="O11" t="inlineStr">
        <is>
          <t>E1</t>
        </is>
      </c>
      <c r="P11" s="8" t="n"/>
    </row>
    <row r="12">
      <c r="A12" t="inlineStr">
        <is>
          <t>WS1388</t>
        </is>
      </c>
      <c r="N12" s="9">
        <f>IF(ISNUMBER(C12),IF(C12&lt;2000,"before 2000",IF(C12&lt;=2014,"2000-2014","2015 onward")),"")</f>
        <v/>
      </c>
      <c r="O12" t="inlineStr">
        <is>
          <t>E1</t>
        </is>
      </c>
      <c r="P12" s="8" t="n"/>
    </row>
    <row r="13">
      <c r="A13" t="inlineStr">
        <is>
          <t>WS0668</t>
        </is>
      </c>
      <c r="N13" s="9">
        <f>IF(ISNUMBER(C13),IF(C13&lt;2000,"before 2000",IF(C13&lt;=2014,"2000-2014","2015 onward")),"")</f>
        <v/>
      </c>
      <c r="O13" t="inlineStr">
        <is>
          <t>E1</t>
        </is>
      </c>
      <c r="P13" s="8" t="n"/>
    </row>
    <row r="14">
      <c r="N14" s="9">
        <f>IF(ISNUMBER(C14),IF(C14&lt;2000,"before 2000",IF(C14&lt;=2014,"2000-2014","2015 onward")),"")</f>
        <v/>
      </c>
      <c r="P14" s="8" t="n"/>
    </row>
    <row r="15">
      <c r="N15" s="9">
        <f>IF(ISNUMBER(C15),IF(C15&lt;2000,"before 2000",IF(C15&lt;=2014,"2000-2014","2015 onward")),"")</f>
        <v/>
      </c>
      <c r="P15" s="8" t="n"/>
    </row>
    <row r="16">
      <c r="N16" s="9">
        <f>IF(ISNUMBER(C16),IF(C16&lt;2000,"before 2000",IF(C16&lt;=2014,"2000-2014","2015 onward")),"")</f>
        <v/>
      </c>
      <c r="P16" s="8" t="n"/>
    </row>
    <row r="17">
      <c r="N17" s="9">
        <f>IF(ISNUMBER(C17),IF(C17&lt;2000,"before 2000",IF(C17&lt;=2014,"2000-2014","2015 onward")),"")</f>
        <v/>
      </c>
      <c r="P17" s="8" t="n"/>
    </row>
    <row r="18">
      <c r="N18" s="9">
        <f>IF(ISNUMBER(C18),IF(C18&lt;2000,"before 2000",IF(C18&lt;=2014,"2000-2014","2015 onward")),"")</f>
        <v/>
      </c>
      <c r="P18" s="8" t="n"/>
    </row>
    <row r="19">
      <c r="N19" s="9">
        <f>IF(ISNUMBER(C19),IF(C19&lt;2000,"before 2000",IF(C19&lt;=2014,"2000-2014","2015 onward")),"")</f>
        <v/>
      </c>
      <c r="P19" s="8" t="n"/>
    </row>
    <row r="20">
      <c r="N20" s="9">
        <f>IF(ISNUMBER(C20),IF(C20&lt;2000,"before 2000",IF(C20&lt;=2014,"2000-2014","2015 onward")),"")</f>
        <v/>
      </c>
      <c r="P20" s="8" t="n"/>
    </row>
    <row r="21">
      <c r="N21" s="9">
        <f>IF(ISNUMBER(C21),IF(C21&lt;2000,"before 2000",IF(C21&lt;=2014,"2000-2014","2015 onward")),"")</f>
        <v/>
      </c>
      <c r="P21" s="8" t="n"/>
    </row>
    <row r="22">
      <c r="N22" s="9">
        <f>IF(ISNUMBER(C22),IF(C22&lt;2000,"before 2000",IF(C22&lt;=2014,"2000-2014","2015 onward")),"")</f>
        <v/>
      </c>
      <c r="P22" s="8" t="n"/>
    </row>
    <row r="23">
      <c r="N23" s="9">
        <f>IF(ISNUMBER(C23),IF(C23&lt;2000,"before 2000",IF(C23&lt;=2014,"2000-2014","2015 onward")),"")</f>
        <v/>
      </c>
      <c r="P23" s="8" t="n"/>
    </row>
    <row r="24">
      <c r="N24" s="9">
        <f>IF(ISNUMBER(C24),IF(C24&lt;2000,"before 2000",IF(C24&lt;=2014,"2000-2014","2015 onward")),"")</f>
        <v/>
      </c>
      <c r="P24" s="8" t="n"/>
    </row>
    <row r="25">
      <c r="N25" s="9">
        <f>IF(ISNUMBER(C25),IF(C25&lt;2000,"before 2000",IF(C25&lt;=2014,"2000-2014","2015 onward")),"")</f>
        <v/>
      </c>
      <c r="P25" s="8" t="n"/>
    </row>
    <row r="26">
      <c r="N26" s="9">
        <f>IF(ISNUMBER(C26),IF(C26&lt;2000,"before 2000",IF(C26&lt;=2014,"2000-2014","2015 onward")),"")</f>
        <v/>
      </c>
      <c r="P26" s="8" t="n"/>
    </row>
    <row r="27">
      <c r="N27" s="9">
        <f>IF(ISNUMBER(C27),IF(C27&lt;2000,"before 2000",IF(C27&lt;=2014,"2000-2014","2015 onward")),"")</f>
        <v/>
      </c>
      <c r="P27" s="8" t="n"/>
    </row>
    <row r="28">
      <c r="N28" s="9">
        <f>IF(ISNUMBER(C28),IF(C28&lt;2000,"before 2000",IF(C28&lt;=2014,"2000-2014","2015 onward")),"")</f>
        <v/>
      </c>
      <c r="P28" s="8" t="n"/>
    </row>
    <row r="29">
      <c r="N29" s="9">
        <f>IF(ISNUMBER(C29),IF(C29&lt;2000,"before 2000",IF(C29&lt;=2014,"2000-2014","2015 onward")),"")</f>
        <v/>
      </c>
      <c r="P29" s="8" t="n"/>
    </row>
    <row r="30">
      <c r="N30" s="9">
        <f>IF(ISNUMBER(C30),IF(C30&lt;2000,"before 2000",IF(C30&lt;=2014,"2000-2014","2015 onward")),"")</f>
        <v/>
      </c>
      <c r="P30" s="8" t="n"/>
    </row>
    <row r="31">
      <c r="N31" s="9">
        <f>IF(ISNUMBER(C31),IF(C31&lt;2000,"before 2000",IF(C31&lt;=2014,"2000-2014","2015 onward")),"")</f>
        <v/>
      </c>
      <c r="P31" s="8" t="n"/>
    </row>
    <row r="32">
      <c r="N32" s="9">
        <f>IF(ISNUMBER(C32),IF(C32&lt;2000,"before 2000",IF(C32&lt;=2014,"2000-2014","2015 onward")),"")</f>
        <v/>
      </c>
      <c r="P32" s="8" t="n"/>
    </row>
    <row r="33">
      <c r="N33" s="9">
        <f>IF(ISNUMBER(C33),IF(C33&lt;2000,"before 2000",IF(C33&lt;=2014,"2000-2014","2015 onward")),"")</f>
        <v/>
      </c>
      <c r="P33" s="8" t="n"/>
    </row>
    <row r="34">
      <c r="N34" s="9">
        <f>IF(ISNUMBER(C34),IF(C34&lt;2000,"before 2000",IF(C34&lt;=2014,"2000-2014","2015 onward")),"")</f>
        <v/>
      </c>
      <c r="P34" s="8" t="n"/>
    </row>
    <row r="35">
      <c r="N35" s="9">
        <f>IF(ISNUMBER(C35),IF(C35&lt;2000,"before 2000",IF(C35&lt;=2014,"2000-2014","2015 onward")),"")</f>
        <v/>
      </c>
      <c r="P35" s="8" t="n"/>
    </row>
    <row r="36">
      <c r="N36" s="9">
        <f>IF(ISNUMBER(C36),IF(C36&lt;2000,"before 2000",IF(C36&lt;=2014,"2000-2014","2015 onward")),"")</f>
        <v/>
      </c>
      <c r="P36" s="8" t="n"/>
    </row>
    <row r="37">
      <c r="N37" s="9">
        <f>IF(ISNUMBER(C37),IF(C37&lt;2000,"before 2000",IF(C37&lt;=2014,"2000-2014","2015 onward")),"")</f>
        <v/>
      </c>
      <c r="P37" s="8" t="n"/>
    </row>
    <row r="38">
      <c r="N38" s="9">
        <f>IF(ISNUMBER(C38),IF(C38&lt;2000,"before 2000",IF(C38&lt;=2014,"2000-2014","2015 onward")),"")</f>
        <v/>
      </c>
      <c r="P38" s="8" t="n"/>
    </row>
    <row r="39">
      <c r="N39" s="9">
        <f>IF(ISNUMBER(C39),IF(C39&lt;2000,"before 2000",IF(C39&lt;=2014,"2000-2014","2015 onward")),"")</f>
        <v/>
      </c>
      <c r="P39" s="8" t="n"/>
    </row>
    <row r="40">
      <c r="N40" s="9">
        <f>IF(ISNUMBER(C40),IF(C40&lt;2000,"before 2000",IF(C40&lt;=2014,"2000-2014","2015 onward")),"")</f>
        <v/>
      </c>
      <c r="P40" s="8" t="n"/>
    </row>
    <row r="41">
      <c r="N41" s="9">
        <f>IF(ISNUMBER(C41),IF(C41&lt;2000,"before 2000",IF(C41&lt;=2014,"2000-2014","2015 onward")),"")</f>
        <v/>
      </c>
      <c r="P41" s="8" t="n"/>
    </row>
    <row r="42">
      <c r="N42" s="9">
        <f>IF(ISNUMBER(C42),IF(C42&lt;2000,"before 2000",IF(C42&lt;=2014,"2000-2014","2015 onward")),"")</f>
        <v/>
      </c>
      <c r="P42" s="8" t="n"/>
    </row>
    <row r="43">
      <c r="N43" s="9">
        <f>IF(ISNUMBER(C43),IF(C43&lt;2000,"before 2000",IF(C43&lt;=2014,"2000-2014","2015 onward")),"")</f>
        <v/>
      </c>
      <c r="P43" s="8" t="n"/>
    </row>
    <row r="44">
      <c r="N44" s="9">
        <f>IF(ISNUMBER(C44),IF(C44&lt;2000,"before 2000",IF(C44&lt;=2014,"2000-2014","2015 onward")),"")</f>
        <v/>
      </c>
      <c r="P44" s="8" t="n"/>
    </row>
    <row r="45">
      <c r="N45" s="9">
        <f>IF(ISNUMBER(C45),IF(C45&lt;2000,"before 2000",IF(C45&lt;=2014,"2000-2014","2015 onward")),"")</f>
        <v/>
      </c>
      <c r="P45" s="8" t="n"/>
    </row>
    <row r="46">
      <c r="N46" s="9">
        <f>IF(ISNUMBER(C46),IF(C46&lt;2000,"before 2000",IF(C46&lt;=2014,"2000-2014","2015 onward")),"")</f>
        <v/>
      </c>
      <c r="P46" s="8" t="n"/>
    </row>
    <row r="47">
      <c r="N47" s="9">
        <f>IF(ISNUMBER(C47),IF(C47&lt;2000,"before 2000",IF(C47&lt;=2014,"2000-2014","2015 onward")),"")</f>
        <v/>
      </c>
      <c r="P47" s="8" t="n"/>
    </row>
    <row r="48">
      <c r="N48" s="9">
        <f>IF(ISNUMBER(C48),IF(C48&lt;2000,"before 2000",IF(C48&lt;=2014,"2000-2014","2015 onward")),"")</f>
        <v/>
      </c>
      <c r="P48" s="8" t="n"/>
    </row>
    <row r="49">
      <c r="N49" s="9">
        <f>IF(ISNUMBER(C49),IF(C49&lt;2000,"before 2000",IF(C49&lt;=2014,"2000-2014","2015 onward")),"")</f>
        <v/>
      </c>
      <c r="P49" s="8" t="n"/>
    </row>
    <row r="50">
      <c r="N50" s="9">
        <f>IF(ISNUMBER(C50),IF(C50&lt;2000,"before 2000",IF(C50&lt;=2014,"2000-2014","2015 onward")),"")</f>
        <v/>
      </c>
      <c r="P50" s="8" t="n"/>
    </row>
    <row r="51">
      <c r="N51" s="9">
        <f>IF(ISNUMBER(C51),IF(C51&lt;2000,"before 2000",IF(C51&lt;=2014,"2000-2014","2015 onward")),"")</f>
        <v/>
      </c>
      <c r="P51" s="8" t="n"/>
    </row>
    <row r="52">
      <c r="N52" s="9">
        <f>IF(ISNUMBER(C52),IF(C52&lt;2000,"before 2000",IF(C52&lt;=2014,"2000-2014","2015 onward")),"")</f>
        <v/>
      </c>
      <c r="P52" s="8" t="n"/>
    </row>
    <row r="53">
      <c r="N53" s="9">
        <f>IF(ISNUMBER(C53),IF(C53&lt;2000,"before 2000",IF(C53&lt;=2014,"2000-2014","2015 onward")),"")</f>
        <v/>
      </c>
      <c r="P53" s="8" t="n"/>
    </row>
    <row r="54">
      <c r="N54" s="9">
        <f>IF(ISNUMBER(C54),IF(C54&lt;2000,"before 2000",IF(C54&lt;=2014,"2000-2014","2015 onward")),"")</f>
        <v/>
      </c>
      <c r="P54" s="8" t="n"/>
    </row>
    <row r="55">
      <c r="N55" s="9">
        <f>IF(ISNUMBER(C55),IF(C55&lt;2000,"before 2000",IF(C55&lt;=2014,"2000-2014","2015 onward")),"")</f>
        <v/>
      </c>
      <c r="P55" s="8" t="n"/>
    </row>
    <row r="56">
      <c r="N56" s="9">
        <f>IF(ISNUMBER(C56),IF(C56&lt;2000,"before 2000",IF(C56&lt;=2014,"2000-2014","2015 onward")),"")</f>
        <v/>
      </c>
      <c r="P56" s="8" t="n"/>
    </row>
    <row r="57">
      <c r="N57" s="9">
        <f>IF(ISNUMBER(C57),IF(C57&lt;2000,"before 2000",IF(C57&lt;=2014,"2000-2014","2015 onward")),"")</f>
        <v/>
      </c>
      <c r="P57" s="8" t="n"/>
    </row>
    <row r="58">
      <c r="N58" s="9">
        <f>IF(ISNUMBER(C58),IF(C58&lt;2000,"before 2000",IF(C58&lt;=2014,"2000-2014","2015 onward")),"")</f>
        <v/>
      </c>
      <c r="P58" s="8" t="n"/>
    </row>
    <row r="59">
      <c r="N59" s="9">
        <f>IF(ISNUMBER(C59),IF(C59&lt;2000,"before 2000",IF(C59&lt;=2014,"2000-2014","2015 onward")),"")</f>
        <v/>
      </c>
      <c r="P59" s="8" t="n"/>
    </row>
    <row r="60">
      <c r="N60" s="9">
        <f>IF(ISNUMBER(C60),IF(C60&lt;2000,"before 2000",IF(C60&lt;=2014,"2000-2014","2015 onward")),"")</f>
        <v/>
      </c>
      <c r="P60" s="8" t="n"/>
    </row>
    <row r="61">
      <c r="N61" s="9">
        <f>IF(ISNUMBER(C61),IF(C61&lt;2000,"before 2000",IF(C61&lt;=2014,"2000-2014","2015 onward")),"")</f>
        <v/>
      </c>
      <c r="P61" s="8" t="n"/>
    </row>
    <row r="62">
      <c r="N62" s="9">
        <f>IF(ISNUMBER(C62),IF(C62&lt;2000,"before 2000",IF(C62&lt;=2014,"2000-2014","2015 onward")),"")</f>
        <v/>
      </c>
      <c r="P62" s="8" t="n"/>
    </row>
    <row r="63">
      <c r="N63" s="9">
        <f>IF(ISNUMBER(C63),IF(C63&lt;2000,"before 2000",IF(C63&lt;=2014,"2000-2014","2015 onward")),"")</f>
        <v/>
      </c>
      <c r="P63" s="8" t="n"/>
    </row>
    <row r="64">
      <c r="N64" s="9">
        <f>IF(ISNUMBER(C64),IF(C64&lt;2000,"before 2000",IF(C64&lt;=2014,"2000-2014","2015 onward")),"")</f>
        <v/>
      </c>
      <c r="P64" s="8" t="n"/>
    </row>
    <row r="65">
      <c r="N65" s="9">
        <f>IF(ISNUMBER(C65),IF(C65&lt;2000,"before 2000",IF(C65&lt;=2014,"2000-2014","2015 onward")),"")</f>
        <v/>
      </c>
      <c r="P65" s="8" t="n"/>
    </row>
    <row r="66">
      <c r="N66" s="9">
        <f>IF(ISNUMBER(C66),IF(C66&lt;2000,"before 2000",IF(C66&lt;=2014,"2000-2014","2015 onward")),"")</f>
        <v/>
      </c>
      <c r="P66" s="8" t="n"/>
    </row>
    <row r="67">
      <c r="N67" s="9">
        <f>IF(ISNUMBER(C67),IF(C67&lt;2000,"before 2000",IF(C67&lt;=2014,"2000-2014","2015 onward")),"")</f>
        <v/>
      </c>
      <c r="P67" s="8" t="n"/>
    </row>
    <row r="68">
      <c r="N68" s="9">
        <f>IF(ISNUMBER(C68),IF(C68&lt;2000,"before 2000",IF(C68&lt;=2014,"2000-2014","2015 onward")),"")</f>
        <v/>
      </c>
      <c r="P68" s="8" t="n"/>
    </row>
    <row r="69">
      <c r="N69" s="9">
        <f>IF(ISNUMBER(C69),IF(C69&lt;2000,"before 2000",IF(C69&lt;=2014,"2000-2014","2015 onward")),"")</f>
        <v/>
      </c>
      <c r="P69" s="8" t="n"/>
    </row>
    <row r="70">
      <c r="N70" s="9">
        <f>IF(ISNUMBER(C70),IF(C70&lt;2000,"before 2000",IF(C70&lt;=2014,"2000-2014","2015 onward")),"")</f>
        <v/>
      </c>
      <c r="P70" s="8" t="n"/>
    </row>
    <row r="71">
      <c r="N71" s="9">
        <f>IF(ISNUMBER(C71),IF(C71&lt;2000,"before 2000",IF(C71&lt;=2014,"2000-2014","2015 onward")),"")</f>
        <v/>
      </c>
      <c r="P71" s="8" t="n"/>
    </row>
    <row r="72">
      <c r="N72" s="9">
        <f>IF(ISNUMBER(C72),IF(C72&lt;2000,"before 2000",IF(C72&lt;=2014,"2000-2014","2015 onward")),"")</f>
        <v/>
      </c>
      <c r="P72" s="8" t="n"/>
    </row>
    <row r="73">
      <c r="N73" s="9">
        <f>IF(ISNUMBER(C73),IF(C73&lt;2000,"before 2000",IF(C73&lt;=2014,"2000-2014","2015 onward")),"")</f>
        <v/>
      </c>
      <c r="P73" s="8" t="n"/>
    </row>
    <row r="74">
      <c r="N74" s="9">
        <f>IF(ISNUMBER(C74),IF(C74&lt;2000,"before 2000",IF(C74&lt;=2014,"2000-2014","2015 onward")),"")</f>
        <v/>
      </c>
      <c r="P74" s="8" t="n"/>
    </row>
    <row r="75">
      <c r="N75" s="9">
        <f>IF(ISNUMBER(C75),IF(C75&lt;2000,"before 2000",IF(C75&lt;=2014,"2000-2014","2015 onward")),"")</f>
        <v/>
      </c>
      <c r="P75" s="8" t="n"/>
    </row>
    <row r="76">
      <c r="N76" s="9">
        <f>IF(ISNUMBER(C76),IF(C76&lt;2000,"before 2000",IF(C76&lt;=2014,"2000-2014","2015 onward")),"")</f>
        <v/>
      </c>
      <c r="P76" s="8" t="n"/>
    </row>
    <row r="77">
      <c r="N77" s="9">
        <f>IF(ISNUMBER(C77),IF(C77&lt;2000,"before 2000",IF(C77&lt;=2014,"2000-2014","2015 onward")),"")</f>
        <v/>
      </c>
      <c r="P77" s="8" t="n"/>
    </row>
    <row r="78">
      <c r="N78" s="9">
        <f>IF(ISNUMBER(C78),IF(C78&lt;2000,"before 2000",IF(C78&lt;=2014,"2000-2014","2015 onward")),"")</f>
        <v/>
      </c>
      <c r="P78" s="8" t="n"/>
    </row>
    <row r="79">
      <c r="N79" s="9">
        <f>IF(ISNUMBER(C79),IF(C79&lt;2000,"before 2000",IF(C79&lt;=2014,"2000-2014","2015 onward")),"")</f>
        <v/>
      </c>
      <c r="P79" s="8" t="n"/>
    </row>
    <row r="80">
      <c r="N80" s="9">
        <f>IF(ISNUMBER(C80),IF(C80&lt;2000,"before 2000",IF(C80&lt;=2014,"2000-2014","2015 onward")),"")</f>
        <v/>
      </c>
      <c r="P80" s="8" t="n"/>
    </row>
    <row r="81">
      <c r="N81" s="9">
        <f>IF(ISNUMBER(C81),IF(C81&lt;2000,"before 2000",IF(C81&lt;=2014,"2000-2014","2015 onward")),"")</f>
        <v/>
      </c>
      <c r="P81" s="8" t="n"/>
    </row>
    <row r="82">
      <c r="N82" s="9">
        <f>IF(ISNUMBER(C82),IF(C82&lt;2000,"before 2000",IF(C82&lt;=2014,"2000-2014","2015 onward")),"")</f>
        <v/>
      </c>
      <c r="P82" s="8" t="n"/>
    </row>
    <row r="83">
      <c r="N83" s="9">
        <f>IF(ISNUMBER(C83),IF(C83&lt;2000,"before 2000",IF(C83&lt;=2014,"2000-2014","2015 onward")),"")</f>
        <v/>
      </c>
      <c r="P83" s="8" t="n"/>
    </row>
    <row r="84">
      <c r="N84" s="9">
        <f>IF(ISNUMBER(C84),IF(C84&lt;2000,"before 2000",IF(C84&lt;=2014,"2000-2014","2015 onward")),"")</f>
        <v/>
      </c>
      <c r="P84" s="8" t="n"/>
    </row>
    <row r="85">
      <c r="N85" s="9">
        <f>IF(ISNUMBER(C85),IF(C85&lt;2000,"before 2000",IF(C85&lt;=2014,"2000-2014","2015 onward")),"")</f>
        <v/>
      </c>
      <c r="P85" s="8" t="n"/>
    </row>
    <row r="86">
      <c r="N86" s="9">
        <f>IF(ISNUMBER(C86),IF(C86&lt;2000,"before 2000",IF(C86&lt;=2014,"2000-2014","2015 onward")),"")</f>
        <v/>
      </c>
      <c r="P86" s="8" t="n"/>
    </row>
    <row r="87">
      <c r="N87" s="9">
        <f>IF(ISNUMBER(C87),IF(C87&lt;2000,"before 2000",IF(C87&lt;=2014,"2000-2014","2015 onward")),"")</f>
        <v/>
      </c>
      <c r="P87" s="8" t="n"/>
    </row>
    <row r="88">
      <c r="N88" s="9">
        <f>IF(ISNUMBER(C88),IF(C88&lt;2000,"before 2000",IF(C88&lt;=2014,"2000-2014","2015 onward")),"")</f>
        <v/>
      </c>
      <c r="P88" s="8" t="n"/>
    </row>
    <row r="89">
      <c r="N89" s="9">
        <f>IF(ISNUMBER(C89),IF(C89&lt;2000,"before 2000",IF(C89&lt;=2014,"2000-2014","2015 onward")),"")</f>
        <v/>
      </c>
      <c r="P89" s="8" t="n"/>
    </row>
    <row r="90">
      <c r="N90" s="9">
        <f>IF(ISNUMBER(C90),IF(C90&lt;2000,"before 2000",IF(C90&lt;=2014,"2000-2014","2015 onward")),"")</f>
        <v/>
      </c>
      <c r="P90" s="8" t="n"/>
    </row>
    <row r="91">
      <c r="N91" s="9">
        <f>IF(ISNUMBER(C91),IF(C91&lt;2000,"before 2000",IF(C91&lt;=2014,"2000-2014","2015 onward")),"")</f>
        <v/>
      </c>
      <c r="P91" s="8" t="n"/>
    </row>
    <row r="92">
      <c r="N92" s="9">
        <f>IF(ISNUMBER(C92),IF(C92&lt;2000,"before 2000",IF(C92&lt;=2014,"2000-2014","2015 onward")),"")</f>
        <v/>
      </c>
      <c r="P92" s="8" t="n"/>
    </row>
    <row r="93">
      <c r="N93" s="9">
        <f>IF(ISNUMBER(C93),IF(C93&lt;2000,"before 2000",IF(C93&lt;=2014,"2000-2014","2015 onward")),"")</f>
        <v/>
      </c>
      <c r="P93" s="8" t="n"/>
    </row>
    <row r="94">
      <c r="N94" s="9">
        <f>IF(ISNUMBER(C94),IF(C94&lt;2000,"before 2000",IF(C94&lt;=2014,"2000-2014","2015 onward")),"")</f>
        <v/>
      </c>
      <c r="P94" s="8" t="n"/>
    </row>
    <row r="95">
      <c r="N95" s="9">
        <f>IF(ISNUMBER(C95),IF(C95&lt;2000,"before 2000",IF(C95&lt;=2014,"2000-2014","2015 onward")),"")</f>
        <v/>
      </c>
      <c r="P95" s="8" t="n"/>
    </row>
    <row r="96">
      <c r="N96" s="9">
        <f>IF(ISNUMBER(C96),IF(C96&lt;2000,"before 2000",IF(C96&lt;=2014,"2000-2014","2015 onward")),"")</f>
        <v/>
      </c>
      <c r="P96" s="8" t="n"/>
    </row>
    <row r="97">
      <c r="N97" s="9">
        <f>IF(ISNUMBER(C97),IF(C97&lt;2000,"before 2000",IF(C97&lt;=2014,"2000-2014","2015 onward")),"")</f>
        <v/>
      </c>
      <c r="P97" s="8" t="n"/>
    </row>
    <row r="98">
      <c r="N98" s="9">
        <f>IF(ISNUMBER(C98),IF(C98&lt;2000,"before 2000",IF(C98&lt;=2014,"2000-2014","2015 onward")),"")</f>
        <v/>
      </c>
      <c r="P98" s="8" t="n"/>
    </row>
    <row r="99">
      <c r="N99" s="9">
        <f>IF(ISNUMBER(C99),IF(C99&lt;2000,"before 2000",IF(C99&lt;=2014,"2000-2014","2015 onward")),"")</f>
        <v/>
      </c>
      <c r="P99" s="8" t="n"/>
    </row>
    <row r="100">
      <c r="N100" s="9">
        <f>IF(ISNUMBER(C100),IF(C100&lt;2000,"before 2000",IF(C100&lt;=2014,"2000-2014","2015 onward")),"")</f>
        <v/>
      </c>
      <c r="P100" s="8" t="n"/>
    </row>
    <row r="101">
      <c r="N101" s="9">
        <f>IF(ISNUMBER(C101),IF(C101&lt;2000,"before 2000",IF(C101&lt;=2014,"2000-2014","2015 onward")),"")</f>
        <v/>
      </c>
      <c r="P101" s="8" t="n"/>
    </row>
    <row r="102">
      <c r="N102" s="9">
        <f>IF(ISNUMBER(C102),IF(C102&lt;2000,"before 2000",IF(C102&lt;=2014,"2000-2014","2015 onward")),"")</f>
        <v/>
      </c>
      <c r="P102" s="8" t="n"/>
    </row>
    <row r="103">
      <c r="N103" s="9">
        <f>IF(ISNUMBER(C103),IF(C103&lt;2000,"before 2000",IF(C103&lt;=2014,"2000-2014","2015 onward")),"")</f>
        <v/>
      </c>
      <c r="P103" s="8" t="n"/>
    </row>
    <row r="104">
      <c r="N104" s="9">
        <f>IF(ISNUMBER(C104),IF(C104&lt;2000,"before 2000",IF(C104&lt;=2014,"2000-2014","2015 onward")),"")</f>
        <v/>
      </c>
      <c r="P104" s="8" t="n"/>
    </row>
    <row r="105">
      <c r="N105" s="9">
        <f>IF(ISNUMBER(C105),IF(C105&lt;2000,"before 2000",IF(C105&lt;=2014,"2000-2014","2015 onward")),"")</f>
        <v/>
      </c>
      <c r="P105" s="8" t="n"/>
    </row>
    <row r="106">
      <c r="N106" s="9">
        <f>IF(ISNUMBER(C106),IF(C106&lt;2000,"before 2000",IF(C106&lt;=2014,"2000-2014","2015 onward")),"")</f>
        <v/>
      </c>
      <c r="P106" s="8" t="n"/>
    </row>
    <row r="107">
      <c r="N107" s="9">
        <f>IF(ISNUMBER(C107),IF(C107&lt;2000,"before 2000",IF(C107&lt;=2014,"2000-2014","2015 onward")),"")</f>
        <v/>
      </c>
      <c r="P107" s="8" t="n"/>
    </row>
    <row r="108">
      <c r="N108" s="9">
        <f>IF(ISNUMBER(C108),IF(C108&lt;2000,"before 2000",IF(C108&lt;=2014,"2000-2014","2015 onward")),"")</f>
        <v/>
      </c>
      <c r="P108" s="8" t="n"/>
    </row>
    <row r="109">
      <c r="N109" s="9">
        <f>IF(ISNUMBER(C109),IF(C109&lt;2000,"before 2000",IF(C109&lt;=2014,"2000-2014","2015 onward")),"")</f>
        <v/>
      </c>
      <c r="P109" s="8" t="n"/>
    </row>
    <row r="110">
      <c r="N110" s="9">
        <f>IF(ISNUMBER(C110),IF(C110&lt;2000,"before 2000",IF(C110&lt;=2014,"2000-2014","2015 onward")),"")</f>
        <v/>
      </c>
      <c r="P110" s="8" t="n"/>
    </row>
    <row r="111">
      <c r="N111" s="9">
        <f>IF(ISNUMBER(C111),IF(C111&lt;2000,"before 2000",IF(C111&lt;=2014,"2000-2014","2015 onward")),"")</f>
        <v/>
      </c>
      <c r="P111" s="8" t="n"/>
    </row>
    <row r="112">
      <c r="N112" s="9">
        <f>IF(ISNUMBER(C112),IF(C112&lt;2000,"before 2000",IF(C112&lt;=2014,"2000-2014","2015 onward")),"")</f>
        <v/>
      </c>
      <c r="P112" s="8" t="n"/>
    </row>
    <row r="113">
      <c r="N113" s="9">
        <f>IF(ISNUMBER(C113),IF(C113&lt;2000,"before 2000",IF(C113&lt;=2014,"2000-2014","2015 onward")),"")</f>
        <v/>
      </c>
      <c r="P113" s="8" t="n"/>
    </row>
    <row r="114">
      <c r="N114" s="9">
        <f>IF(ISNUMBER(C114),IF(C114&lt;2000,"before 2000",IF(C114&lt;=2014,"2000-2014","2015 onward")),"")</f>
        <v/>
      </c>
      <c r="P114" s="8" t="n"/>
    </row>
    <row r="115">
      <c r="N115" s="9">
        <f>IF(ISNUMBER(C115),IF(C115&lt;2000,"before 2000",IF(C115&lt;=2014,"2000-2014","2015 onward")),"")</f>
        <v/>
      </c>
      <c r="P115" s="8" t="n"/>
    </row>
    <row r="116">
      <c r="N116" s="9">
        <f>IF(ISNUMBER(C116),IF(C116&lt;2000,"before 2000",IF(C116&lt;=2014,"2000-2014","2015 onward")),"")</f>
        <v/>
      </c>
      <c r="P116" s="8" t="n"/>
    </row>
    <row r="117">
      <c r="N117" s="9">
        <f>IF(ISNUMBER(C117),IF(C117&lt;2000,"before 2000",IF(C117&lt;=2014,"2000-2014","2015 onward")),"")</f>
        <v/>
      </c>
      <c r="P117" s="8" t="n"/>
    </row>
    <row r="118">
      <c r="N118" s="9">
        <f>IF(ISNUMBER(C118),IF(C118&lt;2000,"before 2000",IF(C118&lt;=2014,"2000-2014","2015 onward")),"")</f>
        <v/>
      </c>
      <c r="P118" s="8" t="n"/>
    </row>
    <row r="119">
      <c r="N119" s="9">
        <f>IF(ISNUMBER(C119),IF(C119&lt;2000,"before 2000",IF(C119&lt;=2014,"2000-2014","2015 onward")),"")</f>
        <v/>
      </c>
      <c r="P119" s="8" t="n"/>
    </row>
    <row r="120">
      <c r="N120" s="9">
        <f>IF(ISNUMBER(C120),IF(C120&lt;2000,"before 2000",IF(C120&lt;=2014,"2000-2014","2015 onward")),"")</f>
        <v/>
      </c>
      <c r="P120" s="8" t="n"/>
    </row>
    <row r="121">
      <c r="N121" s="9">
        <f>IF(ISNUMBER(C121),IF(C121&lt;2000,"before 2000",IF(C121&lt;=2014,"2000-2014","2015 onward")),"")</f>
        <v/>
      </c>
      <c r="P121" s="8" t="n"/>
    </row>
    <row r="122">
      <c r="N122" s="9">
        <f>IF(ISNUMBER(C122),IF(C122&lt;2000,"before 2000",IF(C122&lt;=2014,"2000-2014","2015 onward")),"")</f>
        <v/>
      </c>
      <c r="P122" s="8" t="n"/>
    </row>
    <row r="123">
      <c r="N123" s="9">
        <f>IF(ISNUMBER(C123),IF(C123&lt;2000,"before 2000",IF(C123&lt;=2014,"2000-2014","2015 onward")),"")</f>
        <v/>
      </c>
      <c r="P123" s="8" t="n"/>
    </row>
    <row r="124">
      <c r="N124" s="9">
        <f>IF(ISNUMBER(C124),IF(C124&lt;2000,"before 2000",IF(C124&lt;=2014,"2000-2014","2015 onward")),"")</f>
        <v/>
      </c>
      <c r="P124" s="8" t="n"/>
    </row>
    <row r="125">
      <c r="N125" s="9">
        <f>IF(ISNUMBER(C125),IF(C125&lt;2000,"before 2000",IF(C125&lt;=2014,"2000-2014","2015 onward")),"")</f>
        <v/>
      </c>
      <c r="P125" s="8" t="n"/>
    </row>
    <row r="126">
      <c r="N126" s="9">
        <f>IF(ISNUMBER(C126),IF(C126&lt;2000,"before 2000",IF(C126&lt;=2014,"2000-2014","2015 onward")),"")</f>
        <v/>
      </c>
      <c r="P126" s="8" t="n"/>
    </row>
    <row r="127">
      <c r="N127" s="9">
        <f>IF(ISNUMBER(C127),IF(C127&lt;2000,"before 2000",IF(C127&lt;=2014,"2000-2014","2015 onward")),"")</f>
        <v/>
      </c>
      <c r="P127" s="8" t="n"/>
    </row>
    <row r="128">
      <c r="N128" s="9">
        <f>IF(ISNUMBER(C128),IF(C128&lt;2000,"before 2000",IF(C128&lt;=2014,"2000-2014","2015 onward")),"")</f>
        <v/>
      </c>
      <c r="P128" s="8" t="n"/>
    </row>
    <row r="129">
      <c r="N129" s="9">
        <f>IF(ISNUMBER(C129),IF(C129&lt;2000,"before 2000",IF(C129&lt;=2014,"2000-2014","2015 onward")),"")</f>
        <v/>
      </c>
      <c r="P129" s="8" t="n"/>
    </row>
    <row r="130">
      <c r="N130" s="9">
        <f>IF(ISNUMBER(C130),IF(C130&lt;2000,"before 2000",IF(C130&lt;=2014,"2000-2014","2015 onward")),"")</f>
        <v/>
      </c>
      <c r="P130" s="8" t="n"/>
    </row>
    <row r="131">
      <c r="N131" s="9">
        <f>IF(ISNUMBER(C131),IF(C131&lt;2000,"before 2000",IF(C131&lt;=2014,"2000-2014","2015 onward")),"")</f>
        <v/>
      </c>
      <c r="P131" s="8" t="n"/>
    </row>
    <row r="132">
      <c r="N132" s="9">
        <f>IF(ISNUMBER(C132),IF(C132&lt;2000,"before 2000",IF(C132&lt;=2014,"2000-2014","2015 onward")),"")</f>
        <v/>
      </c>
      <c r="P132" s="8" t="n"/>
    </row>
    <row r="133">
      <c r="N133" s="9">
        <f>IF(ISNUMBER(C133),IF(C133&lt;2000,"before 2000",IF(C133&lt;=2014,"2000-2014","2015 onward")),"")</f>
        <v/>
      </c>
      <c r="P133" s="8" t="n"/>
    </row>
    <row r="134">
      <c r="N134" s="9">
        <f>IF(ISNUMBER(C134),IF(C134&lt;2000,"before 2000",IF(C134&lt;=2014,"2000-2014","2015 onward")),"")</f>
        <v/>
      </c>
      <c r="P134" s="8" t="n"/>
    </row>
    <row r="135">
      <c r="N135" s="9">
        <f>IF(ISNUMBER(C135),IF(C135&lt;2000,"before 2000",IF(C135&lt;=2014,"2000-2014","2015 onward")),"")</f>
        <v/>
      </c>
      <c r="P135" s="8" t="n"/>
    </row>
    <row r="136">
      <c r="N136" s="9">
        <f>IF(ISNUMBER(C136),IF(C136&lt;2000,"before 2000",IF(C136&lt;=2014,"2000-2014","2015 onward")),"")</f>
        <v/>
      </c>
      <c r="P136" s="8" t="n"/>
    </row>
    <row r="137">
      <c r="N137" s="9">
        <f>IF(ISNUMBER(C137),IF(C137&lt;2000,"before 2000",IF(C137&lt;=2014,"2000-2014","2015 onward")),"")</f>
        <v/>
      </c>
      <c r="P137" s="8" t="n"/>
    </row>
    <row r="138">
      <c r="N138" s="9">
        <f>IF(ISNUMBER(C138),IF(C138&lt;2000,"before 2000",IF(C138&lt;=2014,"2000-2014","2015 onward")),"")</f>
        <v/>
      </c>
      <c r="P138" s="8" t="n"/>
    </row>
    <row r="139">
      <c r="N139" s="9">
        <f>IF(ISNUMBER(C139),IF(C139&lt;2000,"before 2000",IF(C139&lt;=2014,"2000-2014","2015 onward")),"")</f>
        <v/>
      </c>
      <c r="P139" s="8" t="n"/>
    </row>
    <row r="140">
      <c r="N140" s="9">
        <f>IF(ISNUMBER(C140),IF(C140&lt;2000,"before 2000",IF(C140&lt;=2014,"2000-2014","2015 onward")),"")</f>
        <v/>
      </c>
      <c r="P140" s="8" t="n"/>
    </row>
    <row r="141">
      <c r="N141" s="9">
        <f>IF(ISNUMBER(C141),IF(C141&lt;2000,"before 2000",IF(C141&lt;=2014,"2000-2014","2015 onward")),"")</f>
        <v/>
      </c>
      <c r="P141" s="8" t="n"/>
    </row>
    <row r="142">
      <c r="N142" s="9">
        <f>IF(ISNUMBER(C142),IF(C142&lt;2000,"before 2000",IF(C142&lt;=2014,"2000-2014","2015 onward")),"")</f>
        <v/>
      </c>
      <c r="P142" s="8" t="n"/>
    </row>
    <row r="143">
      <c r="N143" s="9">
        <f>IF(ISNUMBER(C143),IF(C143&lt;2000,"before 2000",IF(C143&lt;=2014,"2000-2014","2015 onward")),"")</f>
        <v/>
      </c>
      <c r="P143" s="8" t="n"/>
    </row>
    <row r="144">
      <c r="N144" s="9">
        <f>IF(ISNUMBER(C144),IF(C144&lt;2000,"before 2000",IF(C144&lt;=2014,"2000-2014","2015 onward")),"")</f>
        <v/>
      </c>
      <c r="P144" s="8" t="n"/>
    </row>
    <row r="145">
      <c r="N145" s="9">
        <f>IF(ISNUMBER(C145),IF(C145&lt;2000,"before 2000",IF(C145&lt;=2014,"2000-2014","2015 onward")),"")</f>
        <v/>
      </c>
      <c r="P145" s="8" t="n"/>
    </row>
    <row r="146">
      <c r="N146" s="9">
        <f>IF(ISNUMBER(C146),IF(C146&lt;2000,"before 2000",IF(C146&lt;=2014,"2000-2014","2015 onward")),"")</f>
        <v/>
      </c>
      <c r="P146" s="8" t="n"/>
    </row>
    <row r="147">
      <c r="N147" s="9">
        <f>IF(ISNUMBER(C147),IF(C147&lt;2000,"before 2000",IF(C147&lt;=2014,"2000-2014","2015 onward")),"")</f>
        <v/>
      </c>
      <c r="P147" s="8" t="n"/>
    </row>
    <row r="148">
      <c r="N148" s="9">
        <f>IF(ISNUMBER(C148),IF(C148&lt;2000,"before 2000",IF(C148&lt;=2014,"2000-2014","2015 onward")),"")</f>
        <v/>
      </c>
      <c r="P148" s="8" t="n"/>
    </row>
    <row r="149">
      <c r="N149" s="9">
        <f>IF(ISNUMBER(C149),IF(C149&lt;2000,"before 2000",IF(C149&lt;=2014,"2000-2014","2015 onward")),"")</f>
        <v/>
      </c>
      <c r="P149" s="8" t="n"/>
    </row>
    <row r="150">
      <c r="N150" s="9">
        <f>IF(ISNUMBER(C150),IF(C150&lt;2000,"before 2000",IF(C150&lt;=2014,"2000-2014","2015 onward")),"")</f>
        <v/>
      </c>
      <c r="P150" s="8" t="n"/>
    </row>
    <row r="151">
      <c r="N151" s="9">
        <f>IF(ISNUMBER(C151),IF(C151&lt;2000,"before 2000",IF(C151&lt;=2014,"2000-2014","2015 onward")),"")</f>
        <v/>
      </c>
      <c r="P151" s="8" t="n"/>
    </row>
    <row r="152">
      <c r="N152" s="9">
        <f>IF(ISNUMBER(C152),IF(C152&lt;2000,"before 2000",IF(C152&lt;=2014,"2000-2014","2015 onward")),"")</f>
        <v/>
      </c>
      <c r="P152" s="8" t="n"/>
    </row>
    <row r="153">
      <c r="N153" s="9">
        <f>IF(ISNUMBER(C153),IF(C153&lt;2000,"before 2000",IF(C153&lt;=2014,"2000-2014","2015 onward")),"")</f>
        <v/>
      </c>
      <c r="P153" s="8" t="n"/>
    </row>
    <row r="154">
      <c r="N154" s="9">
        <f>IF(ISNUMBER(C154),IF(C154&lt;2000,"before 2000",IF(C154&lt;=2014,"2000-2014","2015 onward")),"")</f>
        <v/>
      </c>
      <c r="P154" s="8" t="n"/>
    </row>
    <row r="155">
      <c r="N155" s="9">
        <f>IF(ISNUMBER(C155),IF(C155&lt;2000,"before 2000",IF(C155&lt;=2014,"2000-2014","2015 onward")),"")</f>
        <v/>
      </c>
      <c r="P155" s="8" t="n"/>
    </row>
    <row r="156">
      <c r="N156" s="9">
        <f>IF(ISNUMBER(C156),IF(C156&lt;2000,"before 2000",IF(C156&lt;=2014,"2000-2014","2015 onward")),"")</f>
        <v/>
      </c>
      <c r="P156" s="8" t="n"/>
    </row>
    <row r="157">
      <c r="N157" s="9">
        <f>IF(ISNUMBER(C157),IF(C157&lt;2000,"before 2000",IF(C157&lt;=2014,"2000-2014","2015 onward")),"")</f>
        <v/>
      </c>
      <c r="P157" s="8" t="n"/>
    </row>
    <row r="158">
      <c r="N158" s="9">
        <f>IF(ISNUMBER(C158),IF(C158&lt;2000,"before 2000",IF(C158&lt;=2014,"2000-2014","2015 onward")),"")</f>
        <v/>
      </c>
      <c r="P158" s="8" t="n"/>
    </row>
    <row r="159">
      <c r="N159" s="9">
        <f>IF(ISNUMBER(C159),IF(C159&lt;2000,"before 2000",IF(C159&lt;=2014,"2000-2014","2015 onward")),"")</f>
        <v/>
      </c>
      <c r="P159" s="8" t="n"/>
    </row>
    <row r="160">
      <c r="N160" s="9">
        <f>IF(ISNUMBER(C160),IF(C160&lt;2000,"before 2000",IF(C160&lt;=2014,"2000-2014","2015 onward")),"")</f>
        <v/>
      </c>
      <c r="P160" s="8" t="n"/>
    </row>
    <row r="161">
      <c r="N161" s="9">
        <f>IF(ISNUMBER(C161),IF(C161&lt;2000,"before 2000",IF(C161&lt;=2014,"2000-2014","2015 onward")),"")</f>
        <v/>
      </c>
      <c r="P161" s="8" t="n"/>
    </row>
    <row r="162">
      <c r="N162" s="9">
        <f>IF(ISNUMBER(C162),IF(C162&lt;2000,"before 2000",IF(C162&lt;=2014,"2000-2014","2015 onward")),"")</f>
        <v/>
      </c>
      <c r="P162" s="8" t="n"/>
    </row>
    <row r="163">
      <c r="N163" s="9">
        <f>IF(ISNUMBER(C163),IF(C163&lt;2000,"before 2000",IF(C163&lt;=2014,"2000-2014","2015 onward")),"")</f>
        <v/>
      </c>
      <c r="P163" s="8" t="n"/>
    </row>
    <row r="164">
      <c r="N164" s="9">
        <f>IF(ISNUMBER(C164),IF(C164&lt;2000,"before 2000",IF(C164&lt;=2014,"2000-2014","2015 onward")),"")</f>
        <v/>
      </c>
      <c r="P164" s="8" t="n"/>
    </row>
    <row r="165">
      <c r="N165" s="9">
        <f>IF(ISNUMBER(C165),IF(C165&lt;2000,"before 2000",IF(C165&lt;=2014,"2000-2014","2015 onward")),"")</f>
        <v/>
      </c>
      <c r="P165" s="8" t="n"/>
    </row>
    <row r="166">
      <c r="N166" s="9">
        <f>IF(ISNUMBER(C166),IF(C166&lt;2000,"before 2000",IF(C166&lt;=2014,"2000-2014","2015 onward")),"")</f>
        <v/>
      </c>
      <c r="P166" s="8" t="n"/>
    </row>
    <row r="167">
      <c r="N167" s="9">
        <f>IF(ISNUMBER(C167),IF(C167&lt;2000,"before 2000",IF(C167&lt;=2014,"2000-2014","2015 onward")),"")</f>
        <v/>
      </c>
      <c r="P167" s="8" t="n"/>
    </row>
    <row r="168">
      <c r="N168" s="9">
        <f>IF(ISNUMBER(C168),IF(C168&lt;2000,"before 2000",IF(C168&lt;=2014,"2000-2014","2015 onward")),"")</f>
        <v/>
      </c>
      <c r="P168" s="8" t="n"/>
    </row>
    <row r="169">
      <c r="N169" s="9">
        <f>IF(ISNUMBER(C169),IF(C169&lt;2000,"before 2000",IF(C169&lt;=2014,"2000-2014","2015 onward")),"")</f>
        <v/>
      </c>
      <c r="P169" s="8" t="n"/>
    </row>
    <row r="170">
      <c r="N170" s="9">
        <f>IF(ISNUMBER(C170),IF(C170&lt;2000,"before 2000",IF(C170&lt;=2014,"2000-2014","2015 onward")),"")</f>
        <v/>
      </c>
      <c r="P170" s="8" t="n"/>
    </row>
    <row r="171">
      <c r="N171" s="9">
        <f>IF(ISNUMBER(C171),IF(C171&lt;2000,"before 2000",IF(C171&lt;=2014,"2000-2014","2015 onward")),"")</f>
        <v/>
      </c>
      <c r="P171" s="8" t="n"/>
    </row>
    <row r="172">
      <c r="N172" s="9">
        <f>IF(ISNUMBER(C172),IF(C172&lt;2000,"before 2000",IF(C172&lt;=2014,"2000-2014","2015 onward")),"")</f>
        <v/>
      </c>
      <c r="P172" s="8" t="n"/>
    </row>
    <row r="173">
      <c r="N173" s="9">
        <f>IF(ISNUMBER(C173),IF(C173&lt;2000,"before 2000",IF(C173&lt;=2014,"2000-2014","2015 onward")),"")</f>
        <v/>
      </c>
      <c r="P173" s="8" t="n"/>
    </row>
    <row r="174">
      <c r="N174" s="9">
        <f>IF(ISNUMBER(C174),IF(C174&lt;2000,"before 2000",IF(C174&lt;=2014,"2000-2014","2015 onward")),"")</f>
        <v/>
      </c>
      <c r="P174" s="8" t="n"/>
    </row>
    <row r="175">
      <c r="N175" s="9">
        <f>IF(ISNUMBER(C175),IF(C175&lt;2000,"before 2000",IF(C175&lt;=2014,"2000-2014","2015 onward")),"")</f>
        <v/>
      </c>
      <c r="P175" s="8" t="n"/>
    </row>
    <row r="176">
      <c r="N176" s="9">
        <f>IF(ISNUMBER(C176),IF(C176&lt;2000,"before 2000",IF(C176&lt;=2014,"2000-2014","2015 onward")),"")</f>
        <v/>
      </c>
      <c r="P176" s="8" t="n"/>
    </row>
    <row r="177">
      <c r="N177" s="9">
        <f>IF(ISNUMBER(C177),IF(C177&lt;2000,"before 2000",IF(C177&lt;=2014,"2000-2014","2015 onward")),"")</f>
        <v/>
      </c>
      <c r="P177" s="8" t="n"/>
    </row>
    <row r="178">
      <c r="N178" s="9">
        <f>IF(ISNUMBER(C178),IF(C178&lt;2000,"before 2000",IF(C178&lt;=2014,"2000-2014","2015 onward")),"")</f>
        <v/>
      </c>
      <c r="P178" s="8" t="n"/>
    </row>
    <row r="179">
      <c r="N179" s="9">
        <f>IF(ISNUMBER(C179),IF(C179&lt;2000,"before 2000",IF(C179&lt;=2014,"2000-2014","2015 onward")),"")</f>
        <v/>
      </c>
      <c r="P179" s="8" t="n"/>
    </row>
    <row r="180">
      <c r="N180" s="9">
        <f>IF(ISNUMBER(C180),IF(C180&lt;2000,"before 2000",IF(C180&lt;=2014,"2000-2014","2015 onward")),"")</f>
        <v/>
      </c>
      <c r="P180" s="8" t="n"/>
    </row>
    <row r="181">
      <c r="N181" s="9">
        <f>IF(ISNUMBER(C181),IF(C181&lt;2000,"before 2000",IF(C181&lt;=2014,"2000-2014","2015 onward")),"")</f>
        <v/>
      </c>
      <c r="P181" s="8" t="n"/>
    </row>
    <row r="182">
      <c r="N182" s="9">
        <f>IF(ISNUMBER(C182),IF(C182&lt;2000,"before 2000",IF(C182&lt;=2014,"2000-2014","2015 onward")),"")</f>
        <v/>
      </c>
      <c r="P182" s="8" t="n"/>
    </row>
    <row r="183">
      <c r="N183" s="9">
        <f>IF(ISNUMBER(C183),IF(C183&lt;2000,"before 2000",IF(C183&lt;=2014,"2000-2014","2015 onward")),"")</f>
        <v/>
      </c>
      <c r="P183" s="8" t="n"/>
    </row>
    <row r="184">
      <c r="N184" s="9">
        <f>IF(ISNUMBER(C184),IF(C184&lt;2000,"before 2000",IF(C184&lt;=2014,"2000-2014","2015 onward")),"")</f>
        <v/>
      </c>
      <c r="P184" s="8" t="n"/>
    </row>
    <row r="185">
      <c r="N185" s="9">
        <f>IF(ISNUMBER(C185),IF(C185&lt;2000,"before 2000",IF(C185&lt;=2014,"2000-2014","2015 onward")),"")</f>
        <v/>
      </c>
      <c r="P185" s="8" t="n"/>
    </row>
    <row r="186">
      <c r="N186" s="9">
        <f>IF(ISNUMBER(C186),IF(C186&lt;2000,"before 2000",IF(C186&lt;=2014,"2000-2014","2015 onward")),"")</f>
        <v/>
      </c>
      <c r="P186" s="8" t="n"/>
    </row>
    <row r="187">
      <c r="N187" s="9">
        <f>IF(ISNUMBER(C187),IF(C187&lt;2000,"before 2000",IF(C187&lt;=2014,"2000-2014","2015 onward")),"")</f>
        <v/>
      </c>
      <c r="P187" s="8" t="n"/>
    </row>
    <row r="188">
      <c r="N188" s="9">
        <f>IF(ISNUMBER(C188),IF(C188&lt;2000,"before 2000",IF(C188&lt;=2014,"2000-2014","2015 onward")),"")</f>
        <v/>
      </c>
      <c r="P188" s="8" t="n"/>
    </row>
    <row r="189">
      <c r="N189" s="9">
        <f>IF(ISNUMBER(C189),IF(C189&lt;2000,"before 2000",IF(C189&lt;=2014,"2000-2014","2015 onward")),"")</f>
        <v/>
      </c>
      <c r="P189" s="8" t="n"/>
    </row>
    <row r="190">
      <c r="N190" s="9">
        <f>IF(ISNUMBER(C190),IF(C190&lt;2000,"before 2000",IF(C190&lt;=2014,"2000-2014","2015 onward")),"")</f>
        <v/>
      </c>
      <c r="P190" s="8" t="n"/>
    </row>
    <row r="191">
      <c r="N191" s="9">
        <f>IF(ISNUMBER(C191),IF(C191&lt;2000,"before 2000",IF(C191&lt;=2014,"2000-2014","2015 onward")),"")</f>
        <v/>
      </c>
      <c r="P191" s="8" t="n"/>
    </row>
    <row r="192">
      <c r="N192" s="9">
        <f>IF(ISNUMBER(C192),IF(C192&lt;2000,"before 2000",IF(C192&lt;=2014,"2000-2014","2015 onward")),"")</f>
        <v/>
      </c>
      <c r="P192" s="8" t="n"/>
    </row>
    <row r="193">
      <c r="N193" s="9">
        <f>IF(ISNUMBER(C193),IF(C193&lt;2000,"before 2000",IF(C193&lt;=2014,"2000-2014","2015 onward")),"")</f>
        <v/>
      </c>
      <c r="P193" s="8" t="n"/>
    </row>
    <row r="194">
      <c r="N194" s="9">
        <f>IF(ISNUMBER(C194),IF(C194&lt;2000,"before 2000",IF(C194&lt;=2014,"2000-2014","2015 onward")),"")</f>
        <v/>
      </c>
      <c r="P194" s="8" t="n"/>
    </row>
    <row r="195">
      <c r="N195" s="9">
        <f>IF(ISNUMBER(C195),IF(C195&lt;2000,"before 2000",IF(C195&lt;=2014,"2000-2014","2015 onward")),"")</f>
        <v/>
      </c>
      <c r="P195" s="8" t="n"/>
    </row>
    <row r="196">
      <c r="N196" s="9">
        <f>IF(ISNUMBER(C196),IF(C196&lt;2000,"before 2000",IF(C196&lt;=2014,"2000-2014","2015 onward")),"")</f>
        <v/>
      </c>
      <c r="P196" s="8" t="n"/>
    </row>
    <row r="197">
      <c r="N197" s="9">
        <f>IF(ISNUMBER(C197),IF(C197&lt;2000,"before 2000",IF(C197&lt;=2014,"2000-2014","2015 onward")),"")</f>
        <v/>
      </c>
      <c r="P197" s="8" t="n"/>
    </row>
    <row r="198">
      <c r="N198" s="9">
        <f>IF(ISNUMBER(C198),IF(C198&lt;2000,"before 2000",IF(C198&lt;=2014,"2000-2014","2015 onward")),"")</f>
        <v/>
      </c>
      <c r="P198" s="8" t="n"/>
    </row>
    <row r="199">
      <c r="N199" s="9">
        <f>IF(ISNUMBER(C199),IF(C199&lt;2000,"before 2000",IF(C199&lt;=2014,"2000-2014","2015 onward")),"")</f>
        <v/>
      </c>
      <c r="P199" s="8" t="n"/>
    </row>
    <row r="200">
      <c r="N200" s="9">
        <f>IF(ISNUMBER(C200),IF(C200&lt;2000,"before 2000",IF(C200&lt;=2014,"2000-2014","2015 onward")),"")</f>
        <v/>
      </c>
      <c r="P200" s="8" t="n"/>
    </row>
    <row r="201">
      <c r="N201" s="9">
        <f>IF(ISNUMBER(C201),IF(C201&lt;2000,"before 2000",IF(C201&lt;=2014,"2000-2014","2015 onward")),"")</f>
        <v/>
      </c>
      <c r="P201" s="8" t="n"/>
    </row>
    <row r="202">
      <c r="N202" s="9">
        <f>IF(ISNUMBER(C202),IF(C202&lt;2000,"before 2000",IF(C202&lt;=2014,"2000-2014","2015 onward")),"")</f>
        <v/>
      </c>
      <c r="P202" s="8" t="n"/>
    </row>
    <row r="203">
      <c r="N203" s="9">
        <f>IF(ISNUMBER(C203),IF(C203&lt;2000,"before 2000",IF(C203&lt;=2014,"2000-2014","2015 onward")),"")</f>
        <v/>
      </c>
      <c r="P203" s="8" t="n"/>
    </row>
    <row r="204">
      <c r="N204" s="9">
        <f>IF(ISNUMBER(C204),IF(C204&lt;2000,"before 2000",IF(C204&lt;=2014,"2000-2014","2015 onward")),"")</f>
        <v/>
      </c>
      <c r="P204" s="8" t="n"/>
    </row>
    <row r="205">
      <c r="N205" s="9">
        <f>IF(ISNUMBER(C205),IF(C205&lt;2000,"before 2000",IF(C205&lt;=2014,"2000-2014","2015 onward")),"")</f>
        <v/>
      </c>
      <c r="P205" s="8" t="n"/>
    </row>
    <row r="206">
      <c r="N206" s="9">
        <f>IF(ISNUMBER(C206),IF(C206&lt;2000,"before 2000",IF(C206&lt;=2014,"2000-2014","2015 onward")),"")</f>
        <v/>
      </c>
      <c r="P206" s="8" t="n"/>
    </row>
    <row r="207">
      <c r="N207" s="9">
        <f>IF(ISNUMBER(C207),IF(C207&lt;2000,"before 2000",IF(C207&lt;=2014,"2000-2014","2015 onward")),"")</f>
        <v/>
      </c>
      <c r="P207" s="8" t="n"/>
    </row>
    <row r="208">
      <c r="N208" s="9">
        <f>IF(ISNUMBER(C208),IF(C208&lt;2000,"before 2000",IF(C208&lt;=2014,"2000-2014","2015 onward")),"")</f>
        <v/>
      </c>
      <c r="P208" s="8" t="n"/>
    </row>
    <row r="209">
      <c r="N209" s="9">
        <f>IF(ISNUMBER(C209),IF(C209&lt;2000,"before 2000",IF(C209&lt;=2014,"2000-2014","2015 onward")),"")</f>
        <v/>
      </c>
      <c r="P209" s="8" t="n"/>
    </row>
    <row r="210">
      <c r="N210" s="9">
        <f>IF(ISNUMBER(C210),IF(C210&lt;2000,"before 2000",IF(C210&lt;=2014,"2000-2014","2015 onward")),"")</f>
        <v/>
      </c>
      <c r="P210" s="8" t="n"/>
    </row>
    <row r="211">
      <c r="N211" s="9">
        <f>IF(ISNUMBER(C211),IF(C211&lt;2000,"before 2000",IF(C211&lt;=2014,"2000-2014","2015 onward")),"")</f>
        <v/>
      </c>
      <c r="P211" s="8" t="n"/>
    </row>
    <row r="212">
      <c r="N212" s="9">
        <f>IF(ISNUMBER(C212),IF(C212&lt;2000,"before 2000",IF(C212&lt;=2014,"2000-2014","2015 onward")),"")</f>
        <v/>
      </c>
      <c r="P212" s="8" t="n"/>
    </row>
    <row r="213">
      <c r="N213" s="9">
        <f>IF(ISNUMBER(C213),IF(C213&lt;2000,"before 2000",IF(C213&lt;=2014,"2000-2014","2015 onward")),"")</f>
        <v/>
      </c>
      <c r="P213" s="8" t="n"/>
    </row>
    <row r="214">
      <c r="N214" s="9">
        <f>IF(ISNUMBER(C214),IF(C214&lt;2000,"before 2000",IF(C214&lt;=2014,"2000-2014","2015 onward")),"")</f>
        <v/>
      </c>
      <c r="P214" s="8" t="n"/>
    </row>
    <row r="215">
      <c r="N215" s="9">
        <f>IF(ISNUMBER(C215),IF(C215&lt;2000,"before 2000",IF(C215&lt;=2014,"2000-2014","2015 onward")),"")</f>
        <v/>
      </c>
      <c r="P215" s="8" t="n"/>
    </row>
    <row r="216">
      <c r="N216" s="9">
        <f>IF(ISNUMBER(C216),IF(C216&lt;2000,"before 2000",IF(C216&lt;=2014,"2000-2014","2015 onward")),"")</f>
        <v/>
      </c>
      <c r="P216" s="8" t="n"/>
    </row>
    <row r="217">
      <c r="N217" s="9">
        <f>IF(ISNUMBER(C217),IF(C217&lt;2000,"before 2000",IF(C217&lt;=2014,"2000-2014","2015 onward")),"")</f>
        <v/>
      </c>
      <c r="P217" s="8" t="n"/>
    </row>
    <row r="218">
      <c r="N218" s="9">
        <f>IF(ISNUMBER(C218),IF(C218&lt;2000,"before 2000",IF(C218&lt;=2014,"2000-2014","2015 onward")),"")</f>
        <v/>
      </c>
      <c r="P218" s="8" t="n"/>
    </row>
    <row r="219">
      <c r="N219" s="9">
        <f>IF(ISNUMBER(C219),IF(C219&lt;2000,"before 2000",IF(C219&lt;=2014,"2000-2014","2015 onward")),"")</f>
        <v/>
      </c>
      <c r="P219" s="8" t="n"/>
    </row>
    <row r="220">
      <c r="N220" s="9">
        <f>IF(ISNUMBER(C220),IF(C220&lt;2000,"before 2000",IF(C220&lt;=2014,"2000-2014","2015 onward")),"")</f>
        <v/>
      </c>
      <c r="P220" s="8" t="n"/>
    </row>
    <row r="221">
      <c r="N221" s="9">
        <f>IF(ISNUMBER(C221),IF(C221&lt;2000,"before 2000",IF(C221&lt;=2014,"2000-2014","2015 onward")),"")</f>
        <v/>
      </c>
      <c r="P221" s="8" t="n"/>
    </row>
    <row r="222">
      <c r="N222" s="9">
        <f>IF(ISNUMBER(C222),IF(C222&lt;2000,"before 2000",IF(C222&lt;=2014,"2000-2014","2015 onward")),"")</f>
        <v/>
      </c>
      <c r="P222" s="8" t="n"/>
    </row>
    <row r="223">
      <c r="N223" s="9">
        <f>IF(ISNUMBER(C223),IF(C223&lt;2000,"before 2000",IF(C223&lt;=2014,"2000-2014","2015 onward")),"")</f>
        <v/>
      </c>
      <c r="P223" s="8" t="n"/>
    </row>
    <row r="224">
      <c r="N224" s="9">
        <f>IF(ISNUMBER(C224),IF(C224&lt;2000,"before 2000",IF(C224&lt;=2014,"2000-2014","2015 onward")),"")</f>
        <v/>
      </c>
      <c r="P224" s="8" t="n"/>
    </row>
    <row r="225">
      <c r="N225" s="9">
        <f>IF(ISNUMBER(C225),IF(C225&lt;2000,"before 2000",IF(C225&lt;=2014,"2000-2014","2015 onward")),"")</f>
        <v/>
      </c>
      <c r="P225" s="8" t="n"/>
    </row>
    <row r="226">
      <c r="N226" s="9">
        <f>IF(ISNUMBER(C226),IF(C226&lt;2000,"before 2000",IF(C226&lt;=2014,"2000-2014","2015 onward")),"")</f>
        <v/>
      </c>
      <c r="P226" s="8" t="n"/>
    </row>
    <row r="227">
      <c r="N227" s="9">
        <f>IF(ISNUMBER(C227),IF(C227&lt;2000,"before 2000",IF(C227&lt;=2014,"2000-2014","2015 onward")),"")</f>
        <v/>
      </c>
      <c r="P227" s="8" t="n"/>
    </row>
    <row r="228">
      <c r="N228" s="9">
        <f>IF(ISNUMBER(C228),IF(C228&lt;2000,"before 2000",IF(C228&lt;=2014,"2000-2014","2015 onward")),"")</f>
        <v/>
      </c>
      <c r="P228" s="8" t="n"/>
    </row>
    <row r="229">
      <c r="N229" s="9">
        <f>IF(ISNUMBER(C229),IF(C229&lt;2000,"before 2000",IF(C229&lt;=2014,"2000-2014","2015 onward")),"")</f>
        <v/>
      </c>
      <c r="P229" s="8" t="n"/>
    </row>
    <row r="230">
      <c r="N230" s="9">
        <f>IF(ISNUMBER(C230),IF(C230&lt;2000,"before 2000",IF(C230&lt;=2014,"2000-2014","2015 onward")),"")</f>
        <v/>
      </c>
      <c r="P230" s="8" t="n"/>
    </row>
    <row r="231">
      <c r="N231" s="9">
        <f>IF(ISNUMBER(C231),IF(C231&lt;2000,"before 2000",IF(C231&lt;=2014,"2000-2014","2015 onward")),"")</f>
        <v/>
      </c>
      <c r="P231" s="8" t="n"/>
    </row>
    <row r="232">
      <c r="N232" s="9">
        <f>IF(ISNUMBER(C232),IF(C232&lt;2000,"before 2000",IF(C232&lt;=2014,"2000-2014","2015 onward")),"")</f>
        <v/>
      </c>
      <c r="P232" s="8" t="n"/>
    </row>
    <row r="233">
      <c r="N233" s="9">
        <f>IF(ISNUMBER(C233),IF(C233&lt;2000,"before 2000",IF(C233&lt;=2014,"2000-2014","2015 onward")),"")</f>
        <v/>
      </c>
      <c r="P233" s="8" t="n"/>
    </row>
    <row r="234">
      <c r="N234" s="9">
        <f>IF(ISNUMBER(C234),IF(C234&lt;2000,"before 2000",IF(C234&lt;=2014,"2000-2014","2015 onward")),"")</f>
        <v/>
      </c>
      <c r="P234" s="8" t="n"/>
    </row>
    <row r="235">
      <c r="N235" s="9">
        <f>IF(ISNUMBER(C235),IF(C235&lt;2000,"before 2000",IF(C235&lt;=2014,"2000-2014","2015 onward")),"")</f>
        <v/>
      </c>
      <c r="P235" s="8" t="n"/>
    </row>
    <row r="236">
      <c r="N236" s="9">
        <f>IF(ISNUMBER(C236),IF(C236&lt;2000,"before 2000",IF(C236&lt;=2014,"2000-2014","2015 onward")),"")</f>
        <v/>
      </c>
      <c r="P236" s="8" t="n"/>
    </row>
    <row r="237">
      <c r="N237" s="9">
        <f>IF(ISNUMBER(C237),IF(C237&lt;2000,"before 2000",IF(C237&lt;=2014,"2000-2014","2015 onward")),"")</f>
        <v/>
      </c>
      <c r="P237" s="8" t="n"/>
    </row>
    <row r="238">
      <c r="N238" s="9">
        <f>IF(ISNUMBER(C238),IF(C238&lt;2000,"before 2000",IF(C238&lt;=2014,"2000-2014","2015 onward")),"")</f>
        <v/>
      </c>
      <c r="P238" s="8" t="n"/>
    </row>
    <row r="239">
      <c r="N239" s="9">
        <f>IF(ISNUMBER(C239),IF(C239&lt;2000,"before 2000",IF(C239&lt;=2014,"2000-2014","2015 onward")),"")</f>
        <v/>
      </c>
      <c r="P239" s="8" t="n"/>
    </row>
    <row r="240">
      <c r="N240" s="9">
        <f>IF(ISNUMBER(C240),IF(C240&lt;2000,"before 2000",IF(C240&lt;=2014,"2000-2014","2015 onward")),"")</f>
        <v/>
      </c>
      <c r="P240" s="8" t="n"/>
    </row>
    <row r="241">
      <c r="N241" s="9">
        <f>IF(ISNUMBER(C241),IF(C241&lt;2000,"before 2000",IF(C241&lt;=2014,"2000-2014","2015 onward")),"")</f>
        <v/>
      </c>
      <c r="P241" s="8" t="n"/>
    </row>
    <row r="242">
      <c r="N242" s="9">
        <f>IF(ISNUMBER(C242),IF(C242&lt;2000,"before 2000",IF(C242&lt;=2014,"2000-2014","2015 onward")),"")</f>
        <v/>
      </c>
      <c r="P242" s="8" t="n"/>
    </row>
    <row r="243">
      <c r="N243" s="9">
        <f>IF(ISNUMBER(C243),IF(C243&lt;2000,"before 2000",IF(C243&lt;=2014,"2000-2014","2015 onward")),"")</f>
        <v/>
      </c>
      <c r="P243" s="8" t="n"/>
    </row>
    <row r="244">
      <c r="N244" s="9">
        <f>IF(ISNUMBER(C244),IF(C244&lt;2000,"before 2000",IF(C244&lt;=2014,"2000-2014","2015 onward")),"")</f>
        <v/>
      </c>
      <c r="P244" s="8" t="n"/>
    </row>
    <row r="245">
      <c r="N245" s="9">
        <f>IF(ISNUMBER(C245),IF(C245&lt;2000,"before 2000",IF(C245&lt;=2014,"2000-2014","2015 onward")),"")</f>
        <v/>
      </c>
      <c r="P245" s="8" t="n"/>
    </row>
    <row r="246">
      <c r="N246" s="9">
        <f>IF(ISNUMBER(C246),IF(C246&lt;2000,"before 2000",IF(C246&lt;=2014,"2000-2014","2015 onward")),"")</f>
        <v/>
      </c>
      <c r="P246" s="8" t="n"/>
    </row>
    <row r="247">
      <c r="N247" s="9">
        <f>IF(ISNUMBER(C247),IF(C247&lt;2000,"before 2000",IF(C247&lt;=2014,"2000-2014","2015 onward")),"")</f>
        <v/>
      </c>
      <c r="P247" s="8" t="n"/>
    </row>
    <row r="248">
      <c r="N248" s="9">
        <f>IF(ISNUMBER(C248),IF(C248&lt;2000,"before 2000",IF(C248&lt;=2014,"2000-2014","2015 onward")),"")</f>
        <v/>
      </c>
      <c r="P248" s="8" t="n"/>
    </row>
    <row r="249">
      <c r="N249" s="9">
        <f>IF(ISNUMBER(C249),IF(C249&lt;2000,"before 2000",IF(C249&lt;=2014,"2000-2014","2015 onward")),"")</f>
        <v/>
      </c>
      <c r="P249" s="8" t="n"/>
    </row>
    <row r="250">
      <c r="N250" s="9">
        <f>IF(ISNUMBER(C250),IF(C250&lt;2000,"before 2000",IF(C250&lt;=2014,"2000-2014","2015 onward")),"")</f>
        <v/>
      </c>
      <c r="P250" s="8" t="n"/>
    </row>
    <row r="251">
      <c r="N251" s="9">
        <f>IF(ISNUMBER(C251),IF(C251&lt;2000,"before 2000",IF(C251&lt;=2014,"2000-2014","2015 onward")),"")</f>
        <v/>
      </c>
      <c r="P251" s="8" t="n"/>
    </row>
    <row r="252">
      <c r="N252" s="9">
        <f>IF(ISNUMBER(C252),IF(C252&lt;2000,"before 2000",IF(C252&lt;=2014,"2000-2014","2015 onward")),"")</f>
        <v/>
      </c>
      <c r="P252" s="8" t="n"/>
    </row>
    <row r="253">
      <c r="N253" s="9">
        <f>IF(ISNUMBER(C253),IF(C253&lt;2000,"before 2000",IF(C253&lt;=2014,"2000-2014","2015 onward")),"")</f>
        <v/>
      </c>
      <c r="P253" s="8" t="n"/>
    </row>
    <row r="254">
      <c r="N254" s="9">
        <f>IF(ISNUMBER(C254),IF(C254&lt;2000,"before 2000",IF(C254&lt;=2014,"2000-2014","2015 onward")),"")</f>
        <v/>
      </c>
      <c r="P254" s="8" t="n"/>
    </row>
    <row r="255">
      <c r="N255" s="9">
        <f>IF(ISNUMBER(C255),IF(C255&lt;2000,"before 2000",IF(C255&lt;=2014,"2000-2014","2015 onward")),"")</f>
        <v/>
      </c>
      <c r="P255" s="8" t="n"/>
    </row>
    <row r="256">
      <c r="N256" s="9">
        <f>IF(ISNUMBER(C256),IF(C256&lt;2000,"before 2000",IF(C256&lt;=2014,"2000-2014","2015 onward")),"")</f>
        <v/>
      </c>
      <c r="P256" s="8" t="n"/>
    </row>
    <row r="257">
      <c r="N257" s="9">
        <f>IF(ISNUMBER(C257),IF(C257&lt;2000,"before 2000",IF(C257&lt;=2014,"2000-2014","2015 onward")),"")</f>
        <v/>
      </c>
      <c r="P257" s="8" t="n"/>
    </row>
    <row r="258">
      <c r="N258" s="9">
        <f>IF(ISNUMBER(C258),IF(C258&lt;2000,"before 2000",IF(C258&lt;=2014,"2000-2014","2015 onward")),"")</f>
        <v/>
      </c>
      <c r="P258" s="8" t="n"/>
    </row>
    <row r="259">
      <c r="N259" s="9">
        <f>IF(ISNUMBER(C259),IF(C259&lt;2000,"before 2000",IF(C259&lt;=2014,"2000-2014","2015 onward")),"")</f>
        <v/>
      </c>
      <c r="P259" s="8" t="n"/>
    </row>
    <row r="260">
      <c r="N260" s="9">
        <f>IF(ISNUMBER(C260),IF(C260&lt;2000,"before 2000",IF(C260&lt;=2014,"2000-2014","2015 onward")),"")</f>
        <v/>
      </c>
      <c r="P260" s="8" t="n"/>
    </row>
    <row r="261">
      <c r="N261" s="9">
        <f>IF(ISNUMBER(C261),IF(C261&lt;2000,"before 2000",IF(C261&lt;=2014,"2000-2014","2015 onward")),"")</f>
        <v/>
      </c>
      <c r="P261" s="8" t="n"/>
    </row>
    <row r="262">
      <c r="N262" s="9">
        <f>IF(ISNUMBER(C262),IF(C262&lt;2000,"before 2000",IF(C262&lt;=2014,"2000-2014","2015 onward")),"")</f>
        <v/>
      </c>
      <c r="P262" s="8" t="n"/>
    </row>
    <row r="263">
      <c r="N263" s="9">
        <f>IF(ISNUMBER(C263),IF(C263&lt;2000,"before 2000",IF(C263&lt;=2014,"2000-2014","2015 onward")),"")</f>
        <v/>
      </c>
      <c r="P263" s="8" t="n"/>
    </row>
    <row r="264">
      <c r="N264" s="9">
        <f>IF(ISNUMBER(C264),IF(C264&lt;2000,"before 2000",IF(C264&lt;=2014,"2000-2014","2015 onward")),"")</f>
        <v/>
      </c>
      <c r="P264" s="8" t="n"/>
    </row>
    <row r="265">
      <c r="N265" s="9">
        <f>IF(ISNUMBER(C265),IF(C265&lt;2000,"before 2000",IF(C265&lt;=2014,"2000-2014","2015 onward")),"")</f>
        <v/>
      </c>
      <c r="P265" s="8" t="n"/>
    </row>
    <row r="266">
      <c r="N266" s="9">
        <f>IF(ISNUMBER(C266),IF(C266&lt;2000,"before 2000",IF(C266&lt;=2014,"2000-2014","2015 onward")),"")</f>
        <v/>
      </c>
      <c r="P266" s="8" t="n"/>
    </row>
    <row r="267">
      <c r="N267" s="9">
        <f>IF(ISNUMBER(C267),IF(C267&lt;2000,"before 2000",IF(C267&lt;=2014,"2000-2014","2015 onward")),"")</f>
        <v/>
      </c>
      <c r="P267" s="8" t="n"/>
    </row>
    <row r="268">
      <c r="N268" s="9">
        <f>IF(ISNUMBER(C268),IF(C268&lt;2000,"before 2000",IF(C268&lt;=2014,"2000-2014","2015 onward")),"")</f>
        <v/>
      </c>
      <c r="P268" s="8" t="n"/>
    </row>
    <row r="269">
      <c r="N269" s="9">
        <f>IF(ISNUMBER(C269),IF(C269&lt;2000,"before 2000",IF(C269&lt;=2014,"2000-2014","2015 onward")),"")</f>
        <v/>
      </c>
      <c r="P269" s="8" t="n"/>
    </row>
    <row r="270">
      <c r="N270" s="9">
        <f>IF(ISNUMBER(C270),IF(C270&lt;2000,"before 2000",IF(C270&lt;=2014,"2000-2014","2015 onward")),"")</f>
        <v/>
      </c>
      <c r="P270" s="8" t="n"/>
    </row>
    <row r="271">
      <c r="N271" s="9">
        <f>IF(ISNUMBER(C271),IF(C271&lt;2000,"before 2000",IF(C271&lt;=2014,"2000-2014","2015 onward")),"")</f>
        <v/>
      </c>
      <c r="P271" s="8" t="n"/>
    </row>
    <row r="272">
      <c r="N272" s="9">
        <f>IF(ISNUMBER(C272),IF(C272&lt;2000,"before 2000",IF(C272&lt;=2014,"2000-2014","2015 onward")),"")</f>
        <v/>
      </c>
      <c r="P272" s="8" t="n"/>
    </row>
    <row r="273">
      <c r="N273" s="9">
        <f>IF(ISNUMBER(C273),IF(C273&lt;2000,"before 2000",IF(C273&lt;=2014,"2000-2014","2015 onward")),"")</f>
        <v/>
      </c>
      <c r="P273" s="8" t="n"/>
    </row>
    <row r="274">
      <c r="N274" s="9">
        <f>IF(ISNUMBER(C274),IF(C274&lt;2000,"before 2000",IF(C274&lt;=2014,"2000-2014","2015 onward")),"")</f>
        <v/>
      </c>
      <c r="P274" s="8" t="n"/>
    </row>
    <row r="275">
      <c r="N275" s="9">
        <f>IF(ISNUMBER(C275),IF(C275&lt;2000,"before 2000",IF(C275&lt;=2014,"2000-2014","2015 onward")),"")</f>
        <v/>
      </c>
      <c r="P275" s="8" t="n"/>
    </row>
    <row r="276">
      <c r="N276" s="9">
        <f>IF(ISNUMBER(C276),IF(C276&lt;2000,"before 2000",IF(C276&lt;=2014,"2000-2014","2015 onward")),"")</f>
        <v/>
      </c>
      <c r="P276" s="8" t="n"/>
    </row>
    <row r="277">
      <c r="N277" s="9">
        <f>IF(ISNUMBER(C277),IF(C277&lt;2000,"before 2000",IF(C277&lt;=2014,"2000-2014","2015 onward")),"")</f>
        <v/>
      </c>
      <c r="P277" s="8" t="n"/>
    </row>
    <row r="278">
      <c r="N278" s="9">
        <f>IF(ISNUMBER(C278),IF(C278&lt;2000,"before 2000",IF(C278&lt;=2014,"2000-2014","2015 onward")),"")</f>
        <v/>
      </c>
      <c r="P278" s="8" t="n"/>
    </row>
    <row r="279">
      <c r="N279" s="9">
        <f>IF(ISNUMBER(C279),IF(C279&lt;2000,"before 2000",IF(C279&lt;=2014,"2000-2014","2015 onward")),"")</f>
        <v/>
      </c>
      <c r="P279" s="8" t="n"/>
    </row>
    <row r="280">
      <c r="N280" s="9">
        <f>IF(ISNUMBER(C280),IF(C280&lt;2000,"before 2000",IF(C280&lt;=2014,"2000-2014","2015 onward")),"")</f>
        <v/>
      </c>
      <c r="P280" s="8" t="n"/>
    </row>
    <row r="281">
      <c r="N281" s="9">
        <f>IF(ISNUMBER(C281),IF(C281&lt;2000,"before 2000",IF(C281&lt;=2014,"2000-2014","2015 onward")),"")</f>
        <v/>
      </c>
      <c r="P281" s="8" t="n"/>
    </row>
    <row r="282">
      <c r="N282" s="9">
        <f>IF(ISNUMBER(C282),IF(C282&lt;2000,"before 2000",IF(C282&lt;=2014,"2000-2014","2015 onward")),"")</f>
        <v/>
      </c>
      <c r="P282" s="8" t="n"/>
    </row>
    <row r="283">
      <c r="N283" s="9">
        <f>IF(ISNUMBER(C283),IF(C283&lt;2000,"before 2000",IF(C283&lt;=2014,"2000-2014","2015 onward")),"")</f>
        <v/>
      </c>
      <c r="P283" s="8" t="n"/>
    </row>
    <row r="284">
      <c r="N284" s="9">
        <f>IF(ISNUMBER(C284),IF(C284&lt;2000,"before 2000",IF(C284&lt;=2014,"2000-2014","2015 onward")),"")</f>
        <v/>
      </c>
      <c r="P284" s="8" t="n"/>
    </row>
    <row r="285">
      <c r="N285" s="9">
        <f>IF(ISNUMBER(C285),IF(C285&lt;2000,"before 2000",IF(C285&lt;=2014,"2000-2014","2015 onward")),"")</f>
        <v/>
      </c>
      <c r="P285" s="8" t="n"/>
    </row>
    <row r="286">
      <c r="N286" s="9">
        <f>IF(ISNUMBER(C286),IF(C286&lt;2000,"before 2000",IF(C286&lt;=2014,"2000-2014","2015 onward")),"")</f>
        <v/>
      </c>
      <c r="P286" s="8" t="n"/>
    </row>
    <row r="287">
      <c r="N287" s="9">
        <f>IF(ISNUMBER(C287),IF(C287&lt;2000,"before 2000",IF(C287&lt;=2014,"2000-2014","2015 onward")),"")</f>
        <v/>
      </c>
      <c r="P287" s="8" t="n"/>
    </row>
    <row r="288">
      <c r="N288" s="9">
        <f>IF(ISNUMBER(C288),IF(C288&lt;2000,"before 2000",IF(C288&lt;=2014,"2000-2014","2015 onward")),"")</f>
        <v/>
      </c>
      <c r="P288" s="8" t="n"/>
    </row>
    <row r="289">
      <c r="N289" s="9">
        <f>IF(ISNUMBER(C289),IF(C289&lt;2000,"before 2000",IF(C289&lt;=2014,"2000-2014","2015 onward")),"")</f>
        <v/>
      </c>
      <c r="P289" s="8" t="n"/>
    </row>
    <row r="290">
      <c r="N290" s="9">
        <f>IF(ISNUMBER(C290),IF(C290&lt;2000,"before 2000",IF(C290&lt;=2014,"2000-2014","2015 onward")),"")</f>
        <v/>
      </c>
      <c r="P290" s="8" t="n"/>
    </row>
    <row r="291">
      <c r="N291" s="9">
        <f>IF(ISNUMBER(C291),IF(C291&lt;2000,"before 2000",IF(C291&lt;=2014,"2000-2014","2015 onward")),"")</f>
        <v/>
      </c>
      <c r="P291" s="8" t="n"/>
    </row>
    <row r="292">
      <c r="N292" s="9">
        <f>IF(ISNUMBER(C292),IF(C292&lt;2000,"before 2000",IF(C292&lt;=2014,"2000-2014","2015 onward")),"")</f>
        <v/>
      </c>
      <c r="P292" s="8" t="n"/>
    </row>
    <row r="293">
      <c r="N293" s="9">
        <f>IF(ISNUMBER(C293),IF(C293&lt;2000,"before 2000",IF(C293&lt;=2014,"2000-2014","2015 onward")),"")</f>
        <v/>
      </c>
      <c r="P293" s="8" t="n"/>
    </row>
    <row r="294">
      <c r="N294" s="9">
        <f>IF(ISNUMBER(C294),IF(C294&lt;2000,"before 2000",IF(C294&lt;=2014,"2000-2014","2015 onward")),"")</f>
        <v/>
      </c>
      <c r="P294" s="8" t="n"/>
    </row>
    <row r="295">
      <c r="N295" s="9">
        <f>IF(ISNUMBER(C295),IF(C295&lt;2000,"before 2000",IF(C295&lt;=2014,"2000-2014","2015 onward")),"")</f>
        <v/>
      </c>
      <c r="P295" s="8" t="n"/>
    </row>
    <row r="296">
      <c r="N296" s="9">
        <f>IF(ISNUMBER(C296),IF(C296&lt;2000,"before 2000",IF(C296&lt;=2014,"2000-2014","2015 onward")),"")</f>
        <v/>
      </c>
      <c r="P296" s="8" t="n"/>
    </row>
    <row r="297">
      <c r="N297" s="9">
        <f>IF(ISNUMBER(C297),IF(C297&lt;2000,"before 2000",IF(C297&lt;=2014,"2000-2014","2015 onward")),"")</f>
        <v/>
      </c>
      <c r="P297" s="8" t="n"/>
    </row>
    <row r="298">
      <c r="N298" s="9">
        <f>IF(ISNUMBER(C298),IF(C298&lt;2000,"before 2000",IF(C298&lt;=2014,"2000-2014","2015 onward")),"")</f>
        <v/>
      </c>
      <c r="P298" s="8" t="n"/>
    </row>
    <row r="299">
      <c r="N299" s="9">
        <f>IF(ISNUMBER(C299),IF(C299&lt;2000,"before 2000",IF(C299&lt;=2014,"2000-2014","2015 onward")),"")</f>
        <v/>
      </c>
      <c r="P299" s="8" t="n"/>
    </row>
    <row r="300">
      <c r="N300" s="9">
        <f>IF(ISNUMBER(C300),IF(C300&lt;2000,"before 2000",IF(C300&lt;=2014,"2000-2014","2015 onward")),"")</f>
        <v/>
      </c>
      <c r="P300" s="8" t="n"/>
    </row>
    <row r="301">
      <c r="N301" s="9">
        <f>IF(ISNUMBER(C301),IF(C301&lt;2000,"before 2000",IF(C301&lt;=2014,"2000-2014","2015 onward")),"")</f>
        <v/>
      </c>
      <c r="P301" s="8" t="n"/>
    </row>
    <row r="302">
      <c r="N302" s="9">
        <f>IF(ISNUMBER(C302),IF(C302&lt;2000,"before 2000",IF(C302&lt;=2014,"2000-2014","2015 onward")),"")</f>
        <v/>
      </c>
      <c r="P302" s="8" t="n"/>
    </row>
    <row r="303">
      <c r="N303" s="9">
        <f>IF(ISNUMBER(C303),IF(C303&lt;2000,"before 2000",IF(C303&lt;=2014,"2000-2014","2015 onward")),"")</f>
        <v/>
      </c>
      <c r="P303" s="8" t="n"/>
    </row>
    <row r="304">
      <c r="N304" s="9">
        <f>IF(ISNUMBER(C304),IF(C304&lt;2000,"before 2000",IF(C304&lt;=2014,"2000-2014","2015 onward")),"")</f>
        <v/>
      </c>
      <c r="P304" s="8" t="n"/>
    </row>
    <row r="305">
      <c r="N305" s="9">
        <f>IF(ISNUMBER(C305),IF(C305&lt;2000,"before 2000",IF(C305&lt;=2014,"2000-2014","2015 onward")),"")</f>
        <v/>
      </c>
      <c r="P305" s="8" t="n"/>
    </row>
    <row r="306">
      <c r="N306" s="9">
        <f>IF(ISNUMBER(C306),IF(C306&lt;2000,"before 2000",IF(C306&lt;=2014,"2000-2014","2015 onward")),"")</f>
        <v/>
      </c>
      <c r="P306" s="8" t="n"/>
    </row>
    <row r="307">
      <c r="N307" s="9">
        <f>IF(ISNUMBER(C307),IF(C307&lt;2000,"before 2000",IF(C307&lt;=2014,"2000-2014","2015 onward")),"")</f>
        <v/>
      </c>
      <c r="P307" s="8" t="n"/>
    </row>
    <row r="308">
      <c r="N308" s="9">
        <f>IF(ISNUMBER(C308),IF(C308&lt;2000,"before 2000",IF(C308&lt;=2014,"2000-2014","2015 onward")),"")</f>
        <v/>
      </c>
      <c r="P308" s="8" t="n"/>
    </row>
    <row r="309">
      <c r="N309" s="9">
        <f>IF(ISNUMBER(C309),IF(C309&lt;2000,"before 2000",IF(C309&lt;=2014,"2000-2014","2015 onward")),"")</f>
        <v/>
      </c>
      <c r="P309" s="8" t="n"/>
    </row>
    <row r="310">
      <c r="N310" s="9">
        <f>IF(ISNUMBER(C310),IF(C310&lt;2000,"before 2000",IF(C310&lt;=2014,"2000-2014","2015 onward")),"")</f>
        <v/>
      </c>
      <c r="P310" s="8" t="n"/>
    </row>
    <row r="311">
      <c r="N311" s="9">
        <f>IF(ISNUMBER(C311),IF(C311&lt;2000,"before 2000",IF(C311&lt;=2014,"2000-2014","2015 onward")),"")</f>
        <v/>
      </c>
      <c r="P311" s="8" t="n"/>
    </row>
    <row r="312">
      <c r="N312" s="9">
        <f>IF(ISNUMBER(C312),IF(C312&lt;2000,"before 2000",IF(C312&lt;=2014,"2000-2014","2015 onward")),"")</f>
        <v/>
      </c>
      <c r="P312" s="8" t="n"/>
    </row>
    <row r="313">
      <c r="N313" s="9">
        <f>IF(ISNUMBER(C313),IF(C313&lt;2000,"before 2000",IF(C313&lt;=2014,"2000-2014","2015 onward")),"")</f>
        <v/>
      </c>
      <c r="P313" s="8" t="n"/>
    </row>
    <row r="314">
      <c r="N314" s="9">
        <f>IF(ISNUMBER(C314),IF(C314&lt;2000,"before 2000",IF(C314&lt;=2014,"2000-2014","2015 onward")),"")</f>
        <v/>
      </c>
      <c r="P314" s="8" t="n"/>
    </row>
    <row r="315">
      <c r="N315" s="9">
        <f>IF(ISNUMBER(C315),IF(C315&lt;2000,"before 2000",IF(C315&lt;=2014,"2000-2014","2015 onward")),"")</f>
        <v/>
      </c>
      <c r="P315" s="8" t="n"/>
    </row>
    <row r="316">
      <c r="N316" s="9">
        <f>IF(ISNUMBER(C316),IF(C316&lt;2000,"before 2000",IF(C316&lt;=2014,"2000-2014","2015 onward")),"")</f>
        <v/>
      </c>
      <c r="P316" s="8" t="n"/>
    </row>
    <row r="317">
      <c r="N317" s="9">
        <f>IF(ISNUMBER(C317),IF(C317&lt;2000,"before 2000",IF(C317&lt;=2014,"2000-2014","2015 onward")),"")</f>
        <v/>
      </c>
      <c r="P317" s="8" t="n"/>
    </row>
    <row r="318">
      <c r="N318" s="9">
        <f>IF(ISNUMBER(C318),IF(C318&lt;2000,"before 2000",IF(C318&lt;=2014,"2000-2014","2015 onward")),"")</f>
        <v/>
      </c>
      <c r="P318" s="8" t="n"/>
    </row>
    <row r="319">
      <c r="N319" s="9">
        <f>IF(ISNUMBER(C319),IF(C319&lt;2000,"before 2000",IF(C319&lt;=2014,"2000-2014","2015 onward")),"")</f>
        <v/>
      </c>
      <c r="P319" s="8" t="n"/>
    </row>
    <row r="320">
      <c r="N320" s="9">
        <f>IF(ISNUMBER(C320),IF(C320&lt;2000,"before 2000",IF(C320&lt;=2014,"2000-2014","2015 onward")),"")</f>
        <v/>
      </c>
      <c r="P320" s="8" t="n"/>
    </row>
    <row r="321">
      <c r="N321" s="9">
        <f>IF(ISNUMBER(C321),IF(C321&lt;2000,"before 2000",IF(C321&lt;=2014,"2000-2014","2015 onward")),"")</f>
        <v/>
      </c>
      <c r="P321" s="8" t="n"/>
    </row>
    <row r="322">
      <c r="N322" s="9">
        <f>IF(ISNUMBER(C322),IF(C322&lt;2000,"before 2000",IF(C322&lt;=2014,"2000-2014","2015 onward")),"")</f>
        <v/>
      </c>
      <c r="P322" s="8" t="n"/>
    </row>
    <row r="323">
      <c r="N323" s="9">
        <f>IF(ISNUMBER(C323),IF(C323&lt;2000,"before 2000",IF(C323&lt;=2014,"2000-2014","2015 onward")),"")</f>
        <v/>
      </c>
      <c r="P323" s="8" t="n"/>
    </row>
    <row r="324">
      <c r="N324" s="9">
        <f>IF(ISNUMBER(C324),IF(C324&lt;2000,"before 2000",IF(C324&lt;=2014,"2000-2014","2015 onward")),"")</f>
        <v/>
      </c>
      <c r="P324" s="8" t="n"/>
    </row>
    <row r="325">
      <c r="N325" s="9">
        <f>IF(ISNUMBER(C325),IF(C325&lt;2000,"before 2000",IF(C325&lt;=2014,"2000-2014","2015 onward")),"")</f>
        <v/>
      </c>
      <c r="P325" s="8" t="n"/>
    </row>
    <row r="326">
      <c r="N326" s="9">
        <f>IF(ISNUMBER(C326),IF(C326&lt;2000,"before 2000",IF(C326&lt;=2014,"2000-2014","2015 onward")),"")</f>
        <v/>
      </c>
      <c r="P326" s="8" t="n"/>
    </row>
    <row r="327">
      <c r="N327" s="9">
        <f>IF(ISNUMBER(C327),IF(C327&lt;2000,"before 2000",IF(C327&lt;=2014,"2000-2014","2015 onward")),"")</f>
        <v/>
      </c>
      <c r="P327" s="8" t="n"/>
    </row>
    <row r="328">
      <c r="N328" s="9">
        <f>IF(ISNUMBER(C328),IF(C328&lt;2000,"before 2000",IF(C328&lt;=2014,"2000-2014","2015 onward")),"")</f>
        <v/>
      </c>
      <c r="P328" s="8" t="n"/>
    </row>
    <row r="329">
      <c r="N329" s="9">
        <f>IF(ISNUMBER(C329),IF(C329&lt;2000,"before 2000",IF(C329&lt;=2014,"2000-2014","2015 onward")),"")</f>
        <v/>
      </c>
      <c r="P329" s="8" t="n"/>
    </row>
    <row r="330">
      <c r="N330" s="9">
        <f>IF(ISNUMBER(C330),IF(C330&lt;2000,"before 2000",IF(C330&lt;=2014,"2000-2014","2015 onward")),"")</f>
        <v/>
      </c>
      <c r="P330" s="8" t="n"/>
    </row>
    <row r="331">
      <c r="N331" s="9">
        <f>IF(ISNUMBER(C331),IF(C331&lt;2000,"before 2000",IF(C331&lt;=2014,"2000-2014","2015 onward")),"")</f>
        <v/>
      </c>
      <c r="P331" s="8" t="n"/>
    </row>
    <row r="332">
      <c r="N332" s="9">
        <f>IF(ISNUMBER(C332),IF(C332&lt;2000,"before 2000",IF(C332&lt;=2014,"2000-2014","2015 onward")),"")</f>
        <v/>
      </c>
      <c r="P332" s="8" t="n"/>
    </row>
    <row r="333">
      <c r="N333" s="9">
        <f>IF(ISNUMBER(C333),IF(C333&lt;2000,"before 2000",IF(C333&lt;=2014,"2000-2014","2015 onward")),"")</f>
        <v/>
      </c>
      <c r="P333" s="8" t="n"/>
    </row>
    <row r="334">
      <c r="N334" s="9">
        <f>IF(ISNUMBER(C334),IF(C334&lt;2000,"before 2000",IF(C334&lt;=2014,"2000-2014","2015 onward")),"")</f>
        <v/>
      </c>
      <c r="P334" s="8" t="n"/>
    </row>
    <row r="335">
      <c r="N335" s="9">
        <f>IF(ISNUMBER(C335),IF(C335&lt;2000,"before 2000",IF(C335&lt;=2014,"2000-2014","2015 onward")),"")</f>
        <v/>
      </c>
      <c r="P335" s="8" t="n"/>
    </row>
    <row r="336">
      <c r="N336" s="9">
        <f>IF(ISNUMBER(C336),IF(C336&lt;2000,"before 2000",IF(C336&lt;=2014,"2000-2014","2015 onward")),"")</f>
        <v/>
      </c>
      <c r="P336" s="8" t="n"/>
    </row>
    <row r="337">
      <c r="N337" s="9">
        <f>IF(ISNUMBER(C337),IF(C337&lt;2000,"before 2000",IF(C337&lt;=2014,"2000-2014","2015 onward")),"")</f>
        <v/>
      </c>
      <c r="P337" s="8" t="n"/>
    </row>
    <row r="338">
      <c r="N338" s="9">
        <f>IF(ISNUMBER(C338),IF(C338&lt;2000,"before 2000",IF(C338&lt;=2014,"2000-2014","2015 onward")),"")</f>
        <v/>
      </c>
      <c r="P338" s="8" t="n"/>
    </row>
    <row r="339">
      <c r="N339" s="9">
        <f>IF(ISNUMBER(C339),IF(C339&lt;2000,"before 2000",IF(C339&lt;=2014,"2000-2014","2015 onward")),"")</f>
        <v/>
      </c>
      <c r="P339" s="8" t="n"/>
    </row>
    <row r="340">
      <c r="N340" s="9">
        <f>IF(ISNUMBER(C340),IF(C340&lt;2000,"before 2000",IF(C340&lt;=2014,"2000-2014","2015 onward")),"")</f>
        <v/>
      </c>
      <c r="P340" s="8" t="n"/>
    </row>
    <row r="341">
      <c r="N341" s="9">
        <f>IF(ISNUMBER(C341),IF(C341&lt;2000,"before 2000",IF(C341&lt;=2014,"2000-2014","2015 onward")),"")</f>
        <v/>
      </c>
      <c r="P341" s="8" t="n"/>
    </row>
    <row r="342">
      <c r="N342" s="9">
        <f>IF(ISNUMBER(C342),IF(C342&lt;2000,"before 2000",IF(C342&lt;=2014,"2000-2014","2015 onward")),"")</f>
        <v/>
      </c>
      <c r="P342" s="8" t="n"/>
    </row>
    <row r="343">
      <c r="N343" s="9">
        <f>IF(ISNUMBER(C343),IF(C343&lt;2000,"before 2000",IF(C343&lt;=2014,"2000-2014","2015 onward")),"")</f>
        <v/>
      </c>
      <c r="P343" s="8" t="n"/>
    </row>
    <row r="344">
      <c r="N344" s="9">
        <f>IF(ISNUMBER(C344),IF(C344&lt;2000,"before 2000",IF(C344&lt;=2014,"2000-2014","2015 onward")),"")</f>
        <v/>
      </c>
      <c r="P344" s="8" t="n"/>
    </row>
    <row r="345">
      <c r="N345" s="9">
        <f>IF(ISNUMBER(C345),IF(C345&lt;2000,"before 2000",IF(C345&lt;=2014,"2000-2014","2015 onward")),"")</f>
        <v/>
      </c>
      <c r="P345" s="8" t="n"/>
    </row>
    <row r="346">
      <c r="N346" s="9">
        <f>IF(ISNUMBER(C346),IF(C346&lt;2000,"before 2000",IF(C346&lt;=2014,"2000-2014","2015 onward")),"")</f>
        <v/>
      </c>
      <c r="P346" s="8" t="n"/>
    </row>
    <row r="347">
      <c r="N347" s="9">
        <f>IF(ISNUMBER(C347),IF(C347&lt;2000,"before 2000",IF(C347&lt;=2014,"2000-2014","2015 onward")),"")</f>
        <v/>
      </c>
      <c r="P347" s="8" t="n"/>
    </row>
    <row r="348">
      <c r="N348" s="9">
        <f>IF(ISNUMBER(C348),IF(C348&lt;2000,"before 2000",IF(C348&lt;=2014,"2000-2014","2015 onward")),"")</f>
        <v/>
      </c>
      <c r="P348" s="8" t="n"/>
    </row>
    <row r="349">
      <c r="N349" s="9">
        <f>IF(ISNUMBER(C349),IF(C349&lt;2000,"before 2000",IF(C349&lt;=2014,"2000-2014","2015 onward")),"")</f>
        <v/>
      </c>
      <c r="P349" s="8" t="n"/>
    </row>
    <row r="350">
      <c r="N350" s="9">
        <f>IF(ISNUMBER(C350),IF(C350&lt;2000,"before 2000",IF(C350&lt;=2014,"2000-2014","2015 onward")),"")</f>
        <v/>
      </c>
      <c r="P350" s="8" t="n"/>
    </row>
    <row r="351">
      <c r="N351" s="9">
        <f>IF(ISNUMBER(C351),IF(C351&lt;2000,"before 2000",IF(C351&lt;=2014,"2000-2014","2015 onward")),"")</f>
        <v/>
      </c>
      <c r="P351" s="8" t="n"/>
    </row>
    <row r="352">
      <c r="N352" s="9">
        <f>IF(ISNUMBER(C352),IF(C352&lt;2000,"before 2000",IF(C352&lt;=2014,"2000-2014","2015 onward")),"")</f>
        <v/>
      </c>
      <c r="P352" s="8" t="n"/>
    </row>
    <row r="353">
      <c r="N353" s="9">
        <f>IF(ISNUMBER(C353),IF(C353&lt;2000,"before 2000",IF(C353&lt;=2014,"2000-2014","2015 onward")),"")</f>
        <v/>
      </c>
      <c r="P353" s="8" t="n"/>
    </row>
    <row r="354">
      <c r="N354" s="9">
        <f>IF(ISNUMBER(C354),IF(C354&lt;2000,"before 2000",IF(C354&lt;=2014,"2000-2014","2015 onward")),"")</f>
        <v/>
      </c>
      <c r="P354" s="8" t="n"/>
    </row>
    <row r="355">
      <c r="N355" s="9">
        <f>IF(ISNUMBER(C355),IF(C355&lt;2000,"before 2000",IF(C355&lt;=2014,"2000-2014","2015 onward")),"")</f>
        <v/>
      </c>
      <c r="P355" s="8" t="n"/>
    </row>
    <row r="356">
      <c r="N356" s="9">
        <f>IF(ISNUMBER(C356),IF(C356&lt;2000,"before 2000",IF(C356&lt;=2014,"2000-2014","2015 onward")),"")</f>
        <v/>
      </c>
      <c r="P356" s="8" t="n"/>
    </row>
    <row r="357">
      <c r="N357" s="9">
        <f>IF(ISNUMBER(C357),IF(C357&lt;2000,"before 2000",IF(C357&lt;=2014,"2000-2014","2015 onward")),"")</f>
        <v/>
      </c>
      <c r="P357" s="8" t="n"/>
    </row>
    <row r="358">
      <c r="N358" s="9">
        <f>IF(ISNUMBER(C358),IF(C358&lt;2000,"before 2000",IF(C358&lt;=2014,"2000-2014","2015 onward")),"")</f>
        <v/>
      </c>
      <c r="P358" s="8" t="n"/>
    </row>
    <row r="359">
      <c r="N359" s="9">
        <f>IF(ISNUMBER(C359),IF(C359&lt;2000,"before 2000",IF(C359&lt;=2014,"2000-2014","2015 onward")),"")</f>
        <v/>
      </c>
      <c r="P359" s="8" t="n"/>
    </row>
    <row r="360">
      <c r="N360" s="9">
        <f>IF(ISNUMBER(C360),IF(C360&lt;2000,"before 2000",IF(C360&lt;=2014,"2000-2014","2015 onward")),"")</f>
        <v/>
      </c>
      <c r="P360" s="8" t="n"/>
    </row>
    <row r="361">
      <c r="N361" s="9">
        <f>IF(ISNUMBER(C361),IF(C361&lt;2000,"before 2000",IF(C361&lt;=2014,"2000-2014","2015 onward")),"")</f>
        <v/>
      </c>
      <c r="P361" s="8" t="n"/>
    </row>
    <row r="362">
      <c r="N362" s="9">
        <f>IF(ISNUMBER(C362),IF(C362&lt;2000,"before 2000",IF(C362&lt;=2014,"2000-2014","2015 onward")),"")</f>
        <v/>
      </c>
      <c r="P362" s="8" t="n"/>
    </row>
    <row r="363">
      <c r="N363" s="9">
        <f>IF(ISNUMBER(C363),IF(C363&lt;2000,"before 2000",IF(C363&lt;=2014,"2000-2014","2015 onward")),"")</f>
        <v/>
      </c>
      <c r="P363" s="8" t="n"/>
    </row>
    <row r="364">
      <c r="N364" s="9">
        <f>IF(ISNUMBER(C364),IF(C364&lt;2000,"before 2000",IF(C364&lt;=2014,"2000-2014","2015 onward")),"")</f>
        <v/>
      </c>
      <c r="P364" s="8" t="n"/>
    </row>
    <row r="365">
      <c r="N365" s="9">
        <f>IF(ISNUMBER(C365),IF(C365&lt;2000,"before 2000",IF(C365&lt;=2014,"2000-2014","2015 onward")),"")</f>
        <v/>
      </c>
      <c r="P365" s="8" t="n"/>
    </row>
    <row r="366">
      <c r="N366" s="9">
        <f>IF(ISNUMBER(C366),IF(C366&lt;2000,"before 2000",IF(C366&lt;=2014,"2000-2014","2015 onward")),"")</f>
        <v/>
      </c>
      <c r="P366" s="8" t="n"/>
    </row>
    <row r="367">
      <c r="N367" s="9">
        <f>IF(ISNUMBER(C367),IF(C367&lt;2000,"before 2000",IF(C367&lt;=2014,"2000-2014","2015 onward")),"")</f>
        <v/>
      </c>
      <c r="P367" s="8" t="n"/>
    </row>
    <row r="368">
      <c r="N368" s="9">
        <f>IF(ISNUMBER(C368),IF(C368&lt;2000,"before 2000",IF(C368&lt;=2014,"2000-2014","2015 onward")),"")</f>
        <v/>
      </c>
      <c r="P368" s="8" t="n"/>
    </row>
    <row r="369">
      <c r="N369" s="9">
        <f>IF(ISNUMBER(C369),IF(C369&lt;2000,"before 2000",IF(C369&lt;=2014,"2000-2014","2015 onward")),"")</f>
        <v/>
      </c>
      <c r="P369" s="8" t="n"/>
    </row>
    <row r="370">
      <c r="N370" s="9">
        <f>IF(ISNUMBER(C370),IF(C370&lt;2000,"before 2000",IF(C370&lt;=2014,"2000-2014","2015 onward")),"")</f>
        <v/>
      </c>
      <c r="P370" s="8" t="n"/>
    </row>
    <row r="371">
      <c r="N371" s="9">
        <f>IF(ISNUMBER(C371),IF(C371&lt;2000,"before 2000",IF(C371&lt;=2014,"2000-2014","2015 onward")),"")</f>
        <v/>
      </c>
      <c r="P371" s="8" t="n"/>
    </row>
    <row r="372">
      <c r="N372" s="9">
        <f>IF(ISNUMBER(C372),IF(C372&lt;2000,"before 2000",IF(C372&lt;=2014,"2000-2014","2015 onward")),"")</f>
        <v/>
      </c>
      <c r="P372" s="8" t="n"/>
    </row>
    <row r="373">
      <c r="N373" s="9">
        <f>IF(ISNUMBER(C373),IF(C373&lt;2000,"before 2000",IF(C373&lt;=2014,"2000-2014","2015 onward")),"")</f>
        <v/>
      </c>
      <c r="P373" s="8" t="n"/>
    </row>
    <row r="374">
      <c r="N374" s="9">
        <f>IF(ISNUMBER(C374),IF(C374&lt;2000,"before 2000",IF(C374&lt;=2014,"2000-2014","2015 onward")),"")</f>
        <v/>
      </c>
      <c r="P374" s="8" t="n"/>
    </row>
    <row r="375">
      <c r="N375" s="9">
        <f>IF(ISNUMBER(C375),IF(C375&lt;2000,"before 2000",IF(C375&lt;=2014,"2000-2014","2015 onward")),"")</f>
        <v/>
      </c>
      <c r="P375" s="8" t="n"/>
    </row>
    <row r="376">
      <c r="N376" s="9">
        <f>IF(ISNUMBER(C376),IF(C376&lt;2000,"before 2000",IF(C376&lt;=2014,"2000-2014","2015 onward")),"")</f>
        <v/>
      </c>
      <c r="P376" s="8" t="n"/>
    </row>
    <row r="377">
      <c r="N377" s="9">
        <f>IF(ISNUMBER(C377),IF(C377&lt;2000,"before 2000",IF(C377&lt;=2014,"2000-2014","2015 onward")),"")</f>
        <v/>
      </c>
      <c r="P377" s="8" t="n"/>
    </row>
    <row r="378">
      <c r="N378" s="9">
        <f>IF(ISNUMBER(C378),IF(C378&lt;2000,"before 2000",IF(C378&lt;=2014,"2000-2014","2015 onward")),"")</f>
        <v/>
      </c>
      <c r="P378" s="8" t="n"/>
    </row>
    <row r="379">
      <c r="N379" s="9">
        <f>IF(ISNUMBER(C379),IF(C379&lt;2000,"before 2000",IF(C379&lt;=2014,"2000-2014","2015 onward")),"")</f>
        <v/>
      </c>
      <c r="P379" s="8" t="n"/>
    </row>
    <row r="380">
      <c r="N380" s="9">
        <f>IF(ISNUMBER(C380),IF(C380&lt;2000,"before 2000",IF(C380&lt;=2014,"2000-2014","2015 onward")),"")</f>
        <v/>
      </c>
      <c r="P380" s="8" t="n"/>
    </row>
    <row r="381">
      <c r="N381" s="9">
        <f>IF(ISNUMBER(C381),IF(C381&lt;2000,"before 2000",IF(C381&lt;=2014,"2000-2014","2015 onward")),"")</f>
        <v/>
      </c>
      <c r="P381" s="8" t="n"/>
    </row>
    <row r="382">
      <c r="N382" s="9">
        <f>IF(ISNUMBER(C382),IF(C382&lt;2000,"before 2000",IF(C382&lt;=2014,"2000-2014","2015 onward")),"")</f>
        <v/>
      </c>
      <c r="P382" s="8" t="n"/>
    </row>
    <row r="383">
      <c r="N383" s="9">
        <f>IF(ISNUMBER(C383),IF(C383&lt;2000,"before 2000",IF(C383&lt;=2014,"2000-2014","2015 onward")),"")</f>
        <v/>
      </c>
      <c r="P383" s="8" t="n"/>
    </row>
    <row r="384">
      <c r="N384" s="9">
        <f>IF(ISNUMBER(C384),IF(C384&lt;2000,"before 2000",IF(C384&lt;=2014,"2000-2014","2015 onward")),"")</f>
        <v/>
      </c>
      <c r="P384" s="8" t="n"/>
    </row>
    <row r="385">
      <c r="N385" s="9">
        <f>IF(ISNUMBER(C385),IF(C385&lt;2000,"before 2000",IF(C385&lt;=2014,"2000-2014","2015 onward")),"")</f>
        <v/>
      </c>
      <c r="P385" s="8" t="n"/>
    </row>
    <row r="386">
      <c r="N386" s="9">
        <f>IF(ISNUMBER(C386),IF(C386&lt;2000,"before 2000",IF(C386&lt;=2014,"2000-2014","2015 onward")),"")</f>
        <v/>
      </c>
      <c r="P386" s="8" t="n"/>
    </row>
    <row r="387">
      <c r="N387" s="9">
        <f>IF(ISNUMBER(C387),IF(C387&lt;2000,"before 2000",IF(C387&lt;=2014,"2000-2014","2015 onward")),"")</f>
        <v/>
      </c>
      <c r="P387" s="8" t="n"/>
    </row>
    <row r="388">
      <c r="N388" s="9">
        <f>IF(ISNUMBER(C388),IF(C388&lt;2000,"before 2000",IF(C388&lt;=2014,"2000-2014","2015 onward")),"")</f>
        <v/>
      </c>
      <c r="P388" s="8" t="n"/>
    </row>
    <row r="389">
      <c r="N389" s="9">
        <f>IF(ISNUMBER(C389),IF(C389&lt;2000,"before 2000",IF(C389&lt;=2014,"2000-2014","2015 onward")),"")</f>
        <v/>
      </c>
      <c r="P389" s="8" t="n"/>
    </row>
    <row r="390">
      <c r="N390" s="9">
        <f>IF(ISNUMBER(C390),IF(C390&lt;2000,"before 2000",IF(C390&lt;=2014,"2000-2014","2015 onward")),"")</f>
        <v/>
      </c>
      <c r="P390" s="8" t="n"/>
    </row>
    <row r="391">
      <c r="N391" s="9">
        <f>IF(ISNUMBER(C391),IF(C391&lt;2000,"before 2000",IF(C391&lt;=2014,"2000-2014","2015 onward")),"")</f>
        <v/>
      </c>
      <c r="P391" s="8" t="n"/>
    </row>
    <row r="392">
      <c r="N392" s="9">
        <f>IF(ISNUMBER(C392),IF(C392&lt;2000,"before 2000",IF(C392&lt;=2014,"2000-2014","2015 onward")),"")</f>
        <v/>
      </c>
      <c r="P392" s="8" t="n"/>
    </row>
    <row r="393">
      <c r="N393" s="9">
        <f>IF(ISNUMBER(C393),IF(C393&lt;2000,"before 2000",IF(C393&lt;=2014,"2000-2014","2015 onward")),"")</f>
        <v/>
      </c>
      <c r="P393" s="8" t="n"/>
    </row>
    <row r="394">
      <c r="N394" s="9">
        <f>IF(ISNUMBER(C394),IF(C394&lt;2000,"before 2000",IF(C394&lt;=2014,"2000-2014","2015 onward")),"")</f>
        <v/>
      </c>
      <c r="P394" s="8" t="n"/>
    </row>
    <row r="395">
      <c r="N395" s="9">
        <f>IF(ISNUMBER(C395),IF(C395&lt;2000,"before 2000",IF(C395&lt;=2014,"2000-2014","2015 onward")),"")</f>
        <v/>
      </c>
      <c r="P395" s="8" t="n"/>
    </row>
    <row r="396">
      <c r="N396" s="9">
        <f>IF(ISNUMBER(C396),IF(C396&lt;2000,"before 2000",IF(C396&lt;=2014,"2000-2014","2015 onward")),"")</f>
        <v/>
      </c>
      <c r="P396" s="8" t="n"/>
    </row>
    <row r="397">
      <c r="N397" s="9">
        <f>IF(ISNUMBER(C397),IF(C397&lt;2000,"before 2000",IF(C397&lt;=2014,"2000-2014","2015 onward")),"")</f>
        <v/>
      </c>
      <c r="P397" s="8" t="n"/>
    </row>
    <row r="398">
      <c r="N398" s="9">
        <f>IF(ISNUMBER(C398),IF(C398&lt;2000,"before 2000",IF(C398&lt;=2014,"2000-2014","2015 onward")),"")</f>
        <v/>
      </c>
      <c r="P398" s="8" t="n"/>
    </row>
    <row r="399">
      <c r="N399" s="9">
        <f>IF(ISNUMBER(C399),IF(C399&lt;2000,"before 2000",IF(C399&lt;=2014,"2000-2014","2015 onward")),"")</f>
        <v/>
      </c>
      <c r="P399" s="8" t="n"/>
    </row>
    <row r="400">
      <c r="N400" s="9">
        <f>IF(ISNUMBER(C400),IF(C400&lt;2000,"before 2000",IF(C400&lt;=2014,"2000-2014","2015 onward")),"")</f>
        <v/>
      </c>
      <c r="P400" s="8" t="n"/>
    </row>
    <row r="401">
      <c r="N401" s="9">
        <f>IF(ISNUMBER(C401),IF(C401&lt;2000,"before 2000",IF(C401&lt;=2014,"2000-2014","2015 onward")),"")</f>
        <v/>
      </c>
      <c r="P401" s="8" t="n"/>
    </row>
    <row r="402">
      <c r="N402" s="9">
        <f>IF(ISNUMBER(C402),IF(C402&lt;2000,"before 2000",IF(C402&lt;=2014,"2000-2014","2015 onward")),"")</f>
        <v/>
      </c>
      <c r="P402" s="8" t="n"/>
    </row>
    <row r="403">
      <c r="N403" s="9">
        <f>IF(ISNUMBER(C403),IF(C403&lt;2000,"before 2000",IF(C403&lt;=2014,"2000-2014","2015 onward")),"")</f>
        <v/>
      </c>
      <c r="P403" s="8" t="n"/>
    </row>
    <row r="404">
      <c r="N404" s="9">
        <f>IF(ISNUMBER(C404),IF(C404&lt;2000,"before 2000",IF(C404&lt;=2014,"2000-2014","2015 onward")),"")</f>
        <v/>
      </c>
      <c r="P404" s="8" t="n"/>
    </row>
    <row r="405">
      <c r="N405" s="9">
        <f>IF(ISNUMBER(C405),IF(C405&lt;2000,"before 2000",IF(C405&lt;=2014,"2000-2014","2015 onward")),"")</f>
        <v/>
      </c>
      <c r="P405" s="8" t="n"/>
    </row>
    <row r="406">
      <c r="N406" s="9">
        <f>IF(ISNUMBER(C406),IF(C406&lt;2000,"before 2000",IF(C406&lt;=2014,"2000-2014","2015 onward")),"")</f>
        <v/>
      </c>
      <c r="P406" s="8" t="n"/>
    </row>
    <row r="407">
      <c r="N407" s="9">
        <f>IF(ISNUMBER(C407),IF(C407&lt;2000,"before 2000",IF(C407&lt;=2014,"2000-2014","2015 onward")),"")</f>
        <v/>
      </c>
      <c r="P407" s="8" t="n"/>
    </row>
    <row r="408">
      <c r="N408" s="9">
        <f>IF(ISNUMBER(C408),IF(C408&lt;2000,"before 2000",IF(C408&lt;=2014,"2000-2014","2015 onward")),"")</f>
        <v/>
      </c>
      <c r="P408" s="8" t="n"/>
    </row>
    <row r="409">
      <c r="N409" s="9">
        <f>IF(ISNUMBER(C409),IF(C409&lt;2000,"before 2000",IF(C409&lt;=2014,"2000-2014","2015 onward")),"")</f>
        <v/>
      </c>
      <c r="P409" s="8" t="n"/>
    </row>
    <row r="410">
      <c r="N410" s="9">
        <f>IF(ISNUMBER(C410),IF(C410&lt;2000,"before 2000",IF(C410&lt;=2014,"2000-2014","2015 onward")),"")</f>
        <v/>
      </c>
      <c r="P410" s="8" t="n"/>
    </row>
    <row r="411">
      <c r="N411" s="9">
        <f>IF(ISNUMBER(C411),IF(C411&lt;2000,"before 2000",IF(C411&lt;=2014,"2000-2014","2015 onward")),"")</f>
        <v/>
      </c>
      <c r="P411" s="8" t="n"/>
    </row>
    <row r="412">
      <c r="N412" s="9">
        <f>IF(ISNUMBER(C412),IF(C412&lt;2000,"before 2000",IF(C412&lt;=2014,"2000-2014","2015 onward")),"")</f>
        <v/>
      </c>
      <c r="P412" s="8" t="n"/>
    </row>
    <row r="413">
      <c r="N413" s="9">
        <f>IF(ISNUMBER(C413),IF(C413&lt;2000,"before 2000",IF(C413&lt;=2014,"2000-2014","2015 onward")),"")</f>
        <v/>
      </c>
      <c r="P413" s="8" t="n"/>
    </row>
    <row r="414">
      <c r="N414" s="9">
        <f>IF(ISNUMBER(C414),IF(C414&lt;2000,"before 2000",IF(C414&lt;=2014,"2000-2014","2015 onward")),"")</f>
        <v/>
      </c>
      <c r="P414" s="8" t="n"/>
    </row>
    <row r="415">
      <c r="N415" s="9">
        <f>IF(ISNUMBER(C415),IF(C415&lt;2000,"before 2000",IF(C415&lt;=2014,"2000-2014","2015 onward")),"")</f>
        <v/>
      </c>
      <c r="P415" s="8" t="n"/>
    </row>
    <row r="416">
      <c r="N416" s="9">
        <f>IF(ISNUMBER(C416),IF(C416&lt;2000,"before 2000",IF(C416&lt;=2014,"2000-2014","2015 onward")),"")</f>
        <v/>
      </c>
      <c r="P416" s="8" t="n"/>
    </row>
    <row r="417">
      <c r="N417" s="9">
        <f>IF(ISNUMBER(C417),IF(C417&lt;2000,"before 2000",IF(C417&lt;=2014,"2000-2014","2015 onward")),"")</f>
        <v/>
      </c>
      <c r="P417" s="8" t="n"/>
    </row>
    <row r="418">
      <c r="N418" s="9">
        <f>IF(ISNUMBER(C418),IF(C418&lt;2000,"before 2000",IF(C418&lt;=2014,"2000-2014","2015 onward")),"")</f>
        <v/>
      </c>
      <c r="P418" s="8" t="n"/>
    </row>
    <row r="419">
      <c r="N419" s="9">
        <f>IF(ISNUMBER(C419),IF(C419&lt;2000,"before 2000",IF(C419&lt;=2014,"2000-2014","2015 onward")),"")</f>
        <v/>
      </c>
      <c r="P419" s="8" t="n"/>
    </row>
    <row r="420">
      <c r="N420" s="9">
        <f>IF(ISNUMBER(C420),IF(C420&lt;2000,"before 2000",IF(C420&lt;=2014,"2000-2014","2015 onward")),"")</f>
        <v/>
      </c>
      <c r="P420" s="8" t="n"/>
    </row>
    <row r="421">
      <c r="N421" s="9">
        <f>IF(ISNUMBER(C421),IF(C421&lt;2000,"before 2000",IF(C421&lt;=2014,"2000-2014","2015 onward")),"")</f>
        <v/>
      </c>
      <c r="P421" s="8" t="n"/>
    </row>
    <row r="422">
      <c r="N422" s="9">
        <f>IF(ISNUMBER(C422),IF(C422&lt;2000,"before 2000",IF(C422&lt;=2014,"2000-2014","2015 onward")),"")</f>
        <v/>
      </c>
      <c r="P422" s="8" t="n"/>
    </row>
    <row r="423">
      <c r="N423" s="9">
        <f>IF(ISNUMBER(C423),IF(C423&lt;2000,"before 2000",IF(C423&lt;=2014,"2000-2014","2015 onward")),"")</f>
        <v/>
      </c>
      <c r="P423" s="8" t="n"/>
    </row>
    <row r="424">
      <c r="N424" s="9">
        <f>IF(ISNUMBER(C424),IF(C424&lt;2000,"before 2000",IF(C424&lt;=2014,"2000-2014","2015 onward")),"")</f>
        <v/>
      </c>
      <c r="P424" s="8" t="n"/>
    </row>
    <row r="425">
      <c r="N425" s="9">
        <f>IF(ISNUMBER(C425),IF(C425&lt;2000,"before 2000",IF(C425&lt;=2014,"2000-2014","2015 onward")),"")</f>
        <v/>
      </c>
      <c r="P425" s="8" t="n"/>
    </row>
    <row r="426">
      <c r="N426" s="9">
        <f>IF(ISNUMBER(C426),IF(C426&lt;2000,"before 2000",IF(C426&lt;=2014,"2000-2014","2015 onward")),"")</f>
        <v/>
      </c>
      <c r="P426" s="8" t="n"/>
    </row>
    <row r="427">
      <c r="N427" s="9">
        <f>IF(ISNUMBER(C427),IF(C427&lt;2000,"before 2000",IF(C427&lt;=2014,"2000-2014","2015 onward")),"")</f>
        <v/>
      </c>
      <c r="P427" s="8" t="n"/>
    </row>
    <row r="428">
      <c r="N428" s="9">
        <f>IF(ISNUMBER(C428),IF(C428&lt;2000,"before 2000",IF(C428&lt;=2014,"2000-2014","2015 onward")),"")</f>
        <v/>
      </c>
      <c r="P428" s="8" t="n"/>
    </row>
    <row r="429">
      <c r="N429" s="9">
        <f>IF(ISNUMBER(C429),IF(C429&lt;2000,"before 2000",IF(C429&lt;=2014,"2000-2014","2015 onward")),"")</f>
        <v/>
      </c>
      <c r="P429" s="8" t="n"/>
    </row>
    <row r="430">
      <c r="N430" s="9">
        <f>IF(ISNUMBER(C430),IF(C430&lt;2000,"before 2000",IF(C430&lt;=2014,"2000-2014","2015 onward")),"")</f>
        <v/>
      </c>
      <c r="P430" s="8" t="n"/>
    </row>
    <row r="431">
      <c r="N431" s="9">
        <f>IF(ISNUMBER(C431),IF(C431&lt;2000,"before 2000",IF(C431&lt;=2014,"2000-2014","2015 onward")),"")</f>
        <v/>
      </c>
      <c r="P431" s="8" t="n"/>
    </row>
    <row r="432">
      <c r="N432" s="9">
        <f>IF(ISNUMBER(C432),IF(C432&lt;2000,"before 2000",IF(C432&lt;=2014,"2000-2014","2015 onward")),"")</f>
        <v/>
      </c>
      <c r="P432" s="8" t="n"/>
    </row>
    <row r="433">
      <c r="N433" s="9">
        <f>IF(ISNUMBER(C433),IF(C433&lt;2000,"before 2000",IF(C433&lt;=2014,"2000-2014","2015 onward")),"")</f>
        <v/>
      </c>
      <c r="P433" s="8" t="n"/>
    </row>
    <row r="434">
      <c r="N434" s="9">
        <f>IF(ISNUMBER(C434),IF(C434&lt;2000,"before 2000",IF(C434&lt;=2014,"2000-2014","2015 onward")),"")</f>
        <v/>
      </c>
      <c r="P434" s="8" t="n"/>
    </row>
    <row r="435">
      <c r="N435" s="9">
        <f>IF(ISNUMBER(C435),IF(C435&lt;2000,"before 2000",IF(C435&lt;=2014,"2000-2014","2015 onward")),"")</f>
        <v/>
      </c>
      <c r="P435" s="8" t="n"/>
    </row>
    <row r="436">
      <c r="N436" s="9">
        <f>IF(ISNUMBER(C436),IF(C436&lt;2000,"before 2000",IF(C436&lt;=2014,"2000-2014","2015 onward")),"")</f>
        <v/>
      </c>
      <c r="P436" s="8" t="n"/>
    </row>
    <row r="437">
      <c r="N437" s="9">
        <f>IF(ISNUMBER(C437),IF(C437&lt;2000,"before 2000",IF(C437&lt;=2014,"2000-2014","2015 onward")),"")</f>
        <v/>
      </c>
      <c r="P437" s="8" t="n"/>
    </row>
    <row r="438">
      <c r="N438" s="9">
        <f>IF(ISNUMBER(C438),IF(C438&lt;2000,"before 2000",IF(C438&lt;=2014,"2000-2014","2015 onward")),"")</f>
        <v/>
      </c>
      <c r="P438" s="8" t="n"/>
    </row>
    <row r="439">
      <c r="N439" s="9">
        <f>IF(ISNUMBER(C439),IF(C439&lt;2000,"before 2000",IF(C439&lt;=2014,"2000-2014","2015 onward")),"")</f>
        <v/>
      </c>
      <c r="P439" s="8" t="n"/>
    </row>
    <row r="440">
      <c r="N440" s="9">
        <f>IF(ISNUMBER(C440),IF(C440&lt;2000,"before 2000",IF(C440&lt;=2014,"2000-2014","2015 onward")),"")</f>
        <v/>
      </c>
      <c r="P440" s="8" t="n"/>
    </row>
    <row r="441">
      <c r="N441" s="9">
        <f>IF(ISNUMBER(C441),IF(C441&lt;2000,"before 2000",IF(C441&lt;=2014,"2000-2014","2015 onward")),"")</f>
        <v/>
      </c>
      <c r="P441" s="8" t="n"/>
    </row>
    <row r="442">
      <c r="N442" s="9">
        <f>IF(ISNUMBER(C442),IF(C442&lt;2000,"before 2000",IF(C442&lt;=2014,"2000-2014","2015 onward")),"")</f>
        <v/>
      </c>
      <c r="P442" s="8" t="n"/>
    </row>
    <row r="443">
      <c r="N443" s="9">
        <f>IF(ISNUMBER(C443),IF(C443&lt;2000,"before 2000",IF(C443&lt;=2014,"2000-2014","2015 onward")),"")</f>
        <v/>
      </c>
      <c r="P443" s="8" t="n"/>
    </row>
    <row r="444">
      <c r="N444" s="9">
        <f>IF(ISNUMBER(C444),IF(C444&lt;2000,"before 2000",IF(C444&lt;=2014,"2000-2014","2015 onward")),"")</f>
        <v/>
      </c>
      <c r="P444" s="8" t="n"/>
    </row>
    <row r="445">
      <c r="N445" s="9">
        <f>IF(ISNUMBER(C445),IF(C445&lt;2000,"before 2000",IF(C445&lt;=2014,"2000-2014","2015 onward")),"")</f>
        <v/>
      </c>
      <c r="P445" s="8" t="n"/>
    </row>
    <row r="446">
      <c r="N446" s="9">
        <f>IF(ISNUMBER(C446),IF(C446&lt;2000,"before 2000",IF(C446&lt;=2014,"2000-2014","2015 onward")),"")</f>
        <v/>
      </c>
      <c r="P446" s="8" t="n"/>
    </row>
    <row r="447">
      <c r="N447" s="9">
        <f>IF(ISNUMBER(C447),IF(C447&lt;2000,"before 2000",IF(C447&lt;=2014,"2000-2014","2015 onward")),"")</f>
        <v/>
      </c>
      <c r="P447" s="8" t="n"/>
    </row>
    <row r="448">
      <c r="N448" s="9">
        <f>IF(ISNUMBER(C448),IF(C448&lt;2000,"before 2000",IF(C448&lt;=2014,"2000-2014","2015 onward")),"")</f>
        <v/>
      </c>
      <c r="P448" s="8" t="n"/>
    </row>
    <row r="449">
      <c r="N449" s="9">
        <f>IF(ISNUMBER(C449),IF(C449&lt;2000,"before 2000",IF(C449&lt;=2014,"2000-2014","2015 onward")),"")</f>
        <v/>
      </c>
      <c r="P449" s="8" t="n"/>
    </row>
    <row r="450">
      <c r="N450" s="9">
        <f>IF(ISNUMBER(C450),IF(C450&lt;2000,"before 2000",IF(C450&lt;=2014,"2000-2014","2015 onward")),"")</f>
        <v/>
      </c>
      <c r="P450" s="8" t="n"/>
    </row>
    <row r="451">
      <c r="N451" s="9">
        <f>IF(ISNUMBER(C451),IF(C451&lt;2000,"before 2000",IF(C451&lt;=2014,"2000-2014","2015 onward")),"")</f>
        <v/>
      </c>
      <c r="P451" s="8" t="n"/>
    </row>
    <row r="452">
      <c r="N452" s="9">
        <f>IF(ISNUMBER(C452),IF(C452&lt;2000,"before 2000",IF(C452&lt;=2014,"2000-2014","2015 onward")),"")</f>
        <v/>
      </c>
      <c r="P452" s="8" t="n"/>
    </row>
    <row r="453">
      <c r="N453" s="9">
        <f>IF(ISNUMBER(C453),IF(C453&lt;2000,"before 2000",IF(C453&lt;=2014,"2000-2014","2015 onward")),"")</f>
        <v/>
      </c>
      <c r="P453" s="8" t="n"/>
    </row>
    <row r="454">
      <c r="N454" s="9">
        <f>IF(ISNUMBER(C454),IF(C454&lt;2000,"before 2000",IF(C454&lt;=2014,"2000-2014","2015 onward")),"")</f>
        <v/>
      </c>
      <c r="P454" s="8" t="n"/>
    </row>
    <row r="455">
      <c r="N455" s="9">
        <f>IF(ISNUMBER(C455),IF(C455&lt;2000,"before 2000",IF(C455&lt;=2014,"2000-2014","2015 onward")),"")</f>
        <v/>
      </c>
      <c r="P455" s="8" t="n"/>
    </row>
    <row r="456">
      <c r="N456" s="9">
        <f>IF(ISNUMBER(C456),IF(C456&lt;2000,"before 2000",IF(C456&lt;=2014,"2000-2014","2015 onward")),"")</f>
        <v/>
      </c>
      <c r="P456" s="8" t="n"/>
    </row>
    <row r="457">
      <c r="N457" s="9">
        <f>IF(ISNUMBER(C457),IF(C457&lt;2000,"before 2000",IF(C457&lt;=2014,"2000-2014","2015 onward")),"")</f>
        <v/>
      </c>
      <c r="P457" s="8" t="n"/>
    </row>
    <row r="458">
      <c r="N458" s="9">
        <f>IF(ISNUMBER(C458),IF(C458&lt;2000,"before 2000",IF(C458&lt;=2014,"2000-2014","2015 onward")),"")</f>
        <v/>
      </c>
      <c r="P458" s="8" t="n"/>
    </row>
    <row r="459">
      <c r="N459" s="9">
        <f>IF(ISNUMBER(C459),IF(C459&lt;2000,"before 2000",IF(C459&lt;=2014,"2000-2014","2015 onward")),"")</f>
        <v/>
      </c>
      <c r="P459" s="8" t="n"/>
    </row>
    <row r="460">
      <c r="N460" s="9">
        <f>IF(ISNUMBER(C460),IF(C460&lt;2000,"before 2000",IF(C460&lt;=2014,"2000-2014","2015 onward")),"")</f>
        <v/>
      </c>
      <c r="P460" s="8" t="n"/>
    </row>
    <row r="461">
      <c r="N461" s="9">
        <f>IF(ISNUMBER(C461),IF(C461&lt;2000,"before 2000",IF(C461&lt;=2014,"2000-2014","2015 onward")),"")</f>
        <v/>
      </c>
      <c r="P461" s="8" t="n"/>
    </row>
    <row r="462">
      <c r="N462" s="9">
        <f>IF(ISNUMBER(C462),IF(C462&lt;2000,"before 2000",IF(C462&lt;=2014,"2000-2014","2015 onward")),"")</f>
        <v/>
      </c>
      <c r="P462" s="8" t="n"/>
    </row>
    <row r="463">
      <c r="N463" s="9">
        <f>IF(ISNUMBER(C463),IF(C463&lt;2000,"before 2000",IF(C463&lt;=2014,"2000-2014","2015 onward")),"")</f>
        <v/>
      </c>
      <c r="P463" s="8" t="n"/>
    </row>
    <row r="464">
      <c r="N464" s="9">
        <f>IF(ISNUMBER(C464),IF(C464&lt;2000,"before 2000",IF(C464&lt;=2014,"2000-2014","2015 onward")),"")</f>
        <v/>
      </c>
      <c r="P464" s="8" t="n"/>
    </row>
    <row r="465">
      <c r="N465" s="9">
        <f>IF(ISNUMBER(C465),IF(C465&lt;2000,"before 2000",IF(C465&lt;=2014,"2000-2014","2015 onward")),"")</f>
        <v/>
      </c>
      <c r="P465" s="8" t="n"/>
    </row>
    <row r="466">
      <c r="N466" s="9">
        <f>IF(ISNUMBER(C466),IF(C466&lt;2000,"before 2000",IF(C466&lt;=2014,"2000-2014","2015 onward")),"")</f>
        <v/>
      </c>
      <c r="P466" s="8" t="n"/>
    </row>
    <row r="467">
      <c r="N467" s="9">
        <f>IF(ISNUMBER(C467),IF(C467&lt;2000,"before 2000",IF(C467&lt;=2014,"2000-2014","2015 onward")),"")</f>
        <v/>
      </c>
      <c r="P467" s="8" t="n"/>
    </row>
    <row r="468">
      <c r="N468" s="9">
        <f>IF(ISNUMBER(C468),IF(C468&lt;2000,"before 2000",IF(C468&lt;=2014,"2000-2014","2015 onward")),"")</f>
        <v/>
      </c>
      <c r="P468" s="8" t="n"/>
    </row>
    <row r="469">
      <c r="N469" s="9">
        <f>IF(ISNUMBER(C469),IF(C469&lt;2000,"before 2000",IF(C469&lt;=2014,"2000-2014","2015 onward")),"")</f>
        <v/>
      </c>
      <c r="P469" s="8" t="n"/>
    </row>
    <row r="470">
      <c r="N470" s="9">
        <f>IF(ISNUMBER(C470),IF(C470&lt;2000,"before 2000",IF(C470&lt;=2014,"2000-2014","2015 onward")),"")</f>
        <v/>
      </c>
      <c r="P470" s="8" t="n"/>
    </row>
    <row r="471">
      <c r="N471" s="9">
        <f>IF(ISNUMBER(C471),IF(C471&lt;2000,"before 2000",IF(C471&lt;=2014,"2000-2014","2015 onward")),"")</f>
        <v/>
      </c>
      <c r="P471" s="8" t="n"/>
    </row>
    <row r="472">
      <c r="N472" s="9">
        <f>IF(ISNUMBER(C472),IF(C472&lt;2000,"before 2000",IF(C472&lt;=2014,"2000-2014","2015 onward")),"")</f>
        <v/>
      </c>
      <c r="P472" s="8" t="n"/>
    </row>
    <row r="473">
      <c r="N473" s="9">
        <f>IF(ISNUMBER(C473),IF(C473&lt;2000,"before 2000",IF(C473&lt;=2014,"2000-2014","2015 onward")),"")</f>
        <v/>
      </c>
      <c r="P473" s="8" t="n"/>
    </row>
    <row r="474">
      <c r="N474" s="9">
        <f>IF(ISNUMBER(C474),IF(C474&lt;2000,"before 2000",IF(C474&lt;=2014,"2000-2014","2015 onward")),"")</f>
        <v/>
      </c>
      <c r="P474" s="8" t="n"/>
    </row>
    <row r="475">
      <c r="N475" s="9">
        <f>IF(ISNUMBER(C475),IF(C475&lt;2000,"before 2000",IF(C475&lt;=2014,"2000-2014","2015 onward")),"")</f>
        <v/>
      </c>
      <c r="P475" s="8" t="n"/>
    </row>
    <row r="476">
      <c r="N476" s="9">
        <f>IF(ISNUMBER(C476),IF(C476&lt;2000,"before 2000",IF(C476&lt;=2014,"2000-2014","2015 onward")),"")</f>
        <v/>
      </c>
      <c r="P476" s="8" t="n"/>
    </row>
    <row r="477">
      <c r="N477" s="9">
        <f>IF(ISNUMBER(C477),IF(C477&lt;2000,"before 2000",IF(C477&lt;=2014,"2000-2014","2015 onward")),"")</f>
        <v/>
      </c>
      <c r="P477" s="8" t="n"/>
    </row>
    <row r="478">
      <c r="N478" s="9">
        <f>IF(ISNUMBER(C478),IF(C478&lt;2000,"before 2000",IF(C478&lt;=2014,"2000-2014","2015 onward")),"")</f>
        <v/>
      </c>
      <c r="P478" s="8" t="n"/>
    </row>
    <row r="479">
      <c r="N479" s="9">
        <f>IF(ISNUMBER(C479),IF(C479&lt;2000,"before 2000",IF(C479&lt;=2014,"2000-2014","2015 onward")),"")</f>
        <v/>
      </c>
      <c r="P479" s="8" t="n"/>
    </row>
    <row r="480">
      <c r="N480" s="9">
        <f>IF(ISNUMBER(C480),IF(C480&lt;2000,"before 2000",IF(C480&lt;=2014,"2000-2014","2015 onward")),"")</f>
        <v/>
      </c>
      <c r="P480" s="8" t="n"/>
    </row>
    <row r="481">
      <c r="N481" s="9">
        <f>IF(ISNUMBER(C481),IF(C481&lt;2000,"before 2000",IF(C481&lt;=2014,"2000-2014","2015 onward")),"")</f>
        <v/>
      </c>
      <c r="P481" s="8" t="n"/>
    </row>
    <row r="482">
      <c r="N482" s="9">
        <f>IF(ISNUMBER(C482),IF(C482&lt;2000,"before 2000",IF(C482&lt;=2014,"2000-2014","2015 onward")),"")</f>
        <v/>
      </c>
      <c r="P482" s="8" t="n"/>
    </row>
    <row r="483">
      <c r="N483" s="9">
        <f>IF(ISNUMBER(C483),IF(C483&lt;2000,"before 2000",IF(C483&lt;=2014,"2000-2014","2015 onward")),"")</f>
        <v/>
      </c>
      <c r="P483" s="8" t="n"/>
    </row>
    <row r="484">
      <c r="N484" s="9">
        <f>IF(ISNUMBER(C484),IF(C484&lt;2000,"before 2000",IF(C484&lt;=2014,"2000-2014","2015 onward")),"")</f>
        <v/>
      </c>
      <c r="P484" s="8" t="n"/>
    </row>
    <row r="485">
      <c r="N485" s="9">
        <f>IF(ISNUMBER(C485),IF(C485&lt;2000,"before 2000",IF(C485&lt;=2014,"2000-2014","2015 onward")),"")</f>
        <v/>
      </c>
      <c r="P485" s="8" t="n"/>
    </row>
    <row r="486">
      <c r="N486" s="9">
        <f>IF(ISNUMBER(C486),IF(C486&lt;2000,"before 2000",IF(C486&lt;=2014,"2000-2014","2015 onward")),"")</f>
        <v/>
      </c>
      <c r="P486" s="8" t="n"/>
    </row>
    <row r="487">
      <c r="N487" s="9">
        <f>IF(ISNUMBER(C487),IF(C487&lt;2000,"before 2000",IF(C487&lt;=2014,"2000-2014","2015 onward")),"")</f>
        <v/>
      </c>
      <c r="P487" s="8" t="n"/>
    </row>
    <row r="488">
      <c r="N488" s="9">
        <f>IF(ISNUMBER(C488),IF(C488&lt;2000,"before 2000",IF(C488&lt;=2014,"2000-2014","2015 onward")),"")</f>
        <v/>
      </c>
      <c r="P488" s="8" t="n"/>
    </row>
    <row r="489">
      <c r="N489" s="9">
        <f>IF(ISNUMBER(C489),IF(C489&lt;2000,"before 2000",IF(C489&lt;=2014,"2000-2014","2015 onward")),"")</f>
        <v/>
      </c>
      <c r="P489" s="8" t="n"/>
    </row>
    <row r="490">
      <c r="N490" s="9">
        <f>IF(ISNUMBER(C490),IF(C490&lt;2000,"before 2000",IF(C490&lt;=2014,"2000-2014","2015 onward")),"")</f>
        <v/>
      </c>
      <c r="P490" s="8" t="n"/>
    </row>
    <row r="491">
      <c r="N491" s="9">
        <f>IF(ISNUMBER(C491),IF(C491&lt;2000,"before 2000",IF(C491&lt;=2014,"2000-2014","2015 onward")),"")</f>
        <v/>
      </c>
      <c r="P491" s="8" t="n"/>
    </row>
    <row r="492">
      <c r="N492" s="9">
        <f>IF(ISNUMBER(C492),IF(C492&lt;2000,"before 2000",IF(C492&lt;=2014,"2000-2014","2015 onward")),"")</f>
        <v/>
      </c>
      <c r="P492" s="8" t="n"/>
    </row>
    <row r="493">
      <c r="N493" s="9">
        <f>IF(ISNUMBER(C493),IF(C493&lt;2000,"before 2000",IF(C493&lt;=2014,"2000-2014","2015 onward")),"")</f>
        <v/>
      </c>
      <c r="P493" s="8" t="n"/>
    </row>
    <row r="494">
      <c r="N494" s="9">
        <f>IF(ISNUMBER(C494),IF(C494&lt;2000,"before 2000",IF(C494&lt;=2014,"2000-2014","2015 onward")),"")</f>
        <v/>
      </c>
      <c r="P494" s="8" t="n"/>
    </row>
    <row r="495">
      <c r="N495" s="9">
        <f>IF(ISNUMBER(C495),IF(C495&lt;2000,"before 2000",IF(C495&lt;=2014,"2000-2014","2015 onward")),"")</f>
        <v/>
      </c>
      <c r="P495" s="8" t="n"/>
    </row>
    <row r="496">
      <c r="N496" s="9">
        <f>IF(ISNUMBER(C496),IF(C496&lt;2000,"before 2000",IF(C496&lt;=2014,"2000-2014","2015 onward")),"")</f>
        <v/>
      </c>
      <c r="P496" s="8" t="n"/>
    </row>
    <row r="497">
      <c r="N497" s="9">
        <f>IF(ISNUMBER(C497),IF(C497&lt;2000,"before 2000",IF(C497&lt;=2014,"2000-2014","2015 onward")),"")</f>
        <v/>
      </c>
      <c r="P497" s="8" t="n"/>
    </row>
    <row r="498">
      <c r="N498" s="9">
        <f>IF(ISNUMBER(C498),IF(C498&lt;2000,"before 2000",IF(C498&lt;=2014,"2000-2014","2015 onward")),"")</f>
        <v/>
      </c>
      <c r="P498" s="8" t="n"/>
    </row>
    <row r="499">
      <c r="N499" s="9">
        <f>IF(ISNUMBER(C499),IF(C499&lt;2000,"before 2000",IF(C499&lt;=2014,"2000-2014","2015 onward")),"")</f>
        <v/>
      </c>
      <c r="P499" s="8" t="n"/>
    </row>
    <row r="500">
      <c r="N500" s="9">
        <f>IF(ISNUMBER(C500),IF(C500&lt;2000,"before 2000",IF(C500&lt;=2014,"2000-2014","2015 onward")),"")</f>
        <v/>
      </c>
      <c r="P500" s="8" t="n"/>
    </row>
    <row r="501">
      <c r="N501" s="9">
        <f>IF(ISNUMBER(C501),IF(C501&lt;2000,"before 2000",IF(C501&lt;=2014,"2000-2014","2015 onward")),"")</f>
        <v/>
      </c>
      <c r="P501" s="8" t="n"/>
    </row>
    <row r="502">
      <c r="N502" s="9">
        <f>IF(ISNUMBER(C502),IF(C502&lt;2000,"before 2000",IF(C502&lt;=2014,"2000-2014","2015 onward")),"")</f>
        <v/>
      </c>
      <c r="P502" s="8" t="n"/>
    </row>
    <row r="503">
      <c r="N503" s="9">
        <f>IF(ISNUMBER(C503),IF(C503&lt;2000,"before 2000",IF(C503&lt;=2014,"2000-2014","2015 onward")),"")</f>
        <v/>
      </c>
      <c r="P503" s="8" t="n"/>
    </row>
    <row r="504">
      <c r="N504" s="9">
        <f>IF(ISNUMBER(C504),IF(C504&lt;2000,"before 2000",IF(C504&lt;=2014,"2000-2014","2015 onward")),"")</f>
        <v/>
      </c>
      <c r="P504" s="8" t="n"/>
    </row>
    <row r="505">
      <c r="N505" s="9">
        <f>IF(ISNUMBER(C505),IF(C505&lt;2000,"before 2000",IF(C505&lt;=2014,"2000-2014","2015 onward")),"")</f>
        <v/>
      </c>
      <c r="P505" s="8" t="n"/>
    </row>
    <row r="506">
      <c r="N506" s="9">
        <f>IF(ISNUMBER(C506),IF(C506&lt;2000,"before 2000",IF(C506&lt;=2014,"2000-2014","2015 onward")),"")</f>
        <v/>
      </c>
      <c r="P506" s="8" t="n"/>
    </row>
    <row r="507">
      <c r="N507" s="9">
        <f>IF(ISNUMBER(C507),IF(C507&lt;2000,"before 2000",IF(C507&lt;=2014,"2000-2014","2015 onward")),"")</f>
        <v/>
      </c>
      <c r="P507" s="8" t="n"/>
    </row>
    <row r="508">
      <c r="N508" s="9">
        <f>IF(ISNUMBER(C508),IF(C508&lt;2000,"before 2000",IF(C508&lt;=2014,"2000-2014","2015 onward")),"")</f>
        <v/>
      </c>
      <c r="P508" s="8" t="n"/>
    </row>
    <row r="509">
      <c r="N509" s="9">
        <f>IF(ISNUMBER(C509),IF(C509&lt;2000,"before 2000",IF(C509&lt;=2014,"2000-2014","2015 onward")),"")</f>
        <v/>
      </c>
      <c r="P509" s="8" t="n"/>
    </row>
    <row r="510">
      <c r="N510" s="9">
        <f>IF(ISNUMBER(C510),IF(C510&lt;2000,"before 2000",IF(C510&lt;=2014,"2000-2014","2015 onward")),"")</f>
        <v/>
      </c>
      <c r="P510" s="8" t="n"/>
    </row>
    <row r="511">
      <c r="N511" s="9">
        <f>IF(ISNUMBER(C511),IF(C511&lt;2000,"before 2000",IF(C511&lt;=2014,"2000-2014","2015 onward")),"")</f>
        <v/>
      </c>
      <c r="P511" s="8" t="n"/>
    </row>
    <row r="512">
      <c r="N512" s="9">
        <f>IF(ISNUMBER(C512),IF(C512&lt;2000,"before 2000",IF(C512&lt;=2014,"2000-2014","2015 onward")),"")</f>
        <v/>
      </c>
      <c r="P512" s="8" t="n"/>
    </row>
    <row r="513">
      <c r="N513" s="9">
        <f>IF(ISNUMBER(C513),IF(C513&lt;2000,"before 2000",IF(C513&lt;=2014,"2000-2014","2015 onward")),"")</f>
        <v/>
      </c>
      <c r="P513" s="8" t="n"/>
    </row>
    <row r="514">
      <c r="N514" s="9">
        <f>IF(ISNUMBER(C514),IF(C514&lt;2000,"before 2000",IF(C514&lt;=2014,"2000-2014","2015 onward")),"")</f>
        <v/>
      </c>
      <c r="P514" s="8" t="n"/>
    </row>
    <row r="515">
      <c r="N515" s="9">
        <f>IF(ISNUMBER(C515),IF(C515&lt;2000,"before 2000",IF(C515&lt;=2014,"2000-2014","2015 onward")),"")</f>
        <v/>
      </c>
      <c r="P515" s="8" t="n"/>
    </row>
    <row r="516">
      <c r="N516" s="9">
        <f>IF(ISNUMBER(C516),IF(C516&lt;2000,"before 2000",IF(C516&lt;=2014,"2000-2014","2015 onward")),"")</f>
        <v/>
      </c>
      <c r="P516" s="8" t="n"/>
    </row>
    <row r="517">
      <c r="N517" s="9">
        <f>IF(ISNUMBER(C517),IF(C517&lt;2000,"before 2000",IF(C517&lt;=2014,"2000-2014","2015 onward")),"")</f>
        <v/>
      </c>
      <c r="P517" s="8" t="n"/>
    </row>
    <row r="518">
      <c r="N518" s="9">
        <f>IF(ISNUMBER(C518),IF(C518&lt;2000,"before 2000",IF(C518&lt;=2014,"2000-2014","2015 onward")),"")</f>
        <v/>
      </c>
      <c r="P518" s="8" t="n"/>
    </row>
    <row r="519">
      <c r="N519" s="9">
        <f>IF(ISNUMBER(C519),IF(C519&lt;2000,"before 2000",IF(C519&lt;=2014,"2000-2014","2015 onward")),"")</f>
        <v/>
      </c>
      <c r="P519" s="8" t="n"/>
    </row>
    <row r="520">
      <c r="N520" s="9">
        <f>IF(ISNUMBER(C520),IF(C520&lt;2000,"before 2000",IF(C520&lt;=2014,"2000-2014","2015 onward")),"")</f>
        <v/>
      </c>
      <c r="P520" s="8" t="n"/>
    </row>
    <row r="521">
      <c r="N521" s="9">
        <f>IF(ISNUMBER(C521),IF(C521&lt;2000,"before 2000",IF(C521&lt;=2014,"2000-2014","2015 onward")),"")</f>
        <v/>
      </c>
      <c r="P521" s="8" t="n"/>
    </row>
    <row r="522">
      <c r="N522" s="9">
        <f>IF(ISNUMBER(C522),IF(C522&lt;2000,"before 2000",IF(C522&lt;=2014,"2000-2014","2015 onward")),"")</f>
        <v/>
      </c>
      <c r="P522" s="8" t="n"/>
    </row>
    <row r="523">
      <c r="N523" s="9">
        <f>IF(ISNUMBER(C523),IF(C523&lt;2000,"before 2000",IF(C523&lt;=2014,"2000-2014","2015 onward")),"")</f>
        <v/>
      </c>
      <c r="P523" s="8" t="n"/>
    </row>
    <row r="524">
      <c r="N524" s="9">
        <f>IF(ISNUMBER(C524),IF(C524&lt;2000,"before 2000",IF(C524&lt;=2014,"2000-2014","2015 onward")),"")</f>
        <v/>
      </c>
      <c r="P524" s="8" t="n"/>
    </row>
    <row r="525">
      <c r="N525" s="9">
        <f>IF(ISNUMBER(C525),IF(C525&lt;2000,"before 2000",IF(C525&lt;=2014,"2000-2014","2015 onward")),"")</f>
        <v/>
      </c>
      <c r="P525" s="8" t="n"/>
    </row>
    <row r="526">
      <c r="N526" s="9">
        <f>IF(ISNUMBER(C526),IF(C526&lt;2000,"before 2000",IF(C526&lt;=2014,"2000-2014","2015 onward")),"")</f>
        <v/>
      </c>
      <c r="P526" s="8" t="n"/>
    </row>
    <row r="527">
      <c r="N527" s="9">
        <f>IF(ISNUMBER(C527),IF(C527&lt;2000,"before 2000",IF(C527&lt;=2014,"2000-2014","2015 onward")),"")</f>
        <v/>
      </c>
      <c r="P527" s="8" t="n"/>
    </row>
    <row r="528">
      <c r="N528" s="9">
        <f>IF(ISNUMBER(C528),IF(C528&lt;2000,"before 2000",IF(C528&lt;=2014,"2000-2014","2015 onward")),"")</f>
        <v/>
      </c>
      <c r="P528" s="8" t="n"/>
    </row>
    <row r="529">
      <c r="N529" s="9">
        <f>IF(ISNUMBER(C529),IF(C529&lt;2000,"before 2000",IF(C529&lt;=2014,"2000-2014","2015 onward")),"")</f>
        <v/>
      </c>
      <c r="P529" s="8" t="n"/>
    </row>
    <row r="530">
      <c r="N530" s="9">
        <f>IF(ISNUMBER(C530),IF(C530&lt;2000,"before 2000",IF(C530&lt;=2014,"2000-2014","2015 onward")),"")</f>
        <v/>
      </c>
      <c r="P530" s="8" t="n"/>
    </row>
    <row r="531">
      <c r="N531" s="9">
        <f>IF(ISNUMBER(C531),IF(C531&lt;2000,"before 2000",IF(C531&lt;=2014,"2000-2014","2015 onward")),"")</f>
        <v/>
      </c>
      <c r="P531" s="8" t="n"/>
    </row>
    <row r="532">
      <c r="N532" s="9">
        <f>IF(ISNUMBER(C532),IF(C532&lt;2000,"before 2000",IF(C532&lt;=2014,"2000-2014","2015 onward")),"")</f>
        <v/>
      </c>
      <c r="P532" s="8" t="n"/>
    </row>
    <row r="533">
      <c r="N533" s="9">
        <f>IF(ISNUMBER(C533),IF(C533&lt;2000,"before 2000",IF(C533&lt;=2014,"2000-2014","2015 onward")),"")</f>
        <v/>
      </c>
      <c r="P533" s="8" t="n"/>
    </row>
    <row r="534">
      <c r="N534" s="9">
        <f>IF(ISNUMBER(C534),IF(C534&lt;2000,"before 2000",IF(C534&lt;=2014,"2000-2014","2015 onward")),"")</f>
        <v/>
      </c>
      <c r="P534" s="8" t="n"/>
    </row>
    <row r="535">
      <c r="N535" s="9">
        <f>IF(ISNUMBER(C535),IF(C535&lt;2000,"before 2000",IF(C535&lt;=2014,"2000-2014","2015 onward")),"")</f>
        <v/>
      </c>
      <c r="P535" s="8" t="n"/>
    </row>
    <row r="536">
      <c r="N536" s="9">
        <f>IF(ISNUMBER(C536),IF(C536&lt;2000,"before 2000",IF(C536&lt;=2014,"2000-2014","2015 onward")),"")</f>
        <v/>
      </c>
      <c r="P536" s="8" t="n"/>
    </row>
    <row r="537">
      <c r="N537" s="9">
        <f>IF(ISNUMBER(C537),IF(C537&lt;2000,"before 2000",IF(C537&lt;=2014,"2000-2014","2015 onward")),"")</f>
        <v/>
      </c>
      <c r="P537" s="8" t="n"/>
    </row>
    <row r="538">
      <c r="N538" s="9">
        <f>IF(ISNUMBER(C538),IF(C538&lt;2000,"before 2000",IF(C538&lt;=2014,"2000-2014","2015 onward")),"")</f>
        <v/>
      </c>
      <c r="P538" s="8" t="n"/>
    </row>
    <row r="539">
      <c r="N539" s="9">
        <f>IF(ISNUMBER(C539),IF(C539&lt;2000,"before 2000",IF(C539&lt;=2014,"2000-2014","2015 onward")),"")</f>
        <v/>
      </c>
      <c r="P539" s="8" t="n"/>
    </row>
    <row r="540">
      <c r="N540" s="9">
        <f>IF(ISNUMBER(C540),IF(C540&lt;2000,"before 2000",IF(C540&lt;=2014,"2000-2014","2015 onward")),"")</f>
        <v/>
      </c>
      <c r="P540" s="8" t="n"/>
    </row>
    <row r="541">
      <c r="N541" s="9">
        <f>IF(ISNUMBER(C541),IF(C541&lt;2000,"before 2000",IF(C541&lt;=2014,"2000-2014","2015 onward")),"")</f>
        <v/>
      </c>
      <c r="P541" s="8" t="n"/>
    </row>
    <row r="542">
      <c r="N542" s="9">
        <f>IF(ISNUMBER(C542),IF(C542&lt;2000,"before 2000",IF(C542&lt;=2014,"2000-2014","2015 onward")),"")</f>
        <v/>
      </c>
      <c r="P542" s="8" t="n"/>
    </row>
    <row r="543">
      <c r="N543" s="9">
        <f>IF(ISNUMBER(C543),IF(C543&lt;2000,"before 2000",IF(C543&lt;=2014,"2000-2014","2015 onward")),"")</f>
        <v/>
      </c>
      <c r="P543" s="8" t="n"/>
    </row>
    <row r="544">
      <c r="N544" s="9">
        <f>IF(ISNUMBER(C544),IF(C544&lt;2000,"before 2000",IF(C544&lt;=2014,"2000-2014","2015 onward")),"")</f>
        <v/>
      </c>
      <c r="P544" s="8" t="n"/>
    </row>
    <row r="545">
      <c r="N545" s="9">
        <f>IF(ISNUMBER(C545),IF(C545&lt;2000,"before 2000",IF(C545&lt;=2014,"2000-2014","2015 onward")),"")</f>
        <v/>
      </c>
      <c r="P545" s="8" t="n"/>
    </row>
    <row r="546">
      <c r="N546" s="9">
        <f>IF(ISNUMBER(C546),IF(C546&lt;2000,"before 2000",IF(C546&lt;=2014,"2000-2014","2015 onward")),"")</f>
        <v/>
      </c>
      <c r="P546" s="8" t="n"/>
    </row>
    <row r="547">
      <c r="N547" s="9">
        <f>IF(ISNUMBER(C547),IF(C547&lt;2000,"before 2000",IF(C547&lt;=2014,"2000-2014","2015 onward")),"")</f>
        <v/>
      </c>
      <c r="P547" s="8" t="n"/>
    </row>
    <row r="548">
      <c r="N548" s="9">
        <f>IF(ISNUMBER(C548),IF(C548&lt;2000,"before 2000",IF(C548&lt;=2014,"2000-2014","2015 onward")),"")</f>
        <v/>
      </c>
      <c r="P548" s="8" t="n"/>
    </row>
    <row r="549">
      <c r="N549" s="9">
        <f>IF(ISNUMBER(C549),IF(C549&lt;2000,"before 2000",IF(C549&lt;=2014,"2000-2014","2015 onward")),"")</f>
        <v/>
      </c>
      <c r="P549" s="8" t="n"/>
    </row>
    <row r="550">
      <c r="N550" s="9">
        <f>IF(ISNUMBER(C550),IF(C550&lt;2000,"before 2000",IF(C550&lt;=2014,"2000-2014","2015 onward")),"")</f>
        <v/>
      </c>
      <c r="P550" s="8" t="n"/>
    </row>
    <row r="551">
      <c r="N551" s="9">
        <f>IF(ISNUMBER(C551),IF(C551&lt;2000,"before 2000",IF(C551&lt;=2014,"2000-2014","2015 onward")),"")</f>
        <v/>
      </c>
      <c r="P551" s="8" t="n"/>
    </row>
    <row r="552">
      <c r="N552" s="9">
        <f>IF(ISNUMBER(C552),IF(C552&lt;2000,"before 2000",IF(C552&lt;=2014,"2000-2014","2015 onward")),"")</f>
        <v/>
      </c>
      <c r="P552" s="8" t="n"/>
    </row>
    <row r="553">
      <c r="N553" s="9">
        <f>IF(ISNUMBER(C553),IF(C553&lt;2000,"before 2000",IF(C553&lt;=2014,"2000-2014","2015 onward")),"")</f>
        <v/>
      </c>
      <c r="P553" s="8" t="n"/>
    </row>
    <row r="554">
      <c r="N554" s="9">
        <f>IF(ISNUMBER(C554),IF(C554&lt;2000,"before 2000",IF(C554&lt;=2014,"2000-2014","2015 onward")),"")</f>
        <v/>
      </c>
      <c r="P554" s="8" t="n"/>
    </row>
    <row r="555">
      <c r="N555" s="9">
        <f>IF(ISNUMBER(C555),IF(C555&lt;2000,"before 2000",IF(C555&lt;=2014,"2000-2014","2015 onward")),"")</f>
        <v/>
      </c>
      <c r="P555" s="8" t="n"/>
    </row>
    <row r="556">
      <c r="N556" s="9">
        <f>IF(ISNUMBER(C556),IF(C556&lt;2000,"before 2000",IF(C556&lt;=2014,"2000-2014","2015 onward")),"")</f>
        <v/>
      </c>
      <c r="P556" s="8" t="n"/>
    </row>
    <row r="557">
      <c r="N557" s="9">
        <f>IF(ISNUMBER(C557),IF(C557&lt;2000,"before 2000",IF(C557&lt;=2014,"2000-2014","2015 onward")),"")</f>
        <v/>
      </c>
      <c r="P557" s="8" t="n"/>
    </row>
    <row r="558">
      <c r="N558" s="9">
        <f>IF(ISNUMBER(C558),IF(C558&lt;2000,"before 2000",IF(C558&lt;=2014,"2000-2014","2015 onward")),"")</f>
        <v/>
      </c>
      <c r="P558" s="8" t="n"/>
    </row>
    <row r="559">
      <c r="N559" s="9">
        <f>IF(ISNUMBER(C559),IF(C559&lt;2000,"before 2000",IF(C559&lt;=2014,"2000-2014","2015 onward")),"")</f>
        <v/>
      </c>
      <c r="P559" s="8" t="n"/>
    </row>
    <row r="560">
      <c r="N560" s="9">
        <f>IF(ISNUMBER(C560),IF(C560&lt;2000,"before 2000",IF(C560&lt;=2014,"2000-2014","2015 onward")),"")</f>
        <v/>
      </c>
      <c r="P560" s="8" t="n"/>
    </row>
    <row r="561">
      <c r="N561" s="9">
        <f>IF(ISNUMBER(C561),IF(C561&lt;2000,"before 2000",IF(C561&lt;=2014,"2000-2014","2015 onward")),"")</f>
        <v/>
      </c>
      <c r="P561" s="8" t="n"/>
    </row>
    <row r="562">
      <c r="N562" s="9">
        <f>IF(ISNUMBER(C562),IF(C562&lt;2000,"before 2000",IF(C562&lt;=2014,"2000-2014","2015 onward")),"")</f>
        <v/>
      </c>
      <c r="P562" s="8" t="n"/>
    </row>
    <row r="563">
      <c r="N563" s="9">
        <f>IF(ISNUMBER(C563),IF(C563&lt;2000,"before 2000",IF(C563&lt;=2014,"2000-2014","2015 onward")),"")</f>
        <v/>
      </c>
      <c r="P563" s="8" t="n"/>
    </row>
    <row r="564">
      <c r="N564" s="9">
        <f>IF(ISNUMBER(C564),IF(C564&lt;2000,"before 2000",IF(C564&lt;=2014,"2000-2014","2015 onward")),"")</f>
        <v/>
      </c>
      <c r="P564" s="8" t="n"/>
    </row>
    <row r="565">
      <c r="N565" s="9">
        <f>IF(ISNUMBER(C565),IF(C565&lt;2000,"before 2000",IF(C565&lt;=2014,"2000-2014","2015 onward")),"")</f>
        <v/>
      </c>
      <c r="P565" s="8" t="n"/>
    </row>
    <row r="566">
      <c r="N566" s="9">
        <f>IF(ISNUMBER(C566),IF(C566&lt;2000,"before 2000",IF(C566&lt;=2014,"2000-2014","2015 onward")),"")</f>
        <v/>
      </c>
      <c r="P566" s="8" t="n"/>
    </row>
    <row r="567">
      <c r="N567" s="9">
        <f>IF(ISNUMBER(C567),IF(C567&lt;2000,"before 2000",IF(C567&lt;=2014,"2000-2014","2015 onward")),"")</f>
        <v/>
      </c>
      <c r="P567" s="8" t="n"/>
    </row>
    <row r="568">
      <c r="N568" s="9">
        <f>IF(ISNUMBER(C568),IF(C568&lt;2000,"before 2000",IF(C568&lt;=2014,"2000-2014","2015 onward")),"")</f>
        <v/>
      </c>
      <c r="P568" s="8" t="n"/>
    </row>
    <row r="569">
      <c r="N569" s="9">
        <f>IF(ISNUMBER(C569),IF(C569&lt;2000,"before 2000",IF(C569&lt;=2014,"2000-2014","2015 onward")),"")</f>
        <v/>
      </c>
      <c r="P569" s="8" t="n"/>
    </row>
    <row r="570">
      <c r="N570" s="9">
        <f>IF(ISNUMBER(C570),IF(C570&lt;2000,"before 2000",IF(C570&lt;=2014,"2000-2014","2015 onward")),"")</f>
        <v/>
      </c>
      <c r="P570" s="8" t="n"/>
    </row>
    <row r="571">
      <c r="N571" s="9">
        <f>IF(ISNUMBER(C571),IF(C571&lt;2000,"before 2000",IF(C571&lt;=2014,"2000-2014","2015 onward")),"")</f>
        <v/>
      </c>
      <c r="P571" s="8" t="n"/>
    </row>
    <row r="572">
      <c r="N572" s="9">
        <f>IF(ISNUMBER(C572),IF(C572&lt;2000,"before 2000",IF(C572&lt;=2014,"2000-2014","2015 onward")),"")</f>
        <v/>
      </c>
      <c r="P572" s="8" t="n"/>
    </row>
    <row r="573">
      <c r="N573" s="9">
        <f>IF(ISNUMBER(C573),IF(C573&lt;2000,"before 2000",IF(C573&lt;=2014,"2000-2014","2015 onward")),"")</f>
        <v/>
      </c>
      <c r="P573" s="8" t="n"/>
    </row>
    <row r="574">
      <c r="N574" s="9">
        <f>IF(ISNUMBER(C574),IF(C574&lt;2000,"before 2000",IF(C574&lt;=2014,"2000-2014","2015 onward")),"")</f>
        <v/>
      </c>
      <c r="P574" s="8" t="n"/>
    </row>
    <row r="575">
      <c r="N575" s="9">
        <f>IF(ISNUMBER(C575),IF(C575&lt;2000,"before 2000",IF(C575&lt;=2014,"2000-2014","2015 onward")),"")</f>
        <v/>
      </c>
      <c r="P575" s="8" t="n"/>
    </row>
    <row r="576">
      <c r="N576" s="9">
        <f>IF(ISNUMBER(C576),IF(C576&lt;2000,"before 2000",IF(C576&lt;=2014,"2000-2014","2015 onward")),"")</f>
        <v/>
      </c>
      <c r="P576" s="8" t="n"/>
    </row>
    <row r="577">
      <c r="N577" s="9">
        <f>IF(ISNUMBER(C577),IF(C577&lt;2000,"before 2000",IF(C577&lt;=2014,"2000-2014","2015 onward")),"")</f>
        <v/>
      </c>
      <c r="P577" s="8" t="n"/>
    </row>
    <row r="578">
      <c r="N578" s="9">
        <f>IF(ISNUMBER(C578),IF(C578&lt;2000,"before 2000",IF(C578&lt;=2014,"2000-2014","2015 onward")),"")</f>
        <v/>
      </c>
      <c r="P578" s="8" t="n"/>
    </row>
    <row r="579">
      <c r="N579" s="9">
        <f>IF(ISNUMBER(C579),IF(C579&lt;2000,"before 2000",IF(C579&lt;=2014,"2000-2014","2015 onward")),"")</f>
        <v/>
      </c>
      <c r="P579" s="8" t="n"/>
    </row>
    <row r="580">
      <c r="N580" s="9">
        <f>IF(ISNUMBER(C580),IF(C580&lt;2000,"before 2000",IF(C580&lt;=2014,"2000-2014","2015 onward")),"")</f>
        <v/>
      </c>
      <c r="P580" s="8" t="n"/>
    </row>
    <row r="581">
      <c r="N581" s="9">
        <f>IF(ISNUMBER(C581),IF(C581&lt;2000,"before 2000",IF(C581&lt;=2014,"2000-2014","2015 onward")),"")</f>
        <v/>
      </c>
      <c r="P581" s="8" t="n"/>
    </row>
    <row r="582">
      <c r="N582" s="9">
        <f>IF(ISNUMBER(C582),IF(C582&lt;2000,"before 2000",IF(C582&lt;=2014,"2000-2014","2015 onward")),"")</f>
        <v/>
      </c>
      <c r="P582" s="8" t="n"/>
    </row>
    <row r="583">
      <c r="N583" s="9">
        <f>IF(ISNUMBER(C583),IF(C583&lt;2000,"before 2000",IF(C583&lt;=2014,"2000-2014","2015 onward")),"")</f>
        <v/>
      </c>
      <c r="P583" s="8" t="n"/>
    </row>
    <row r="584">
      <c r="N584" s="9">
        <f>IF(ISNUMBER(C584),IF(C584&lt;2000,"before 2000",IF(C584&lt;=2014,"2000-2014","2015 onward")),"")</f>
        <v/>
      </c>
      <c r="P584" s="8" t="n"/>
    </row>
    <row r="585">
      <c r="N585" s="9">
        <f>IF(ISNUMBER(C585),IF(C585&lt;2000,"before 2000",IF(C585&lt;=2014,"2000-2014","2015 onward")),"")</f>
        <v/>
      </c>
      <c r="P585" s="8" t="n"/>
    </row>
    <row r="586">
      <c r="N586" s="9">
        <f>IF(ISNUMBER(C586),IF(C586&lt;2000,"before 2000",IF(C586&lt;=2014,"2000-2014","2015 onward")),"")</f>
        <v/>
      </c>
      <c r="P586" s="8" t="n"/>
    </row>
    <row r="587">
      <c r="N587" s="9">
        <f>IF(ISNUMBER(C587),IF(C587&lt;2000,"before 2000",IF(C587&lt;=2014,"2000-2014","2015 onward")),"")</f>
        <v/>
      </c>
      <c r="P587" s="8" t="n"/>
    </row>
    <row r="588">
      <c r="N588" s="9">
        <f>IF(ISNUMBER(C588),IF(C588&lt;2000,"before 2000",IF(C588&lt;=2014,"2000-2014","2015 onward")),"")</f>
        <v/>
      </c>
      <c r="P588" s="8" t="n"/>
    </row>
    <row r="589">
      <c r="N589" s="9">
        <f>IF(ISNUMBER(C589),IF(C589&lt;2000,"before 2000",IF(C589&lt;=2014,"2000-2014","2015 onward")),"")</f>
        <v/>
      </c>
      <c r="P589" s="8" t="n"/>
    </row>
    <row r="590">
      <c r="N590" s="9">
        <f>IF(ISNUMBER(C590),IF(C590&lt;2000,"before 2000",IF(C590&lt;=2014,"2000-2014","2015 onward")),"")</f>
        <v/>
      </c>
      <c r="P590" s="8" t="n"/>
    </row>
    <row r="591">
      <c r="N591" s="9">
        <f>IF(ISNUMBER(C591),IF(C591&lt;2000,"before 2000",IF(C591&lt;=2014,"2000-2014","2015 onward")),"")</f>
        <v/>
      </c>
      <c r="P591" s="8" t="n"/>
    </row>
    <row r="592">
      <c r="N592" s="9">
        <f>IF(ISNUMBER(C592),IF(C592&lt;2000,"before 2000",IF(C592&lt;=2014,"2000-2014","2015 onward")),"")</f>
        <v/>
      </c>
      <c r="P592" s="8" t="n"/>
    </row>
    <row r="593">
      <c r="N593" s="9">
        <f>IF(ISNUMBER(C593),IF(C593&lt;2000,"before 2000",IF(C593&lt;=2014,"2000-2014","2015 onward")),"")</f>
        <v/>
      </c>
      <c r="P593" s="8" t="n"/>
    </row>
    <row r="594">
      <c r="N594" s="9">
        <f>IF(ISNUMBER(C594),IF(C594&lt;2000,"before 2000",IF(C594&lt;=2014,"2000-2014","2015 onward")),"")</f>
        <v/>
      </c>
      <c r="P594" s="8" t="n"/>
    </row>
    <row r="595">
      <c r="N595" s="9">
        <f>IF(ISNUMBER(C595),IF(C595&lt;2000,"before 2000",IF(C595&lt;=2014,"2000-2014","2015 onward")),"")</f>
        <v/>
      </c>
      <c r="P595" s="8" t="n"/>
    </row>
    <row r="596">
      <c r="N596" s="9">
        <f>IF(ISNUMBER(C596),IF(C596&lt;2000,"before 2000",IF(C596&lt;=2014,"2000-2014","2015 onward")),"")</f>
        <v/>
      </c>
      <c r="P596" s="8" t="n"/>
    </row>
    <row r="597">
      <c r="N597" s="9">
        <f>IF(ISNUMBER(C597),IF(C597&lt;2000,"before 2000",IF(C597&lt;=2014,"2000-2014","2015 onward")),"")</f>
        <v/>
      </c>
      <c r="P597" s="8" t="n"/>
    </row>
    <row r="598">
      <c r="N598" s="9">
        <f>IF(ISNUMBER(C598),IF(C598&lt;2000,"before 2000",IF(C598&lt;=2014,"2000-2014","2015 onward")),"")</f>
        <v/>
      </c>
      <c r="P598" s="8" t="n"/>
    </row>
    <row r="599">
      <c r="N599" s="9">
        <f>IF(ISNUMBER(C599),IF(C599&lt;2000,"before 2000",IF(C599&lt;=2014,"2000-2014","2015 onward")),"")</f>
        <v/>
      </c>
      <c r="P599" s="8" t="n"/>
    </row>
    <row r="600">
      <c r="N600" s="9">
        <f>IF(ISNUMBER(C600),IF(C600&lt;2000,"before 2000",IF(C600&lt;=2014,"2000-2014","2015 onward")),"")</f>
        <v/>
      </c>
      <c r="P600" s="8" t="n"/>
    </row>
    <row r="601">
      <c r="N601" s="9">
        <f>IF(ISNUMBER(C601),IF(C601&lt;2000,"before 2000",IF(C601&lt;=2014,"2000-2014","2015 onward")),"")</f>
        <v/>
      </c>
      <c r="P601" s="8" t="n"/>
    </row>
    <row r="602">
      <c r="N602" s="9">
        <f>IF(ISNUMBER(C602),IF(C602&lt;2000,"before 2000",IF(C602&lt;=2014,"2000-2014","2015 onward")),"")</f>
        <v/>
      </c>
      <c r="P602" s="8" t="n"/>
    </row>
    <row r="603">
      <c r="N603" s="9">
        <f>IF(ISNUMBER(C603),IF(C603&lt;2000,"before 2000",IF(C603&lt;=2014,"2000-2014","2015 onward")),"")</f>
        <v/>
      </c>
      <c r="P603" s="8" t="n"/>
    </row>
    <row r="604">
      <c r="N604" s="9">
        <f>IF(ISNUMBER(C604),IF(C604&lt;2000,"before 2000",IF(C604&lt;=2014,"2000-2014","2015 onward")),"")</f>
        <v/>
      </c>
      <c r="P604" s="8" t="n"/>
    </row>
    <row r="605">
      <c r="N605" s="9">
        <f>IF(ISNUMBER(C605),IF(C605&lt;2000,"before 2000",IF(C605&lt;=2014,"2000-2014","2015 onward")),"")</f>
        <v/>
      </c>
      <c r="P605" s="8" t="n"/>
    </row>
    <row r="606">
      <c r="N606" s="9">
        <f>IF(ISNUMBER(C606),IF(C606&lt;2000,"before 2000",IF(C606&lt;=2014,"2000-2014","2015 onward")),"")</f>
        <v/>
      </c>
      <c r="P606" s="8" t="n"/>
    </row>
    <row r="607">
      <c r="N607" s="9">
        <f>IF(ISNUMBER(C607),IF(C607&lt;2000,"before 2000",IF(C607&lt;=2014,"2000-2014","2015 onward")),"")</f>
        <v/>
      </c>
      <c r="P607" s="8" t="n"/>
    </row>
    <row r="608">
      <c r="N608" s="9">
        <f>IF(ISNUMBER(C608),IF(C608&lt;2000,"before 2000",IF(C608&lt;=2014,"2000-2014","2015 onward")),"")</f>
        <v/>
      </c>
      <c r="P608" s="8" t="n"/>
    </row>
    <row r="609">
      <c r="N609" s="9">
        <f>IF(ISNUMBER(C609),IF(C609&lt;2000,"before 2000",IF(C609&lt;=2014,"2000-2014","2015 onward")),"")</f>
        <v/>
      </c>
      <c r="P609" s="8" t="n"/>
    </row>
    <row r="610">
      <c r="N610" s="9">
        <f>IF(ISNUMBER(C610),IF(C610&lt;2000,"before 2000",IF(C610&lt;=2014,"2000-2014","2015 onward")),"")</f>
        <v/>
      </c>
      <c r="P610" s="8" t="n"/>
    </row>
    <row r="611">
      <c r="N611" s="9">
        <f>IF(ISNUMBER(C611),IF(C611&lt;2000,"before 2000",IF(C611&lt;=2014,"2000-2014","2015 onward")),"")</f>
        <v/>
      </c>
      <c r="P611" s="8" t="n"/>
    </row>
    <row r="612">
      <c r="N612" s="9">
        <f>IF(ISNUMBER(C612),IF(C612&lt;2000,"before 2000",IF(C612&lt;=2014,"2000-2014","2015 onward")),"")</f>
        <v/>
      </c>
      <c r="P612" s="8" t="n"/>
    </row>
    <row r="613">
      <c r="N613" s="9">
        <f>IF(ISNUMBER(C613),IF(C613&lt;2000,"before 2000",IF(C613&lt;=2014,"2000-2014","2015 onward")),"")</f>
        <v/>
      </c>
      <c r="P613" s="8" t="n"/>
    </row>
    <row r="614">
      <c r="N614" s="9">
        <f>IF(ISNUMBER(C614),IF(C614&lt;2000,"before 2000",IF(C614&lt;=2014,"2000-2014","2015 onward")),"")</f>
        <v/>
      </c>
      <c r="P614" s="8" t="n"/>
    </row>
    <row r="615">
      <c r="N615" s="9">
        <f>IF(ISNUMBER(C615),IF(C615&lt;2000,"before 2000",IF(C615&lt;=2014,"2000-2014","2015 onward")),"")</f>
        <v/>
      </c>
      <c r="P615" s="8" t="n"/>
    </row>
    <row r="616">
      <c r="N616" s="9">
        <f>IF(ISNUMBER(C616),IF(C616&lt;2000,"before 2000",IF(C616&lt;=2014,"2000-2014","2015 onward")),"")</f>
        <v/>
      </c>
      <c r="P616" s="8" t="n"/>
    </row>
    <row r="617">
      <c r="N617" s="9">
        <f>IF(ISNUMBER(C617),IF(C617&lt;2000,"before 2000",IF(C617&lt;=2014,"2000-2014","2015 onward")),"")</f>
        <v/>
      </c>
      <c r="P617" s="8" t="n"/>
    </row>
    <row r="618">
      <c r="N618" s="9">
        <f>IF(ISNUMBER(C618),IF(C618&lt;2000,"before 2000",IF(C618&lt;=2014,"2000-2014","2015 onward")),"")</f>
        <v/>
      </c>
      <c r="P618" s="8" t="n"/>
    </row>
    <row r="619">
      <c r="N619" s="9">
        <f>IF(ISNUMBER(C619),IF(C619&lt;2000,"before 2000",IF(C619&lt;=2014,"2000-2014","2015 onward")),"")</f>
        <v/>
      </c>
      <c r="P619" s="8" t="n"/>
    </row>
    <row r="620">
      <c r="N620" s="9">
        <f>IF(ISNUMBER(C620),IF(C620&lt;2000,"before 2000",IF(C620&lt;=2014,"2000-2014","2015 onward")),"")</f>
        <v/>
      </c>
      <c r="P620" s="8" t="n"/>
    </row>
    <row r="621">
      <c r="N621" s="9">
        <f>IF(ISNUMBER(C621),IF(C621&lt;2000,"before 2000",IF(C621&lt;=2014,"2000-2014","2015 onward")),"")</f>
        <v/>
      </c>
      <c r="P621" s="8" t="n"/>
    </row>
    <row r="622">
      <c r="N622" s="9">
        <f>IF(ISNUMBER(C622),IF(C622&lt;2000,"before 2000",IF(C622&lt;=2014,"2000-2014","2015 onward")),"")</f>
        <v/>
      </c>
      <c r="P622" s="8" t="n"/>
    </row>
    <row r="623">
      <c r="N623" s="9">
        <f>IF(ISNUMBER(C623),IF(C623&lt;2000,"before 2000",IF(C623&lt;=2014,"2000-2014","2015 onward")),"")</f>
        <v/>
      </c>
      <c r="P623" s="8" t="n"/>
    </row>
    <row r="624">
      <c r="N624" s="9">
        <f>IF(ISNUMBER(C624),IF(C624&lt;2000,"before 2000",IF(C624&lt;=2014,"2000-2014","2015 onward")),"")</f>
        <v/>
      </c>
      <c r="P624" s="8" t="n"/>
    </row>
    <row r="625">
      <c r="N625" s="9">
        <f>IF(ISNUMBER(C625),IF(C625&lt;2000,"before 2000",IF(C625&lt;=2014,"2000-2014","2015 onward")),"")</f>
        <v/>
      </c>
      <c r="P625" s="8" t="n"/>
    </row>
    <row r="626">
      <c r="N626" s="9">
        <f>IF(ISNUMBER(C626),IF(C626&lt;2000,"before 2000",IF(C626&lt;=2014,"2000-2014","2015 onward")),"")</f>
        <v/>
      </c>
      <c r="P626" s="8" t="n"/>
    </row>
    <row r="627">
      <c r="N627" s="9">
        <f>IF(ISNUMBER(C627),IF(C627&lt;2000,"before 2000",IF(C627&lt;=2014,"2000-2014","2015 onward")),"")</f>
        <v/>
      </c>
      <c r="P627" s="8" t="n"/>
    </row>
    <row r="628">
      <c r="N628" s="9">
        <f>IF(ISNUMBER(C628),IF(C628&lt;2000,"before 2000",IF(C628&lt;=2014,"2000-2014","2015 onward")),"")</f>
        <v/>
      </c>
      <c r="P628" s="8" t="n"/>
    </row>
    <row r="629">
      <c r="N629" s="9">
        <f>IF(ISNUMBER(C629),IF(C629&lt;2000,"before 2000",IF(C629&lt;=2014,"2000-2014","2015 onward")),"")</f>
        <v/>
      </c>
      <c r="P629" s="8" t="n"/>
    </row>
    <row r="630">
      <c r="N630" s="9">
        <f>IF(ISNUMBER(C630),IF(C630&lt;2000,"before 2000",IF(C630&lt;=2014,"2000-2014","2015 onward")),"")</f>
        <v/>
      </c>
      <c r="P630" s="8" t="n"/>
    </row>
    <row r="631">
      <c r="N631" s="9">
        <f>IF(ISNUMBER(C631),IF(C631&lt;2000,"before 2000",IF(C631&lt;=2014,"2000-2014","2015 onward")),"")</f>
        <v/>
      </c>
      <c r="P631" s="8" t="n"/>
    </row>
    <row r="632">
      <c r="N632" s="9">
        <f>IF(ISNUMBER(C632),IF(C632&lt;2000,"before 2000",IF(C632&lt;=2014,"2000-2014","2015 onward")),"")</f>
        <v/>
      </c>
      <c r="P632" s="8" t="n"/>
    </row>
    <row r="633">
      <c r="N633" s="9">
        <f>IF(ISNUMBER(C633),IF(C633&lt;2000,"before 2000",IF(C633&lt;=2014,"2000-2014","2015 onward")),"")</f>
        <v/>
      </c>
      <c r="P633" s="8" t="n"/>
    </row>
    <row r="634">
      <c r="N634" s="9">
        <f>IF(ISNUMBER(C634),IF(C634&lt;2000,"before 2000",IF(C634&lt;=2014,"2000-2014","2015 onward")),"")</f>
        <v/>
      </c>
      <c r="P634" s="8" t="n"/>
    </row>
    <row r="635">
      <c r="N635" s="9">
        <f>IF(ISNUMBER(C635),IF(C635&lt;2000,"before 2000",IF(C635&lt;=2014,"2000-2014","2015 onward")),"")</f>
        <v/>
      </c>
      <c r="P635" s="8" t="n"/>
    </row>
    <row r="636">
      <c r="N636" s="9">
        <f>IF(ISNUMBER(C636),IF(C636&lt;2000,"before 2000",IF(C636&lt;=2014,"2000-2014","2015 onward")),"")</f>
        <v/>
      </c>
      <c r="P636" s="8" t="n"/>
    </row>
    <row r="637">
      <c r="N637" s="9">
        <f>IF(ISNUMBER(C637),IF(C637&lt;2000,"before 2000",IF(C637&lt;=2014,"2000-2014","2015 onward")),"")</f>
        <v/>
      </c>
      <c r="P637" s="8" t="n"/>
    </row>
    <row r="638">
      <c r="N638" s="9">
        <f>IF(ISNUMBER(C638),IF(C638&lt;2000,"before 2000",IF(C638&lt;=2014,"2000-2014","2015 onward")),"")</f>
        <v/>
      </c>
      <c r="P638" s="8" t="n"/>
    </row>
    <row r="639">
      <c r="N639" s="9">
        <f>IF(ISNUMBER(C639),IF(C639&lt;2000,"before 2000",IF(C639&lt;=2014,"2000-2014","2015 onward")),"")</f>
        <v/>
      </c>
      <c r="P639" s="8" t="n"/>
    </row>
    <row r="640">
      <c r="N640" s="9">
        <f>IF(ISNUMBER(C640),IF(C640&lt;2000,"before 2000",IF(C640&lt;=2014,"2000-2014","2015 onward")),"")</f>
        <v/>
      </c>
      <c r="P640" s="8" t="n"/>
    </row>
    <row r="641">
      <c r="N641" s="9">
        <f>IF(ISNUMBER(C641),IF(C641&lt;2000,"before 2000",IF(C641&lt;=2014,"2000-2014","2015 onward")),"")</f>
        <v/>
      </c>
      <c r="P641" s="8" t="n"/>
    </row>
    <row r="642">
      <c r="N642" s="9">
        <f>IF(ISNUMBER(C642),IF(C642&lt;2000,"before 2000",IF(C642&lt;=2014,"2000-2014","2015 onward")),"")</f>
        <v/>
      </c>
      <c r="P642" s="8" t="n"/>
    </row>
    <row r="643">
      <c r="N643" s="9">
        <f>IF(ISNUMBER(C643),IF(C643&lt;2000,"before 2000",IF(C643&lt;=2014,"2000-2014","2015 onward")),"")</f>
        <v/>
      </c>
      <c r="P643" s="8" t="n"/>
    </row>
    <row r="644">
      <c r="N644" s="9">
        <f>IF(ISNUMBER(C644),IF(C644&lt;2000,"before 2000",IF(C644&lt;=2014,"2000-2014","2015 onward")),"")</f>
        <v/>
      </c>
      <c r="P644" s="8" t="n"/>
    </row>
    <row r="645">
      <c r="N645" s="9">
        <f>IF(ISNUMBER(C645),IF(C645&lt;2000,"before 2000",IF(C645&lt;=2014,"2000-2014","2015 onward")),"")</f>
        <v/>
      </c>
      <c r="P645" s="8" t="n"/>
    </row>
    <row r="646">
      <c r="N646" s="9">
        <f>IF(ISNUMBER(C646),IF(C646&lt;2000,"before 2000",IF(C646&lt;=2014,"2000-2014","2015 onward")),"")</f>
        <v/>
      </c>
      <c r="P646" s="8" t="n"/>
    </row>
    <row r="647">
      <c r="N647" s="9">
        <f>IF(ISNUMBER(C647),IF(C647&lt;2000,"before 2000",IF(C647&lt;=2014,"2000-2014","2015 onward")),"")</f>
        <v/>
      </c>
      <c r="P647" s="8" t="n"/>
    </row>
    <row r="648">
      <c r="N648" s="9">
        <f>IF(ISNUMBER(C648),IF(C648&lt;2000,"before 2000",IF(C648&lt;=2014,"2000-2014","2015 onward")),"")</f>
        <v/>
      </c>
      <c r="P648" s="8" t="n"/>
    </row>
    <row r="649">
      <c r="N649" s="9">
        <f>IF(ISNUMBER(C649),IF(C649&lt;2000,"before 2000",IF(C649&lt;=2014,"2000-2014","2015 onward")),"")</f>
        <v/>
      </c>
      <c r="P649" s="8" t="n"/>
    </row>
    <row r="650">
      <c r="N650" s="9">
        <f>IF(ISNUMBER(C650),IF(C650&lt;2000,"before 2000",IF(C650&lt;=2014,"2000-2014","2015 onward")),"")</f>
        <v/>
      </c>
      <c r="P650" s="8" t="n"/>
    </row>
    <row r="651">
      <c r="N651" s="9">
        <f>IF(ISNUMBER(C651),IF(C651&lt;2000,"before 2000",IF(C651&lt;=2014,"2000-2014","2015 onward")),"")</f>
        <v/>
      </c>
      <c r="P651" s="8" t="n"/>
    </row>
    <row r="652">
      <c r="N652" s="9">
        <f>IF(ISNUMBER(C652),IF(C652&lt;2000,"before 2000",IF(C652&lt;=2014,"2000-2014","2015 onward")),"")</f>
        <v/>
      </c>
      <c r="P652" s="8" t="n"/>
    </row>
    <row r="653">
      <c r="N653" s="9">
        <f>IF(ISNUMBER(C653),IF(C653&lt;2000,"before 2000",IF(C653&lt;=2014,"2000-2014","2015 onward")),"")</f>
        <v/>
      </c>
      <c r="P653" s="8" t="n"/>
    </row>
    <row r="654">
      <c r="N654" s="9">
        <f>IF(ISNUMBER(C654),IF(C654&lt;2000,"before 2000",IF(C654&lt;=2014,"2000-2014","2015 onward")),"")</f>
        <v/>
      </c>
      <c r="P654" s="8" t="n"/>
    </row>
    <row r="655">
      <c r="N655" s="9">
        <f>IF(ISNUMBER(C655),IF(C655&lt;2000,"before 2000",IF(C655&lt;=2014,"2000-2014","2015 onward")),"")</f>
        <v/>
      </c>
      <c r="P655" s="8" t="n"/>
    </row>
    <row r="656">
      <c r="N656" s="9">
        <f>IF(ISNUMBER(C656),IF(C656&lt;2000,"before 2000",IF(C656&lt;=2014,"2000-2014","2015 onward")),"")</f>
        <v/>
      </c>
      <c r="P656" s="8" t="n"/>
    </row>
    <row r="657">
      <c r="N657" s="9">
        <f>IF(ISNUMBER(C657),IF(C657&lt;2000,"before 2000",IF(C657&lt;=2014,"2000-2014","2015 onward")),"")</f>
        <v/>
      </c>
      <c r="P657" s="8" t="n"/>
    </row>
    <row r="658">
      <c r="N658" s="9">
        <f>IF(ISNUMBER(C658),IF(C658&lt;2000,"before 2000",IF(C658&lt;=2014,"2000-2014","2015 onward")),"")</f>
        <v/>
      </c>
      <c r="P658" s="8" t="n"/>
    </row>
    <row r="659">
      <c r="N659" s="9">
        <f>IF(ISNUMBER(C659),IF(C659&lt;2000,"before 2000",IF(C659&lt;=2014,"2000-2014","2015 onward")),"")</f>
        <v/>
      </c>
      <c r="P659" s="8" t="n"/>
    </row>
    <row r="660">
      <c r="N660" s="9">
        <f>IF(ISNUMBER(C660),IF(C660&lt;2000,"before 2000",IF(C660&lt;=2014,"2000-2014","2015 onward")),"")</f>
        <v/>
      </c>
      <c r="P660" s="8" t="n"/>
    </row>
    <row r="661">
      <c r="N661" s="9">
        <f>IF(ISNUMBER(C661),IF(C661&lt;2000,"before 2000",IF(C661&lt;=2014,"2000-2014","2015 onward")),"")</f>
        <v/>
      </c>
      <c r="P661" s="8" t="n"/>
    </row>
    <row r="662">
      <c r="N662" s="9">
        <f>IF(ISNUMBER(C662),IF(C662&lt;2000,"before 2000",IF(C662&lt;=2014,"2000-2014","2015 onward")),"")</f>
        <v/>
      </c>
      <c r="P662" s="8" t="n"/>
    </row>
    <row r="663">
      <c r="N663" s="9">
        <f>IF(ISNUMBER(C663),IF(C663&lt;2000,"before 2000",IF(C663&lt;=2014,"2000-2014","2015 onward")),"")</f>
        <v/>
      </c>
      <c r="P663" s="8" t="n"/>
    </row>
    <row r="664">
      <c r="N664" s="9">
        <f>IF(ISNUMBER(C664),IF(C664&lt;2000,"before 2000",IF(C664&lt;=2014,"2000-2014","2015 onward")),"")</f>
        <v/>
      </c>
      <c r="P664" s="8" t="n"/>
    </row>
    <row r="665">
      <c r="N665" s="9">
        <f>IF(ISNUMBER(C665),IF(C665&lt;2000,"before 2000",IF(C665&lt;=2014,"2000-2014","2015 onward")),"")</f>
        <v/>
      </c>
      <c r="P665" s="8" t="n"/>
    </row>
    <row r="666">
      <c r="N666" s="9">
        <f>IF(ISNUMBER(C666),IF(C666&lt;2000,"before 2000",IF(C666&lt;=2014,"2000-2014","2015 onward")),"")</f>
        <v/>
      </c>
      <c r="P666" s="8" t="n"/>
    </row>
    <row r="667">
      <c r="N667" s="9">
        <f>IF(ISNUMBER(C667),IF(C667&lt;2000,"before 2000",IF(C667&lt;=2014,"2000-2014","2015 onward")),"")</f>
        <v/>
      </c>
      <c r="P667" s="8" t="n"/>
    </row>
    <row r="668">
      <c r="N668" s="9">
        <f>IF(ISNUMBER(C668),IF(C668&lt;2000,"before 2000",IF(C668&lt;=2014,"2000-2014","2015 onward")),"")</f>
        <v/>
      </c>
      <c r="P668" s="8" t="n"/>
    </row>
    <row r="669">
      <c r="N669" s="9">
        <f>IF(ISNUMBER(C669),IF(C669&lt;2000,"before 2000",IF(C669&lt;=2014,"2000-2014","2015 onward")),"")</f>
        <v/>
      </c>
      <c r="P669" s="8" t="n"/>
    </row>
    <row r="670">
      <c r="N670" s="9">
        <f>IF(ISNUMBER(C670),IF(C670&lt;2000,"before 2000",IF(C670&lt;=2014,"2000-2014","2015 onward")),"")</f>
        <v/>
      </c>
      <c r="P670" s="8" t="n"/>
    </row>
    <row r="671">
      <c r="N671" s="9">
        <f>IF(ISNUMBER(C671),IF(C671&lt;2000,"before 2000",IF(C671&lt;=2014,"2000-2014","2015 onward")),"")</f>
        <v/>
      </c>
      <c r="P671" s="8" t="n"/>
    </row>
    <row r="672">
      <c r="N672" s="9">
        <f>IF(ISNUMBER(C672),IF(C672&lt;2000,"before 2000",IF(C672&lt;=2014,"2000-2014","2015 onward")),"")</f>
        <v/>
      </c>
      <c r="P672" s="8" t="n"/>
    </row>
    <row r="673">
      <c r="N673" s="9">
        <f>IF(ISNUMBER(C673),IF(C673&lt;2000,"before 2000",IF(C673&lt;=2014,"2000-2014","2015 onward")),"")</f>
        <v/>
      </c>
      <c r="P673" s="8" t="n"/>
    </row>
    <row r="674">
      <c r="N674" s="9">
        <f>IF(ISNUMBER(C674),IF(C674&lt;2000,"before 2000",IF(C674&lt;=2014,"2000-2014","2015 onward")),"")</f>
        <v/>
      </c>
      <c r="P674" s="8" t="n"/>
    </row>
    <row r="675">
      <c r="N675" s="9">
        <f>IF(ISNUMBER(C675),IF(C675&lt;2000,"before 2000",IF(C675&lt;=2014,"2000-2014","2015 onward")),"")</f>
        <v/>
      </c>
      <c r="P675" s="8" t="n"/>
    </row>
    <row r="676">
      <c r="N676" s="9">
        <f>IF(ISNUMBER(C676),IF(C676&lt;2000,"before 2000",IF(C676&lt;=2014,"2000-2014","2015 onward")),"")</f>
        <v/>
      </c>
      <c r="P676" s="8" t="n"/>
    </row>
    <row r="677">
      <c r="N677" s="9">
        <f>IF(ISNUMBER(C677),IF(C677&lt;2000,"before 2000",IF(C677&lt;=2014,"2000-2014","2015 onward")),"")</f>
        <v/>
      </c>
      <c r="P677" s="8" t="n"/>
    </row>
    <row r="678">
      <c r="N678" s="9">
        <f>IF(ISNUMBER(C678),IF(C678&lt;2000,"before 2000",IF(C678&lt;=2014,"2000-2014","2015 onward")),"")</f>
        <v/>
      </c>
      <c r="P678" s="8" t="n"/>
    </row>
    <row r="679">
      <c r="N679" s="9">
        <f>IF(ISNUMBER(C679),IF(C679&lt;2000,"before 2000",IF(C679&lt;=2014,"2000-2014","2015 onward")),"")</f>
        <v/>
      </c>
      <c r="P679" s="8" t="n"/>
    </row>
    <row r="680">
      <c r="N680" s="9">
        <f>IF(ISNUMBER(C680),IF(C680&lt;2000,"before 2000",IF(C680&lt;=2014,"2000-2014","2015 onward")),"")</f>
        <v/>
      </c>
      <c r="P680" s="8" t="n"/>
    </row>
    <row r="681">
      <c r="N681" s="9">
        <f>IF(ISNUMBER(C681),IF(C681&lt;2000,"before 2000",IF(C681&lt;=2014,"2000-2014","2015 onward")),"")</f>
        <v/>
      </c>
      <c r="P681" s="8" t="n"/>
    </row>
    <row r="682">
      <c r="N682" s="9">
        <f>IF(ISNUMBER(C682),IF(C682&lt;2000,"before 2000",IF(C682&lt;=2014,"2000-2014","2015 onward")),"")</f>
        <v/>
      </c>
      <c r="P682" s="8" t="n"/>
    </row>
    <row r="683">
      <c r="N683" s="9">
        <f>IF(ISNUMBER(C683),IF(C683&lt;2000,"before 2000",IF(C683&lt;=2014,"2000-2014","2015 onward")),"")</f>
        <v/>
      </c>
      <c r="P683" s="8" t="n"/>
    </row>
    <row r="684">
      <c r="N684" s="9">
        <f>IF(ISNUMBER(C684),IF(C684&lt;2000,"before 2000",IF(C684&lt;=2014,"2000-2014","2015 onward")),"")</f>
        <v/>
      </c>
      <c r="P684" s="8" t="n"/>
    </row>
    <row r="685">
      <c r="N685" s="9">
        <f>IF(ISNUMBER(C685),IF(C685&lt;2000,"before 2000",IF(C685&lt;=2014,"2000-2014","2015 onward")),"")</f>
        <v/>
      </c>
      <c r="P685" s="8" t="n"/>
    </row>
    <row r="686">
      <c r="N686" s="9">
        <f>IF(ISNUMBER(C686),IF(C686&lt;2000,"before 2000",IF(C686&lt;=2014,"2000-2014","2015 onward")),"")</f>
        <v/>
      </c>
      <c r="P686" s="8" t="n"/>
    </row>
    <row r="687">
      <c r="N687" s="9">
        <f>IF(ISNUMBER(C687),IF(C687&lt;2000,"before 2000",IF(C687&lt;=2014,"2000-2014","2015 onward")),"")</f>
        <v/>
      </c>
      <c r="P687" s="8" t="n"/>
    </row>
    <row r="688">
      <c r="N688" s="9">
        <f>IF(ISNUMBER(C688),IF(C688&lt;2000,"before 2000",IF(C688&lt;=2014,"2000-2014","2015 onward")),"")</f>
        <v/>
      </c>
      <c r="P688" s="8" t="n"/>
    </row>
    <row r="689">
      <c r="N689" s="9">
        <f>IF(ISNUMBER(C689),IF(C689&lt;2000,"before 2000",IF(C689&lt;=2014,"2000-2014","2015 onward")),"")</f>
        <v/>
      </c>
      <c r="P689" s="8" t="n"/>
    </row>
    <row r="690">
      <c r="N690" s="9">
        <f>IF(ISNUMBER(C690),IF(C690&lt;2000,"before 2000",IF(C690&lt;=2014,"2000-2014","2015 onward")),"")</f>
        <v/>
      </c>
      <c r="P690" s="8" t="n"/>
    </row>
    <row r="691">
      <c r="N691" s="9">
        <f>IF(ISNUMBER(C691),IF(C691&lt;2000,"before 2000",IF(C691&lt;=2014,"2000-2014","2015 onward")),"")</f>
        <v/>
      </c>
      <c r="P691" s="8" t="n"/>
    </row>
    <row r="692">
      <c r="N692" s="9">
        <f>IF(ISNUMBER(C692),IF(C692&lt;2000,"before 2000",IF(C692&lt;=2014,"2000-2014","2015 onward")),"")</f>
        <v/>
      </c>
      <c r="P692" s="8" t="n"/>
    </row>
    <row r="693">
      <c r="N693" s="9">
        <f>IF(ISNUMBER(C693),IF(C693&lt;2000,"before 2000",IF(C693&lt;=2014,"2000-2014","2015 onward")),"")</f>
        <v/>
      </c>
      <c r="P693" s="8" t="n"/>
    </row>
    <row r="694">
      <c r="N694" s="9">
        <f>IF(ISNUMBER(C694),IF(C694&lt;2000,"before 2000",IF(C694&lt;=2014,"2000-2014","2015 onward")),"")</f>
        <v/>
      </c>
      <c r="P694" s="8" t="n"/>
    </row>
    <row r="695">
      <c r="N695" s="9">
        <f>IF(ISNUMBER(C695),IF(C695&lt;2000,"before 2000",IF(C695&lt;=2014,"2000-2014","2015 onward")),"")</f>
        <v/>
      </c>
      <c r="P695" s="8" t="n"/>
    </row>
    <row r="696">
      <c r="N696" s="9">
        <f>IF(ISNUMBER(C696),IF(C696&lt;2000,"before 2000",IF(C696&lt;=2014,"2000-2014","2015 onward")),"")</f>
        <v/>
      </c>
      <c r="P696" s="8" t="n"/>
    </row>
    <row r="697">
      <c r="N697" s="9">
        <f>IF(ISNUMBER(C697),IF(C697&lt;2000,"before 2000",IF(C697&lt;=2014,"2000-2014","2015 onward")),"")</f>
        <v/>
      </c>
      <c r="P697" s="8" t="n"/>
    </row>
    <row r="698">
      <c r="N698" s="9">
        <f>IF(ISNUMBER(C698),IF(C698&lt;2000,"before 2000",IF(C698&lt;=2014,"2000-2014","2015 onward")),"")</f>
        <v/>
      </c>
      <c r="P698" s="8" t="n"/>
    </row>
    <row r="699">
      <c r="N699" s="9">
        <f>IF(ISNUMBER(C699),IF(C699&lt;2000,"before 2000",IF(C699&lt;=2014,"2000-2014","2015 onward")),"")</f>
        <v/>
      </c>
      <c r="P699" s="8" t="n"/>
    </row>
    <row r="700">
      <c r="N700" s="9">
        <f>IF(ISNUMBER(C700),IF(C700&lt;2000,"before 2000",IF(C700&lt;=2014,"2000-2014","2015 onward")),"")</f>
        <v/>
      </c>
      <c r="P700" s="8" t="n"/>
    </row>
    <row r="701">
      <c r="N701" s="9">
        <f>IF(ISNUMBER(C701),IF(C701&lt;2000,"before 2000",IF(C701&lt;=2014,"2000-2014","2015 onward")),"")</f>
        <v/>
      </c>
      <c r="P701" s="8" t="n"/>
    </row>
    <row r="702">
      <c r="N702" s="9">
        <f>IF(ISNUMBER(C702),IF(C702&lt;2000,"before 2000",IF(C702&lt;=2014,"2000-2014","2015 onward")),"")</f>
        <v/>
      </c>
      <c r="P702" s="8" t="n"/>
    </row>
    <row r="703">
      <c r="N703" s="9">
        <f>IF(ISNUMBER(C703),IF(C703&lt;2000,"before 2000",IF(C703&lt;=2014,"2000-2014","2015 onward")),"")</f>
        <v/>
      </c>
      <c r="P703" s="8" t="n"/>
    </row>
    <row r="704">
      <c r="N704" s="9">
        <f>IF(ISNUMBER(C704),IF(C704&lt;2000,"before 2000",IF(C704&lt;=2014,"2000-2014","2015 onward")),"")</f>
        <v/>
      </c>
      <c r="P704" s="8" t="n"/>
    </row>
    <row r="705">
      <c r="N705" s="9">
        <f>IF(ISNUMBER(C705),IF(C705&lt;2000,"before 2000",IF(C705&lt;=2014,"2000-2014","2015 onward")),"")</f>
        <v/>
      </c>
      <c r="P705" s="8" t="n"/>
    </row>
    <row r="706">
      <c r="N706" s="9">
        <f>IF(ISNUMBER(C706),IF(C706&lt;2000,"before 2000",IF(C706&lt;=2014,"2000-2014","2015 onward")),"")</f>
        <v/>
      </c>
      <c r="P706" s="8" t="n"/>
    </row>
    <row r="707">
      <c r="N707" s="9">
        <f>IF(ISNUMBER(C707),IF(C707&lt;2000,"before 2000",IF(C707&lt;=2014,"2000-2014","2015 onward")),"")</f>
        <v/>
      </c>
      <c r="P707" s="8" t="n"/>
    </row>
    <row r="708">
      <c r="N708" s="9">
        <f>IF(ISNUMBER(C708),IF(C708&lt;2000,"before 2000",IF(C708&lt;=2014,"2000-2014","2015 onward")),"")</f>
        <v/>
      </c>
      <c r="P708" s="8" t="n"/>
    </row>
    <row r="709">
      <c r="N709" s="9">
        <f>IF(ISNUMBER(C709),IF(C709&lt;2000,"before 2000",IF(C709&lt;=2014,"2000-2014","2015 onward")),"")</f>
        <v/>
      </c>
      <c r="P709" s="8" t="n"/>
    </row>
    <row r="710">
      <c r="N710" s="9">
        <f>IF(ISNUMBER(C710),IF(C710&lt;2000,"before 2000",IF(C710&lt;=2014,"2000-2014","2015 onward")),"")</f>
        <v/>
      </c>
      <c r="P710" s="8" t="n"/>
    </row>
    <row r="711">
      <c r="N711" s="9">
        <f>IF(ISNUMBER(C711),IF(C711&lt;2000,"before 2000",IF(C711&lt;=2014,"2000-2014","2015 onward")),"")</f>
        <v/>
      </c>
      <c r="P711" s="8" t="n"/>
    </row>
    <row r="712">
      <c r="N712" s="9">
        <f>IF(ISNUMBER(C712),IF(C712&lt;2000,"before 2000",IF(C712&lt;=2014,"2000-2014","2015 onward")),"")</f>
        <v/>
      </c>
      <c r="P712" s="8" t="n"/>
    </row>
    <row r="713">
      <c r="N713" s="9">
        <f>IF(ISNUMBER(C713),IF(C713&lt;2000,"before 2000",IF(C713&lt;=2014,"2000-2014","2015 onward")),"")</f>
        <v/>
      </c>
      <c r="P713" s="8" t="n"/>
    </row>
    <row r="714">
      <c r="N714" s="9">
        <f>IF(ISNUMBER(C714),IF(C714&lt;2000,"before 2000",IF(C714&lt;=2014,"2000-2014","2015 onward")),"")</f>
        <v/>
      </c>
      <c r="P714" s="8" t="n"/>
    </row>
    <row r="715">
      <c r="N715" s="9">
        <f>IF(ISNUMBER(C715),IF(C715&lt;2000,"before 2000",IF(C715&lt;=2014,"2000-2014","2015 onward")),"")</f>
        <v/>
      </c>
      <c r="P715" s="8" t="n"/>
    </row>
    <row r="716">
      <c r="N716" s="9">
        <f>IF(ISNUMBER(C716),IF(C716&lt;2000,"before 2000",IF(C716&lt;=2014,"2000-2014","2015 onward")),"")</f>
        <v/>
      </c>
      <c r="P716" s="8" t="n"/>
    </row>
    <row r="717">
      <c r="N717" s="9">
        <f>IF(ISNUMBER(C717),IF(C717&lt;2000,"before 2000",IF(C717&lt;=2014,"2000-2014","2015 onward")),"")</f>
        <v/>
      </c>
      <c r="P717" s="8" t="n"/>
    </row>
    <row r="718">
      <c r="N718" s="9">
        <f>IF(ISNUMBER(C718),IF(C718&lt;2000,"before 2000",IF(C718&lt;=2014,"2000-2014","2015 onward")),"")</f>
        <v/>
      </c>
      <c r="P718" s="8" t="n"/>
    </row>
    <row r="719">
      <c r="N719" s="9">
        <f>IF(ISNUMBER(C719),IF(C719&lt;2000,"before 2000",IF(C719&lt;=2014,"2000-2014","2015 onward")),"")</f>
        <v/>
      </c>
      <c r="P719" s="8" t="n"/>
    </row>
    <row r="720">
      <c r="N720" s="9">
        <f>IF(ISNUMBER(C720),IF(C720&lt;2000,"before 2000",IF(C720&lt;=2014,"2000-2014","2015 onward")),"")</f>
        <v/>
      </c>
      <c r="P720" s="8" t="n"/>
    </row>
    <row r="721">
      <c r="N721" s="9">
        <f>IF(ISNUMBER(C721),IF(C721&lt;2000,"before 2000",IF(C721&lt;=2014,"2000-2014","2015 onward")),"")</f>
        <v/>
      </c>
      <c r="P721" s="8" t="n"/>
    </row>
    <row r="722">
      <c r="N722" s="9">
        <f>IF(ISNUMBER(C722),IF(C722&lt;2000,"before 2000",IF(C722&lt;=2014,"2000-2014","2015 onward")),"")</f>
        <v/>
      </c>
      <c r="P722" s="8" t="n"/>
    </row>
    <row r="723">
      <c r="N723" s="9">
        <f>IF(ISNUMBER(C723),IF(C723&lt;2000,"before 2000",IF(C723&lt;=2014,"2000-2014","2015 onward")),"")</f>
        <v/>
      </c>
      <c r="P723" s="8" t="n"/>
    </row>
    <row r="724">
      <c r="N724" s="9">
        <f>IF(ISNUMBER(C724),IF(C724&lt;2000,"before 2000",IF(C724&lt;=2014,"2000-2014","2015 onward")),"")</f>
        <v/>
      </c>
      <c r="P724" s="8" t="n"/>
    </row>
    <row r="725">
      <c r="N725" s="9">
        <f>IF(ISNUMBER(C725),IF(C725&lt;2000,"before 2000",IF(C725&lt;=2014,"2000-2014","2015 onward")),"")</f>
        <v/>
      </c>
      <c r="P725" s="8" t="n"/>
    </row>
    <row r="726">
      <c r="N726" s="9">
        <f>IF(ISNUMBER(C726),IF(C726&lt;2000,"before 2000",IF(C726&lt;=2014,"2000-2014","2015 onward")),"")</f>
        <v/>
      </c>
      <c r="P726" s="8" t="n"/>
    </row>
    <row r="727">
      <c r="N727" s="9">
        <f>IF(ISNUMBER(C727),IF(C727&lt;2000,"before 2000",IF(C727&lt;=2014,"2000-2014","2015 onward")),"")</f>
        <v/>
      </c>
      <c r="P727" s="8" t="n"/>
    </row>
    <row r="728">
      <c r="N728" s="9">
        <f>IF(ISNUMBER(C728),IF(C728&lt;2000,"before 2000",IF(C728&lt;=2014,"2000-2014","2015 onward")),"")</f>
        <v/>
      </c>
      <c r="P728" s="8" t="n"/>
    </row>
    <row r="729">
      <c r="N729" s="9">
        <f>IF(ISNUMBER(C729),IF(C729&lt;2000,"before 2000",IF(C729&lt;=2014,"2000-2014","2015 onward")),"")</f>
        <v/>
      </c>
      <c r="P729" s="8" t="n"/>
    </row>
    <row r="730">
      <c r="N730" s="9">
        <f>IF(ISNUMBER(C730),IF(C730&lt;2000,"before 2000",IF(C730&lt;=2014,"2000-2014","2015 onward")),"")</f>
        <v/>
      </c>
      <c r="P730" s="8" t="n"/>
    </row>
    <row r="731">
      <c r="N731" s="9">
        <f>IF(ISNUMBER(C731),IF(C731&lt;2000,"before 2000",IF(C731&lt;=2014,"2000-2014","2015 onward")),"")</f>
        <v/>
      </c>
      <c r="P731" s="8" t="n"/>
    </row>
    <row r="732">
      <c r="N732" s="9">
        <f>IF(ISNUMBER(C732),IF(C732&lt;2000,"before 2000",IF(C732&lt;=2014,"2000-2014","2015 onward")),"")</f>
        <v/>
      </c>
      <c r="P732" s="8" t="n"/>
    </row>
    <row r="733">
      <c r="N733" s="9">
        <f>IF(ISNUMBER(C733),IF(C733&lt;2000,"before 2000",IF(C733&lt;=2014,"2000-2014","2015 onward")),"")</f>
        <v/>
      </c>
      <c r="P733" s="8" t="n"/>
    </row>
    <row r="734">
      <c r="N734" s="9">
        <f>IF(ISNUMBER(C734),IF(C734&lt;2000,"before 2000",IF(C734&lt;=2014,"2000-2014","2015 onward")),"")</f>
        <v/>
      </c>
      <c r="P734" s="8" t="n"/>
    </row>
    <row r="735">
      <c r="N735" s="9">
        <f>IF(ISNUMBER(C735),IF(C735&lt;2000,"before 2000",IF(C735&lt;=2014,"2000-2014","2015 onward")),"")</f>
        <v/>
      </c>
      <c r="P735" s="8" t="n"/>
    </row>
    <row r="736">
      <c r="N736" s="9">
        <f>IF(ISNUMBER(C736),IF(C736&lt;2000,"before 2000",IF(C736&lt;=2014,"2000-2014","2015 onward")),"")</f>
        <v/>
      </c>
      <c r="P736" s="8" t="n"/>
    </row>
    <row r="737">
      <c r="N737" s="9">
        <f>IF(ISNUMBER(C737),IF(C737&lt;2000,"before 2000",IF(C737&lt;=2014,"2000-2014","2015 onward")),"")</f>
        <v/>
      </c>
      <c r="P737" s="8" t="n"/>
    </row>
    <row r="738">
      <c r="N738" s="9">
        <f>IF(ISNUMBER(C738),IF(C738&lt;2000,"before 2000",IF(C738&lt;=2014,"2000-2014","2015 onward")),"")</f>
        <v/>
      </c>
      <c r="P738" s="8" t="n"/>
    </row>
    <row r="739">
      <c r="N739" s="9">
        <f>IF(ISNUMBER(C739),IF(C739&lt;2000,"before 2000",IF(C739&lt;=2014,"2000-2014","2015 onward")),"")</f>
        <v/>
      </c>
      <c r="P739" s="8" t="n"/>
    </row>
    <row r="740">
      <c r="N740" s="9">
        <f>IF(ISNUMBER(C740),IF(C740&lt;2000,"before 2000",IF(C740&lt;=2014,"2000-2014","2015 onward")),"")</f>
        <v/>
      </c>
      <c r="P740" s="8" t="n"/>
    </row>
    <row r="741">
      <c r="N741" s="9">
        <f>IF(ISNUMBER(C741),IF(C741&lt;2000,"before 2000",IF(C741&lt;=2014,"2000-2014","2015 onward")),"")</f>
        <v/>
      </c>
      <c r="P741" s="8" t="n"/>
    </row>
    <row r="742">
      <c r="N742" s="9">
        <f>IF(ISNUMBER(C742),IF(C742&lt;2000,"before 2000",IF(C742&lt;=2014,"2000-2014","2015 onward")),"")</f>
        <v/>
      </c>
      <c r="P742" s="8" t="n"/>
    </row>
    <row r="743">
      <c r="N743" s="9">
        <f>IF(ISNUMBER(C743),IF(C743&lt;2000,"before 2000",IF(C743&lt;=2014,"2000-2014","2015 onward")),"")</f>
        <v/>
      </c>
      <c r="P743" s="8" t="n"/>
    </row>
    <row r="744">
      <c r="N744" s="9">
        <f>IF(ISNUMBER(C744),IF(C744&lt;2000,"before 2000",IF(C744&lt;=2014,"2000-2014","2015 onward")),"")</f>
        <v/>
      </c>
      <c r="P744" s="8" t="n"/>
    </row>
    <row r="745">
      <c r="N745" s="9">
        <f>IF(ISNUMBER(C745),IF(C745&lt;2000,"before 2000",IF(C745&lt;=2014,"2000-2014","2015 onward")),"")</f>
        <v/>
      </c>
      <c r="P745" s="8" t="n"/>
    </row>
    <row r="746">
      <c r="N746" s="9">
        <f>IF(ISNUMBER(C746),IF(C746&lt;2000,"before 2000",IF(C746&lt;=2014,"2000-2014","2015 onward")),"")</f>
        <v/>
      </c>
      <c r="P746" s="8" t="n"/>
    </row>
    <row r="747">
      <c r="N747" s="9">
        <f>IF(ISNUMBER(C747),IF(C747&lt;2000,"before 2000",IF(C747&lt;=2014,"2000-2014","2015 onward")),"")</f>
        <v/>
      </c>
      <c r="P747" s="8" t="n"/>
    </row>
    <row r="748">
      <c r="N748" s="9">
        <f>IF(ISNUMBER(C748),IF(C748&lt;2000,"before 2000",IF(C748&lt;=2014,"2000-2014","2015 onward")),"")</f>
        <v/>
      </c>
      <c r="P748" s="8" t="n"/>
    </row>
    <row r="749">
      <c r="N749" s="9">
        <f>IF(ISNUMBER(C749),IF(C749&lt;2000,"before 2000",IF(C749&lt;=2014,"2000-2014","2015 onward")),"")</f>
        <v/>
      </c>
      <c r="P749" s="8" t="n"/>
    </row>
    <row r="750">
      <c r="N750" s="9">
        <f>IF(ISNUMBER(C750),IF(C750&lt;2000,"before 2000",IF(C750&lt;=2014,"2000-2014","2015 onward")),"")</f>
        <v/>
      </c>
      <c r="P750" s="8" t="n"/>
    </row>
    <row r="751">
      <c r="N751" s="9">
        <f>IF(ISNUMBER(C751),IF(C751&lt;2000,"before 2000",IF(C751&lt;=2014,"2000-2014","2015 onward")),"")</f>
        <v/>
      </c>
      <c r="P751" s="8" t="n"/>
    </row>
    <row r="752">
      <c r="N752" s="9">
        <f>IF(ISNUMBER(C752),IF(C752&lt;2000,"before 2000",IF(C752&lt;=2014,"2000-2014","2015 onward")),"")</f>
        <v/>
      </c>
      <c r="P752" s="8" t="n"/>
    </row>
    <row r="753">
      <c r="N753" s="9">
        <f>IF(ISNUMBER(C753),IF(C753&lt;2000,"before 2000",IF(C753&lt;=2014,"2000-2014","2015 onward")),"")</f>
        <v/>
      </c>
      <c r="P753" s="8" t="n"/>
    </row>
    <row r="754">
      <c r="N754" s="9">
        <f>IF(ISNUMBER(C754),IF(C754&lt;2000,"before 2000",IF(C754&lt;=2014,"2000-2014","2015 onward")),"")</f>
        <v/>
      </c>
      <c r="P754" s="8" t="n"/>
    </row>
    <row r="755">
      <c r="N755" s="9">
        <f>IF(ISNUMBER(C755),IF(C755&lt;2000,"before 2000",IF(C755&lt;=2014,"2000-2014","2015 onward")),"")</f>
        <v/>
      </c>
      <c r="P755" s="8" t="n"/>
    </row>
    <row r="756">
      <c r="N756" s="9">
        <f>IF(ISNUMBER(C756),IF(C756&lt;2000,"before 2000",IF(C756&lt;=2014,"2000-2014","2015 onward")),"")</f>
        <v/>
      </c>
      <c r="P756" s="8" t="n"/>
    </row>
    <row r="757">
      <c r="N757" s="9">
        <f>IF(ISNUMBER(C757),IF(C757&lt;2000,"before 2000",IF(C757&lt;=2014,"2000-2014","2015 onward")),"")</f>
        <v/>
      </c>
      <c r="P757" s="8" t="n"/>
    </row>
    <row r="758">
      <c r="N758" s="9">
        <f>IF(ISNUMBER(C758),IF(C758&lt;2000,"before 2000",IF(C758&lt;=2014,"2000-2014","2015 onward")),"")</f>
        <v/>
      </c>
      <c r="P758" s="8" t="n"/>
    </row>
    <row r="759">
      <c r="N759" s="9">
        <f>IF(ISNUMBER(C759),IF(C759&lt;2000,"before 2000",IF(C759&lt;=2014,"2000-2014","2015 onward")),"")</f>
        <v/>
      </c>
      <c r="P759" s="8" t="n"/>
    </row>
    <row r="760">
      <c r="N760" s="9">
        <f>IF(ISNUMBER(C760),IF(C760&lt;2000,"before 2000",IF(C760&lt;=2014,"2000-2014","2015 onward")),"")</f>
        <v/>
      </c>
      <c r="P760" s="8" t="n"/>
    </row>
    <row r="761">
      <c r="N761" s="9">
        <f>IF(ISNUMBER(C761),IF(C761&lt;2000,"before 2000",IF(C761&lt;=2014,"2000-2014","2015 onward")),"")</f>
        <v/>
      </c>
      <c r="P761" s="8" t="n"/>
    </row>
    <row r="762">
      <c r="N762" s="9">
        <f>IF(ISNUMBER(C762),IF(C762&lt;2000,"before 2000",IF(C762&lt;=2014,"2000-2014","2015 onward")),"")</f>
        <v/>
      </c>
      <c r="P762" s="8" t="n"/>
    </row>
    <row r="763">
      <c r="N763" s="9">
        <f>IF(ISNUMBER(C763),IF(C763&lt;2000,"before 2000",IF(C763&lt;=2014,"2000-2014","2015 onward")),"")</f>
        <v/>
      </c>
      <c r="P763" s="8" t="n"/>
    </row>
    <row r="764">
      <c r="N764" s="9">
        <f>IF(ISNUMBER(C764),IF(C764&lt;2000,"before 2000",IF(C764&lt;=2014,"2000-2014","2015 onward")),"")</f>
        <v/>
      </c>
      <c r="P764" s="8" t="n"/>
    </row>
    <row r="765">
      <c r="N765" s="9">
        <f>IF(ISNUMBER(C765),IF(C765&lt;2000,"before 2000",IF(C765&lt;=2014,"2000-2014","2015 onward")),"")</f>
        <v/>
      </c>
      <c r="P765" s="8" t="n"/>
    </row>
    <row r="766">
      <c r="N766" s="9">
        <f>IF(ISNUMBER(C766),IF(C766&lt;2000,"before 2000",IF(C766&lt;=2014,"2000-2014","2015 onward")),"")</f>
        <v/>
      </c>
      <c r="P766" s="8" t="n"/>
    </row>
    <row r="767">
      <c r="N767" s="9">
        <f>IF(ISNUMBER(C767),IF(C767&lt;2000,"before 2000",IF(C767&lt;=2014,"2000-2014","2015 onward")),"")</f>
        <v/>
      </c>
      <c r="P767" s="8" t="n"/>
    </row>
    <row r="768">
      <c r="N768" s="9">
        <f>IF(ISNUMBER(C768),IF(C768&lt;2000,"before 2000",IF(C768&lt;=2014,"2000-2014","2015 onward")),"")</f>
        <v/>
      </c>
      <c r="P768" s="8" t="n"/>
    </row>
    <row r="769">
      <c r="N769" s="9">
        <f>IF(ISNUMBER(C769),IF(C769&lt;2000,"before 2000",IF(C769&lt;=2014,"2000-2014","2015 onward")),"")</f>
        <v/>
      </c>
      <c r="P769" s="8" t="n"/>
    </row>
    <row r="770">
      <c r="N770" s="9">
        <f>IF(ISNUMBER(C770),IF(C770&lt;2000,"before 2000",IF(C770&lt;=2014,"2000-2014","2015 onward")),"")</f>
        <v/>
      </c>
      <c r="P770" s="8" t="n"/>
    </row>
    <row r="771">
      <c r="N771" s="9">
        <f>IF(ISNUMBER(C771),IF(C771&lt;2000,"before 2000",IF(C771&lt;=2014,"2000-2014","2015 onward")),"")</f>
        <v/>
      </c>
      <c r="P771" s="8" t="n"/>
    </row>
    <row r="772">
      <c r="N772" s="9">
        <f>IF(ISNUMBER(C772),IF(C772&lt;2000,"before 2000",IF(C772&lt;=2014,"2000-2014","2015 onward")),"")</f>
        <v/>
      </c>
      <c r="P772" s="8" t="n"/>
    </row>
    <row r="773">
      <c r="N773" s="9">
        <f>IF(ISNUMBER(C773),IF(C773&lt;2000,"before 2000",IF(C773&lt;=2014,"2000-2014","2015 onward")),"")</f>
        <v/>
      </c>
      <c r="P773" s="8" t="n"/>
    </row>
    <row r="774">
      <c r="N774" s="9">
        <f>IF(ISNUMBER(C774),IF(C774&lt;2000,"before 2000",IF(C774&lt;=2014,"2000-2014","2015 onward")),"")</f>
        <v/>
      </c>
      <c r="P774" s="8" t="n"/>
    </row>
    <row r="775">
      <c r="N775" s="9">
        <f>IF(ISNUMBER(C775),IF(C775&lt;2000,"before 2000",IF(C775&lt;=2014,"2000-2014","2015 onward")),"")</f>
        <v/>
      </c>
      <c r="P775" s="8" t="n"/>
    </row>
    <row r="776">
      <c r="N776" s="9">
        <f>IF(ISNUMBER(C776),IF(C776&lt;2000,"before 2000",IF(C776&lt;=2014,"2000-2014","2015 onward")),"")</f>
        <v/>
      </c>
      <c r="P776" s="8" t="n"/>
    </row>
    <row r="777">
      <c r="N777" s="9">
        <f>IF(ISNUMBER(C777),IF(C777&lt;2000,"before 2000",IF(C777&lt;=2014,"2000-2014","2015 onward")),"")</f>
        <v/>
      </c>
      <c r="P777" s="8" t="n"/>
    </row>
    <row r="778">
      <c r="N778" s="9">
        <f>IF(ISNUMBER(C778),IF(C778&lt;2000,"before 2000",IF(C778&lt;=2014,"2000-2014","2015 onward")),"")</f>
        <v/>
      </c>
      <c r="P778" s="8" t="n"/>
    </row>
    <row r="779">
      <c r="N779" s="9">
        <f>IF(ISNUMBER(C779),IF(C779&lt;2000,"before 2000",IF(C779&lt;=2014,"2000-2014","2015 onward")),"")</f>
        <v/>
      </c>
      <c r="P779" s="8" t="n"/>
    </row>
    <row r="780">
      <c r="N780" s="9">
        <f>IF(ISNUMBER(C780),IF(C780&lt;2000,"before 2000",IF(C780&lt;=2014,"2000-2014","2015 onward")),"")</f>
        <v/>
      </c>
      <c r="P780" s="8" t="n"/>
    </row>
    <row r="781">
      <c r="N781" s="9">
        <f>IF(ISNUMBER(C781),IF(C781&lt;2000,"before 2000",IF(C781&lt;=2014,"2000-2014","2015 onward")),"")</f>
        <v/>
      </c>
      <c r="P781" s="8" t="n"/>
    </row>
    <row r="782">
      <c r="N782" s="9">
        <f>IF(ISNUMBER(C782),IF(C782&lt;2000,"before 2000",IF(C782&lt;=2014,"2000-2014","2015 onward")),"")</f>
        <v/>
      </c>
      <c r="P782" s="8" t="n"/>
    </row>
    <row r="783">
      <c r="N783" s="9">
        <f>IF(ISNUMBER(C783),IF(C783&lt;2000,"before 2000",IF(C783&lt;=2014,"2000-2014","2015 onward")),"")</f>
        <v/>
      </c>
      <c r="P783" s="8" t="n"/>
    </row>
    <row r="784">
      <c r="N784" s="9">
        <f>IF(ISNUMBER(C784),IF(C784&lt;2000,"before 2000",IF(C784&lt;=2014,"2000-2014","2015 onward")),"")</f>
        <v/>
      </c>
      <c r="P784" s="8" t="n"/>
    </row>
    <row r="785">
      <c r="N785" s="9">
        <f>IF(ISNUMBER(C785),IF(C785&lt;2000,"before 2000",IF(C785&lt;=2014,"2000-2014","2015 onward")),"")</f>
        <v/>
      </c>
      <c r="P785" s="8" t="n"/>
    </row>
    <row r="786">
      <c r="N786" s="9">
        <f>IF(ISNUMBER(C786),IF(C786&lt;2000,"before 2000",IF(C786&lt;=2014,"2000-2014","2015 onward")),"")</f>
        <v/>
      </c>
      <c r="P786" s="8" t="n"/>
    </row>
    <row r="787">
      <c r="N787" s="9">
        <f>IF(ISNUMBER(C787),IF(C787&lt;2000,"before 2000",IF(C787&lt;=2014,"2000-2014","2015 onward")),"")</f>
        <v/>
      </c>
      <c r="P787" s="8" t="n"/>
    </row>
    <row r="788">
      <c r="N788" s="9">
        <f>IF(ISNUMBER(C788),IF(C788&lt;2000,"before 2000",IF(C788&lt;=2014,"2000-2014","2015 onward")),"")</f>
        <v/>
      </c>
      <c r="P788" s="8" t="n"/>
    </row>
    <row r="789">
      <c r="N789" s="9">
        <f>IF(ISNUMBER(C789),IF(C789&lt;2000,"before 2000",IF(C789&lt;=2014,"2000-2014","2015 onward")),"")</f>
        <v/>
      </c>
      <c r="P789" s="8" t="n"/>
    </row>
    <row r="790">
      <c r="N790" s="9">
        <f>IF(ISNUMBER(C790),IF(C790&lt;2000,"before 2000",IF(C790&lt;=2014,"2000-2014","2015 onward")),"")</f>
        <v/>
      </c>
      <c r="P790" s="8" t="n"/>
    </row>
    <row r="791">
      <c r="N791" s="9">
        <f>IF(ISNUMBER(C791),IF(C791&lt;2000,"before 2000",IF(C791&lt;=2014,"2000-2014","2015 onward")),"")</f>
        <v/>
      </c>
      <c r="P791" s="8" t="n"/>
    </row>
    <row r="792">
      <c r="N792" s="9">
        <f>IF(ISNUMBER(C792),IF(C792&lt;2000,"before 2000",IF(C792&lt;=2014,"2000-2014","2015 onward")),"")</f>
        <v/>
      </c>
      <c r="P792" s="8" t="n"/>
    </row>
    <row r="793">
      <c r="N793" s="9">
        <f>IF(ISNUMBER(C793),IF(C793&lt;2000,"before 2000",IF(C793&lt;=2014,"2000-2014","2015 onward")),"")</f>
        <v/>
      </c>
      <c r="P793" s="8" t="n"/>
    </row>
    <row r="794">
      <c r="N794" s="9">
        <f>IF(ISNUMBER(C794),IF(C794&lt;2000,"before 2000",IF(C794&lt;=2014,"2000-2014","2015 onward")),"")</f>
        <v/>
      </c>
      <c r="P794" s="8" t="n"/>
    </row>
    <row r="795">
      <c r="N795" s="9">
        <f>IF(ISNUMBER(C795),IF(C795&lt;2000,"before 2000",IF(C795&lt;=2014,"2000-2014","2015 onward")),"")</f>
        <v/>
      </c>
      <c r="P795" s="8" t="n"/>
    </row>
    <row r="796">
      <c r="N796" s="9">
        <f>IF(ISNUMBER(C796),IF(C796&lt;2000,"before 2000",IF(C796&lt;=2014,"2000-2014","2015 onward")),"")</f>
        <v/>
      </c>
      <c r="P796" s="8" t="n"/>
    </row>
    <row r="797">
      <c r="N797" s="9">
        <f>IF(ISNUMBER(C797),IF(C797&lt;2000,"before 2000",IF(C797&lt;=2014,"2000-2014","2015 onward")),"")</f>
        <v/>
      </c>
      <c r="P797" s="8" t="n"/>
    </row>
    <row r="798">
      <c r="N798" s="9">
        <f>IF(ISNUMBER(C798),IF(C798&lt;2000,"before 2000",IF(C798&lt;=2014,"2000-2014","2015 onward")),"")</f>
        <v/>
      </c>
      <c r="P798" s="8" t="n"/>
    </row>
    <row r="799">
      <c r="N799" s="9">
        <f>IF(ISNUMBER(C799),IF(C799&lt;2000,"before 2000",IF(C799&lt;=2014,"2000-2014","2015 onward")),"")</f>
        <v/>
      </c>
      <c r="P799" s="8" t="n"/>
    </row>
    <row r="800">
      <c r="N800" s="9">
        <f>IF(ISNUMBER(C800),IF(C800&lt;2000,"before 2000",IF(C800&lt;=2014,"2000-2014","2015 onward")),"")</f>
        <v/>
      </c>
      <c r="P800" s="8" t="n"/>
    </row>
    <row r="801">
      <c r="N801" s="9">
        <f>IF(ISNUMBER(C801),IF(C801&lt;2000,"before 2000",IF(C801&lt;=2014,"2000-2014","2015 onward")),"")</f>
        <v/>
      </c>
      <c r="P801" s="8" t="n"/>
    </row>
    <row r="802">
      <c r="N802" s="9">
        <f>IF(ISNUMBER(C802),IF(C802&lt;2000,"before 2000",IF(C802&lt;=2014,"2000-2014","2015 onward")),"")</f>
        <v/>
      </c>
      <c r="P802" s="8" t="n"/>
    </row>
    <row r="803">
      <c r="N803" s="9">
        <f>IF(ISNUMBER(C803),IF(C803&lt;2000,"before 2000",IF(C803&lt;=2014,"2000-2014","2015 onward")),"")</f>
        <v/>
      </c>
      <c r="P803" s="8" t="n"/>
    </row>
  </sheetData>
  <dataValidations count="7">
    <dataValidation sqref="C4:C803" showDropDown="0" showInputMessage="0" showErrorMessage="1" allowBlank="1" errorTitle="Integer" error="请填非负整数。" type="whole" errorStyle="warning" operator="greaterThanOrEqual">
      <formula1>0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Lists!$D$2:$D$3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Lists!$F$2:$F$6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Lists!$G$2:$G$4</formula1>
    </dataValidation>
    <dataValidation sqref="L4:L803" showDropDown="0" showInputMessage="0" showErrorMessage="1" allowBlank="1" errorTitle="Integer" error="请填非负整数。" type="whole" errorStyle="warning" operator="greaterThanOrEqual">
      <formula1>0</formula1>
    </dataValidation>
    <dataValidation sqref="M4:M803" showDropDown="0" showInputMessage="0" showErrorMessage="1" allowBlank="1" errorTitle="Integer" error="请填非负整数。" type="whole" errorStyle="warning" operator="greaterThanOrEqual">
      <formula1>0</formula1>
    </dataValidation>
    <dataValidation sqref="O4:O8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U1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4" customWidth="1" min="6" max="6"/>
    <col width="9" customWidth="1" min="7" max="7"/>
    <col width="16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9" customWidth="1" min="17" max="17"/>
    <col width="16" customWidth="1" min="18" max="18"/>
    <col width="14" customWidth="1" min="19" max="19"/>
    <col width="16" customWidth="1" min="20" max="20"/>
    <col width="11" customWidth="1" min="21" max="21"/>
    <col width="14" customWidth="1" min="22" max="22"/>
    <col width="22" customWidth="1" min="23" max="23"/>
    <col width="16" customWidth="1" min="24" max="24"/>
    <col width="20" customWidth="1" min="25" max="25"/>
    <col width="10" customWidth="1" min="26" max="26"/>
    <col width="9" customWidth="1" min="27" max="27"/>
    <col width="11" customWidth="1" min="28" max="28"/>
    <col width="11" customWidth="1" min="29" max="29"/>
    <col width="10" customWidth="1" min="30" max="30"/>
    <col width="11" customWidth="1" min="31" max="31"/>
    <col width="11" customWidth="1" min="32" max="32"/>
    <col width="20" customWidth="1" min="33" max="33"/>
    <col width="10" customWidth="1" min="34" max="34"/>
    <col width="9" customWidth="1" min="35" max="35"/>
    <col width="9" customWidth="1" min="36" max="36"/>
    <col width="18" customWidth="1" min="37" max="37"/>
    <col width="16" customWidth="1" min="38" max="38"/>
    <col width="11" customWidth="1" min="39" max="39"/>
    <col width="16" customWidth="1" min="40" max="40"/>
    <col width="10" customWidth="1" min="41" max="41"/>
    <col width="12" customWidth="1" min="42" max="42"/>
    <col width="7" customWidth="1" min="43" max="43"/>
    <col width="8" customWidth="1" min="44" max="44"/>
    <col width="7" customWidth="1" min="45" max="45"/>
    <col width="7" customWidth="1" min="46" max="46"/>
    <col width="8" customWidth="1" min="47" max="47"/>
    <col width="10" customWidth="1" min="48" max="48"/>
    <col width="10" customWidth="1" min="49" max="49"/>
    <col width="11" customWidth="1" min="50" max="50"/>
    <col width="13" customWidth="1" min="51" max="51"/>
    <col width="9" customWidth="1" min="52" max="52"/>
    <col width="8" customWidth="1" min="53" max="53"/>
    <col width="16" customWidth="1" min="54" max="54"/>
    <col width="13" customWidth="1" min="55" max="55"/>
    <col width="24" customWidth="1" min="56" max="56"/>
    <col width="18" customWidth="1" min="57" max="57"/>
    <col width="22" customWidth="1" min="58" max="58"/>
    <col width="16" customWidth="1" min="59" max="59"/>
    <col width="10" customWidth="1" min="60" max="60"/>
    <col width="16" customWidth="1" min="61" max="61"/>
    <col width="16" customWidth="1" min="62" max="62"/>
    <col width="9" customWidth="1" min="63" max="63"/>
    <col width="10" customWidth="1" min="64" max="64"/>
    <col width="9" customWidth="1" min="65" max="65"/>
    <col width="20" customWidth="1" min="66" max="66"/>
    <col width="13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30" customWidth="1" min="73" max="73"/>
  </cols>
  <sheetData>
    <row r="1" ht="22" customHeight="1">
      <c r="A1" s="4" t="inlineStr">
        <is>
          <t>patient_id</t>
        </is>
      </c>
      <c r="B1" s="4" t="inlineStr">
        <is>
          <t>report_id</t>
        </is>
      </c>
      <c r="C1" s="4" t="inlineStr">
        <is>
          <t>extractor</t>
        </is>
      </c>
      <c r="D1" s="4" t="inlineStr">
        <is>
          <t>date_extracted</t>
        </is>
      </c>
      <c r="E1" s="4" t="inlineStr">
        <is>
          <t>own_patient</t>
        </is>
      </c>
      <c r="F1" s="4" t="inlineStr">
        <is>
          <t>same_patient_as</t>
        </is>
      </c>
      <c r="G1" s="5" t="inlineStr">
        <is>
          <t>age_years</t>
        </is>
      </c>
      <c r="H1" s="5" t="inlineStr">
        <is>
          <t>age_verbatim</t>
        </is>
      </c>
      <c r="I1" s="5" t="inlineStr">
        <is>
          <t>sex</t>
        </is>
      </c>
      <c r="J1" s="5" t="inlineStr">
        <is>
          <t>cond_gv</t>
        </is>
      </c>
      <c r="K1" s="5" t="inlineStr">
        <is>
          <t>cond_goo</t>
        </is>
      </c>
      <c r="L1" s="5" t="inlineStr">
        <is>
          <t>cond_panc_tail</t>
        </is>
      </c>
      <c r="M1" s="5" t="inlineStr">
        <is>
          <t>cond_bowel_obs</t>
        </is>
      </c>
      <c r="N1" s="5" t="inlineStr">
        <is>
          <t>cond_dh</t>
        </is>
      </c>
      <c r="O1" s="5" t="inlineStr">
        <is>
          <t>cond_kidney</t>
        </is>
      </c>
      <c r="P1" s="5" t="inlineStr">
        <is>
          <t>cond_prune</t>
        </is>
      </c>
      <c r="Q1" s="5" t="inlineStr">
        <is>
          <t>cond_prev_surg</t>
        </is>
      </c>
      <c r="R1" s="5" t="inlineStr">
        <is>
          <t>prev_surg_type</t>
        </is>
      </c>
      <c r="S1" s="5" t="inlineStr">
        <is>
          <t>cond_syndrome</t>
        </is>
      </c>
      <c r="T1" s="5" t="inlineStr">
        <is>
          <t>cond_other</t>
        </is>
      </c>
      <c r="U1" s="5" t="inlineStr">
        <is>
          <t>aetiology</t>
        </is>
      </c>
      <c r="V1" s="5" t="inlineStr">
        <is>
          <t>aetiology_cause</t>
        </is>
      </c>
      <c r="W1" s="5" t="inlineStr">
        <is>
          <t>ws_basis</t>
        </is>
      </c>
      <c r="X1" s="10" t="inlineStr">
        <is>
          <t>presentation</t>
        </is>
      </c>
      <c r="Y1" s="10" t="inlineStr">
        <is>
          <t>idx_dur_verbatim</t>
        </is>
      </c>
      <c r="Z1" s="10" t="inlineStr">
        <is>
          <t>idx_dur_days</t>
        </is>
      </c>
      <c r="AA1" s="10" t="inlineStr">
        <is>
          <t>idx_dur_rules</t>
        </is>
      </c>
      <c r="AB1" s="10" t="inlineStr">
        <is>
          <t>idx_dur_intermittent</t>
        </is>
      </c>
      <c r="AC1" s="10" t="inlineStr">
        <is>
          <t>idx_dur_alt_days</t>
        </is>
      </c>
      <c r="AD1" s="10" t="inlineStr">
        <is>
          <t>idx_dur_lower_bound</t>
        </is>
      </c>
      <c r="AE1" s="10" t="inlineStr">
        <is>
          <t>idx_dur_cat_imprecise</t>
        </is>
      </c>
      <c r="AF1" s="10" t="inlineStr">
        <is>
          <t>idx_dur_category</t>
        </is>
      </c>
      <c r="AG1" s="10" t="inlineStr">
        <is>
          <t>total_hist_verbatim</t>
        </is>
      </c>
      <c r="AH1" s="10" t="inlineStr">
        <is>
          <t>total_hist_days</t>
        </is>
      </c>
      <c r="AI1" s="10" t="inlineStr">
        <is>
          <t>n_earlier_episodes</t>
        </is>
      </c>
      <c r="AJ1" s="10" t="inlineStr">
        <is>
          <t>missed_dx</t>
        </is>
      </c>
      <c r="AK1" s="10" t="inlineStr">
        <is>
          <t>missed_dx_alt</t>
        </is>
      </c>
      <c r="AL1" s="10" t="inlineStr">
        <is>
          <t>missed_dx_contact</t>
        </is>
      </c>
      <c r="AM1" s="10" t="inlineStr">
        <is>
          <t>known_dx_deferred</t>
        </is>
      </c>
      <c r="AN1" s="10" t="inlineStr">
        <is>
          <t>deferred_reason</t>
        </is>
      </c>
      <c r="AO1" s="10" t="inlineStr">
        <is>
          <t>waiting_interval_days</t>
        </is>
      </c>
      <c r="AP1" s="10" t="inlineStr">
        <is>
          <t>torsion_awaiting</t>
        </is>
      </c>
      <c r="AQ1" s="11" t="inlineStr">
        <is>
          <t>img_us</t>
        </is>
      </c>
      <c r="AR1" s="11" t="inlineStr">
        <is>
          <t>img_doppler</t>
        </is>
      </c>
      <c r="AS1" s="11" t="inlineStr">
        <is>
          <t>img_ct</t>
        </is>
      </c>
      <c r="AT1" s="11" t="inlineStr">
        <is>
          <t>img_mri</t>
        </is>
      </c>
      <c r="AU1" s="11" t="inlineStr">
        <is>
          <t>whirl_sign</t>
        </is>
      </c>
      <c r="AV1" s="11" t="inlineStr">
        <is>
          <t>perfusion</t>
        </is>
      </c>
      <c r="AW1" s="11" t="inlineStr">
        <is>
          <t>platelets</t>
        </is>
      </c>
      <c r="AX1" s="11" t="inlineStr">
        <is>
          <t>thrombocytosis</t>
        </is>
      </c>
      <c r="AY1" s="12" t="inlineStr">
        <is>
          <t>approach</t>
        </is>
      </c>
      <c r="AZ1" s="12" t="inlineStr">
        <is>
          <t>torsion_at_op</t>
        </is>
      </c>
      <c r="BA1" s="12" t="inlineStr">
        <is>
          <t>torsion_degrees</t>
        </is>
      </c>
      <c r="BB1" s="12" t="inlineStr">
        <is>
          <t>viability</t>
        </is>
      </c>
      <c r="BC1" s="12" t="inlineStr">
        <is>
          <t>viab_basis</t>
        </is>
      </c>
      <c r="BD1" s="12" t="inlineStr">
        <is>
          <t>procedure</t>
        </is>
      </c>
      <c r="BE1" s="12" t="inlineStr">
        <is>
          <t>procedure_other</t>
        </is>
      </c>
      <c r="BF1" s="12" t="inlineStr">
        <is>
          <t>fixation</t>
        </is>
      </c>
      <c r="BG1" s="12" t="inlineStr">
        <is>
          <t>fixation_other</t>
        </is>
      </c>
      <c r="BH1" s="12" t="inlineStr">
        <is>
          <t>spleen_size_cm</t>
        </is>
      </c>
      <c r="BI1" s="12" t="inlineStr">
        <is>
          <t>reason_viable_removed</t>
        </is>
      </c>
      <c r="BJ1" s="12" t="inlineStr">
        <is>
          <t>primary_outcome</t>
        </is>
      </c>
      <c r="BK1" s="13" t="inlineStr">
        <is>
          <t>followup_months</t>
        </is>
      </c>
      <c r="BL1" s="13" t="inlineStr">
        <is>
          <t>recurrence</t>
        </is>
      </c>
      <c r="BM1" s="13" t="inlineStr">
        <is>
          <t>further_surgery</t>
        </is>
      </c>
      <c r="BN1" s="13" t="inlineStr">
        <is>
          <t>recurrence_details</t>
        </is>
      </c>
      <c r="BO1" s="13" t="inlineStr">
        <is>
          <t>status_last_fu</t>
        </is>
      </c>
      <c r="BP1" s="13" t="inlineStr">
        <is>
          <t>post_splenectomy_compl</t>
        </is>
      </c>
      <c r="BQ1" s="6" t="inlineStr">
        <is>
          <t>src_age_sex</t>
        </is>
      </c>
      <c r="BR1" s="6" t="inlineStr">
        <is>
          <t>src_exposure</t>
        </is>
      </c>
      <c r="BS1" s="6" t="inlineStr">
        <is>
          <t>src_outcome</t>
        </is>
      </c>
      <c r="BT1" s="6" t="inlineStr">
        <is>
          <t>src_other</t>
        </is>
      </c>
      <c r="BU1" s="6" t="inlineStr">
        <is>
          <t>notes</t>
        </is>
      </c>
    </row>
    <row r="2" ht="62" customHeight="1">
      <c r="A2" s="4" t="inlineStr">
        <is>
          <t>Patient ID</t>
        </is>
      </c>
      <c r="B2" s="4" t="inlineStr">
        <is>
          <t>Report ID</t>
        </is>
      </c>
      <c r="C2" s="4" t="inlineStr">
        <is>
          <t>Extractor</t>
        </is>
      </c>
      <c r="D2" s="4" t="inlineStr">
        <is>
          <t>Date extracted</t>
        </is>
      </c>
      <c r="E2" s="4" t="inlineStr">
        <is>
          <t>Own patient (derived)</t>
        </is>
      </c>
      <c r="F2" s="4" t="inlineStr">
        <is>
          <t>Same patient as</t>
        </is>
      </c>
      <c r="G2" s="5" t="inlineStr">
        <is>
          <t>Age at operation</t>
        </is>
      </c>
      <c r="H2" s="5" t="inlineStr">
        <is>
          <t>Age (verbatim)</t>
        </is>
      </c>
      <c r="I2" s="5" t="inlineStr">
        <is>
          <t>Sex</t>
        </is>
      </c>
      <c r="J2" s="5" t="inlineStr">
        <is>
          <t>Gastric volvulus</t>
        </is>
      </c>
      <c r="K2" s="5" t="inlineStr">
        <is>
          <t>Gastric outlet obstruction</t>
        </is>
      </c>
      <c r="L2" s="5" t="inlineStr">
        <is>
          <t>Pancreatic tail torsion</t>
        </is>
      </c>
      <c r="M2" s="5" t="inlineStr">
        <is>
          <t>Bowel obstruction</t>
        </is>
      </c>
      <c r="N2" s="5" t="inlineStr">
        <is>
          <t>Diaphragmatic hernia or eventration</t>
        </is>
      </c>
      <c r="O2" s="5" t="inlineStr">
        <is>
          <t>Absent or ectopic left kidney</t>
        </is>
      </c>
      <c r="P2" s="5" t="inlineStr">
        <is>
          <t>Prune belly syndrome</t>
        </is>
      </c>
      <c r="Q2" s="5" t="inlineStr">
        <is>
          <t>Previous abdominal surgery</t>
        </is>
      </c>
      <c r="R2" s="5" t="inlineStr">
        <is>
          <t>Previous abdominal surgery (type)</t>
        </is>
      </c>
      <c r="S2" s="5" t="inlineStr">
        <is>
          <t>Syndrome</t>
        </is>
      </c>
      <c r="T2" s="5" t="inlineStr">
        <is>
          <t>Other associated condition</t>
        </is>
      </c>
      <c r="U2" s="5" t="inlineStr">
        <is>
          <t>Aetiology</t>
        </is>
      </c>
      <c r="V2" s="5" t="inlineStr">
        <is>
          <t>Aetiology (cause)</t>
        </is>
      </c>
      <c r="W2" s="5" t="inlineStr">
        <is>
          <t>Basis for wandering spleen (added)</t>
        </is>
      </c>
      <c r="X2" s="10" t="inlineStr">
        <is>
          <t>Presentation</t>
        </is>
      </c>
      <c r="Y2" s="10" t="inlineStr">
        <is>
          <t>Index-episode duration (verbatim)</t>
        </is>
      </c>
      <c r="Z2" s="10" t="inlineStr">
        <is>
          <t>Index-episode duration (days)</t>
        </is>
      </c>
      <c r="AA2" s="10" t="inlineStr">
        <is>
          <t>Rule(s) applied</t>
        </is>
      </c>
      <c r="AB2" s="10" t="inlineStr">
        <is>
          <t>Intermittent / worsening flag</t>
        </is>
      </c>
      <c r="AC2" s="10" t="inlineStr">
        <is>
          <t>Alternative coding (days)</t>
        </is>
      </c>
      <c r="AD2" s="10" t="inlineStr">
        <is>
          <t>Lower-bound flag</t>
        </is>
      </c>
      <c r="AE2" s="10" t="inlineStr">
        <is>
          <t>Category if duration imprecise</t>
        </is>
      </c>
      <c r="AF2" s="10" t="inlineStr">
        <is>
          <t>Duration category (derived)</t>
        </is>
      </c>
      <c r="AG2" s="10" t="inlineStr">
        <is>
          <t>Total symptom history (verbatim)</t>
        </is>
      </c>
      <c r="AH2" s="10" t="inlineStr">
        <is>
          <t>Total symptom history (days)</t>
        </is>
      </c>
      <c r="AI2" s="10" t="inlineStr">
        <is>
          <t>Number of earlier episodes</t>
        </is>
      </c>
      <c r="AJ2" s="10" t="inlineStr">
        <is>
          <t>Missed diagnosis</t>
        </is>
      </c>
      <c r="AK2" s="10" t="inlineStr">
        <is>
          <t>Alternative diagnosis made</t>
        </is>
      </c>
      <c r="AL2" s="10" t="inlineStr">
        <is>
          <t>Contact at which missed</t>
        </is>
      </c>
      <c r="AM2" s="10" t="inlineStr">
        <is>
          <t>Known diagnosis, surgery deferred</t>
        </is>
      </c>
      <c r="AN2" s="10" t="inlineStr">
        <is>
          <t>Reason for deferral</t>
        </is>
      </c>
      <c r="AO2" s="10" t="inlineStr">
        <is>
          <t>Waiting interval (days)</t>
        </is>
      </c>
      <c r="AP2" s="10" t="inlineStr">
        <is>
          <t>Torsion while awaiting surgery</t>
        </is>
      </c>
      <c r="AQ2" s="11" t="inlineStr">
        <is>
          <t>Imaging: US</t>
        </is>
      </c>
      <c r="AR2" s="11" t="inlineStr">
        <is>
          <t>Imaging: Doppler US</t>
        </is>
      </c>
      <c r="AS2" s="11" t="inlineStr">
        <is>
          <t>Imaging: CT</t>
        </is>
      </c>
      <c r="AT2" s="11" t="inlineStr">
        <is>
          <t>Imaging: MRI</t>
        </is>
      </c>
      <c r="AU2" s="11" t="inlineStr">
        <is>
          <t>Whirl sign</t>
        </is>
      </c>
      <c r="AV2" s="11" t="inlineStr">
        <is>
          <t>Splenic perfusion</t>
        </is>
      </c>
      <c r="AW2" s="11" t="inlineStr">
        <is>
          <t>Preoperative platelet count</t>
        </is>
      </c>
      <c r="AX2" s="11" t="inlineStr">
        <is>
          <t>Thrombocytosis (derived)</t>
        </is>
      </c>
      <c r="AY2" s="12" t="inlineStr">
        <is>
          <t>Approach</t>
        </is>
      </c>
      <c r="AZ2" s="12" t="inlineStr">
        <is>
          <t>Torsion at operation</t>
        </is>
      </c>
      <c r="BA2" s="12" t="inlineStr">
        <is>
          <t>Degrees of torsion</t>
        </is>
      </c>
      <c r="BB2" s="12" t="inlineStr">
        <is>
          <t>Splenic viability (primary outcome)</t>
        </is>
      </c>
      <c r="BC2" s="12" t="inlineStr">
        <is>
          <t>Basis of viability</t>
        </is>
      </c>
      <c r="BD2" s="12" t="inlineStr">
        <is>
          <t>Procedure</t>
        </is>
      </c>
      <c r="BE2" s="12" t="inlineStr">
        <is>
          <t>Other procedures</t>
        </is>
      </c>
      <c r="BF2" s="12" t="inlineStr">
        <is>
          <t>Fixation technique</t>
        </is>
      </c>
      <c r="BG2" s="12" t="inlineStr">
        <is>
          <t>Fixation technique (specify)</t>
        </is>
      </c>
      <c r="BH2" s="12" t="inlineStr">
        <is>
          <t>Spleen size (longest dimension, cm)</t>
        </is>
      </c>
      <c r="BI2" s="12" t="inlineStr">
        <is>
          <t>Reason for removing a viable spleen</t>
        </is>
      </c>
      <c r="BJ2" s="12" t="inlineStr">
        <is>
          <t>Primary outcome (derived)</t>
        </is>
      </c>
      <c r="BK2" s="13" t="inlineStr">
        <is>
          <t>Length of follow-up</t>
        </is>
      </c>
      <c r="BL2" s="13" t="inlineStr">
        <is>
          <t>Recurrence or re-torsion</t>
        </is>
      </c>
      <c r="BM2" s="13" t="inlineStr">
        <is>
          <t>Further surgery</t>
        </is>
      </c>
      <c r="BN2" s="13" t="inlineStr">
        <is>
          <t>Recurrence / further surgery details</t>
        </is>
      </c>
      <c r="BO2" s="13" t="inlineStr">
        <is>
          <t>Splenic status at last follow-up</t>
        </is>
      </c>
      <c r="BP2" s="13" t="inlineStr">
        <is>
          <t>Post-splenectomy complications</t>
        </is>
      </c>
      <c r="BQ2" s="6" t="inlineStr">
        <is>
          <t>Source: age, sex</t>
        </is>
      </c>
      <c r="BR2" s="6" t="inlineStr">
        <is>
          <t>Source: duration, history</t>
        </is>
      </c>
      <c r="BS2" s="6" t="inlineStr">
        <is>
          <t>Source: viability, procedure</t>
        </is>
      </c>
      <c r="BT2" s="6" t="inlineStr">
        <is>
          <t>Source: other items</t>
        </is>
      </c>
      <c r="BU2" s="6" t="inlineStr">
        <is>
          <t>Notes</t>
        </is>
      </c>
    </row>
    <row r="3" ht="100" customHeight="1">
      <c r="A3" s="7" t="inlineStr">
        <is>
          <t>报告编号_P序号，如 WS0123_P1；本机构为 OWN_P1–OWN_P5</t>
        </is>
      </c>
      <c r="B3" s="7" t="inlineStr">
        <is>
          <t>WS 编号（Reports 表里要有同一编号）；本机构病例用 OWN</t>
        </is>
      </c>
      <c r="C3" s="7" t="inlineStr">
        <is>
          <t>E1 = 舒俊，E2 = 卞红强，Consensus = 共识</t>
        </is>
      </c>
      <c r="D3" s="7" t="inlineStr">
        <is>
          <t>yyyy-mm-dd</t>
        </is>
      </c>
      <c r="E3" s="7" t="inlineStr">
        <is>
          <t>公式，勿改：report_id 为 OWN 时为 Yes（敏感性分析 1）</t>
        </is>
      </c>
      <c r="F3" s="7" t="inlineStr">
        <is>
          <t>与另一报告重复时，填更完整那篇里的 patient_id；否则留空</t>
        </is>
      </c>
      <c r="G3" s="7" t="inlineStr">
        <is>
          <t>岁，两位小数（月数 ÷ 12）；未报告填 NR。≥18 的不应出现在此表</t>
        </is>
      </c>
      <c r="H3" s="7" t="inlineStr">
        <is>
          <t>原文写法，如 '3 months'、'患儿'</t>
        </is>
      </c>
      <c r="I3" s="7" t="inlineStr">
        <is>
          <t>M / F / NR</t>
        </is>
      </c>
      <c r="J3" s="7" t="inlineStr">
        <is>
          <t>Yes / No / NR</t>
        </is>
      </c>
      <c r="K3" s="7" t="inlineStr">
        <is>
          <t>Yes / No / NR</t>
        </is>
      </c>
      <c r="L3" s="7" t="inlineStr">
        <is>
          <t>第 13 节；Yes / No / NR</t>
        </is>
      </c>
      <c r="M3" s="7" t="inlineStr">
        <is>
          <t>第 13 节；Yes / No / NR</t>
        </is>
      </c>
      <c r="N3" s="7" t="inlineStr">
        <is>
          <t>Yes / No / NR</t>
        </is>
      </c>
      <c r="O3" s="7" t="inlineStr">
        <is>
          <t>Yes / No / NR</t>
        </is>
      </c>
      <c r="P3" s="7" t="inlineStr">
        <is>
          <t>Yes / No / NR</t>
        </is>
      </c>
      <c r="Q3" s="7" t="inlineStr">
        <is>
          <t>Yes / No / NR</t>
        </is>
      </c>
      <c r="R3" s="7" t="inlineStr">
        <is>
          <t>手术类型，如 fundoplication；无则留空</t>
        </is>
      </c>
      <c r="S3" s="7" t="inlineStr">
        <is>
          <t>如 trisomy 21；无综合征填 None，未报告填 NR</t>
        </is>
      </c>
      <c r="T3" s="7" t="inlineStr">
        <is>
          <t>其他，自由文本</t>
        </is>
      </c>
      <c r="U3" s="7" t="inlineStr">
        <is>
          <t>Congenital / Acquired / NR</t>
        </is>
      </c>
      <c r="V3" s="7" t="inlineStr">
        <is>
          <t>获得性时写明原因</t>
        </is>
      </c>
      <c r="W3" s="7" t="inlineStr">
        <is>
          <t>报告凭什么说是游走脾（待确认，见 README 差异 A5）</t>
        </is>
      </c>
      <c r="X3" s="7" t="inlineStr">
        <is>
          <t>Acute / Chronic or intermittent / Acute on chronic / Asymptomatic / Mass only</t>
        </is>
      </c>
      <c r="Y3" s="7" t="inlineStr">
        <is>
          <t>原文写法</t>
        </is>
      </c>
      <c r="Z3" s="7" t="inlineStr">
        <is>
          <t>天，按下方 Rules 表规则；含糊或没有填 NR</t>
        </is>
      </c>
      <c r="AA3" s="7" t="inlineStr">
        <is>
          <t>用了第几条换算规则，如 2;3</t>
        </is>
      </c>
      <c r="AB3" s="7" t="inlineStr">
        <is>
          <t>Yes / No（规则 6）</t>
        </is>
      </c>
      <c r="AC3" s="7" t="inlineStr">
        <is>
          <t>规则 6 的备选编码（加重时段）；没有则留空</t>
        </is>
      </c>
      <c r="AD3" s="7" t="inlineStr">
        <is>
          <t>规则 9：用入院时持续时间并作为下限时填 Yes</t>
        </is>
      </c>
      <c r="AE3" s="7" t="inlineStr">
        <is>
          <t>规则 5：只有所有合理理解都在同一类别时才填</t>
        </is>
      </c>
      <c r="AF3" s="7" t="inlineStr">
        <is>
          <t>公式，勿改：&lt;=2 d / 3-7 d / 8-30 d / &gt;30 d</t>
        </is>
      </c>
      <c r="AG3" s="7" t="inlineStr">
        <is>
          <t>原文写法</t>
        </is>
      </c>
      <c r="AH3" s="7" t="inlineStr">
        <is>
          <t>天；没有填 NR</t>
        </is>
      </c>
      <c r="AI3" s="7" t="inlineStr">
        <is>
          <t>整数 / NR</t>
        </is>
      </c>
      <c r="AJ3" s="7" t="inlineStr">
        <is>
          <t>Yes / No / NR</t>
        </is>
      </c>
      <c r="AK3" s="7" t="inlineStr">
        <is>
          <t>当时做了什么诊断</t>
        </is>
      </c>
      <c r="AL3" s="7" t="inlineStr">
        <is>
          <t>在哪一次就诊</t>
        </is>
      </c>
      <c r="AM3" s="7" t="inlineStr">
        <is>
          <t>Yes / No / NR</t>
        </is>
      </c>
      <c r="AN3" s="7" t="inlineStr">
        <is>
          <t>Family declined / Observation advised / Elective operation scheduled / Other / Not applicable</t>
        </is>
      </c>
      <c r="AO3" s="7" t="inlineStr">
        <is>
          <t>天；规则 7；没有填 NR 或留空</t>
        </is>
      </c>
      <c r="AP3" s="7" t="inlineStr">
        <is>
          <t>Yes / No / Not applicable</t>
        </is>
      </c>
      <c r="AQ3" s="7" t="inlineStr">
        <is>
          <t>Yes / No / NR</t>
        </is>
      </c>
      <c r="AR3" s="7" t="inlineStr">
        <is>
          <t>Yes / No / NR</t>
        </is>
      </c>
      <c r="AS3" s="7" t="inlineStr">
        <is>
          <t>Yes / No / NR</t>
        </is>
      </c>
      <c r="AT3" s="7" t="inlineStr">
        <is>
          <t>Yes / No / NR</t>
        </is>
      </c>
      <c r="AU3" s="7" t="inlineStr">
        <is>
          <t>Yes / No / NR</t>
        </is>
      </c>
      <c r="AV3" s="7" t="inlineStr">
        <is>
          <t>Normal / Reduced / Absent / NR</t>
        </is>
      </c>
      <c r="AW3" s="7" t="inlineStr">
        <is>
          <t>×10⁹/L；NR</t>
        </is>
      </c>
      <c r="AX3" s="7" t="inlineStr">
        <is>
          <t>公式，勿改：&gt;450 ×10⁹/L 为 Yes</t>
        </is>
      </c>
      <c r="AY3" s="7" t="inlineStr">
        <is>
          <t>Open / Laparoscopic / Converted；未手术填 Not applicable</t>
        </is>
      </c>
      <c r="AZ3" s="7" t="inlineStr">
        <is>
          <t>Yes / No / NR</t>
        </is>
      </c>
      <c r="BA3" s="7" t="inlineStr">
        <is>
          <t>度数；NR</t>
        </is>
      </c>
      <c r="BB3" s="7" t="inlineStr">
        <is>
          <t>Viable / Partially non-viable / Non-viable / NR；未手术填 Not applicable</t>
        </is>
      </c>
      <c r="BC3" s="7" t="inlineStr">
        <is>
          <t>Intraoperative / Histology / Both / NR</t>
        </is>
      </c>
      <c r="BD3" s="7" t="inlineStr">
        <is>
          <t>协议五项加 No operation（第 7 节）与 NR</t>
        </is>
      </c>
      <c r="BE3" s="7" t="inlineStr">
        <is>
          <t>如 gastropexy、hernia repair；自由文本</t>
        </is>
      </c>
      <c r="BF3" s="7" t="inlineStr">
        <is>
          <t>Mesh / pouch / Omental wrap / Direct suture / Other / Not applicable / NR</t>
        </is>
      </c>
      <c r="BG3" s="7" t="inlineStr">
        <is>
          <t>选 Other 时写明</t>
        </is>
      </c>
      <c r="BH3" s="7" t="inlineStr">
        <is>
          <t>厘米；NR</t>
        </is>
      </c>
      <c r="BI3" s="7" t="inlineStr">
        <is>
          <t>Failure of fixation / Surgeon's preference / Other / Not applicable</t>
        </is>
      </c>
      <c r="BJ3" s="7" t="inlineStr">
        <is>
          <t>公式，勿改：见 Rules 表 D3；Review 的由共识解决</t>
        </is>
      </c>
      <c r="BK3" s="7" t="inlineStr">
        <is>
          <t>月；NR</t>
        </is>
      </c>
      <c r="BL3" s="7" t="inlineStr">
        <is>
          <t>Yes / No / NR</t>
        </is>
      </c>
      <c r="BM3" s="7" t="inlineStr">
        <is>
          <t>Yes / No / NR</t>
        </is>
      </c>
      <c r="BN3" s="7" t="inlineStr">
        <is>
          <t>自由文本</t>
        </is>
      </c>
      <c r="BO3" s="7" t="inlineStr">
        <is>
          <t>Preserved / Partially preserved / Lost / NR</t>
        </is>
      </c>
      <c r="BP3" s="7" t="inlineStr">
        <is>
          <t>自由文本</t>
        </is>
      </c>
      <c r="BQ3" s="7" t="inlineStr">
        <is>
          <t>页 / 表 / 图</t>
        </is>
      </c>
      <c r="BR3" s="7" t="inlineStr">
        <is>
          <t>页 / 表 / 图（主要暴露的出处必填）</t>
        </is>
      </c>
      <c r="BS3" s="7" t="inlineStr">
        <is>
          <t>页 / 表 / 图（主要结局的出处必填）</t>
        </is>
      </c>
      <c r="BT3" s="7" t="inlineStr">
        <is>
          <t>页 / 表 / 图</t>
        </is>
      </c>
      <c r="BU3" s="7" t="inlineStr">
        <is>
          <t>任何需要共识讨论的问题</t>
        </is>
      </c>
    </row>
    <row r="4">
      <c r="D4" s="8" t="n"/>
      <c r="E4" s="9">
        <f>IF(B4="","",IF(B4="OWN","Yes","No"))</f>
        <v/>
      </c>
      <c r="AF4" s="9">
        <f>IF(ISNUMBER(Z4),IF(Z4&lt;=2,"&lt;=2 d",IF(Z4&lt;=7,"3-7 d",IF(Z4&lt;=30,"8-30 d","&gt;30 d"))),IF(AE4&lt;&gt;"",AE4,IF(Z4="NR","NR","")))</f>
        <v/>
      </c>
      <c r="AX4" s="9">
        <f>IF(ISNUMBER(AW4),IF(AW4&gt;450,"Yes","No"),IF(AW4="NR","NR",""))</f>
        <v/>
      </c>
      <c r="BJ4" s="9">
        <f>IF(BB4="","",IF(BB4="Non-viable","Non-viable",IF(BB4="Viable","Viable",IF(BB4="Partially non-viable",IF(OR(BD4="Total splenectomy",BD4="Partial splenectomy +/- splenopexy"),"Non-viable","Review"),IF(BB4="NR",IF(OR(BD4="Total splenectomy",BD4="Partial splenectomy +/- splenopexy"),"NR - removed, check reason","NR"),"Not applicable")))))</f>
        <v/>
      </c>
    </row>
    <row r="5">
      <c r="D5" s="8" t="n"/>
      <c r="E5" s="9">
        <f>IF(B5="","",IF(B5="OWN","Yes","No"))</f>
        <v/>
      </c>
      <c r="AF5" s="9">
        <f>IF(ISNUMBER(Z5),IF(Z5&lt;=2,"&lt;=2 d",IF(Z5&lt;=7,"3-7 d",IF(Z5&lt;=30,"8-30 d","&gt;30 d"))),IF(AE5&lt;&gt;"",AE5,IF(Z5="NR","NR","")))</f>
        <v/>
      </c>
      <c r="AX5" s="9">
        <f>IF(ISNUMBER(AW5),IF(AW5&gt;450,"Yes","No"),IF(AW5="NR","NR",""))</f>
        <v/>
      </c>
      <c r="BJ5" s="9">
        <f>IF(BB5="","",IF(BB5="Non-viable","Non-viable",IF(BB5="Viable","Viable",IF(BB5="Partially non-viable",IF(OR(BD5="Total splenectomy",BD5="Partial splenectomy +/- splenopexy"),"Non-viable","Review"),IF(BB5="NR",IF(OR(BD5="Total splenectomy",BD5="Partial splenectomy +/- splenopexy"),"NR - removed, check reason","NR"),"Not applicable")))))</f>
        <v/>
      </c>
    </row>
    <row r="6">
      <c r="D6" s="8" t="n"/>
      <c r="E6" s="9">
        <f>IF(B6="","",IF(B6="OWN","Yes","No"))</f>
        <v/>
      </c>
      <c r="AF6" s="9">
        <f>IF(ISNUMBER(Z6),IF(Z6&lt;=2,"&lt;=2 d",IF(Z6&lt;=7,"3-7 d",IF(Z6&lt;=30,"8-30 d","&gt;30 d"))),IF(AE6&lt;&gt;"",AE6,IF(Z6="NR","NR","")))</f>
        <v/>
      </c>
      <c r="AX6" s="9">
        <f>IF(ISNUMBER(AW6),IF(AW6&gt;450,"Yes","No"),IF(AW6="NR","NR",""))</f>
        <v/>
      </c>
      <c r="BJ6" s="9">
        <f>IF(BB6="","",IF(BB6="Non-viable","Non-viable",IF(BB6="Viable","Viable",IF(BB6="Partially non-viable",IF(OR(BD6="Total splenectomy",BD6="Partial splenectomy +/- splenopexy"),"Non-viable","Review"),IF(BB6="NR",IF(OR(BD6="Total splenectomy",BD6="Partial splenectomy +/- splenopexy"),"NR - removed, check reason","NR"),"Not applicable")))))</f>
        <v/>
      </c>
    </row>
    <row r="7">
      <c r="D7" s="8" t="n"/>
      <c r="E7" s="9">
        <f>IF(B7="","",IF(B7="OWN","Yes","No"))</f>
        <v/>
      </c>
      <c r="AF7" s="9">
        <f>IF(ISNUMBER(Z7),IF(Z7&lt;=2,"&lt;=2 d",IF(Z7&lt;=7,"3-7 d",IF(Z7&lt;=30,"8-30 d","&gt;30 d"))),IF(AE7&lt;&gt;"",AE7,IF(Z7="NR","NR","")))</f>
        <v/>
      </c>
      <c r="AX7" s="9">
        <f>IF(ISNUMBER(AW7),IF(AW7&gt;450,"Yes","No"),IF(AW7="NR","NR",""))</f>
        <v/>
      </c>
      <c r="BJ7" s="9">
        <f>IF(BB7="","",IF(BB7="Non-viable","Non-viable",IF(BB7="Viable","Viable",IF(BB7="Partially non-viable",IF(OR(BD7="Total splenectomy",BD7="Partial splenectomy +/- splenopexy"),"Non-viable","Review"),IF(BB7="NR",IF(OR(BD7="Total splenectomy",BD7="Partial splenectomy +/- splenopexy"),"NR - removed, check reason","NR"),"Not applicable")))))</f>
        <v/>
      </c>
    </row>
    <row r="8">
      <c r="D8" s="8" t="n"/>
      <c r="E8" s="9">
        <f>IF(B8="","",IF(B8="OWN","Yes","No"))</f>
        <v/>
      </c>
      <c r="AF8" s="9">
        <f>IF(ISNUMBER(Z8),IF(Z8&lt;=2,"&lt;=2 d",IF(Z8&lt;=7,"3-7 d",IF(Z8&lt;=30,"8-30 d","&gt;30 d"))),IF(AE8&lt;&gt;"",AE8,IF(Z8="NR","NR","")))</f>
        <v/>
      </c>
      <c r="AX8" s="9">
        <f>IF(ISNUMBER(AW8),IF(AW8&gt;450,"Yes","No"),IF(AW8="NR","NR",""))</f>
        <v/>
      </c>
      <c r="BJ8" s="9">
        <f>IF(BB8="","",IF(BB8="Non-viable","Non-viable",IF(BB8="Viable","Viable",IF(BB8="Partially non-viable",IF(OR(BD8="Total splenectomy",BD8="Partial splenectomy +/- splenopexy"),"Non-viable","Review"),IF(BB8="NR",IF(OR(BD8="Total splenectomy",BD8="Partial splenectomy +/- splenopexy"),"NR - removed, check reason","NR"),"Not applicable")))))</f>
        <v/>
      </c>
    </row>
    <row r="9">
      <c r="D9" s="8" t="n"/>
      <c r="E9" s="9">
        <f>IF(B9="","",IF(B9="OWN","Yes","No"))</f>
        <v/>
      </c>
      <c r="AF9" s="9">
        <f>IF(ISNUMBER(Z9),IF(Z9&lt;=2,"&lt;=2 d",IF(Z9&lt;=7,"3-7 d",IF(Z9&lt;=30,"8-30 d","&gt;30 d"))),IF(AE9&lt;&gt;"",AE9,IF(Z9="NR","NR","")))</f>
        <v/>
      </c>
      <c r="AX9" s="9">
        <f>IF(ISNUMBER(AW9),IF(AW9&gt;450,"Yes","No"),IF(AW9="NR","NR",""))</f>
        <v/>
      </c>
      <c r="BJ9" s="9">
        <f>IF(BB9="","",IF(BB9="Non-viable","Non-viable",IF(BB9="Viable","Viable",IF(BB9="Partially non-viable",IF(OR(BD9="Total splenectomy",BD9="Partial splenectomy +/- splenopexy"),"Non-viable","Review"),IF(BB9="NR",IF(OR(BD9="Total splenectomy",BD9="Partial splenectomy +/- splenopexy"),"NR - removed, check reason","NR"),"Not applicable")))))</f>
        <v/>
      </c>
    </row>
    <row r="10">
      <c r="D10" s="8" t="n"/>
      <c r="E10" s="9">
        <f>IF(B10="","",IF(B10="OWN","Yes","No"))</f>
        <v/>
      </c>
      <c r="AF10" s="9">
        <f>IF(ISNUMBER(Z10),IF(Z10&lt;=2,"&lt;=2 d",IF(Z10&lt;=7,"3-7 d",IF(Z10&lt;=30,"8-30 d","&gt;30 d"))),IF(AE10&lt;&gt;"",AE10,IF(Z10="NR","NR","")))</f>
        <v/>
      </c>
      <c r="AX10" s="9">
        <f>IF(ISNUMBER(AW10),IF(AW10&gt;450,"Yes","No"),IF(AW10="NR","NR",""))</f>
        <v/>
      </c>
      <c r="BJ10" s="9">
        <f>IF(BB10="","",IF(BB10="Non-viable","Non-viable",IF(BB10="Viable","Viable",IF(BB10="Partially non-viable",IF(OR(BD10="Total splenectomy",BD10="Partial splenectomy +/- splenopexy"),"Non-viable","Review"),IF(BB10="NR",IF(OR(BD10="Total splenectomy",BD10="Partial splenectomy +/- splenopexy"),"NR - removed, check reason","NR"),"Not applicable")))))</f>
        <v/>
      </c>
    </row>
    <row r="11">
      <c r="D11" s="8" t="n"/>
      <c r="E11" s="9">
        <f>IF(B11="","",IF(B11="OWN","Yes","No"))</f>
        <v/>
      </c>
      <c r="AF11" s="9">
        <f>IF(ISNUMBER(Z11),IF(Z11&lt;=2,"&lt;=2 d",IF(Z11&lt;=7,"3-7 d",IF(Z11&lt;=30,"8-30 d","&gt;30 d"))),IF(AE11&lt;&gt;"",AE11,IF(Z11="NR","NR","")))</f>
        <v/>
      </c>
      <c r="AX11" s="9">
        <f>IF(ISNUMBER(AW11),IF(AW11&gt;450,"Yes","No"),IF(AW11="NR","NR",""))</f>
        <v/>
      </c>
      <c r="BJ11" s="9">
        <f>IF(BB11="","",IF(BB11="Non-viable","Non-viable",IF(BB11="Viable","Viable",IF(BB11="Partially non-viable",IF(OR(BD11="Total splenectomy",BD11="Partial splenectomy +/- splenopexy"),"Non-viable","Review"),IF(BB11="NR",IF(OR(BD11="Total splenectomy",BD11="Partial splenectomy +/- splenopexy"),"NR - removed, check reason","NR"),"Not applicable")))))</f>
        <v/>
      </c>
    </row>
    <row r="12">
      <c r="D12" s="8" t="n"/>
      <c r="E12" s="9">
        <f>IF(B12="","",IF(B12="OWN","Yes","No"))</f>
        <v/>
      </c>
      <c r="AF12" s="9">
        <f>IF(ISNUMBER(Z12),IF(Z12&lt;=2,"&lt;=2 d",IF(Z12&lt;=7,"3-7 d",IF(Z12&lt;=30,"8-30 d","&gt;30 d"))),IF(AE12&lt;&gt;"",AE12,IF(Z12="NR","NR","")))</f>
        <v/>
      </c>
      <c r="AX12" s="9">
        <f>IF(ISNUMBER(AW12),IF(AW12&gt;450,"Yes","No"),IF(AW12="NR","NR",""))</f>
        <v/>
      </c>
      <c r="BJ12" s="9">
        <f>IF(BB12="","",IF(BB12="Non-viable","Non-viable",IF(BB12="Viable","Viable",IF(BB12="Partially non-viable",IF(OR(BD12="Total splenectomy",BD12="Partial splenectomy +/- splenopexy"),"Non-viable","Review"),IF(BB12="NR",IF(OR(BD12="Total splenectomy",BD12="Partial splenectomy +/- splenopexy"),"NR - removed, check reason","NR"),"Not applicable")))))</f>
        <v/>
      </c>
    </row>
    <row r="13">
      <c r="D13" s="8" t="n"/>
      <c r="E13" s="9">
        <f>IF(B13="","",IF(B13="OWN","Yes","No"))</f>
        <v/>
      </c>
      <c r="AF13" s="9">
        <f>IF(ISNUMBER(Z13),IF(Z13&lt;=2,"&lt;=2 d",IF(Z13&lt;=7,"3-7 d",IF(Z13&lt;=30,"8-30 d","&gt;30 d"))),IF(AE13&lt;&gt;"",AE13,IF(Z13="NR","NR","")))</f>
        <v/>
      </c>
      <c r="AX13" s="9">
        <f>IF(ISNUMBER(AW13),IF(AW13&gt;450,"Yes","No"),IF(AW13="NR","NR",""))</f>
        <v/>
      </c>
      <c r="BJ13" s="9">
        <f>IF(BB13="","",IF(BB13="Non-viable","Non-viable",IF(BB13="Viable","Viable",IF(BB13="Partially non-viable",IF(OR(BD13="Total splenectomy",BD13="Partial splenectomy +/- splenopexy"),"Non-viable","Review"),IF(BB13="NR",IF(OR(BD13="Total splenectomy",BD13="Partial splenectomy +/- splenopexy"),"NR - removed, check reason","NR"),"Not applicable")))))</f>
        <v/>
      </c>
    </row>
    <row r="14">
      <c r="D14" s="8" t="n"/>
      <c r="E14" s="9">
        <f>IF(B14="","",IF(B14="OWN","Yes","No"))</f>
        <v/>
      </c>
      <c r="AF14" s="9">
        <f>IF(ISNUMBER(Z14),IF(Z14&lt;=2,"&lt;=2 d",IF(Z14&lt;=7,"3-7 d",IF(Z14&lt;=30,"8-30 d","&gt;30 d"))),IF(AE14&lt;&gt;"",AE14,IF(Z14="NR","NR","")))</f>
        <v/>
      </c>
      <c r="AX14" s="9">
        <f>IF(ISNUMBER(AW14),IF(AW14&gt;450,"Yes","No"),IF(AW14="NR","NR",""))</f>
        <v/>
      </c>
      <c r="BJ14" s="9">
        <f>IF(BB14="","",IF(BB14="Non-viable","Non-viable",IF(BB14="Viable","Viable",IF(BB14="Partially non-viable",IF(OR(BD14="Total splenectomy",BD14="Partial splenectomy +/- splenopexy"),"Non-viable","Review"),IF(BB14="NR",IF(OR(BD14="Total splenectomy",BD14="Partial splenectomy +/- splenopexy"),"NR - removed, check reason","NR"),"Not applicable")))))</f>
        <v/>
      </c>
    </row>
    <row r="15">
      <c r="D15" s="8" t="n"/>
      <c r="E15" s="9">
        <f>IF(B15="","",IF(B15="OWN","Yes","No"))</f>
        <v/>
      </c>
      <c r="AF15" s="9">
        <f>IF(ISNUMBER(Z15),IF(Z15&lt;=2,"&lt;=2 d",IF(Z15&lt;=7,"3-7 d",IF(Z15&lt;=30,"8-30 d","&gt;30 d"))),IF(AE15&lt;&gt;"",AE15,IF(Z15="NR","NR","")))</f>
        <v/>
      </c>
      <c r="AX15" s="9">
        <f>IF(ISNUMBER(AW15),IF(AW15&gt;450,"Yes","No"),IF(AW15="NR","NR",""))</f>
        <v/>
      </c>
      <c r="BJ15" s="9">
        <f>IF(BB15="","",IF(BB15="Non-viable","Non-viable",IF(BB15="Viable","Viable",IF(BB15="Partially non-viable",IF(OR(BD15="Total splenectomy",BD15="Partial splenectomy +/- splenopexy"),"Non-viable","Review"),IF(BB15="NR",IF(OR(BD15="Total splenectomy",BD15="Partial splenectomy +/- splenopexy"),"NR - removed, check reason","NR"),"Not applicable")))))</f>
        <v/>
      </c>
    </row>
    <row r="16">
      <c r="D16" s="8" t="n"/>
      <c r="E16" s="9">
        <f>IF(B16="","",IF(B16="OWN","Yes","No"))</f>
        <v/>
      </c>
      <c r="AF16" s="9">
        <f>IF(ISNUMBER(Z16),IF(Z16&lt;=2,"&lt;=2 d",IF(Z16&lt;=7,"3-7 d",IF(Z16&lt;=30,"8-30 d","&gt;30 d"))),IF(AE16&lt;&gt;"",AE16,IF(Z16="NR","NR","")))</f>
        <v/>
      </c>
      <c r="AX16" s="9">
        <f>IF(ISNUMBER(AW16),IF(AW16&gt;450,"Yes","No"),IF(AW16="NR","NR",""))</f>
        <v/>
      </c>
      <c r="BJ16" s="9">
        <f>IF(BB16="","",IF(BB16="Non-viable","Non-viable",IF(BB16="Viable","Viable",IF(BB16="Partially non-viable",IF(OR(BD16="Total splenectomy",BD16="Partial splenectomy +/- splenopexy"),"Non-viable","Review"),IF(BB16="NR",IF(OR(BD16="Total splenectomy",BD16="Partial splenectomy +/- splenopexy"),"NR - removed, check reason","NR"),"Not applicable")))))</f>
        <v/>
      </c>
    </row>
    <row r="17">
      <c r="D17" s="8" t="n"/>
      <c r="E17" s="9">
        <f>IF(B17="","",IF(B17="OWN","Yes","No"))</f>
        <v/>
      </c>
      <c r="AF17" s="9">
        <f>IF(ISNUMBER(Z17),IF(Z17&lt;=2,"&lt;=2 d",IF(Z17&lt;=7,"3-7 d",IF(Z17&lt;=30,"8-30 d","&gt;30 d"))),IF(AE17&lt;&gt;"",AE17,IF(Z17="NR","NR","")))</f>
        <v/>
      </c>
      <c r="AX17" s="9">
        <f>IF(ISNUMBER(AW17),IF(AW17&gt;450,"Yes","No"),IF(AW17="NR","NR",""))</f>
        <v/>
      </c>
      <c r="BJ17" s="9">
        <f>IF(BB17="","",IF(BB17="Non-viable","Non-viable",IF(BB17="Viable","Viable",IF(BB17="Partially non-viable",IF(OR(BD17="Total splenectomy",BD17="Partial splenectomy +/- splenopexy"),"Non-viable","Review"),IF(BB17="NR",IF(OR(BD17="Total splenectomy",BD17="Partial splenectomy +/- splenopexy"),"NR - removed, check reason","NR"),"Not applicable")))))</f>
        <v/>
      </c>
    </row>
    <row r="18">
      <c r="D18" s="8" t="n"/>
      <c r="E18" s="9">
        <f>IF(B18="","",IF(B18="OWN","Yes","No"))</f>
        <v/>
      </c>
      <c r="AF18" s="9">
        <f>IF(ISNUMBER(Z18),IF(Z18&lt;=2,"&lt;=2 d",IF(Z18&lt;=7,"3-7 d",IF(Z18&lt;=30,"8-30 d","&gt;30 d"))),IF(AE18&lt;&gt;"",AE18,IF(Z18="NR","NR","")))</f>
        <v/>
      </c>
      <c r="AX18" s="9">
        <f>IF(ISNUMBER(AW18),IF(AW18&gt;450,"Yes","No"),IF(AW18="NR","NR",""))</f>
        <v/>
      </c>
      <c r="BJ18" s="9">
        <f>IF(BB18="","",IF(BB18="Non-viable","Non-viable",IF(BB18="Viable","Viable",IF(BB18="Partially non-viable",IF(OR(BD18="Total splenectomy",BD18="Partial splenectomy +/- splenopexy"),"Non-viable","Review"),IF(BB18="NR",IF(OR(BD18="Total splenectomy",BD18="Partial splenectomy +/- splenopexy"),"NR - removed, check reason","NR"),"Not applicable")))))</f>
        <v/>
      </c>
    </row>
    <row r="19">
      <c r="D19" s="8" t="n"/>
      <c r="E19" s="9">
        <f>IF(B19="","",IF(B19="OWN","Yes","No"))</f>
        <v/>
      </c>
      <c r="AF19" s="9">
        <f>IF(ISNUMBER(Z19),IF(Z19&lt;=2,"&lt;=2 d",IF(Z19&lt;=7,"3-7 d",IF(Z19&lt;=30,"8-30 d","&gt;30 d"))),IF(AE19&lt;&gt;"",AE19,IF(Z19="NR","NR","")))</f>
        <v/>
      </c>
      <c r="AX19" s="9">
        <f>IF(ISNUMBER(AW19),IF(AW19&gt;450,"Yes","No"),IF(AW19="NR","NR",""))</f>
        <v/>
      </c>
      <c r="BJ19" s="9">
        <f>IF(BB19="","",IF(BB19="Non-viable","Non-viable",IF(BB19="Viable","Viable",IF(BB19="Partially non-viable",IF(OR(BD19="Total splenectomy",BD19="Partial splenectomy +/- splenopexy"),"Non-viable","Review"),IF(BB19="NR",IF(OR(BD19="Total splenectomy",BD19="Partial splenectomy +/- splenopexy"),"NR - removed, check reason","NR"),"Not applicable")))))</f>
        <v/>
      </c>
    </row>
    <row r="20">
      <c r="D20" s="8" t="n"/>
      <c r="E20" s="9">
        <f>IF(B20="","",IF(B20="OWN","Yes","No"))</f>
        <v/>
      </c>
      <c r="AF20" s="9">
        <f>IF(ISNUMBER(Z20),IF(Z20&lt;=2,"&lt;=2 d",IF(Z20&lt;=7,"3-7 d",IF(Z20&lt;=30,"8-30 d","&gt;30 d"))),IF(AE20&lt;&gt;"",AE20,IF(Z20="NR","NR","")))</f>
        <v/>
      </c>
      <c r="AX20" s="9">
        <f>IF(ISNUMBER(AW20),IF(AW20&gt;450,"Yes","No"),IF(AW20="NR","NR",""))</f>
        <v/>
      </c>
      <c r="BJ20" s="9">
        <f>IF(BB20="","",IF(BB20="Non-viable","Non-viable",IF(BB20="Viable","Viable",IF(BB20="Partially non-viable",IF(OR(BD20="Total splenectomy",BD20="Partial splenectomy +/- splenopexy"),"Non-viable","Review"),IF(BB20="NR",IF(OR(BD20="Total splenectomy",BD20="Partial splenectomy +/- splenopexy"),"NR - removed, check reason","NR"),"Not applicable")))))</f>
        <v/>
      </c>
    </row>
    <row r="21">
      <c r="D21" s="8" t="n"/>
      <c r="E21" s="9">
        <f>IF(B21="","",IF(B21="OWN","Yes","No"))</f>
        <v/>
      </c>
      <c r="AF21" s="9">
        <f>IF(ISNUMBER(Z21),IF(Z21&lt;=2,"&lt;=2 d",IF(Z21&lt;=7,"3-7 d",IF(Z21&lt;=30,"8-30 d","&gt;30 d"))),IF(AE21&lt;&gt;"",AE21,IF(Z21="NR","NR","")))</f>
        <v/>
      </c>
      <c r="AX21" s="9">
        <f>IF(ISNUMBER(AW21),IF(AW21&gt;450,"Yes","No"),IF(AW21="NR","NR",""))</f>
        <v/>
      </c>
      <c r="BJ21" s="9">
        <f>IF(BB21="","",IF(BB21="Non-viable","Non-viable",IF(BB21="Viable","Viable",IF(BB21="Partially non-viable",IF(OR(BD21="Total splenectomy",BD21="Partial splenectomy +/- splenopexy"),"Non-viable","Review"),IF(BB21="NR",IF(OR(BD21="Total splenectomy",BD21="Partial splenectomy +/- splenopexy"),"NR - removed, check reason","NR"),"Not applicable")))))</f>
        <v/>
      </c>
    </row>
    <row r="22">
      <c r="D22" s="8" t="n"/>
      <c r="E22" s="9">
        <f>IF(B22="","",IF(B22="OWN","Yes","No"))</f>
        <v/>
      </c>
      <c r="AF22" s="9">
        <f>IF(ISNUMBER(Z22),IF(Z22&lt;=2,"&lt;=2 d",IF(Z22&lt;=7,"3-7 d",IF(Z22&lt;=30,"8-30 d","&gt;30 d"))),IF(AE22&lt;&gt;"",AE22,IF(Z22="NR","NR","")))</f>
        <v/>
      </c>
      <c r="AX22" s="9">
        <f>IF(ISNUMBER(AW22),IF(AW22&gt;450,"Yes","No"),IF(AW22="NR","NR",""))</f>
        <v/>
      </c>
      <c r="BJ22" s="9">
        <f>IF(BB22="","",IF(BB22="Non-viable","Non-viable",IF(BB22="Viable","Viable",IF(BB22="Partially non-viable",IF(OR(BD22="Total splenectomy",BD22="Partial splenectomy +/- splenopexy"),"Non-viable","Review"),IF(BB22="NR",IF(OR(BD22="Total splenectomy",BD22="Partial splenectomy +/- splenopexy"),"NR - removed, check reason","NR"),"Not applicable")))))</f>
        <v/>
      </c>
    </row>
    <row r="23">
      <c r="D23" s="8" t="n"/>
      <c r="E23" s="9">
        <f>IF(B23="","",IF(B23="OWN","Yes","No"))</f>
        <v/>
      </c>
      <c r="AF23" s="9">
        <f>IF(ISNUMBER(Z23),IF(Z23&lt;=2,"&lt;=2 d",IF(Z23&lt;=7,"3-7 d",IF(Z23&lt;=30,"8-30 d","&gt;30 d"))),IF(AE23&lt;&gt;"",AE23,IF(Z23="NR","NR","")))</f>
        <v/>
      </c>
      <c r="AX23" s="9">
        <f>IF(ISNUMBER(AW23),IF(AW23&gt;450,"Yes","No"),IF(AW23="NR","NR",""))</f>
        <v/>
      </c>
      <c r="BJ23" s="9">
        <f>IF(BB23="","",IF(BB23="Non-viable","Non-viable",IF(BB23="Viable","Viable",IF(BB23="Partially non-viable",IF(OR(BD23="Total splenectomy",BD23="Partial splenectomy +/- splenopexy"),"Non-viable","Review"),IF(BB23="NR",IF(OR(BD23="Total splenectomy",BD23="Partial splenectomy +/- splenopexy"),"NR - removed, check reason","NR"),"Not applicable")))))</f>
        <v/>
      </c>
    </row>
    <row r="24">
      <c r="D24" s="8" t="n"/>
      <c r="E24" s="9">
        <f>IF(B24="","",IF(B24="OWN","Yes","No"))</f>
        <v/>
      </c>
      <c r="AF24" s="9">
        <f>IF(ISNUMBER(Z24),IF(Z24&lt;=2,"&lt;=2 d",IF(Z24&lt;=7,"3-7 d",IF(Z24&lt;=30,"8-30 d","&gt;30 d"))),IF(AE24&lt;&gt;"",AE24,IF(Z24="NR","NR","")))</f>
        <v/>
      </c>
      <c r="AX24" s="9">
        <f>IF(ISNUMBER(AW24),IF(AW24&gt;450,"Yes","No"),IF(AW24="NR","NR",""))</f>
        <v/>
      </c>
      <c r="BJ24" s="9">
        <f>IF(BB24="","",IF(BB24="Non-viable","Non-viable",IF(BB24="Viable","Viable",IF(BB24="Partially non-viable",IF(OR(BD24="Total splenectomy",BD24="Partial splenectomy +/- splenopexy"),"Non-viable","Review"),IF(BB24="NR",IF(OR(BD24="Total splenectomy",BD24="Partial splenectomy +/- splenopexy"),"NR - removed, check reason","NR"),"Not applicable")))))</f>
        <v/>
      </c>
    </row>
    <row r="25">
      <c r="D25" s="8" t="n"/>
      <c r="E25" s="9">
        <f>IF(B25="","",IF(B25="OWN","Yes","No"))</f>
        <v/>
      </c>
      <c r="AF25" s="9">
        <f>IF(ISNUMBER(Z25),IF(Z25&lt;=2,"&lt;=2 d",IF(Z25&lt;=7,"3-7 d",IF(Z25&lt;=30,"8-30 d","&gt;30 d"))),IF(AE25&lt;&gt;"",AE25,IF(Z25="NR","NR","")))</f>
        <v/>
      </c>
      <c r="AX25" s="9">
        <f>IF(ISNUMBER(AW25),IF(AW25&gt;450,"Yes","No"),IF(AW25="NR","NR",""))</f>
        <v/>
      </c>
      <c r="BJ25" s="9">
        <f>IF(BB25="","",IF(BB25="Non-viable","Non-viable",IF(BB25="Viable","Viable",IF(BB25="Partially non-viable",IF(OR(BD25="Total splenectomy",BD25="Partial splenectomy +/- splenopexy"),"Non-viable","Review"),IF(BB25="NR",IF(OR(BD25="Total splenectomy",BD25="Partial splenectomy +/- splenopexy"),"NR - removed, check reason","NR"),"Not applicable")))))</f>
        <v/>
      </c>
    </row>
    <row r="26">
      <c r="D26" s="8" t="n"/>
      <c r="E26" s="9">
        <f>IF(B26="","",IF(B26="OWN","Yes","No"))</f>
        <v/>
      </c>
      <c r="AF26" s="9">
        <f>IF(ISNUMBER(Z26),IF(Z26&lt;=2,"&lt;=2 d",IF(Z26&lt;=7,"3-7 d",IF(Z26&lt;=30,"8-30 d","&gt;30 d"))),IF(AE26&lt;&gt;"",AE26,IF(Z26="NR","NR","")))</f>
        <v/>
      </c>
      <c r="AX26" s="9">
        <f>IF(ISNUMBER(AW26),IF(AW26&gt;450,"Yes","No"),IF(AW26="NR","NR",""))</f>
        <v/>
      </c>
      <c r="BJ26" s="9">
        <f>IF(BB26="","",IF(BB26="Non-viable","Non-viable",IF(BB26="Viable","Viable",IF(BB26="Partially non-viable",IF(OR(BD26="Total splenectomy",BD26="Partial splenectomy +/- splenopexy"),"Non-viable","Review"),IF(BB26="NR",IF(OR(BD26="Total splenectomy",BD26="Partial splenectomy +/- splenopexy"),"NR - removed, check reason","NR"),"Not applicable")))))</f>
        <v/>
      </c>
    </row>
    <row r="27">
      <c r="D27" s="8" t="n"/>
      <c r="E27" s="9">
        <f>IF(B27="","",IF(B27="OWN","Yes","No"))</f>
        <v/>
      </c>
      <c r="AF27" s="9">
        <f>IF(ISNUMBER(Z27),IF(Z27&lt;=2,"&lt;=2 d",IF(Z27&lt;=7,"3-7 d",IF(Z27&lt;=30,"8-30 d","&gt;30 d"))),IF(AE27&lt;&gt;"",AE27,IF(Z27="NR","NR","")))</f>
        <v/>
      </c>
      <c r="AX27" s="9">
        <f>IF(ISNUMBER(AW27),IF(AW27&gt;450,"Yes","No"),IF(AW27="NR","NR",""))</f>
        <v/>
      </c>
      <c r="BJ27" s="9">
        <f>IF(BB27="","",IF(BB27="Non-viable","Non-viable",IF(BB27="Viable","Viable",IF(BB27="Partially non-viable",IF(OR(BD27="Total splenectomy",BD27="Partial splenectomy +/- splenopexy"),"Non-viable","Review"),IF(BB27="NR",IF(OR(BD27="Total splenectomy",BD27="Partial splenectomy +/- splenopexy"),"NR - removed, check reason","NR"),"Not applicable")))))</f>
        <v/>
      </c>
    </row>
    <row r="28">
      <c r="D28" s="8" t="n"/>
      <c r="E28" s="9">
        <f>IF(B28="","",IF(B28="OWN","Yes","No"))</f>
        <v/>
      </c>
      <c r="AF28" s="9">
        <f>IF(ISNUMBER(Z28),IF(Z28&lt;=2,"&lt;=2 d",IF(Z28&lt;=7,"3-7 d",IF(Z28&lt;=30,"8-30 d","&gt;30 d"))),IF(AE28&lt;&gt;"",AE28,IF(Z28="NR","NR","")))</f>
        <v/>
      </c>
      <c r="AX28" s="9">
        <f>IF(ISNUMBER(AW28),IF(AW28&gt;450,"Yes","No"),IF(AW28="NR","NR",""))</f>
        <v/>
      </c>
      <c r="BJ28" s="9">
        <f>IF(BB28="","",IF(BB28="Non-viable","Non-viable",IF(BB28="Viable","Viable",IF(BB28="Partially non-viable",IF(OR(BD28="Total splenectomy",BD28="Partial splenectomy +/- splenopexy"),"Non-viable","Review"),IF(BB28="NR",IF(OR(BD28="Total splenectomy",BD28="Partial splenectomy +/- splenopexy"),"NR - removed, check reason","NR"),"Not applicable")))))</f>
        <v/>
      </c>
    </row>
    <row r="29">
      <c r="D29" s="8" t="n"/>
      <c r="E29" s="9">
        <f>IF(B29="","",IF(B29="OWN","Yes","No"))</f>
        <v/>
      </c>
      <c r="AF29" s="9">
        <f>IF(ISNUMBER(Z29),IF(Z29&lt;=2,"&lt;=2 d",IF(Z29&lt;=7,"3-7 d",IF(Z29&lt;=30,"8-30 d","&gt;30 d"))),IF(AE29&lt;&gt;"",AE29,IF(Z29="NR","NR","")))</f>
        <v/>
      </c>
      <c r="AX29" s="9">
        <f>IF(ISNUMBER(AW29),IF(AW29&gt;450,"Yes","No"),IF(AW29="NR","NR",""))</f>
        <v/>
      </c>
      <c r="BJ29" s="9">
        <f>IF(BB29="","",IF(BB29="Non-viable","Non-viable",IF(BB29="Viable","Viable",IF(BB29="Partially non-viable",IF(OR(BD29="Total splenectomy",BD29="Partial splenectomy +/- splenopexy"),"Non-viable","Review"),IF(BB29="NR",IF(OR(BD29="Total splenectomy",BD29="Partial splenectomy +/- splenopexy"),"NR - removed, check reason","NR"),"Not applicable")))))</f>
        <v/>
      </c>
    </row>
    <row r="30">
      <c r="D30" s="8" t="n"/>
      <c r="E30" s="9">
        <f>IF(B30="","",IF(B30="OWN","Yes","No"))</f>
        <v/>
      </c>
      <c r="AF30" s="9">
        <f>IF(ISNUMBER(Z30),IF(Z30&lt;=2,"&lt;=2 d",IF(Z30&lt;=7,"3-7 d",IF(Z30&lt;=30,"8-30 d","&gt;30 d"))),IF(AE30&lt;&gt;"",AE30,IF(Z30="NR","NR","")))</f>
        <v/>
      </c>
      <c r="AX30" s="9">
        <f>IF(ISNUMBER(AW30),IF(AW30&gt;450,"Yes","No"),IF(AW30="NR","NR",""))</f>
        <v/>
      </c>
      <c r="BJ30" s="9">
        <f>IF(BB30="","",IF(BB30="Non-viable","Non-viable",IF(BB30="Viable","Viable",IF(BB30="Partially non-viable",IF(OR(BD30="Total splenectomy",BD30="Partial splenectomy +/- splenopexy"),"Non-viable","Review"),IF(BB30="NR",IF(OR(BD30="Total splenectomy",BD30="Partial splenectomy +/- splenopexy"),"NR - removed, check reason","NR"),"Not applicable")))))</f>
        <v/>
      </c>
    </row>
    <row r="31">
      <c r="D31" s="8" t="n"/>
      <c r="E31" s="9">
        <f>IF(B31="","",IF(B31="OWN","Yes","No"))</f>
        <v/>
      </c>
      <c r="AF31" s="9">
        <f>IF(ISNUMBER(Z31),IF(Z31&lt;=2,"&lt;=2 d",IF(Z31&lt;=7,"3-7 d",IF(Z31&lt;=30,"8-30 d","&gt;30 d"))),IF(AE31&lt;&gt;"",AE31,IF(Z31="NR","NR","")))</f>
        <v/>
      </c>
      <c r="AX31" s="9">
        <f>IF(ISNUMBER(AW31),IF(AW31&gt;450,"Yes","No"),IF(AW31="NR","NR",""))</f>
        <v/>
      </c>
      <c r="BJ31" s="9">
        <f>IF(BB31="","",IF(BB31="Non-viable","Non-viable",IF(BB31="Viable","Viable",IF(BB31="Partially non-viable",IF(OR(BD31="Total splenectomy",BD31="Partial splenectomy +/- splenopexy"),"Non-viable","Review"),IF(BB31="NR",IF(OR(BD31="Total splenectomy",BD31="Partial splenectomy +/- splenopexy"),"NR - removed, check reason","NR"),"Not applicable")))))</f>
        <v/>
      </c>
    </row>
    <row r="32">
      <c r="D32" s="8" t="n"/>
      <c r="E32" s="9">
        <f>IF(B32="","",IF(B32="OWN","Yes","No"))</f>
        <v/>
      </c>
      <c r="AF32" s="9">
        <f>IF(ISNUMBER(Z32),IF(Z32&lt;=2,"&lt;=2 d",IF(Z32&lt;=7,"3-7 d",IF(Z32&lt;=30,"8-30 d","&gt;30 d"))),IF(AE32&lt;&gt;"",AE32,IF(Z32="NR","NR","")))</f>
        <v/>
      </c>
      <c r="AX32" s="9">
        <f>IF(ISNUMBER(AW32),IF(AW32&gt;450,"Yes","No"),IF(AW32="NR","NR",""))</f>
        <v/>
      </c>
      <c r="BJ32" s="9">
        <f>IF(BB32="","",IF(BB32="Non-viable","Non-viable",IF(BB32="Viable","Viable",IF(BB32="Partially non-viable",IF(OR(BD32="Total splenectomy",BD32="Partial splenectomy +/- splenopexy"),"Non-viable","Review"),IF(BB32="NR",IF(OR(BD32="Total splenectomy",BD32="Partial splenectomy +/- splenopexy"),"NR - removed, check reason","NR"),"Not applicable")))))</f>
        <v/>
      </c>
    </row>
    <row r="33">
      <c r="D33" s="8" t="n"/>
      <c r="E33" s="9">
        <f>IF(B33="","",IF(B33="OWN","Yes","No"))</f>
        <v/>
      </c>
      <c r="AF33" s="9">
        <f>IF(ISNUMBER(Z33),IF(Z33&lt;=2,"&lt;=2 d",IF(Z33&lt;=7,"3-7 d",IF(Z33&lt;=30,"8-30 d","&gt;30 d"))),IF(AE33&lt;&gt;"",AE33,IF(Z33="NR","NR","")))</f>
        <v/>
      </c>
      <c r="AX33" s="9">
        <f>IF(ISNUMBER(AW33),IF(AW33&gt;450,"Yes","No"),IF(AW33="NR","NR",""))</f>
        <v/>
      </c>
      <c r="BJ33" s="9">
        <f>IF(BB33="","",IF(BB33="Non-viable","Non-viable",IF(BB33="Viable","Viable",IF(BB33="Partially non-viable",IF(OR(BD33="Total splenectomy",BD33="Partial splenectomy +/- splenopexy"),"Non-viable","Review"),IF(BB33="NR",IF(OR(BD33="Total splenectomy",BD33="Partial splenectomy +/- splenopexy"),"NR - removed, check reason","NR"),"Not applicable")))))</f>
        <v/>
      </c>
    </row>
    <row r="34">
      <c r="D34" s="8" t="n"/>
      <c r="E34" s="9">
        <f>IF(B34="","",IF(B34="OWN","Yes","No"))</f>
        <v/>
      </c>
      <c r="AF34" s="9">
        <f>IF(ISNUMBER(Z34),IF(Z34&lt;=2,"&lt;=2 d",IF(Z34&lt;=7,"3-7 d",IF(Z34&lt;=30,"8-30 d","&gt;30 d"))),IF(AE34&lt;&gt;"",AE34,IF(Z34="NR","NR","")))</f>
        <v/>
      </c>
      <c r="AX34" s="9">
        <f>IF(ISNUMBER(AW34),IF(AW34&gt;450,"Yes","No"),IF(AW34="NR","NR",""))</f>
        <v/>
      </c>
      <c r="BJ34" s="9">
        <f>IF(BB34="","",IF(BB34="Non-viable","Non-viable",IF(BB34="Viable","Viable",IF(BB34="Partially non-viable",IF(OR(BD34="Total splenectomy",BD34="Partial splenectomy +/- splenopexy"),"Non-viable","Review"),IF(BB34="NR",IF(OR(BD34="Total splenectomy",BD34="Partial splenectomy +/- splenopexy"),"NR - removed, check reason","NR"),"Not applicable")))))</f>
        <v/>
      </c>
    </row>
    <row r="35">
      <c r="D35" s="8" t="n"/>
      <c r="E35" s="9">
        <f>IF(B35="","",IF(B35="OWN","Yes","No"))</f>
        <v/>
      </c>
      <c r="AF35" s="9">
        <f>IF(ISNUMBER(Z35),IF(Z35&lt;=2,"&lt;=2 d",IF(Z35&lt;=7,"3-7 d",IF(Z35&lt;=30,"8-30 d","&gt;30 d"))),IF(AE35&lt;&gt;"",AE35,IF(Z35="NR","NR","")))</f>
        <v/>
      </c>
      <c r="AX35" s="9">
        <f>IF(ISNUMBER(AW35),IF(AW35&gt;450,"Yes","No"),IF(AW35="NR","NR",""))</f>
        <v/>
      </c>
      <c r="BJ35" s="9">
        <f>IF(BB35="","",IF(BB35="Non-viable","Non-viable",IF(BB35="Viable","Viable",IF(BB35="Partially non-viable",IF(OR(BD35="Total splenectomy",BD35="Partial splenectomy +/- splenopexy"),"Non-viable","Review"),IF(BB35="NR",IF(OR(BD35="Total splenectomy",BD35="Partial splenectomy +/- splenopexy"),"NR - removed, check reason","NR"),"Not applicable")))))</f>
        <v/>
      </c>
    </row>
    <row r="36">
      <c r="D36" s="8" t="n"/>
      <c r="E36" s="9">
        <f>IF(B36="","",IF(B36="OWN","Yes","No"))</f>
        <v/>
      </c>
      <c r="AF36" s="9">
        <f>IF(ISNUMBER(Z36),IF(Z36&lt;=2,"&lt;=2 d",IF(Z36&lt;=7,"3-7 d",IF(Z36&lt;=30,"8-30 d","&gt;30 d"))),IF(AE36&lt;&gt;"",AE36,IF(Z36="NR","NR","")))</f>
        <v/>
      </c>
      <c r="AX36" s="9">
        <f>IF(ISNUMBER(AW36),IF(AW36&gt;450,"Yes","No"),IF(AW36="NR","NR",""))</f>
        <v/>
      </c>
      <c r="BJ36" s="9">
        <f>IF(BB36="","",IF(BB36="Non-viable","Non-viable",IF(BB36="Viable","Viable",IF(BB36="Partially non-viable",IF(OR(BD36="Total splenectomy",BD36="Partial splenectomy +/- splenopexy"),"Non-viable","Review"),IF(BB36="NR",IF(OR(BD36="Total splenectomy",BD36="Partial splenectomy +/- splenopexy"),"NR - removed, check reason","NR"),"Not applicable")))))</f>
        <v/>
      </c>
    </row>
    <row r="37">
      <c r="D37" s="8" t="n"/>
      <c r="E37" s="9">
        <f>IF(B37="","",IF(B37="OWN","Yes","No"))</f>
        <v/>
      </c>
      <c r="AF37" s="9">
        <f>IF(ISNUMBER(Z37),IF(Z37&lt;=2,"&lt;=2 d",IF(Z37&lt;=7,"3-7 d",IF(Z37&lt;=30,"8-30 d","&gt;30 d"))),IF(AE37&lt;&gt;"",AE37,IF(Z37="NR","NR","")))</f>
        <v/>
      </c>
      <c r="AX37" s="9">
        <f>IF(ISNUMBER(AW37),IF(AW37&gt;450,"Yes","No"),IF(AW37="NR","NR",""))</f>
        <v/>
      </c>
      <c r="BJ37" s="9">
        <f>IF(BB37="","",IF(BB37="Non-viable","Non-viable",IF(BB37="Viable","Viable",IF(BB37="Partially non-viable",IF(OR(BD37="Total splenectomy",BD37="Partial splenectomy +/- splenopexy"),"Non-viable","Review"),IF(BB37="NR",IF(OR(BD37="Total splenectomy",BD37="Partial splenectomy +/- splenopexy"),"NR - removed, check reason","NR"),"Not applicable")))))</f>
        <v/>
      </c>
    </row>
    <row r="38">
      <c r="D38" s="8" t="n"/>
      <c r="E38" s="9">
        <f>IF(B38="","",IF(B38="OWN","Yes","No"))</f>
        <v/>
      </c>
      <c r="AF38" s="9">
        <f>IF(ISNUMBER(Z38),IF(Z38&lt;=2,"&lt;=2 d",IF(Z38&lt;=7,"3-7 d",IF(Z38&lt;=30,"8-30 d","&gt;30 d"))),IF(AE38&lt;&gt;"",AE38,IF(Z38="NR","NR","")))</f>
        <v/>
      </c>
      <c r="AX38" s="9">
        <f>IF(ISNUMBER(AW38),IF(AW38&gt;450,"Yes","No"),IF(AW38="NR","NR",""))</f>
        <v/>
      </c>
      <c r="BJ38" s="9">
        <f>IF(BB38="","",IF(BB38="Non-viable","Non-viable",IF(BB38="Viable","Viable",IF(BB38="Partially non-viable",IF(OR(BD38="Total splenectomy",BD38="Partial splenectomy +/- splenopexy"),"Non-viable","Review"),IF(BB38="NR",IF(OR(BD38="Total splenectomy",BD38="Partial splenectomy +/- splenopexy"),"NR - removed, check reason","NR"),"Not applicable")))))</f>
        <v/>
      </c>
    </row>
    <row r="39">
      <c r="D39" s="8" t="n"/>
      <c r="E39" s="9">
        <f>IF(B39="","",IF(B39="OWN","Yes","No"))</f>
        <v/>
      </c>
      <c r="AF39" s="9">
        <f>IF(ISNUMBER(Z39),IF(Z39&lt;=2,"&lt;=2 d",IF(Z39&lt;=7,"3-7 d",IF(Z39&lt;=30,"8-30 d","&gt;30 d"))),IF(AE39&lt;&gt;"",AE39,IF(Z39="NR","NR","")))</f>
        <v/>
      </c>
      <c r="AX39" s="9">
        <f>IF(ISNUMBER(AW39),IF(AW39&gt;450,"Yes","No"),IF(AW39="NR","NR",""))</f>
        <v/>
      </c>
      <c r="BJ39" s="9">
        <f>IF(BB39="","",IF(BB39="Non-viable","Non-viable",IF(BB39="Viable","Viable",IF(BB39="Partially non-viable",IF(OR(BD39="Total splenectomy",BD39="Partial splenectomy +/- splenopexy"),"Non-viable","Review"),IF(BB39="NR",IF(OR(BD39="Total splenectomy",BD39="Partial splenectomy +/- splenopexy"),"NR - removed, check reason","NR"),"Not applicable")))))</f>
        <v/>
      </c>
    </row>
    <row r="40">
      <c r="D40" s="8" t="n"/>
      <c r="E40" s="9">
        <f>IF(B40="","",IF(B40="OWN","Yes","No"))</f>
        <v/>
      </c>
      <c r="AF40" s="9">
        <f>IF(ISNUMBER(Z40),IF(Z40&lt;=2,"&lt;=2 d",IF(Z40&lt;=7,"3-7 d",IF(Z40&lt;=30,"8-30 d","&gt;30 d"))),IF(AE40&lt;&gt;"",AE40,IF(Z40="NR","NR","")))</f>
        <v/>
      </c>
      <c r="AX40" s="9">
        <f>IF(ISNUMBER(AW40),IF(AW40&gt;450,"Yes","No"),IF(AW40="NR","NR",""))</f>
        <v/>
      </c>
      <c r="BJ40" s="9">
        <f>IF(BB40="","",IF(BB40="Non-viable","Non-viable",IF(BB40="Viable","Viable",IF(BB40="Partially non-viable",IF(OR(BD40="Total splenectomy",BD40="Partial splenectomy +/- splenopexy"),"Non-viable","Review"),IF(BB40="NR",IF(OR(BD40="Total splenectomy",BD40="Partial splenectomy +/- splenopexy"),"NR - removed, check reason","NR"),"Not applicable")))))</f>
        <v/>
      </c>
    </row>
    <row r="41">
      <c r="D41" s="8" t="n"/>
      <c r="E41" s="9">
        <f>IF(B41="","",IF(B41="OWN","Yes","No"))</f>
        <v/>
      </c>
      <c r="AF41" s="9">
        <f>IF(ISNUMBER(Z41),IF(Z41&lt;=2,"&lt;=2 d",IF(Z41&lt;=7,"3-7 d",IF(Z41&lt;=30,"8-30 d","&gt;30 d"))),IF(AE41&lt;&gt;"",AE41,IF(Z41="NR","NR","")))</f>
        <v/>
      </c>
      <c r="AX41" s="9">
        <f>IF(ISNUMBER(AW41),IF(AW41&gt;450,"Yes","No"),IF(AW41="NR","NR",""))</f>
        <v/>
      </c>
      <c r="BJ41" s="9">
        <f>IF(BB41="","",IF(BB41="Non-viable","Non-viable",IF(BB41="Viable","Viable",IF(BB41="Partially non-viable",IF(OR(BD41="Total splenectomy",BD41="Partial splenectomy +/- splenopexy"),"Non-viable","Review"),IF(BB41="NR",IF(OR(BD41="Total splenectomy",BD41="Partial splenectomy +/- splenopexy"),"NR - removed, check reason","NR"),"Not applicable")))))</f>
        <v/>
      </c>
    </row>
    <row r="42">
      <c r="D42" s="8" t="n"/>
      <c r="E42" s="9">
        <f>IF(B42="","",IF(B42="OWN","Yes","No"))</f>
        <v/>
      </c>
      <c r="AF42" s="9">
        <f>IF(ISNUMBER(Z42),IF(Z42&lt;=2,"&lt;=2 d",IF(Z42&lt;=7,"3-7 d",IF(Z42&lt;=30,"8-30 d","&gt;30 d"))),IF(AE42&lt;&gt;"",AE42,IF(Z42="NR","NR","")))</f>
        <v/>
      </c>
      <c r="AX42" s="9">
        <f>IF(ISNUMBER(AW42),IF(AW42&gt;450,"Yes","No"),IF(AW42="NR","NR",""))</f>
        <v/>
      </c>
      <c r="BJ42" s="9">
        <f>IF(BB42="","",IF(BB42="Non-viable","Non-viable",IF(BB42="Viable","Viable",IF(BB42="Partially non-viable",IF(OR(BD42="Total splenectomy",BD42="Partial splenectomy +/- splenopexy"),"Non-viable","Review"),IF(BB42="NR",IF(OR(BD42="Total splenectomy",BD42="Partial splenectomy +/- splenopexy"),"NR - removed, check reason","NR"),"Not applicable")))))</f>
        <v/>
      </c>
    </row>
    <row r="43">
      <c r="D43" s="8" t="n"/>
      <c r="E43" s="9">
        <f>IF(B43="","",IF(B43="OWN","Yes","No"))</f>
        <v/>
      </c>
      <c r="AF43" s="9">
        <f>IF(ISNUMBER(Z43),IF(Z43&lt;=2,"&lt;=2 d",IF(Z43&lt;=7,"3-7 d",IF(Z43&lt;=30,"8-30 d","&gt;30 d"))),IF(AE43&lt;&gt;"",AE43,IF(Z43="NR","NR","")))</f>
        <v/>
      </c>
      <c r="AX43" s="9">
        <f>IF(ISNUMBER(AW43),IF(AW43&gt;450,"Yes","No"),IF(AW43="NR","NR",""))</f>
        <v/>
      </c>
      <c r="BJ43" s="9">
        <f>IF(BB43="","",IF(BB43="Non-viable","Non-viable",IF(BB43="Viable","Viable",IF(BB43="Partially non-viable",IF(OR(BD43="Total splenectomy",BD43="Partial splenectomy +/- splenopexy"),"Non-viable","Review"),IF(BB43="NR",IF(OR(BD43="Total splenectomy",BD43="Partial splenectomy +/- splenopexy"),"NR - removed, check reason","NR"),"Not applicable")))))</f>
        <v/>
      </c>
    </row>
    <row r="44">
      <c r="D44" s="8" t="n"/>
      <c r="E44" s="9">
        <f>IF(B44="","",IF(B44="OWN","Yes","No"))</f>
        <v/>
      </c>
      <c r="AF44" s="9">
        <f>IF(ISNUMBER(Z44),IF(Z44&lt;=2,"&lt;=2 d",IF(Z44&lt;=7,"3-7 d",IF(Z44&lt;=30,"8-30 d","&gt;30 d"))),IF(AE44&lt;&gt;"",AE44,IF(Z44="NR","NR","")))</f>
        <v/>
      </c>
      <c r="AX44" s="9">
        <f>IF(ISNUMBER(AW44),IF(AW44&gt;450,"Yes","No"),IF(AW44="NR","NR",""))</f>
        <v/>
      </c>
      <c r="BJ44" s="9">
        <f>IF(BB44="","",IF(BB44="Non-viable","Non-viable",IF(BB44="Viable","Viable",IF(BB44="Partially non-viable",IF(OR(BD44="Total splenectomy",BD44="Partial splenectomy +/- splenopexy"),"Non-viable","Review"),IF(BB44="NR",IF(OR(BD44="Total splenectomy",BD44="Partial splenectomy +/- splenopexy"),"NR - removed, check reason","NR"),"Not applicable")))))</f>
        <v/>
      </c>
    </row>
    <row r="45">
      <c r="D45" s="8" t="n"/>
      <c r="E45" s="9">
        <f>IF(B45="","",IF(B45="OWN","Yes","No"))</f>
        <v/>
      </c>
      <c r="AF45" s="9">
        <f>IF(ISNUMBER(Z45),IF(Z45&lt;=2,"&lt;=2 d",IF(Z45&lt;=7,"3-7 d",IF(Z45&lt;=30,"8-30 d","&gt;30 d"))),IF(AE45&lt;&gt;"",AE45,IF(Z45="NR","NR","")))</f>
        <v/>
      </c>
      <c r="AX45" s="9">
        <f>IF(ISNUMBER(AW45),IF(AW45&gt;450,"Yes","No"),IF(AW45="NR","NR",""))</f>
        <v/>
      </c>
      <c r="BJ45" s="9">
        <f>IF(BB45="","",IF(BB45="Non-viable","Non-viable",IF(BB45="Viable","Viable",IF(BB45="Partially non-viable",IF(OR(BD45="Total splenectomy",BD45="Partial splenectomy +/- splenopexy"),"Non-viable","Review"),IF(BB45="NR",IF(OR(BD45="Total splenectomy",BD45="Partial splenectomy +/- splenopexy"),"NR - removed, check reason","NR"),"Not applicable")))))</f>
        <v/>
      </c>
    </row>
    <row r="46">
      <c r="D46" s="8" t="n"/>
      <c r="E46" s="9">
        <f>IF(B46="","",IF(B46="OWN","Yes","No"))</f>
        <v/>
      </c>
      <c r="AF46" s="9">
        <f>IF(ISNUMBER(Z46),IF(Z46&lt;=2,"&lt;=2 d",IF(Z46&lt;=7,"3-7 d",IF(Z46&lt;=30,"8-30 d","&gt;30 d"))),IF(AE46&lt;&gt;"",AE46,IF(Z46="NR","NR","")))</f>
        <v/>
      </c>
      <c r="AX46" s="9">
        <f>IF(ISNUMBER(AW46),IF(AW46&gt;450,"Yes","No"),IF(AW46="NR","NR",""))</f>
        <v/>
      </c>
      <c r="BJ46" s="9">
        <f>IF(BB46="","",IF(BB46="Non-viable","Non-viable",IF(BB46="Viable","Viable",IF(BB46="Partially non-viable",IF(OR(BD46="Total splenectomy",BD46="Partial splenectomy +/- splenopexy"),"Non-viable","Review"),IF(BB46="NR",IF(OR(BD46="Total splenectomy",BD46="Partial splenectomy +/- splenopexy"),"NR - removed, check reason","NR"),"Not applicable")))))</f>
        <v/>
      </c>
    </row>
    <row r="47">
      <c r="D47" s="8" t="n"/>
      <c r="E47" s="9">
        <f>IF(B47="","",IF(B47="OWN","Yes","No"))</f>
        <v/>
      </c>
      <c r="AF47" s="9">
        <f>IF(ISNUMBER(Z47),IF(Z47&lt;=2,"&lt;=2 d",IF(Z47&lt;=7,"3-7 d",IF(Z47&lt;=30,"8-30 d","&gt;30 d"))),IF(AE47&lt;&gt;"",AE47,IF(Z47="NR","NR","")))</f>
        <v/>
      </c>
      <c r="AX47" s="9">
        <f>IF(ISNUMBER(AW47),IF(AW47&gt;450,"Yes","No"),IF(AW47="NR","NR",""))</f>
        <v/>
      </c>
      <c r="BJ47" s="9">
        <f>IF(BB47="","",IF(BB47="Non-viable","Non-viable",IF(BB47="Viable","Viable",IF(BB47="Partially non-viable",IF(OR(BD47="Total splenectomy",BD47="Partial splenectomy +/- splenopexy"),"Non-viable","Review"),IF(BB47="NR",IF(OR(BD47="Total splenectomy",BD47="Partial splenectomy +/- splenopexy"),"NR - removed, check reason","NR"),"Not applicable")))))</f>
        <v/>
      </c>
    </row>
    <row r="48">
      <c r="D48" s="8" t="n"/>
      <c r="E48" s="9">
        <f>IF(B48="","",IF(B48="OWN","Yes","No"))</f>
        <v/>
      </c>
      <c r="AF48" s="9">
        <f>IF(ISNUMBER(Z48),IF(Z48&lt;=2,"&lt;=2 d",IF(Z48&lt;=7,"3-7 d",IF(Z48&lt;=30,"8-30 d","&gt;30 d"))),IF(AE48&lt;&gt;"",AE48,IF(Z48="NR","NR","")))</f>
        <v/>
      </c>
      <c r="AX48" s="9">
        <f>IF(ISNUMBER(AW48),IF(AW48&gt;450,"Yes","No"),IF(AW48="NR","NR",""))</f>
        <v/>
      </c>
      <c r="BJ48" s="9">
        <f>IF(BB48="","",IF(BB48="Non-viable","Non-viable",IF(BB48="Viable","Viable",IF(BB48="Partially non-viable",IF(OR(BD48="Total splenectomy",BD48="Partial splenectomy +/- splenopexy"),"Non-viable","Review"),IF(BB48="NR",IF(OR(BD48="Total splenectomy",BD48="Partial splenectomy +/- splenopexy"),"NR - removed, check reason","NR"),"Not applicable")))))</f>
        <v/>
      </c>
    </row>
    <row r="49">
      <c r="D49" s="8" t="n"/>
      <c r="E49" s="9">
        <f>IF(B49="","",IF(B49="OWN","Yes","No"))</f>
        <v/>
      </c>
      <c r="AF49" s="9">
        <f>IF(ISNUMBER(Z49),IF(Z49&lt;=2,"&lt;=2 d",IF(Z49&lt;=7,"3-7 d",IF(Z49&lt;=30,"8-30 d","&gt;30 d"))),IF(AE49&lt;&gt;"",AE49,IF(Z49="NR","NR","")))</f>
        <v/>
      </c>
      <c r="AX49" s="9">
        <f>IF(ISNUMBER(AW49),IF(AW49&gt;450,"Yes","No"),IF(AW49="NR","NR",""))</f>
        <v/>
      </c>
      <c r="BJ49" s="9">
        <f>IF(BB49="","",IF(BB49="Non-viable","Non-viable",IF(BB49="Viable","Viable",IF(BB49="Partially non-viable",IF(OR(BD49="Total splenectomy",BD49="Partial splenectomy +/- splenopexy"),"Non-viable","Review"),IF(BB49="NR",IF(OR(BD49="Total splenectomy",BD49="Partial splenectomy +/- splenopexy"),"NR - removed, check reason","NR"),"Not applicable")))))</f>
        <v/>
      </c>
    </row>
    <row r="50">
      <c r="D50" s="8" t="n"/>
      <c r="E50" s="9">
        <f>IF(B50="","",IF(B50="OWN","Yes","No"))</f>
        <v/>
      </c>
      <c r="AF50" s="9">
        <f>IF(ISNUMBER(Z50),IF(Z50&lt;=2,"&lt;=2 d",IF(Z50&lt;=7,"3-7 d",IF(Z50&lt;=30,"8-30 d","&gt;30 d"))),IF(AE50&lt;&gt;"",AE50,IF(Z50="NR","NR","")))</f>
        <v/>
      </c>
      <c r="AX50" s="9">
        <f>IF(ISNUMBER(AW50),IF(AW50&gt;450,"Yes","No"),IF(AW50="NR","NR",""))</f>
        <v/>
      </c>
      <c r="BJ50" s="9">
        <f>IF(BB50="","",IF(BB50="Non-viable","Non-viable",IF(BB50="Viable","Viable",IF(BB50="Partially non-viable",IF(OR(BD50="Total splenectomy",BD50="Partial splenectomy +/- splenopexy"),"Non-viable","Review"),IF(BB50="NR",IF(OR(BD50="Total splenectomy",BD50="Partial splenectomy +/- splenopexy"),"NR - removed, check reason","NR"),"Not applicable")))))</f>
        <v/>
      </c>
    </row>
    <row r="51">
      <c r="D51" s="8" t="n"/>
      <c r="E51" s="9">
        <f>IF(B51="","",IF(B51="OWN","Yes","No"))</f>
        <v/>
      </c>
      <c r="AF51" s="9">
        <f>IF(ISNUMBER(Z51),IF(Z51&lt;=2,"&lt;=2 d",IF(Z51&lt;=7,"3-7 d",IF(Z51&lt;=30,"8-30 d","&gt;30 d"))),IF(AE51&lt;&gt;"",AE51,IF(Z51="NR","NR","")))</f>
        <v/>
      </c>
      <c r="AX51" s="9">
        <f>IF(ISNUMBER(AW51),IF(AW51&gt;450,"Yes","No"),IF(AW51="NR","NR",""))</f>
        <v/>
      </c>
      <c r="BJ51" s="9">
        <f>IF(BB51="","",IF(BB51="Non-viable","Non-viable",IF(BB51="Viable","Viable",IF(BB51="Partially non-viable",IF(OR(BD51="Total splenectomy",BD51="Partial splenectomy +/- splenopexy"),"Non-viable","Review"),IF(BB51="NR",IF(OR(BD51="Total splenectomy",BD51="Partial splenectomy +/- splenopexy"),"NR - removed, check reason","NR"),"Not applicable")))))</f>
        <v/>
      </c>
    </row>
    <row r="52">
      <c r="D52" s="8" t="n"/>
      <c r="E52" s="9">
        <f>IF(B52="","",IF(B52="OWN","Yes","No"))</f>
        <v/>
      </c>
      <c r="AF52" s="9">
        <f>IF(ISNUMBER(Z52),IF(Z52&lt;=2,"&lt;=2 d",IF(Z52&lt;=7,"3-7 d",IF(Z52&lt;=30,"8-30 d","&gt;30 d"))),IF(AE52&lt;&gt;"",AE52,IF(Z52="NR","NR","")))</f>
        <v/>
      </c>
      <c r="AX52" s="9">
        <f>IF(ISNUMBER(AW52),IF(AW52&gt;450,"Yes","No"),IF(AW52="NR","NR",""))</f>
        <v/>
      </c>
      <c r="BJ52" s="9">
        <f>IF(BB52="","",IF(BB52="Non-viable","Non-viable",IF(BB52="Viable","Viable",IF(BB52="Partially non-viable",IF(OR(BD52="Total splenectomy",BD52="Partial splenectomy +/- splenopexy"),"Non-viable","Review"),IF(BB52="NR",IF(OR(BD52="Total splenectomy",BD52="Partial splenectomy +/- splenopexy"),"NR - removed, check reason","NR"),"Not applicable")))))</f>
        <v/>
      </c>
    </row>
    <row r="53">
      <c r="D53" s="8" t="n"/>
      <c r="E53" s="9">
        <f>IF(B53="","",IF(B53="OWN","Yes","No"))</f>
        <v/>
      </c>
      <c r="AF53" s="9">
        <f>IF(ISNUMBER(Z53),IF(Z53&lt;=2,"&lt;=2 d",IF(Z53&lt;=7,"3-7 d",IF(Z53&lt;=30,"8-30 d","&gt;30 d"))),IF(AE53&lt;&gt;"",AE53,IF(Z53="NR","NR","")))</f>
        <v/>
      </c>
      <c r="AX53" s="9">
        <f>IF(ISNUMBER(AW53),IF(AW53&gt;450,"Yes","No"),IF(AW53="NR","NR",""))</f>
        <v/>
      </c>
      <c r="BJ53" s="9">
        <f>IF(BB53="","",IF(BB53="Non-viable","Non-viable",IF(BB53="Viable","Viable",IF(BB53="Partially non-viable",IF(OR(BD53="Total splenectomy",BD53="Partial splenectomy +/- splenopexy"),"Non-viable","Review"),IF(BB53="NR",IF(OR(BD53="Total splenectomy",BD53="Partial splenectomy +/- splenopexy"),"NR - removed, check reason","NR"),"Not applicable")))))</f>
        <v/>
      </c>
    </row>
    <row r="54">
      <c r="D54" s="8" t="n"/>
      <c r="E54" s="9">
        <f>IF(B54="","",IF(B54="OWN","Yes","No"))</f>
        <v/>
      </c>
      <c r="AF54" s="9">
        <f>IF(ISNUMBER(Z54),IF(Z54&lt;=2,"&lt;=2 d",IF(Z54&lt;=7,"3-7 d",IF(Z54&lt;=30,"8-30 d","&gt;30 d"))),IF(AE54&lt;&gt;"",AE54,IF(Z54="NR","NR","")))</f>
        <v/>
      </c>
      <c r="AX54" s="9">
        <f>IF(ISNUMBER(AW54),IF(AW54&gt;450,"Yes","No"),IF(AW54="NR","NR",""))</f>
        <v/>
      </c>
      <c r="BJ54" s="9">
        <f>IF(BB54="","",IF(BB54="Non-viable","Non-viable",IF(BB54="Viable","Viable",IF(BB54="Partially non-viable",IF(OR(BD54="Total splenectomy",BD54="Partial splenectomy +/- splenopexy"),"Non-viable","Review"),IF(BB54="NR",IF(OR(BD54="Total splenectomy",BD54="Partial splenectomy +/- splenopexy"),"NR - removed, check reason","NR"),"Not applicable")))))</f>
        <v/>
      </c>
    </row>
    <row r="55">
      <c r="D55" s="8" t="n"/>
      <c r="E55" s="9">
        <f>IF(B55="","",IF(B55="OWN","Yes","No"))</f>
        <v/>
      </c>
      <c r="AF55" s="9">
        <f>IF(ISNUMBER(Z55),IF(Z55&lt;=2,"&lt;=2 d",IF(Z55&lt;=7,"3-7 d",IF(Z55&lt;=30,"8-30 d","&gt;30 d"))),IF(AE55&lt;&gt;"",AE55,IF(Z55="NR","NR","")))</f>
        <v/>
      </c>
      <c r="AX55" s="9">
        <f>IF(ISNUMBER(AW55),IF(AW55&gt;450,"Yes","No"),IF(AW55="NR","NR",""))</f>
        <v/>
      </c>
      <c r="BJ55" s="9">
        <f>IF(BB55="","",IF(BB55="Non-viable","Non-viable",IF(BB55="Viable","Viable",IF(BB55="Partially non-viable",IF(OR(BD55="Total splenectomy",BD55="Partial splenectomy +/- splenopexy"),"Non-viable","Review"),IF(BB55="NR",IF(OR(BD55="Total splenectomy",BD55="Partial splenectomy +/- splenopexy"),"NR - removed, check reason","NR"),"Not applicable")))))</f>
        <v/>
      </c>
    </row>
    <row r="56">
      <c r="D56" s="8" t="n"/>
      <c r="E56" s="9">
        <f>IF(B56="","",IF(B56="OWN","Yes","No"))</f>
        <v/>
      </c>
      <c r="AF56" s="9">
        <f>IF(ISNUMBER(Z56),IF(Z56&lt;=2,"&lt;=2 d",IF(Z56&lt;=7,"3-7 d",IF(Z56&lt;=30,"8-30 d","&gt;30 d"))),IF(AE56&lt;&gt;"",AE56,IF(Z56="NR","NR","")))</f>
        <v/>
      </c>
      <c r="AX56" s="9">
        <f>IF(ISNUMBER(AW56),IF(AW56&gt;450,"Yes","No"),IF(AW56="NR","NR",""))</f>
        <v/>
      </c>
      <c r="BJ56" s="9">
        <f>IF(BB56="","",IF(BB56="Non-viable","Non-viable",IF(BB56="Viable","Viable",IF(BB56="Partially non-viable",IF(OR(BD56="Total splenectomy",BD56="Partial splenectomy +/- splenopexy"),"Non-viable","Review"),IF(BB56="NR",IF(OR(BD56="Total splenectomy",BD56="Partial splenectomy +/- splenopexy"),"NR - removed, check reason","NR"),"Not applicable")))))</f>
        <v/>
      </c>
    </row>
    <row r="57">
      <c r="D57" s="8" t="n"/>
      <c r="E57" s="9">
        <f>IF(B57="","",IF(B57="OWN","Yes","No"))</f>
        <v/>
      </c>
      <c r="AF57" s="9">
        <f>IF(ISNUMBER(Z57),IF(Z57&lt;=2,"&lt;=2 d",IF(Z57&lt;=7,"3-7 d",IF(Z57&lt;=30,"8-30 d","&gt;30 d"))),IF(AE57&lt;&gt;"",AE57,IF(Z57="NR","NR","")))</f>
        <v/>
      </c>
      <c r="AX57" s="9">
        <f>IF(ISNUMBER(AW57),IF(AW57&gt;450,"Yes","No"),IF(AW57="NR","NR",""))</f>
        <v/>
      </c>
      <c r="BJ57" s="9">
        <f>IF(BB57="","",IF(BB57="Non-viable","Non-viable",IF(BB57="Viable","Viable",IF(BB57="Partially non-viable",IF(OR(BD57="Total splenectomy",BD57="Partial splenectomy +/- splenopexy"),"Non-viable","Review"),IF(BB57="NR",IF(OR(BD57="Total splenectomy",BD57="Partial splenectomy +/- splenopexy"),"NR - removed, check reason","NR"),"Not applicable")))))</f>
        <v/>
      </c>
    </row>
    <row r="58">
      <c r="D58" s="8" t="n"/>
      <c r="E58" s="9">
        <f>IF(B58="","",IF(B58="OWN","Yes","No"))</f>
        <v/>
      </c>
      <c r="AF58" s="9">
        <f>IF(ISNUMBER(Z58),IF(Z58&lt;=2,"&lt;=2 d",IF(Z58&lt;=7,"3-7 d",IF(Z58&lt;=30,"8-30 d","&gt;30 d"))),IF(AE58&lt;&gt;"",AE58,IF(Z58="NR","NR","")))</f>
        <v/>
      </c>
      <c r="AX58" s="9">
        <f>IF(ISNUMBER(AW58),IF(AW58&gt;450,"Yes","No"),IF(AW58="NR","NR",""))</f>
        <v/>
      </c>
      <c r="BJ58" s="9">
        <f>IF(BB58="","",IF(BB58="Non-viable","Non-viable",IF(BB58="Viable","Viable",IF(BB58="Partially non-viable",IF(OR(BD58="Total splenectomy",BD58="Partial splenectomy +/- splenopexy"),"Non-viable","Review"),IF(BB58="NR",IF(OR(BD58="Total splenectomy",BD58="Partial splenectomy +/- splenopexy"),"NR - removed, check reason","NR"),"Not applicable")))))</f>
        <v/>
      </c>
    </row>
    <row r="59">
      <c r="D59" s="8" t="n"/>
      <c r="E59" s="9">
        <f>IF(B59="","",IF(B59="OWN","Yes","No"))</f>
        <v/>
      </c>
      <c r="AF59" s="9">
        <f>IF(ISNUMBER(Z59),IF(Z59&lt;=2,"&lt;=2 d",IF(Z59&lt;=7,"3-7 d",IF(Z59&lt;=30,"8-30 d","&gt;30 d"))),IF(AE59&lt;&gt;"",AE59,IF(Z59="NR","NR","")))</f>
        <v/>
      </c>
      <c r="AX59" s="9">
        <f>IF(ISNUMBER(AW59),IF(AW59&gt;450,"Yes","No"),IF(AW59="NR","NR",""))</f>
        <v/>
      </c>
      <c r="BJ59" s="9">
        <f>IF(BB59="","",IF(BB59="Non-viable","Non-viable",IF(BB59="Viable","Viable",IF(BB59="Partially non-viable",IF(OR(BD59="Total splenectomy",BD59="Partial splenectomy +/- splenopexy"),"Non-viable","Review"),IF(BB59="NR",IF(OR(BD59="Total splenectomy",BD59="Partial splenectomy +/- splenopexy"),"NR - removed, check reason","NR"),"Not applicable")))))</f>
        <v/>
      </c>
    </row>
    <row r="60">
      <c r="D60" s="8" t="n"/>
      <c r="E60" s="9">
        <f>IF(B60="","",IF(B60="OWN","Yes","No"))</f>
        <v/>
      </c>
      <c r="AF60" s="9">
        <f>IF(ISNUMBER(Z60),IF(Z60&lt;=2,"&lt;=2 d",IF(Z60&lt;=7,"3-7 d",IF(Z60&lt;=30,"8-30 d","&gt;30 d"))),IF(AE60&lt;&gt;"",AE60,IF(Z60="NR","NR","")))</f>
        <v/>
      </c>
      <c r="AX60" s="9">
        <f>IF(ISNUMBER(AW60),IF(AW60&gt;450,"Yes","No"),IF(AW60="NR","NR",""))</f>
        <v/>
      </c>
      <c r="BJ60" s="9">
        <f>IF(BB60="","",IF(BB60="Non-viable","Non-viable",IF(BB60="Viable","Viable",IF(BB60="Partially non-viable",IF(OR(BD60="Total splenectomy",BD60="Partial splenectomy +/- splenopexy"),"Non-viable","Review"),IF(BB60="NR",IF(OR(BD60="Total splenectomy",BD60="Partial splenectomy +/- splenopexy"),"NR - removed, check reason","NR"),"Not applicable")))))</f>
        <v/>
      </c>
    </row>
    <row r="61">
      <c r="D61" s="8" t="n"/>
      <c r="E61" s="9">
        <f>IF(B61="","",IF(B61="OWN","Yes","No"))</f>
        <v/>
      </c>
      <c r="AF61" s="9">
        <f>IF(ISNUMBER(Z61),IF(Z61&lt;=2,"&lt;=2 d",IF(Z61&lt;=7,"3-7 d",IF(Z61&lt;=30,"8-30 d","&gt;30 d"))),IF(AE61&lt;&gt;"",AE61,IF(Z61="NR","NR","")))</f>
        <v/>
      </c>
      <c r="AX61" s="9">
        <f>IF(ISNUMBER(AW61),IF(AW61&gt;450,"Yes","No"),IF(AW61="NR","NR",""))</f>
        <v/>
      </c>
      <c r="BJ61" s="9">
        <f>IF(BB61="","",IF(BB61="Non-viable","Non-viable",IF(BB61="Viable","Viable",IF(BB61="Partially non-viable",IF(OR(BD61="Total splenectomy",BD61="Partial splenectomy +/- splenopexy"),"Non-viable","Review"),IF(BB61="NR",IF(OR(BD61="Total splenectomy",BD61="Partial splenectomy +/- splenopexy"),"NR - removed, check reason","NR"),"Not applicable")))))</f>
        <v/>
      </c>
    </row>
    <row r="62">
      <c r="D62" s="8" t="n"/>
      <c r="E62" s="9">
        <f>IF(B62="","",IF(B62="OWN","Yes","No"))</f>
        <v/>
      </c>
      <c r="AF62" s="9">
        <f>IF(ISNUMBER(Z62),IF(Z62&lt;=2,"&lt;=2 d",IF(Z62&lt;=7,"3-7 d",IF(Z62&lt;=30,"8-30 d","&gt;30 d"))),IF(AE62&lt;&gt;"",AE62,IF(Z62="NR","NR","")))</f>
        <v/>
      </c>
      <c r="AX62" s="9">
        <f>IF(ISNUMBER(AW62),IF(AW62&gt;450,"Yes","No"),IF(AW62="NR","NR",""))</f>
        <v/>
      </c>
      <c r="BJ62" s="9">
        <f>IF(BB62="","",IF(BB62="Non-viable","Non-viable",IF(BB62="Viable","Viable",IF(BB62="Partially non-viable",IF(OR(BD62="Total splenectomy",BD62="Partial splenectomy +/- splenopexy"),"Non-viable","Review"),IF(BB62="NR",IF(OR(BD62="Total splenectomy",BD62="Partial splenectomy +/- splenopexy"),"NR - removed, check reason","NR"),"Not applicable")))))</f>
        <v/>
      </c>
    </row>
    <row r="63">
      <c r="D63" s="8" t="n"/>
      <c r="E63" s="9">
        <f>IF(B63="","",IF(B63="OWN","Yes","No"))</f>
        <v/>
      </c>
      <c r="AF63" s="9">
        <f>IF(ISNUMBER(Z63),IF(Z63&lt;=2,"&lt;=2 d",IF(Z63&lt;=7,"3-7 d",IF(Z63&lt;=30,"8-30 d","&gt;30 d"))),IF(AE63&lt;&gt;"",AE63,IF(Z63="NR","NR","")))</f>
        <v/>
      </c>
      <c r="AX63" s="9">
        <f>IF(ISNUMBER(AW63),IF(AW63&gt;450,"Yes","No"),IF(AW63="NR","NR",""))</f>
        <v/>
      </c>
      <c r="BJ63" s="9">
        <f>IF(BB63="","",IF(BB63="Non-viable","Non-viable",IF(BB63="Viable","Viable",IF(BB63="Partially non-viable",IF(OR(BD63="Total splenectomy",BD63="Partial splenectomy +/- splenopexy"),"Non-viable","Review"),IF(BB63="NR",IF(OR(BD63="Total splenectomy",BD63="Partial splenectomy +/- splenopexy"),"NR - removed, check reason","NR"),"Not applicable")))))</f>
        <v/>
      </c>
    </row>
    <row r="64">
      <c r="D64" s="8" t="n"/>
      <c r="E64" s="9">
        <f>IF(B64="","",IF(B64="OWN","Yes","No"))</f>
        <v/>
      </c>
      <c r="AF64" s="9">
        <f>IF(ISNUMBER(Z64),IF(Z64&lt;=2,"&lt;=2 d",IF(Z64&lt;=7,"3-7 d",IF(Z64&lt;=30,"8-30 d","&gt;30 d"))),IF(AE64&lt;&gt;"",AE64,IF(Z64="NR","NR","")))</f>
        <v/>
      </c>
      <c r="AX64" s="9">
        <f>IF(ISNUMBER(AW64),IF(AW64&gt;450,"Yes","No"),IF(AW64="NR","NR",""))</f>
        <v/>
      </c>
      <c r="BJ64" s="9">
        <f>IF(BB64="","",IF(BB64="Non-viable","Non-viable",IF(BB64="Viable","Viable",IF(BB64="Partially non-viable",IF(OR(BD64="Total splenectomy",BD64="Partial splenectomy +/- splenopexy"),"Non-viable","Review"),IF(BB64="NR",IF(OR(BD64="Total splenectomy",BD64="Partial splenectomy +/- splenopexy"),"NR - removed, check reason","NR"),"Not applicable")))))</f>
        <v/>
      </c>
    </row>
    <row r="65">
      <c r="D65" s="8" t="n"/>
      <c r="E65" s="9">
        <f>IF(B65="","",IF(B65="OWN","Yes","No"))</f>
        <v/>
      </c>
      <c r="AF65" s="9">
        <f>IF(ISNUMBER(Z65),IF(Z65&lt;=2,"&lt;=2 d",IF(Z65&lt;=7,"3-7 d",IF(Z65&lt;=30,"8-30 d","&gt;30 d"))),IF(AE65&lt;&gt;"",AE65,IF(Z65="NR","NR","")))</f>
        <v/>
      </c>
      <c r="AX65" s="9">
        <f>IF(ISNUMBER(AW65),IF(AW65&gt;450,"Yes","No"),IF(AW65="NR","NR",""))</f>
        <v/>
      </c>
      <c r="BJ65" s="9">
        <f>IF(BB65="","",IF(BB65="Non-viable","Non-viable",IF(BB65="Viable","Viable",IF(BB65="Partially non-viable",IF(OR(BD65="Total splenectomy",BD65="Partial splenectomy +/- splenopexy"),"Non-viable","Review"),IF(BB65="NR",IF(OR(BD65="Total splenectomy",BD65="Partial splenectomy +/- splenopexy"),"NR - removed, check reason","NR"),"Not applicable")))))</f>
        <v/>
      </c>
    </row>
    <row r="66">
      <c r="D66" s="8" t="n"/>
      <c r="E66" s="9">
        <f>IF(B66="","",IF(B66="OWN","Yes","No"))</f>
        <v/>
      </c>
      <c r="AF66" s="9">
        <f>IF(ISNUMBER(Z66),IF(Z66&lt;=2,"&lt;=2 d",IF(Z66&lt;=7,"3-7 d",IF(Z66&lt;=30,"8-30 d","&gt;30 d"))),IF(AE66&lt;&gt;"",AE66,IF(Z66="NR","NR","")))</f>
        <v/>
      </c>
      <c r="AX66" s="9">
        <f>IF(ISNUMBER(AW66),IF(AW66&gt;450,"Yes","No"),IF(AW66="NR","NR",""))</f>
        <v/>
      </c>
      <c r="BJ66" s="9">
        <f>IF(BB66="","",IF(BB66="Non-viable","Non-viable",IF(BB66="Viable","Viable",IF(BB66="Partially non-viable",IF(OR(BD66="Total splenectomy",BD66="Partial splenectomy +/- splenopexy"),"Non-viable","Review"),IF(BB66="NR",IF(OR(BD66="Total splenectomy",BD66="Partial splenectomy +/- splenopexy"),"NR - removed, check reason","NR"),"Not applicable")))))</f>
        <v/>
      </c>
    </row>
    <row r="67">
      <c r="D67" s="8" t="n"/>
      <c r="E67" s="9">
        <f>IF(B67="","",IF(B67="OWN","Yes","No"))</f>
        <v/>
      </c>
      <c r="AF67" s="9">
        <f>IF(ISNUMBER(Z67),IF(Z67&lt;=2,"&lt;=2 d",IF(Z67&lt;=7,"3-7 d",IF(Z67&lt;=30,"8-30 d","&gt;30 d"))),IF(AE67&lt;&gt;"",AE67,IF(Z67="NR","NR","")))</f>
        <v/>
      </c>
      <c r="AX67" s="9">
        <f>IF(ISNUMBER(AW67),IF(AW67&gt;450,"Yes","No"),IF(AW67="NR","NR",""))</f>
        <v/>
      </c>
      <c r="BJ67" s="9">
        <f>IF(BB67="","",IF(BB67="Non-viable","Non-viable",IF(BB67="Viable","Viable",IF(BB67="Partially non-viable",IF(OR(BD67="Total splenectomy",BD67="Partial splenectomy +/- splenopexy"),"Non-viable","Review"),IF(BB67="NR",IF(OR(BD67="Total splenectomy",BD67="Partial splenectomy +/- splenopexy"),"NR - removed, check reason","NR"),"Not applicable")))))</f>
        <v/>
      </c>
    </row>
    <row r="68">
      <c r="D68" s="8" t="n"/>
      <c r="E68" s="9">
        <f>IF(B68="","",IF(B68="OWN","Yes","No"))</f>
        <v/>
      </c>
      <c r="AF68" s="9">
        <f>IF(ISNUMBER(Z68),IF(Z68&lt;=2,"&lt;=2 d",IF(Z68&lt;=7,"3-7 d",IF(Z68&lt;=30,"8-30 d","&gt;30 d"))),IF(AE68&lt;&gt;"",AE68,IF(Z68="NR","NR","")))</f>
        <v/>
      </c>
      <c r="AX68" s="9">
        <f>IF(ISNUMBER(AW68),IF(AW68&gt;450,"Yes","No"),IF(AW68="NR","NR",""))</f>
        <v/>
      </c>
      <c r="BJ68" s="9">
        <f>IF(BB68="","",IF(BB68="Non-viable","Non-viable",IF(BB68="Viable","Viable",IF(BB68="Partially non-viable",IF(OR(BD68="Total splenectomy",BD68="Partial splenectomy +/- splenopexy"),"Non-viable","Review"),IF(BB68="NR",IF(OR(BD68="Total splenectomy",BD68="Partial splenectomy +/- splenopexy"),"NR - removed, check reason","NR"),"Not applicable")))))</f>
        <v/>
      </c>
    </row>
    <row r="69">
      <c r="D69" s="8" t="n"/>
      <c r="E69" s="9">
        <f>IF(B69="","",IF(B69="OWN","Yes","No"))</f>
        <v/>
      </c>
      <c r="AF69" s="9">
        <f>IF(ISNUMBER(Z69),IF(Z69&lt;=2,"&lt;=2 d",IF(Z69&lt;=7,"3-7 d",IF(Z69&lt;=30,"8-30 d","&gt;30 d"))),IF(AE69&lt;&gt;"",AE69,IF(Z69="NR","NR","")))</f>
        <v/>
      </c>
      <c r="AX69" s="9">
        <f>IF(ISNUMBER(AW69),IF(AW69&gt;450,"Yes","No"),IF(AW69="NR","NR",""))</f>
        <v/>
      </c>
      <c r="BJ69" s="9">
        <f>IF(BB69="","",IF(BB69="Non-viable","Non-viable",IF(BB69="Viable","Viable",IF(BB69="Partially non-viable",IF(OR(BD69="Total splenectomy",BD69="Partial splenectomy +/- splenopexy"),"Non-viable","Review"),IF(BB69="NR",IF(OR(BD69="Total splenectomy",BD69="Partial splenectomy +/- splenopexy"),"NR - removed, check reason","NR"),"Not applicable")))))</f>
        <v/>
      </c>
    </row>
    <row r="70">
      <c r="D70" s="8" t="n"/>
      <c r="E70" s="9">
        <f>IF(B70="","",IF(B70="OWN","Yes","No"))</f>
        <v/>
      </c>
      <c r="AF70" s="9">
        <f>IF(ISNUMBER(Z70),IF(Z70&lt;=2,"&lt;=2 d",IF(Z70&lt;=7,"3-7 d",IF(Z70&lt;=30,"8-30 d","&gt;30 d"))),IF(AE70&lt;&gt;"",AE70,IF(Z70="NR","NR","")))</f>
        <v/>
      </c>
      <c r="AX70" s="9">
        <f>IF(ISNUMBER(AW70),IF(AW70&gt;450,"Yes","No"),IF(AW70="NR","NR",""))</f>
        <v/>
      </c>
      <c r="BJ70" s="9">
        <f>IF(BB70="","",IF(BB70="Non-viable","Non-viable",IF(BB70="Viable","Viable",IF(BB70="Partially non-viable",IF(OR(BD70="Total splenectomy",BD70="Partial splenectomy +/- splenopexy"),"Non-viable","Review"),IF(BB70="NR",IF(OR(BD70="Total splenectomy",BD70="Partial splenectomy +/- splenopexy"),"NR - removed, check reason","NR"),"Not applicable")))))</f>
        <v/>
      </c>
    </row>
    <row r="71">
      <c r="D71" s="8" t="n"/>
      <c r="E71" s="9">
        <f>IF(B71="","",IF(B71="OWN","Yes","No"))</f>
        <v/>
      </c>
      <c r="AF71" s="9">
        <f>IF(ISNUMBER(Z71),IF(Z71&lt;=2,"&lt;=2 d",IF(Z71&lt;=7,"3-7 d",IF(Z71&lt;=30,"8-30 d","&gt;30 d"))),IF(AE71&lt;&gt;"",AE71,IF(Z71="NR","NR","")))</f>
        <v/>
      </c>
      <c r="AX71" s="9">
        <f>IF(ISNUMBER(AW71),IF(AW71&gt;450,"Yes","No"),IF(AW71="NR","NR",""))</f>
        <v/>
      </c>
      <c r="BJ71" s="9">
        <f>IF(BB71="","",IF(BB71="Non-viable","Non-viable",IF(BB71="Viable","Viable",IF(BB71="Partially non-viable",IF(OR(BD71="Total splenectomy",BD71="Partial splenectomy +/- splenopexy"),"Non-viable","Review"),IF(BB71="NR",IF(OR(BD71="Total splenectomy",BD71="Partial splenectomy +/- splenopexy"),"NR - removed, check reason","NR"),"Not applicable")))))</f>
        <v/>
      </c>
    </row>
    <row r="72">
      <c r="D72" s="8" t="n"/>
      <c r="E72" s="9">
        <f>IF(B72="","",IF(B72="OWN","Yes","No"))</f>
        <v/>
      </c>
      <c r="AF72" s="9">
        <f>IF(ISNUMBER(Z72),IF(Z72&lt;=2,"&lt;=2 d",IF(Z72&lt;=7,"3-7 d",IF(Z72&lt;=30,"8-30 d","&gt;30 d"))),IF(AE72&lt;&gt;"",AE72,IF(Z72="NR","NR","")))</f>
        <v/>
      </c>
      <c r="AX72" s="9">
        <f>IF(ISNUMBER(AW72),IF(AW72&gt;450,"Yes","No"),IF(AW72="NR","NR",""))</f>
        <v/>
      </c>
      <c r="BJ72" s="9">
        <f>IF(BB72="","",IF(BB72="Non-viable","Non-viable",IF(BB72="Viable","Viable",IF(BB72="Partially non-viable",IF(OR(BD72="Total splenectomy",BD72="Partial splenectomy +/- splenopexy"),"Non-viable","Review"),IF(BB72="NR",IF(OR(BD72="Total splenectomy",BD72="Partial splenectomy +/- splenopexy"),"NR - removed, check reason","NR"),"Not applicable")))))</f>
        <v/>
      </c>
    </row>
    <row r="73">
      <c r="D73" s="8" t="n"/>
      <c r="E73" s="9">
        <f>IF(B73="","",IF(B73="OWN","Yes","No"))</f>
        <v/>
      </c>
      <c r="AF73" s="9">
        <f>IF(ISNUMBER(Z73),IF(Z73&lt;=2,"&lt;=2 d",IF(Z73&lt;=7,"3-7 d",IF(Z73&lt;=30,"8-30 d","&gt;30 d"))),IF(AE73&lt;&gt;"",AE73,IF(Z73="NR","NR","")))</f>
        <v/>
      </c>
      <c r="AX73" s="9">
        <f>IF(ISNUMBER(AW73),IF(AW73&gt;450,"Yes","No"),IF(AW73="NR","NR",""))</f>
        <v/>
      </c>
      <c r="BJ73" s="9">
        <f>IF(BB73="","",IF(BB73="Non-viable","Non-viable",IF(BB73="Viable","Viable",IF(BB73="Partially non-viable",IF(OR(BD73="Total splenectomy",BD73="Partial splenectomy +/- splenopexy"),"Non-viable","Review"),IF(BB73="NR",IF(OR(BD73="Total splenectomy",BD73="Partial splenectomy +/- splenopexy"),"NR - removed, check reason","NR"),"Not applicable")))))</f>
        <v/>
      </c>
    </row>
    <row r="74">
      <c r="D74" s="8" t="n"/>
      <c r="E74" s="9">
        <f>IF(B74="","",IF(B74="OWN","Yes","No"))</f>
        <v/>
      </c>
      <c r="AF74" s="9">
        <f>IF(ISNUMBER(Z74),IF(Z74&lt;=2,"&lt;=2 d",IF(Z74&lt;=7,"3-7 d",IF(Z74&lt;=30,"8-30 d","&gt;30 d"))),IF(AE74&lt;&gt;"",AE74,IF(Z74="NR","NR","")))</f>
        <v/>
      </c>
      <c r="AX74" s="9">
        <f>IF(ISNUMBER(AW74),IF(AW74&gt;450,"Yes","No"),IF(AW74="NR","NR",""))</f>
        <v/>
      </c>
      <c r="BJ74" s="9">
        <f>IF(BB74="","",IF(BB74="Non-viable","Non-viable",IF(BB74="Viable","Viable",IF(BB74="Partially non-viable",IF(OR(BD74="Total splenectomy",BD74="Partial splenectomy +/- splenopexy"),"Non-viable","Review"),IF(BB74="NR",IF(OR(BD74="Total splenectomy",BD74="Partial splenectomy +/- splenopexy"),"NR - removed, check reason","NR"),"Not applicable")))))</f>
        <v/>
      </c>
    </row>
    <row r="75">
      <c r="D75" s="8" t="n"/>
      <c r="E75" s="9">
        <f>IF(B75="","",IF(B75="OWN","Yes","No"))</f>
        <v/>
      </c>
      <c r="AF75" s="9">
        <f>IF(ISNUMBER(Z75),IF(Z75&lt;=2,"&lt;=2 d",IF(Z75&lt;=7,"3-7 d",IF(Z75&lt;=30,"8-30 d","&gt;30 d"))),IF(AE75&lt;&gt;"",AE75,IF(Z75="NR","NR","")))</f>
        <v/>
      </c>
      <c r="AX75" s="9">
        <f>IF(ISNUMBER(AW75),IF(AW75&gt;450,"Yes","No"),IF(AW75="NR","NR",""))</f>
        <v/>
      </c>
      <c r="BJ75" s="9">
        <f>IF(BB75="","",IF(BB75="Non-viable","Non-viable",IF(BB75="Viable","Viable",IF(BB75="Partially non-viable",IF(OR(BD75="Total splenectomy",BD75="Partial splenectomy +/- splenopexy"),"Non-viable","Review"),IF(BB75="NR",IF(OR(BD75="Total splenectomy",BD75="Partial splenectomy +/- splenopexy"),"NR - removed, check reason","NR"),"Not applicable")))))</f>
        <v/>
      </c>
    </row>
    <row r="76">
      <c r="D76" s="8" t="n"/>
      <c r="E76" s="9">
        <f>IF(B76="","",IF(B76="OWN","Yes","No"))</f>
        <v/>
      </c>
      <c r="AF76" s="9">
        <f>IF(ISNUMBER(Z76),IF(Z76&lt;=2,"&lt;=2 d",IF(Z76&lt;=7,"3-7 d",IF(Z76&lt;=30,"8-30 d","&gt;30 d"))),IF(AE76&lt;&gt;"",AE76,IF(Z76="NR","NR","")))</f>
        <v/>
      </c>
      <c r="AX76" s="9">
        <f>IF(ISNUMBER(AW76),IF(AW76&gt;450,"Yes","No"),IF(AW76="NR","NR",""))</f>
        <v/>
      </c>
      <c r="BJ76" s="9">
        <f>IF(BB76="","",IF(BB76="Non-viable","Non-viable",IF(BB76="Viable","Viable",IF(BB76="Partially non-viable",IF(OR(BD76="Total splenectomy",BD76="Partial splenectomy +/- splenopexy"),"Non-viable","Review"),IF(BB76="NR",IF(OR(BD76="Total splenectomy",BD76="Partial splenectomy +/- splenopexy"),"NR - removed, check reason","NR"),"Not applicable")))))</f>
        <v/>
      </c>
    </row>
    <row r="77">
      <c r="D77" s="8" t="n"/>
      <c r="E77" s="9">
        <f>IF(B77="","",IF(B77="OWN","Yes","No"))</f>
        <v/>
      </c>
      <c r="AF77" s="9">
        <f>IF(ISNUMBER(Z77),IF(Z77&lt;=2,"&lt;=2 d",IF(Z77&lt;=7,"3-7 d",IF(Z77&lt;=30,"8-30 d","&gt;30 d"))),IF(AE77&lt;&gt;"",AE77,IF(Z77="NR","NR","")))</f>
        <v/>
      </c>
      <c r="AX77" s="9">
        <f>IF(ISNUMBER(AW77),IF(AW77&gt;450,"Yes","No"),IF(AW77="NR","NR",""))</f>
        <v/>
      </c>
      <c r="BJ77" s="9">
        <f>IF(BB77="","",IF(BB77="Non-viable","Non-viable",IF(BB77="Viable","Viable",IF(BB77="Partially non-viable",IF(OR(BD77="Total splenectomy",BD77="Partial splenectomy +/- splenopexy"),"Non-viable","Review"),IF(BB77="NR",IF(OR(BD77="Total splenectomy",BD77="Partial splenectomy +/- splenopexy"),"NR - removed, check reason","NR"),"Not applicable")))))</f>
        <v/>
      </c>
    </row>
    <row r="78">
      <c r="D78" s="8" t="n"/>
      <c r="E78" s="9">
        <f>IF(B78="","",IF(B78="OWN","Yes","No"))</f>
        <v/>
      </c>
      <c r="AF78" s="9">
        <f>IF(ISNUMBER(Z78),IF(Z78&lt;=2,"&lt;=2 d",IF(Z78&lt;=7,"3-7 d",IF(Z78&lt;=30,"8-30 d","&gt;30 d"))),IF(AE78&lt;&gt;"",AE78,IF(Z78="NR","NR","")))</f>
        <v/>
      </c>
      <c r="AX78" s="9">
        <f>IF(ISNUMBER(AW78),IF(AW78&gt;450,"Yes","No"),IF(AW78="NR","NR",""))</f>
        <v/>
      </c>
      <c r="BJ78" s="9">
        <f>IF(BB78="","",IF(BB78="Non-viable","Non-viable",IF(BB78="Viable","Viable",IF(BB78="Partially non-viable",IF(OR(BD78="Total splenectomy",BD78="Partial splenectomy +/- splenopexy"),"Non-viable","Review"),IF(BB78="NR",IF(OR(BD78="Total splenectomy",BD78="Partial splenectomy +/- splenopexy"),"NR - removed, check reason","NR"),"Not applicable")))))</f>
        <v/>
      </c>
    </row>
    <row r="79">
      <c r="D79" s="8" t="n"/>
      <c r="E79" s="9">
        <f>IF(B79="","",IF(B79="OWN","Yes","No"))</f>
        <v/>
      </c>
      <c r="AF79" s="9">
        <f>IF(ISNUMBER(Z79),IF(Z79&lt;=2,"&lt;=2 d",IF(Z79&lt;=7,"3-7 d",IF(Z79&lt;=30,"8-30 d","&gt;30 d"))),IF(AE79&lt;&gt;"",AE79,IF(Z79="NR","NR","")))</f>
        <v/>
      </c>
      <c r="AX79" s="9">
        <f>IF(ISNUMBER(AW79),IF(AW79&gt;450,"Yes","No"),IF(AW79="NR","NR",""))</f>
        <v/>
      </c>
      <c r="BJ79" s="9">
        <f>IF(BB79="","",IF(BB79="Non-viable","Non-viable",IF(BB79="Viable","Viable",IF(BB79="Partially non-viable",IF(OR(BD79="Total splenectomy",BD79="Partial splenectomy +/- splenopexy"),"Non-viable","Review"),IF(BB79="NR",IF(OR(BD79="Total splenectomy",BD79="Partial splenectomy +/- splenopexy"),"NR - removed, check reason","NR"),"Not applicable")))))</f>
        <v/>
      </c>
    </row>
    <row r="80">
      <c r="D80" s="8" t="n"/>
      <c r="E80" s="9">
        <f>IF(B80="","",IF(B80="OWN","Yes","No"))</f>
        <v/>
      </c>
      <c r="AF80" s="9">
        <f>IF(ISNUMBER(Z80),IF(Z80&lt;=2,"&lt;=2 d",IF(Z80&lt;=7,"3-7 d",IF(Z80&lt;=30,"8-30 d","&gt;30 d"))),IF(AE80&lt;&gt;"",AE80,IF(Z80="NR","NR","")))</f>
        <v/>
      </c>
      <c r="AX80" s="9">
        <f>IF(ISNUMBER(AW80),IF(AW80&gt;450,"Yes","No"),IF(AW80="NR","NR",""))</f>
        <v/>
      </c>
      <c r="BJ80" s="9">
        <f>IF(BB80="","",IF(BB80="Non-viable","Non-viable",IF(BB80="Viable","Viable",IF(BB80="Partially non-viable",IF(OR(BD80="Total splenectomy",BD80="Partial splenectomy +/- splenopexy"),"Non-viable","Review"),IF(BB80="NR",IF(OR(BD80="Total splenectomy",BD80="Partial splenectomy +/- splenopexy"),"NR - removed, check reason","NR"),"Not applicable")))))</f>
        <v/>
      </c>
    </row>
    <row r="81">
      <c r="D81" s="8" t="n"/>
      <c r="E81" s="9">
        <f>IF(B81="","",IF(B81="OWN","Yes","No"))</f>
        <v/>
      </c>
      <c r="AF81" s="9">
        <f>IF(ISNUMBER(Z81),IF(Z81&lt;=2,"&lt;=2 d",IF(Z81&lt;=7,"3-7 d",IF(Z81&lt;=30,"8-30 d","&gt;30 d"))),IF(AE81&lt;&gt;"",AE81,IF(Z81="NR","NR","")))</f>
        <v/>
      </c>
      <c r="AX81" s="9">
        <f>IF(ISNUMBER(AW81),IF(AW81&gt;450,"Yes","No"),IF(AW81="NR","NR",""))</f>
        <v/>
      </c>
      <c r="BJ81" s="9">
        <f>IF(BB81="","",IF(BB81="Non-viable","Non-viable",IF(BB81="Viable","Viable",IF(BB81="Partially non-viable",IF(OR(BD81="Total splenectomy",BD81="Partial splenectomy +/- splenopexy"),"Non-viable","Review"),IF(BB81="NR",IF(OR(BD81="Total splenectomy",BD81="Partial splenectomy +/- splenopexy"),"NR - removed, check reason","NR"),"Not applicable")))))</f>
        <v/>
      </c>
    </row>
    <row r="82">
      <c r="D82" s="8" t="n"/>
      <c r="E82" s="9">
        <f>IF(B82="","",IF(B82="OWN","Yes","No"))</f>
        <v/>
      </c>
      <c r="AF82" s="9">
        <f>IF(ISNUMBER(Z82),IF(Z82&lt;=2,"&lt;=2 d",IF(Z82&lt;=7,"3-7 d",IF(Z82&lt;=30,"8-30 d","&gt;30 d"))),IF(AE82&lt;&gt;"",AE82,IF(Z82="NR","NR","")))</f>
        <v/>
      </c>
      <c r="AX82" s="9">
        <f>IF(ISNUMBER(AW82),IF(AW82&gt;450,"Yes","No"),IF(AW82="NR","NR",""))</f>
        <v/>
      </c>
      <c r="BJ82" s="9">
        <f>IF(BB82="","",IF(BB82="Non-viable","Non-viable",IF(BB82="Viable","Viable",IF(BB82="Partially non-viable",IF(OR(BD82="Total splenectomy",BD82="Partial splenectomy +/- splenopexy"),"Non-viable","Review"),IF(BB82="NR",IF(OR(BD82="Total splenectomy",BD82="Partial splenectomy +/- splenopexy"),"NR - removed, check reason","NR"),"Not applicable")))))</f>
        <v/>
      </c>
    </row>
    <row r="83">
      <c r="D83" s="8" t="n"/>
      <c r="E83" s="9">
        <f>IF(B83="","",IF(B83="OWN","Yes","No"))</f>
        <v/>
      </c>
      <c r="AF83" s="9">
        <f>IF(ISNUMBER(Z83),IF(Z83&lt;=2,"&lt;=2 d",IF(Z83&lt;=7,"3-7 d",IF(Z83&lt;=30,"8-30 d","&gt;30 d"))),IF(AE83&lt;&gt;"",AE83,IF(Z83="NR","NR","")))</f>
        <v/>
      </c>
      <c r="AX83" s="9">
        <f>IF(ISNUMBER(AW83),IF(AW83&gt;450,"Yes","No"),IF(AW83="NR","NR",""))</f>
        <v/>
      </c>
      <c r="BJ83" s="9">
        <f>IF(BB83="","",IF(BB83="Non-viable","Non-viable",IF(BB83="Viable","Viable",IF(BB83="Partially non-viable",IF(OR(BD83="Total splenectomy",BD83="Partial splenectomy +/- splenopexy"),"Non-viable","Review"),IF(BB83="NR",IF(OR(BD83="Total splenectomy",BD83="Partial splenectomy +/- splenopexy"),"NR - removed, check reason","NR"),"Not applicable")))))</f>
        <v/>
      </c>
    </row>
    <row r="84">
      <c r="D84" s="8" t="n"/>
      <c r="E84" s="9">
        <f>IF(B84="","",IF(B84="OWN","Yes","No"))</f>
        <v/>
      </c>
      <c r="AF84" s="9">
        <f>IF(ISNUMBER(Z84),IF(Z84&lt;=2,"&lt;=2 d",IF(Z84&lt;=7,"3-7 d",IF(Z84&lt;=30,"8-30 d","&gt;30 d"))),IF(AE84&lt;&gt;"",AE84,IF(Z84="NR","NR","")))</f>
        <v/>
      </c>
      <c r="AX84" s="9">
        <f>IF(ISNUMBER(AW84),IF(AW84&gt;450,"Yes","No"),IF(AW84="NR","NR",""))</f>
        <v/>
      </c>
      <c r="BJ84" s="9">
        <f>IF(BB84="","",IF(BB84="Non-viable","Non-viable",IF(BB84="Viable","Viable",IF(BB84="Partially non-viable",IF(OR(BD84="Total splenectomy",BD84="Partial splenectomy +/- splenopexy"),"Non-viable","Review"),IF(BB84="NR",IF(OR(BD84="Total splenectomy",BD84="Partial splenectomy +/- splenopexy"),"NR - removed, check reason","NR"),"Not applicable")))))</f>
        <v/>
      </c>
    </row>
    <row r="85">
      <c r="D85" s="8" t="n"/>
      <c r="E85" s="9">
        <f>IF(B85="","",IF(B85="OWN","Yes","No"))</f>
        <v/>
      </c>
      <c r="AF85" s="9">
        <f>IF(ISNUMBER(Z85),IF(Z85&lt;=2,"&lt;=2 d",IF(Z85&lt;=7,"3-7 d",IF(Z85&lt;=30,"8-30 d","&gt;30 d"))),IF(AE85&lt;&gt;"",AE85,IF(Z85="NR","NR","")))</f>
        <v/>
      </c>
      <c r="AX85" s="9">
        <f>IF(ISNUMBER(AW85),IF(AW85&gt;450,"Yes","No"),IF(AW85="NR","NR",""))</f>
        <v/>
      </c>
      <c r="BJ85" s="9">
        <f>IF(BB85="","",IF(BB85="Non-viable","Non-viable",IF(BB85="Viable","Viable",IF(BB85="Partially non-viable",IF(OR(BD85="Total splenectomy",BD85="Partial splenectomy +/- splenopexy"),"Non-viable","Review"),IF(BB85="NR",IF(OR(BD85="Total splenectomy",BD85="Partial splenectomy +/- splenopexy"),"NR - removed, check reason","NR"),"Not applicable")))))</f>
        <v/>
      </c>
    </row>
    <row r="86">
      <c r="D86" s="8" t="n"/>
      <c r="E86" s="9">
        <f>IF(B86="","",IF(B86="OWN","Yes","No"))</f>
        <v/>
      </c>
      <c r="AF86" s="9">
        <f>IF(ISNUMBER(Z86),IF(Z86&lt;=2,"&lt;=2 d",IF(Z86&lt;=7,"3-7 d",IF(Z86&lt;=30,"8-30 d","&gt;30 d"))),IF(AE86&lt;&gt;"",AE86,IF(Z86="NR","NR","")))</f>
        <v/>
      </c>
      <c r="AX86" s="9">
        <f>IF(ISNUMBER(AW86),IF(AW86&gt;450,"Yes","No"),IF(AW86="NR","NR",""))</f>
        <v/>
      </c>
      <c r="BJ86" s="9">
        <f>IF(BB86="","",IF(BB86="Non-viable","Non-viable",IF(BB86="Viable","Viable",IF(BB86="Partially non-viable",IF(OR(BD86="Total splenectomy",BD86="Partial splenectomy +/- splenopexy"),"Non-viable","Review"),IF(BB86="NR",IF(OR(BD86="Total splenectomy",BD86="Partial splenectomy +/- splenopexy"),"NR - removed, check reason","NR"),"Not applicable")))))</f>
        <v/>
      </c>
    </row>
    <row r="87">
      <c r="D87" s="8" t="n"/>
      <c r="E87" s="9">
        <f>IF(B87="","",IF(B87="OWN","Yes","No"))</f>
        <v/>
      </c>
      <c r="AF87" s="9">
        <f>IF(ISNUMBER(Z87),IF(Z87&lt;=2,"&lt;=2 d",IF(Z87&lt;=7,"3-7 d",IF(Z87&lt;=30,"8-30 d","&gt;30 d"))),IF(AE87&lt;&gt;"",AE87,IF(Z87="NR","NR","")))</f>
        <v/>
      </c>
      <c r="AX87" s="9">
        <f>IF(ISNUMBER(AW87),IF(AW87&gt;450,"Yes","No"),IF(AW87="NR","NR",""))</f>
        <v/>
      </c>
      <c r="BJ87" s="9">
        <f>IF(BB87="","",IF(BB87="Non-viable","Non-viable",IF(BB87="Viable","Viable",IF(BB87="Partially non-viable",IF(OR(BD87="Total splenectomy",BD87="Partial splenectomy +/- splenopexy"),"Non-viable","Review"),IF(BB87="NR",IF(OR(BD87="Total splenectomy",BD87="Partial splenectomy +/- splenopexy"),"NR - removed, check reason","NR"),"Not applicable")))))</f>
        <v/>
      </c>
    </row>
    <row r="88">
      <c r="D88" s="8" t="n"/>
      <c r="E88" s="9">
        <f>IF(B88="","",IF(B88="OWN","Yes","No"))</f>
        <v/>
      </c>
      <c r="AF88" s="9">
        <f>IF(ISNUMBER(Z88),IF(Z88&lt;=2,"&lt;=2 d",IF(Z88&lt;=7,"3-7 d",IF(Z88&lt;=30,"8-30 d","&gt;30 d"))),IF(AE88&lt;&gt;"",AE88,IF(Z88="NR","NR","")))</f>
        <v/>
      </c>
      <c r="AX88" s="9">
        <f>IF(ISNUMBER(AW88),IF(AW88&gt;450,"Yes","No"),IF(AW88="NR","NR",""))</f>
        <v/>
      </c>
      <c r="BJ88" s="9">
        <f>IF(BB88="","",IF(BB88="Non-viable","Non-viable",IF(BB88="Viable","Viable",IF(BB88="Partially non-viable",IF(OR(BD88="Total splenectomy",BD88="Partial splenectomy +/- splenopexy"),"Non-viable","Review"),IF(BB88="NR",IF(OR(BD88="Total splenectomy",BD88="Partial splenectomy +/- splenopexy"),"NR - removed, check reason","NR"),"Not applicable")))))</f>
        <v/>
      </c>
    </row>
    <row r="89">
      <c r="D89" s="8" t="n"/>
      <c r="E89" s="9">
        <f>IF(B89="","",IF(B89="OWN","Yes","No"))</f>
        <v/>
      </c>
      <c r="AF89" s="9">
        <f>IF(ISNUMBER(Z89),IF(Z89&lt;=2,"&lt;=2 d",IF(Z89&lt;=7,"3-7 d",IF(Z89&lt;=30,"8-30 d","&gt;30 d"))),IF(AE89&lt;&gt;"",AE89,IF(Z89="NR","NR","")))</f>
        <v/>
      </c>
      <c r="AX89" s="9">
        <f>IF(ISNUMBER(AW89),IF(AW89&gt;450,"Yes","No"),IF(AW89="NR","NR",""))</f>
        <v/>
      </c>
      <c r="BJ89" s="9">
        <f>IF(BB89="","",IF(BB89="Non-viable","Non-viable",IF(BB89="Viable","Viable",IF(BB89="Partially non-viable",IF(OR(BD89="Total splenectomy",BD89="Partial splenectomy +/- splenopexy"),"Non-viable","Review"),IF(BB89="NR",IF(OR(BD89="Total splenectomy",BD89="Partial splenectomy +/- splenopexy"),"NR - removed, check reason","NR"),"Not applicable")))))</f>
        <v/>
      </c>
    </row>
    <row r="90">
      <c r="D90" s="8" t="n"/>
      <c r="E90" s="9">
        <f>IF(B90="","",IF(B90="OWN","Yes","No"))</f>
        <v/>
      </c>
      <c r="AF90" s="9">
        <f>IF(ISNUMBER(Z90),IF(Z90&lt;=2,"&lt;=2 d",IF(Z90&lt;=7,"3-7 d",IF(Z90&lt;=30,"8-30 d","&gt;30 d"))),IF(AE90&lt;&gt;"",AE90,IF(Z90="NR","NR","")))</f>
        <v/>
      </c>
      <c r="AX90" s="9">
        <f>IF(ISNUMBER(AW90),IF(AW90&gt;450,"Yes","No"),IF(AW90="NR","NR",""))</f>
        <v/>
      </c>
      <c r="BJ90" s="9">
        <f>IF(BB90="","",IF(BB90="Non-viable","Non-viable",IF(BB90="Viable","Viable",IF(BB90="Partially non-viable",IF(OR(BD90="Total splenectomy",BD90="Partial splenectomy +/- splenopexy"),"Non-viable","Review"),IF(BB90="NR",IF(OR(BD90="Total splenectomy",BD90="Partial splenectomy +/- splenopexy"),"NR - removed, check reason","NR"),"Not applicable")))))</f>
        <v/>
      </c>
    </row>
    <row r="91">
      <c r="D91" s="8" t="n"/>
      <c r="E91" s="9">
        <f>IF(B91="","",IF(B91="OWN","Yes","No"))</f>
        <v/>
      </c>
      <c r="AF91" s="9">
        <f>IF(ISNUMBER(Z91),IF(Z91&lt;=2,"&lt;=2 d",IF(Z91&lt;=7,"3-7 d",IF(Z91&lt;=30,"8-30 d","&gt;30 d"))),IF(AE91&lt;&gt;"",AE91,IF(Z91="NR","NR","")))</f>
        <v/>
      </c>
      <c r="AX91" s="9">
        <f>IF(ISNUMBER(AW91),IF(AW91&gt;450,"Yes","No"),IF(AW91="NR","NR",""))</f>
        <v/>
      </c>
      <c r="BJ91" s="9">
        <f>IF(BB91="","",IF(BB91="Non-viable","Non-viable",IF(BB91="Viable","Viable",IF(BB91="Partially non-viable",IF(OR(BD91="Total splenectomy",BD91="Partial splenectomy +/- splenopexy"),"Non-viable","Review"),IF(BB91="NR",IF(OR(BD91="Total splenectomy",BD91="Partial splenectomy +/- splenopexy"),"NR - removed, check reason","NR"),"Not applicable")))))</f>
        <v/>
      </c>
    </row>
    <row r="92">
      <c r="D92" s="8" t="n"/>
      <c r="E92" s="9">
        <f>IF(B92="","",IF(B92="OWN","Yes","No"))</f>
        <v/>
      </c>
      <c r="AF92" s="9">
        <f>IF(ISNUMBER(Z92),IF(Z92&lt;=2,"&lt;=2 d",IF(Z92&lt;=7,"3-7 d",IF(Z92&lt;=30,"8-30 d","&gt;30 d"))),IF(AE92&lt;&gt;"",AE92,IF(Z92="NR","NR","")))</f>
        <v/>
      </c>
      <c r="AX92" s="9">
        <f>IF(ISNUMBER(AW92),IF(AW92&gt;450,"Yes","No"),IF(AW92="NR","NR",""))</f>
        <v/>
      </c>
      <c r="BJ92" s="9">
        <f>IF(BB92="","",IF(BB92="Non-viable","Non-viable",IF(BB92="Viable","Viable",IF(BB92="Partially non-viable",IF(OR(BD92="Total splenectomy",BD92="Partial splenectomy +/- splenopexy"),"Non-viable","Review"),IF(BB92="NR",IF(OR(BD92="Total splenectomy",BD92="Partial splenectomy +/- splenopexy"),"NR - removed, check reason","NR"),"Not applicable")))))</f>
        <v/>
      </c>
    </row>
    <row r="93">
      <c r="D93" s="8" t="n"/>
      <c r="E93" s="9">
        <f>IF(B93="","",IF(B93="OWN","Yes","No"))</f>
        <v/>
      </c>
      <c r="AF93" s="9">
        <f>IF(ISNUMBER(Z93),IF(Z93&lt;=2,"&lt;=2 d",IF(Z93&lt;=7,"3-7 d",IF(Z93&lt;=30,"8-30 d","&gt;30 d"))),IF(AE93&lt;&gt;"",AE93,IF(Z93="NR","NR","")))</f>
        <v/>
      </c>
      <c r="AX93" s="9">
        <f>IF(ISNUMBER(AW93),IF(AW93&gt;450,"Yes","No"),IF(AW93="NR","NR",""))</f>
        <v/>
      </c>
      <c r="BJ93" s="9">
        <f>IF(BB93="","",IF(BB93="Non-viable","Non-viable",IF(BB93="Viable","Viable",IF(BB93="Partially non-viable",IF(OR(BD93="Total splenectomy",BD93="Partial splenectomy +/- splenopexy"),"Non-viable","Review"),IF(BB93="NR",IF(OR(BD93="Total splenectomy",BD93="Partial splenectomy +/- splenopexy"),"NR - removed, check reason","NR"),"Not applicable")))))</f>
        <v/>
      </c>
    </row>
    <row r="94">
      <c r="D94" s="8" t="n"/>
      <c r="E94" s="9">
        <f>IF(B94="","",IF(B94="OWN","Yes","No"))</f>
        <v/>
      </c>
      <c r="AF94" s="9">
        <f>IF(ISNUMBER(Z94),IF(Z94&lt;=2,"&lt;=2 d",IF(Z94&lt;=7,"3-7 d",IF(Z94&lt;=30,"8-30 d","&gt;30 d"))),IF(AE94&lt;&gt;"",AE94,IF(Z94="NR","NR","")))</f>
        <v/>
      </c>
      <c r="AX94" s="9">
        <f>IF(ISNUMBER(AW94),IF(AW94&gt;450,"Yes","No"),IF(AW94="NR","NR",""))</f>
        <v/>
      </c>
      <c r="BJ94" s="9">
        <f>IF(BB94="","",IF(BB94="Non-viable","Non-viable",IF(BB94="Viable","Viable",IF(BB94="Partially non-viable",IF(OR(BD94="Total splenectomy",BD94="Partial splenectomy +/- splenopexy"),"Non-viable","Review"),IF(BB94="NR",IF(OR(BD94="Total splenectomy",BD94="Partial splenectomy +/- splenopexy"),"NR - removed, check reason","NR"),"Not applicable")))))</f>
        <v/>
      </c>
    </row>
    <row r="95">
      <c r="D95" s="8" t="n"/>
      <c r="E95" s="9">
        <f>IF(B95="","",IF(B95="OWN","Yes","No"))</f>
        <v/>
      </c>
      <c r="AF95" s="9">
        <f>IF(ISNUMBER(Z95),IF(Z95&lt;=2,"&lt;=2 d",IF(Z95&lt;=7,"3-7 d",IF(Z95&lt;=30,"8-30 d","&gt;30 d"))),IF(AE95&lt;&gt;"",AE95,IF(Z95="NR","NR","")))</f>
        <v/>
      </c>
      <c r="AX95" s="9">
        <f>IF(ISNUMBER(AW95),IF(AW95&gt;450,"Yes","No"),IF(AW95="NR","NR",""))</f>
        <v/>
      </c>
      <c r="BJ95" s="9">
        <f>IF(BB95="","",IF(BB95="Non-viable","Non-viable",IF(BB95="Viable","Viable",IF(BB95="Partially non-viable",IF(OR(BD95="Total splenectomy",BD95="Partial splenectomy +/- splenopexy"),"Non-viable","Review"),IF(BB95="NR",IF(OR(BD95="Total splenectomy",BD95="Partial splenectomy +/- splenopexy"),"NR - removed, check reason","NR"),"Not applicable")))))</f>
        <v/>
      </c>
    </row>
    <row r="96">
      <c r="D96" s="8" t="n"/>
      <c r="E96" s="9">
        <f>IF(B96="","",IF(B96="OWN","Yes","No"))</f>
        <v/>
      </c>
      <c r="AF96" s="9">
        <f>IF(ISNUMBER(Z96),IF(Z96&lt;=2,"&lt;=2 d",IF(Z96&lt;=7,"3-7 d",IF(Z96&lt;=30,"8-30 d","&gt;30 d"))),IF(AE96&lt;&gt;"",AE96,IF(Z96="NR","NR","")))</f>
        <v/>
      </c>
      <c r="AX96" s="9">
        <f>IF(ISNUMBER(AW96),IF(AW96&gt;450,"Yes","No"),IF(AW96="NR","NR",""))</f>
        <v/>
      </c>
      <c r="BJ96" s="9">
        <f>IF(BB96="","",IF(BB96="Non-viable","Non-viable",IF(BB96="Viable","Viable",IF(BB96="Partially non-viable",IF(OR(BD96="Total splenectomy",BD96="Partial splenectomy +/- splenopexy"),"Non-viable","Review"),IF(BB96="NR",IF(OR(BD96="Total splenectomy",BD96="Partial splenectomy +/- splenopexy"),"NR - removed, check reason","NR"),"Not applicable")))))</f>
        <v/>
      </c>
    </row>
    <row r="97">
      <c r="D97" s="8" t="n"/>
      <c r="E97" s="9">
        <f>IF(B97="","",IF(B97="OWN","Yes","No"))</f>
        <v/>
      </c>
      <c r="AF97" s="9">
        <f>IF(ISNUMBER(Z97),IF(Z97&lt;=2,"&lt;=2 d",IF(Z97&lt;=7,"3-7 d",IF(Z97&lt;=30,"8-30 d","&gt;30 d"))),IF(AE97&lt;&gt;"",AE97,IF(Z97="NR","NR","")))</f>
        <v/>
      </c>
      <c r="AX97" s="9">
        <f>IF(ISNUMBER(AW97),IF(AW97&gt;450,"Yes","No"),IF(AW97="NR","NR",""))</f>
        <v/>
      </c>
      <c r="BJ97" s="9">
        <f>IF(BB97="","",IF(BB97="Non-viable","Non-viable",IF(BB97="Viable","Viable",IF(BB97="Partially non-viable",IF(OR(BD97="Total splenectomy",BD97="Partial splenectomy +/- splenopexy"),"Non-viable","Review"),IF(BB97="NR",IF(OR(BD97="Total splenectomy",BD97="Partial splenectomy +/- splenopexy"),"NR - removed, check reason","NR"),"Not applicable")))))</f>
        <v/>
      </c>
    </row>
    <row r="98">
      <c r="D98" s="8" t="n"/>
      <c r="E98" s="9">
        <f>IF(B98="","",IF(B98="OWN","Yes","No"))</f>
        <v/>
      </c>
      <c r="AF98" s="9">
        <f>IF(ISNUMBER(Z98),IF(Z98&lt;=2,"&lt;=2 d",IF(Z98&lt;=7,"3-7 d",IF(Z98&lt;=30,"8-30 d","&gt;30 d"))),IF(AE98&lt;&gt;"",AE98,IF(Z98="NR","NR","")))</f>
        <v/>
      </c>
      <c r="AX98" s="9">
        <f>IF(ISNUMBER(AW98),IF(AW98&gt;450,"Yes","No"),IF(AW98="NR","NR",""))</f>
        <v/>
      </c>
      <c r="BJ98" s="9">
        <f>IF(BB98="","",IF(BB98="Non-viable","Non-viable",IF(BB98="Viable","Viable",IF(BB98="Partially non-viable",IF(OR(BD98="Total splenectomy",BD98="Partial splenectomy +/- splenopexy"),"Non-viable","Review"),IF(BB98="NR",IF(OR(BD98="Total splenectomy",BD98="Partial splenectomy +/- splenopexy"),"NR - removed, check reason","NR"),"Not applicable")))))</f>
        <v/>
      </c>
    </row>
    <row r="99">
      <c r="D99" s="8" t="n"/>
      <c r="E99" s="9">
        <f>IF(B99="","",IF(B99="OWN","Yes","No"))</f>
        <v/>
      </c>
      <c r="AF99" s="9">
        <f>IF(ISNUMBER(Z99),IF(Z99&lt;=2,"&lt;=2 d",IF(Z99&lt;=7,"3-7 d",IF(Z99&lt;=30,"8-30 d","&gt;30 d"))),IF(AE99&lt;&gt;"",AE99,IF(Z99="NR","NR","")))</f>
        <v/>
      </c>
      <c r="AX99" s="9">
        <f>IF(ISNUMBER(AW99),IF(AW99&gt;450,"Yes","No"),IF(AW99="NR","NR",""))</f>
        <v/>
      </c>
      <c r="BJ99" s="9">
        <f>IF(BB99="","",IF(BB99="Non-viable","Non-viable",IF(BB99="Viable","Viable",IF(BB99="Partially non-viable",IF(OR(BD99="Total splenectomy",BD99="Partial splenectomy +/- splenopexy"),"Non-viable","Review"),IF(BB99="NR",IF(OR(BD99="Total splenectomy",BD99="Partial splenectomy +/- splenopexy"),"NR - removed, check reason","NR"),"Not applicable")))))</f>
        <v/>
      </c>
    </row>
    <row r="100">
      <c r="D100" s="8" t="n"/>
      <c r="E100" s="9">
        <f>IF(B100="","",IF(B100="OWN","Yes","No"))</f>
        <v/>
      </c>
      <c r="AF100" s="9">
        <f>IF(ISNUMBER(Z100),IF(Z100&lt;=2,"&lt;=2 d",IF(Z100&lt;=7,"3-7 d",IF(Z100&lt;=30,"8-30 d","&gt;30 d"))),IF(AE100&lt;&gt;"",AE100,IF(Z100="NR","NR","")))</f>
        <v/>
      </c>
      <c r="AX100" s="9">
        <f>IF(ISNUMBER(AW100),IF(AW100&gt;450,"Yes","No"),IF(AW100="NR","NR",""))</f>
        <v/>
      </c>
      <c r="BJ100" s="9">
        <f>IF(BB100="","",IF(BB100="Non-viable","Non-viable",IF(BB100="Viable","Viable",IF(BB100="Partially non-viable",IF(OR(BD100="Total splenectomy",BD100="Partial splenectomy +/- splenopexy"),"Non-viable","Review"),IF(BB100="NR",IF(OR(BD100="Total splenectomy",BD100="Partial splenectomy +/- splenopexy"),"NR - removed, check reason","NR"),"Not applicable")))))</f>
        <v/>
      </c>
    </row>
    <row r="101">
      <c r="D101" s="8" t="n"/>
      <c r="E101" s="9">
        <f>IF(B101="","",IF(B101="OWN","Yes","No"))</f>
        <v/>
      </c>
      <c r="AF101" s="9">
        <f>IF(ISNUMBER(Z101),IF(Z101&lt;=2,"&lt;=2 d",IF(Z101&lt;=7,"3-7 d",IF(Z101&lt;=30,"8-30 d","&gt;30 d"))),IF(AE101&lt;&gt;"",AE101,IF(Z101="NR","NR","")))</f>
        <v/>
      </c>
      <c r="AX101" s="9">
        <f>IF(ISNUMBER(AW101),IF(AW101&gt;450,"Yes","No"),IF(AW101="NR","NR",""))</f>
        <v/>
      </c>
      <c r="BJ101" s="9">
        <f>IF(BB101="","",IF(BB101="Non-viable","Non-viable",IF(BB101="Viable","Viable",IF(BB101="Partially non-viable",IF(OR(BD101="Total splenectomy",BD101="Partial splenectomy +/- splenopexy"),"Non-viable","Review"),IF(BB101="NR",IF(OR(BD101="Total splenectomy",BD101="Partial splenectomy +/- splenopexy"),"NR - removed, check reason","NR"),"Not applicable")))))</f>
        <v/>
      </c>
    </row>
    <row r="102">
      <c r="D102" s="8" t="n"/>
      <c r="E102" s="9">
        <f>IF(B102="","",IF(B102="OWN","Yes","No"))</f>
        <v/>
      </c>
      <c r="AF102" s="9">
        <f>IF(ISNUMBER(Z102),IF(Z102&lt;=2,"&lt;=2 d",IF(Z102&lt;=7,"3-7 d",IF(Z102&lt;=30,"8-30 d","&gt;30 d"))),IF(AE102&lt;&gt;"",AE102,IF(Z102="NR","NR","")))</f>
        <v/>
      </c>
      <c r="AX102" s="9">
        <f>IF(ISNUMBER(AW102),IF(AW102&gt;450,"Yes","No"),IF(AW102="NR","NR",""))</f>
        <v/>
      </c>
      <c r="BJ102" s="9">
        <f>IF(BB102="","",IF(BB102="Non-viable","Non-viable",IF(BB102="Viable","Viable",IF(BB102="Partially non-viable",IF(OR(BD102="Total splenectomy",BD102="Partial splenectomy +/- splenopexy"),"Non-viable","Review"),IF(BB102="NR",IF(OR(BD102="Total splenectomy",BD102="Partial splenectomy +/- splenopexy"),"NR - removed, check reason","NR"),"Not applicable")))))</f>
        <v/>
      </c>
    </row>
    <row r="103">
      <c r="D103" s="8" t="n"/>
      <c r="E103" s="9">
        <f>IF(B103="","",IF(B103="OWN","Yes","No"))</f>
        <v/>
      </c>
      <c r="AF103" s="9">
        <f>IF(ISNUMBER(Z103),IF(Z103&lt;=2,"&lt;=2 d",IF(Z103&lt;=7,"3-7 d",IF(Z103&lt;=30,"8-30 d","&gt;30 d"))),IF(AE103&lt;&gt;"",AE103,IF(Z103="NR","NR","")))</f>
        <v/>
      </c>
      <c r="AX103" s="9">
        <f>IF(ISNUMBER(AW103),IF(AW103&gt;450,"Yes","No"),IF(AW103="NR","NR",""))</f>
        <v/>
      </c>
      <c r="BJ103" s="9">
        <f>IF(BB103="","",IF(BB103="Non-viable","Non-viable",IF(BB103="Viable","Viable",IF(BB103="Partially non-viable",IF(OR(BD103="Total splenectomy",BD103="Partial splenectomy +/- splenopexy"),"Non-viable","Review"),IF(BB103="NR",IF(OR(BD103="Total splenectomy",BD103="Partial splenectomy +/- splenopexy"),"NR - removed, check reason","NR"),"Not applicable")))))</f>
        <v/>
      </c>
    </row>
    <row r="104">
      <c r="D104" s="8" t="n"/>
      <c r="E104" s="9">
        <f>IF(B104="","",IF(B104="OWN","Yes","No"))</f>
        <v/>
      </c>
      <c r="AF104" s="9">
        <f>IF(ISNUMBER(Z104),IF(Z104&lt;=2,"&lt;=2 d",IF(Z104&lt;=7,"3-7 d",IF(Z104&lt;=30,"8-30 d","&gt;30 d"))),IF(AE104&lt;&gt;"",AE104,IF(Z104="NR","NR","")))</f>
        <v/>
      </c>
      <c r="AX104" s="9">
        <f>IF(ISNUMBER(AW104),IF(AW104&gt;450,"Yes","No"),IF(AW104="NR","NR",""))</f>
        <v/>
      </c>
      <c r="BJ104" s="9">
        <f>IF(BB104="","",IF(BB104="Non-viable","Non-viable",IF(BB104="Viable","Viable",IF(BB104="Partially non-viable",IF(OR(BD104="Total splenectomy",BD104="Partial splenectomy +/- splenopexy"),"Non-viable","Review"),IF(BB104="NR",IF(OR(BD104="Total splenectomy",BD104="Partial splenectomy +/- splenopexy"),"NR - removed, check reason","NR"),"Not applicable")))))</f>
        <v/>
      </c>
    </row>
    <row r="105">
      <c r="D105" s="8" t="n"/>
      <c r="E105" s="9">
        <f>IF(B105="","",IF(B105="OWN","Yes","No"))</f>
        <v/>
      </c>
      <c r="AF105" s="9">
        <f>IF(ISNUMBER(Z105),IF(Z105&lt;=2,"&lt;=2 d",IF(Z105&lt;=7,"3-7 d",IF(Z105&lt;=30,"8-30 d","&gt;30 d"))),IF(AE105&lt;&gt;"",AE105,IF(Z105="NR","NR","")))</f>
        <v/>
      </c>
      <c r="AX105" s="9">
        <f>IF(ISNUMBER(AW105),IF(AW105&gt;450,"Yes","No"),IF(AW105="NR","NR",""))</f>
        <v/>
      </c>
      <c r="BJ105" s="9">
        <f>IF(BB105="","",IF(BB105="Non-viable","Non-viable",IF(BB105="Viable","Viable",IF(BB105="Partially non-viable",IF(OR(BD105="Total splenectomy",BD105="Partial splenectomy +/- splenopexy"),"Non-viable","Review"),IF(BB105="NR",IF(OR(BD105="Total splenectomy",BD105="Partial splenectomy +/- splenopexy"),"NR - removed, check reason","NR"),"Not applicable")))))</f>
        <v/>
      </c>
    </row>
    <row r="106">
      <c r="D106" s="8" t="n"/>
      <c r="E106" s="9">
        <f>IF(B106="","",IF(B106="OWN","Yes","No"))</f>
        <v/>
      </c>
      <c r="AF106" s="9">
        <f>IF(ISNUMBER(Z106),IF(Z106&lt;=2,"&lt;=2 d",IF(Z106&lt;=7,"3-7 d",IF(Z106&lt;=30,"8-30 d","&gt;30 d"))),IF(AE106&lt;&gt;"",AE106,IF(Z106="NR","NR","")))</f>
        <v/>
      </c>
      <c r="AX106" s="9">
        <f>IF(ISNUMBER(AW106),IF(AW106&gt;450,"Yes","No"),IF(AW106="NR","NR",""))</f>
        <v/>
      </c>
      <c r="BJ106" s="9">
        <f>IF(BB106="","",IF(BB106="Non-viable","Non-viable",IF(BB106="Viable","Viable",IF(BB106="Partially non-viable",IF(OR(BD106="Total splenectomy",BD106="Partial splenectomy +/- splenopexy"),"Non-viable","Review"),IF(BB106="NR",IF(OR(BD106="Total splenectomy",BD106="Partial splenectomy +/- splenopexy"),"NR - removed, check reason","NR"),"Not applicable")))))</f>
        <v/>
      </c>
    </row>
    <row r="107">
      <c r="D107" s="8" t="n"/>
      <c r="E107" s="9">
        <f>IF(B107="","",IF(B107="OWN","Yes","No"))</f>
        <v/>
      </c>
      <c r="AF107" s="9">
        <f>IF(ISNUMBER(Z107),IF(Z107&lt;=2,"&lt;=2 d",IF(Z107&lt;=7,"3-7 d",IF(Z107&lt;=30,"8-30 d","&gt;30 d"))),IF(AE107&lt;&gt;"",AE107,IF(Z107="NR","NR","")))</f>
        <v/>
      </c>
      <c r="AX107" s="9">
        <f>IF(ISNUMBER(AW107),IF(AW107&gt;450,"Yes","No"),IF(AW107="NR","NR",""))</f>
        <v/>
      </c>
      <c r="BJ107" s="9">
        <f>IF(BB107="","",IF(BB107="Non-viable","Non-viable",IF(BB107="Viable","Viable",IF(BB107="Partially non-viable",IF(OR(BD107="Total splenectomy",BD107="Partial splenectomy +/- splenopexy"),"Non-viable","Review"),IF(BB107="NR",IF(OR(BD107="Total splenectomy",BD107="Partial splenectomy +/- splenopexy"),"NR - removed, check reason","NR"),"Not applicable")))))</f>
        <v/>
      </c>
    </row>
    <row r="108">
      <c r="D108" s="8" t="n"/>
      <c r="E108" s="9">
        <f>IF(B108="","",IF(B108="OWN","Yes","No"))</f>
        <v/>
      </c>
      <c r="AF108" s="9">
        <f>IF(ISNUMBER(Z108),IF(Z108&lt;=2,"&lt;=2 d",IF(Z108&lt;=7,"3-7 d",IF(Z108&lt;=30,"8-30 d","&gt;30 d"))),IF(AE108&lt;&gt;"",AE108,IF(Z108="NR","NR","")))</f>
        <v/>
      </c>
      <c r="AX108" s="9">
        <f>IF(ISNUMBER(AW108),IF(AW108&gt;450,"Yes","No"),IF(AW108="NR","NR",""))</f>
        <v/>
      </c>
      <c r="BJ108" s="9">
        <f>IF(BB108="","",IF(BB108="Non-viable","Non-viable",IF(BB108="Viable","Viable",IF(BB108="Partially non-viable",IF(OR(BD108="Total splenectomy",BD108="Partial splenectomy +/- splenopexy"),"Non-viable","Review"),IF(BB108="NR",IF(OR(BD108="Total splenectomy",BD108="Partial splenectomy +/- splenopexy"),"NR - removed, check reason","NR"),"Not applicable")))))</f>
        <v/>
      </c>
    </row>
    <row r="109">
      <c r="D109" s="8" t="n"/>
      <c r="E109" s="9">
        <f>IF(B109="","",IF(B109="OWN","Yes","No"))</f>
        <v/>
      </c>
      <c r="AF109" s="9">
        <f>IF(ISNUMBER(Z109),IF(Z109&lt;=2,"&lt;=2 d",IF(Z109&lt;=7,"3-7 d",IF(Z109&lt;=30,"8-30 d","&gt;30 d"))),IF(AE109&lt;&gt;"",AE109,IF(Z109="NR","NR","")))</f>
        <v/>
      </c>
      <c r="AX109" s="9">
        <f>IF(ISNUMBER(AW109),IF(AW109&gt;450,"Yes","No"),IF(AW109="NR","NR",""))</f>
        <v/>
      </c>
      <c r="BJ109" s="9">
        <f>IF(BB109="","",IF(BB109="Non-viable","Non-viable",IF(BB109="Viable","Viable",IF(BB109="Partially non-viable",IF(OR(BD109="Total splenectomy",BD109="Partial splenectomy +/- splenopexy"),"Non-viable","Review"),IF(BB109="NR",IF(OR(BD109="Total splenectomy",BD109="Partial splenectomy +/- splenopexy"),"NR - removed, check reason","NR"),"Not applicable")))))</f>
        <v/>
      </c>
    </row>
    <row r="110">
      <c r="D110" s="8" t="n"/>
      <c r="E110" s="9">
        <f>IF(B110="","",IF(B110="OWN","Yes","No"))</f>
        <v/>
      </c>
      <c r="AF110" s="9">
        <f>IF(ISNUMBER(Z110),IF(Z110&lt;=2,"&lt;=2 d",IF(Z110&lt;=7,"3-7 d",IF(Z110&lt;=30,"8-30 d","&gt;30 d"))),IF(AE110&lt;&gt;"",AE110,IF(Z110="NR","NR","")))</f>
        <v/>
      </c>
      <c r="AX110" s="9">
        <f>IF(ISNUMBER(AW110),IF(AW110&gt;450,"Yes","No"),IF(AW110="NR","NR",""))</f>
        <v/>
      </c>
      <c r="BJ110" s="9">
        <f>IF(BB110="","",IF(BB110="Non-viable","Non-viable",IF(BB110="Viable","Viable",IF(BB110="Partially non-viable",IF(OR(BD110="Total splenectomy",BD110="Partial splenectomy +/- splenopexy"),"Non-viable","Review"),IF(BB110="NR",IF(OR(BD110="Total splenectomy",BD110="Partial splenectomy +/- splenopexy"),"NR - removed, check reason","NR"),"Not applicable")))))</f>
        <v/>
      </c>
    </row>
    <row r="111">
      <c r="D111" s="8" t="n"/>
      <c r="E111" s="9">
        <f>IF(B111="","",IF(B111="OWN","Yes","No"))</f>
        <v/>
      </c>
      <c r="AF111" s="9">
        <f>IF(ISNUMBER(Z111),IF(Z111&lt;=2,"&lt;=2 d",IF(Z111&lt;=7,"3-7 d",IF(Z111&lt;=30,"8-30 d","&gt;30 d"))),IF(AE111&lt;&gt;"",AE111,IF(Z111="NR","NR","")))</f>
        <v/>
      </c>
      <c r="AX111" s="9">
        <f>IF(ISNUMBER(AW111),IF(AW111&gt;450,"Yes","No"),IF(AW111="NR","NR",""))</f>
        <v/>
      </c>
      <c r="BJ111" s="9">
        <f>IF(BB111="","",IF(BB111="Non-viable","Non-viable",IF(BB111="Viable","Viable",IF(BB111="Partially non-viable",IF(OR(BD111="Total splenectomy",BD111="Partial splenectomy +/- splenopexy"),"Non-viable","Review"),IF(BB111="NR",IF(OR(BD111="Total splenectomy",BD111="Partial splenectomy +/- splenopexy"),"NR - removed, check reason","NR"),"Not applicable")))))</f>
        <v/>
      </c>
    </row>
    <row r="112">
      <c r="D112" s="8" t="n"/>
      <c r="E112" s="9">
        <f>IF(B112="","",IF(B112="OWN","Yes","No"))</f>
        <v/>
      </c>
      <c r="AF112" s="9">
        <f>IF(ISNUMBER(Z112),IF(Z112&lt;=2,"&lt;=2 d",IF(Z112&lt;=7,"3-7 d",IF(Z112&lt;=30,"8-30 d","&gt;30 d"))),IF(AE112&lt;&gt;"",AE112,IF(Z112="NR","NR","")))</f>
        <v/>
      </c>
      <c r="AX112" s="9">
        <f>IF(ISNUMBER(AW112),IF(AW112&gt;450,"Yes","No"),IF(AW112="NR","NR",""))</f>
        <v/>
      </c>
      <c r="BJ112" s="9">
        <f>IF(BB112="","",IF(BB112="Non-viable","Non-viable",IF(BB112="Viable","Viable",IF(BB112="Partially non-viable",IF(OR(BD112="Total splenectomy",BD112="Partial splenectomy +/- splenopexy"),"Non-viable","Review"),IF(BB112="NR",IF(OR(BD112="Total splenectomy",BD112="Partial splenectomy +/- splenopexy"),"NR - removed, check reason","NR"),"Not applicable")))))</f>
        <v/>
      </c>
    </row>
    <row r="113">
      <c r="D113" s="8" t="n"/>
      <c r="E113" s="9">
        <f>IF(B113="","",IF(B113="OWN","Yes","No"))</f>
        <v/>
      </c>
      <c r="AF113" s="9">
        <f>IF(ISNUMBER(Z113),IF(Z113&lt;=2,"&lt;=2 d",IF(Z113&lt;=7,"3-7 d",IF(Z113&lt;=30,"8-30 d","&gt;30 d"))),IF(AE113&lt;&gt;"",AE113,IF(Z113="NR","NR","")))</f>
        <v/>
      </c>
      <c r="AX113" s="9">
        <f>IF(ISNUMBER(AW113),IF(AW113&gt;450,"Yes","No"),IF(AW113="NR","NR",""))</f>
        <v/>
      </c>
      <c r="BJ113" s="9">
        <f>IF(BB113="","",IF(BB113="Non-viable","Non-viable",IF(BB113="Viable","Viable",IF(BB113="Partially non-viable",IF(OR(BD113="Total splenectomy",BD113="Partial splenectomy +/- splenopexy"),"Non-viable","Review"),IF(BB113="NR",IF(OR(BD113="Total splenectomy",BD113="Partial splenectomy +/- splenopexy"),"NR - removed, check reason","NR"),"Not applicable")))))</f>
        <v/>
      </c>
    </row>
    <row r="114">
      <c r="D114" s="8" t="n"/>
      <c r="E114" s="9">
        <f>IF(B114="","",IF(B114="OWN","Yes","No"))</f>
        <v/>
      </c>
      <c r="AF114" s="9">
        <f>IF(ISNUMBER(Z114),IF(Z114&lt;=2,"&lt;=2 d",IF(Z114&lt;=7,"3-7 d",IF(Z114&lt;=30,"8-30 d","&gt;30 d"))),IF(AE114&lt;&gt;"",AE114,IF(Z114="NR","NR","")))</f>
        <v/>
      </c>
      <c r="AX114" s="9">
        <f>IF(ISNUMBER(AW114),IF(AW114&gt;450,"Yes","No"),IF(AW114="NR","NR",""))</f>
        <v/>
      </c>
      <c r="BJ114" s="9">
        <f>IF(BB114="","",IF(BB114="Non-viable","Non-viable",IF(BB114="Viable","Viable",IF(BB114="Partially non-viable",IF(OR(BD114="Total splenectomy",BD114="Partial splenectomy +/- splenopexy"),"Non-viable","Review"),IF(BB114="NR",IF(OR(BD114="Total splenectomy",BD114="Partial splenectomy +/- splenopexy"),"NR - removed, check reason","NR"),"Not applicable")))))</f>
        <v/>
      </c>
    </row>
    <row r="115">
      <c r="D115" s="8" t="n"/>
      <c r="E115" s="9">
        <f>IF(B115="","",IF(B115="OWN","Yes","No"))</f>
        <v/>
      </c>
      <c r="AF115" s="9">
        <f>IF(ISNUMBER(Z115),IF(Z115&lt;=2,"&lt;=2 d",IF(Z115&lt;=7,"3-7 d",IF(Z115&lt;=30,"8-30 d","&gt;30 d"))),IF(AE115&lt;&gt;"",AE115,IF(Z115="NR","NR","")))</f>
        <v/>
      </c>
      <c r="AX115" s="9">
        <f>IF(ISNUMBER(AW115),IF(AW115&gt;450,"Yes","No"),IF(AW115="NR","NR",""))</f>
        <v/>
      </c>
      <c r="BJ115" s="9">
        <f>IF(BB115="","",IF(BB115="Non-viable","Non-viable",IF(BB115="Viable","Viable",IF(BB115="Partially non-viable",IF(OR(BD115="Total splenectomy",BD115="Partial splenectomy +/- splenopexy"),"Non-viable","Review"),IF(BB115="NR",IF(OR(BD115="Total splenectomy",BD115="Partial splenectomy +/- splenopexy"),"NR - removed, check reason","NR"),"Not applicable")))))</f>
        <v/>
      </c>
    </row>
    <row r="116">
      <c r="D116" s="8" t="n"/>
      <c r="E116" s="9">
        <f>IF(B116="","",IF(B116="OWN","Yes","No"))</f>
        <v/>
      </c>
      <c r="AF116" s="9">
        <f>IF(ISNUMBER(Z116),IF(Z116&lt;=2,"&lt;=2 d",IF(Z116&lt;=7,"3-7 d",IF(Z116&lt;=30,"8-30 d","&gt;30 d"))),IF(AE116&lt;&gt;"",AE116,IF(Z116="NR","NR","")))</f>
        <v/>
      </c>
      <c r="AX116" s="9">
        <f>IF(ISNUMBER(AW116),IF(AW116&gt;450,"Yes","No"),IF(AW116="NR","NR",""))</f>
        <v/>
      </c>
      <c r="BJ116" s="9">
        <f>IF(BB116="","",IF(BB116="Non-viable","Non-viable",IF(BB116="Viable","Viable",IF(BB116="Partially non-viable",IF(OR(BD116="Total splenectomy",BD116="Partial splenectomy +/- splenopexy"),"Non-viable","Review"),IF(BB116="NR",IF(OR(BD116="Total splenectomy",BD116="Partial splenectomy +/- splenopexy"),"NR - removed, check reason","NR"),"Not applicable")))))</f>
        <v/>
      </c>
    </row>
    <row r="117">
      <c r="D117" s="8" t="n"/>
      <c r="E117" s="9">
        <f>IF(B117="","",IF(B117="OWN","Yes","No"))</f>
        <v/>
      </c>
      <c r="AF117" s="9">
        <f>IF(ISNUMBER(Z117),IF(Z117&lt;=2,"&lt;=2 d",IF(Z117&lt;=7,"3-7 d",IF(Z117&lt;=30,"8-30 d","&gt;30 d"))),IF(AE117&lt;&gt;"",AE117,IF(Z117="NR","NR","")))</f>
        <v/>
      </c>
      <c r="AX117" s="9">
        <f>IF(ISNUMBER(AW117),IF(AW117&gt;450,"Yes","No"),IF(AW117="NR","NR",""))</f>
        <v/>
      </c>
      <c r="BJ117" s="9">
        <f>IF(BB117="","",IF(BB117="Non-viable","Non-viable",IF(BB117="Viable","Viable",IF(BB117="Partially non-viable",IF(OR(BD117="Total splenectomy",BD117="Partial splenectomy +/- splenopexy"),"Non-viable","Review"),IF(BB117="NR",IF(OR(BD117="Total splenectomy",BD117="Partial splenectomy +/- splenopexy"),"NR - removed, check reason","NR"),"Not applicable")))))</f>
        <v/>
      </c>
    </row>
    <row r="118">
      <c r="D118" s="8" t="n"/>
      <c r="E118" s="9">
        <f>IF(B118="","",IF(B118="OWN","Yes","No"))</f>
        <v/>
      </c>
      <c r="AF118" s="9">
        <f>IF(ISNUMBER(Z118),IF(Z118&lt;=2,"&lt;=2 d",IF(Z118&lt;=7,"3-7 d",IF(Z118&lt;=30,"8-30 d","&gt;30 d"))),IF(AE118&lt;&gt;"",AE118,IF(Z118="NR","NR","")))</f>
        <v/>
      </c>
      <c r="AX118" s="9">
        <f>IF(ISNUMBER(AW118),IF(AW118&gt;450,"Yes","No"),IF(AW118="NR","NR",""))</f>
        <v/>
      </c>
      <c r="BJ118" s="9">
        <f>IF(BB118="","",IF(BB118="Non-viable","Non-viable",IF(BB118="Viable","Viable",IF(BB118="Partially non-viable",IF(OR(BD118="Total splenectomy",BD118="Partial splenectomy +/- splenopexy"),"Non-viable","Review"),IF(BB118="NR",IF(OR(BD118="Total splenectomy",BD118="Partial splenectomy +/- splenopexy"),"NR - removed, check reason","NR"),"Not applicable")))))</f>
        <v/>
      </c>
    </row>
    <row r="119">
      <c r="D119" s="8" t="n"/>
      <c r="E119" s="9">
        <f>IF(B119="","",IF(B119="OWN","Yes","No"))</f>
        <v/>
      </c>
      <c r="AF119" s="9">
        <f>IF(ISNUMBER(Z119),IF(Z119&lt;=2,"&lt;=2 d",IF(Z119&lt;=7,"3-7 d",IF(Z119&lt;=30,"8-30 d","&gt;30 d"))),IF(AE119&lt;&gt;"",AE119,IF(Z119="NR","NR","")))</f>
        <v/>
      </c>
      <c r="AX119" s="9">
        <f>IF(ISNUMBER(AW119),IF(AW119&gt;450,"Yes","No"),IF(AW119="NR","NR",""))</f>
        <v/>
      </c>
      <c r="BJ119" s="9">
        <f>IF(BB119="","",IF(BB119="Non-viable","Non-viable",IF(BB119="Viable","Viable",IF(BB119="Partially non-viable",IF(OR(BD119="Total splenectomy",BD119="Partial splenectomy +/- splenopexy"),"Non-viable","Review"),IF(BB119="NR",IF(OR(BD119="Total splenectomy",BD119="Partial splenectomy +/- splenopexy"),"NR - removed, check reason","NR"),"Not applicable")))))</f>
        <v/>
      </c>
    </row>
    <row r="120">
      <c r="D120" s="8" t="n"/>
      <c r="E120" s="9">
        <f>IF(B120="","",IF(B120="OWN","Yes","No"))</f>
        <v/>
      </c>
      <c r="AF120" s="9">
        <f>IF(ISNUMBER(Z120),IF(Z120&lt;=2,"&lt;=2 d",IF(Z120&lt;=7,"3-7 d",IF(Z120&lt;=30,"8-30 d","&gt;30 d"))),IF(AE120&lt;&gt;"",AE120,IF(Z120="NR","NR","")))</f>
        <v/>
      </c>
      <c r="AX120" s="9">
        <f>IF(ISNUMBER(AW120),IF(AW120&gt;450,"Yes","No"),IF(AW120="NR","NR",""))</f>
        <v/>
      </c>
      <c r="BJ120" s="9">
        <f>IF(BB120="","",IF(BB120="Non-viable","Non-viable",IF(BB120="Viable","Viable",IF(BB120="Partially non-viable",IF(OR(BD120="Total splenectomy",BD120="Partial splenectomy +/- splenopexy"),"Non-viable","Review"),IF(BB120="NR",IF(OR(BD120="Total splenectomy",BD120="Partial splenectomy +/- splenopexy"),"NR - removed, check reason","NR"),"Not applicable")))))</f>
        <v/>
      </c>
    </row>
    <row r="121">
      <c r="D121" s="8" t="n"/>
      <c r="E121" s="9">
        <f>IF(B121="","",IF(B121="OWN","Yes","No"))</f>
        <v/>
      </c>
      <c r="AF121" s="9">
        <f>IF(ISNUMBER(Z121),IF(Z121&lt;=2,"&lt;=2 d",IF(Z121&lt;=7,"3-7 d",IF(Z121&lt;=30,"8-30 d","&gt;30 d"))),IF(AE121&lt;&gt;"",AE121,IF(Z121="NR","NR","")))</f>
        <v/>
      </c>
      <c r="AX121" s="9">
        <f>IF(ISNUMBER(AW121),IF(AW121&gt;450,"Yes","No"),IF(AW121="NR","NR",""))</f>
        <v/>
      </c>
      <c r="BJ121" s="9">
        <f>IF(BB121="","",IF(BB121="Non-viable","Non-viable",IF(BB121="Viable","Viable",IF(BB121="Partially non-viable",IF(OR(BD121="Total splenectomy",BD121="Partial splenectomy +/- splenopexy"),"Non-viable","Review"),IF(BB121="NR",IF(OR(BD121="Total splenectomy",BD121="Partial splenectomy +/- splenopexy"),"NR - removed, check reason","NR"),"Not applicable")))))</f>
        <v/>
      </c>
    </row>
    <row r="122">
      <c r="D122" s="8" t="n"/>
      <c r="E122" s="9">
        <f>IF(B122="","",IF(B122="OWN","Yes","No"))</f>
        <v/>
      </c>
      <c r="AF122" s="9">
        <f>IF(ISNUMBER(Z122),IF(Z122&lt;=2,"&lt;=2 d",IF(Z122&lt;=7,"3-7 d",IF(Z122&lt;=30,"8-30 d","&gt;30 d"))),IF(AE122&lt;&gt;"",AE122,IF(Z122="NR","NR","")))</f>
        <v/>
      </c>
      <c r="AX122" s="9">
        <f>IF(ISNUMBER(AW122),IF(AW122&gt;450,"Yes","No"),IF(AW122="NR","NR",""))</f>
        <v/>
      </c>
      <c r="BJ122" s="9">
        <f>IF(BB122="","",IF(BB122="Non-viable","Non-viable",IF(BB122="Viable","Viable",IF(BB122="Partially non-viable",IF(OR(BD122="Total splenectomy",BD122="Partial splenectomy +/- splenopexy"),"Non-viable","Review"),IF(BB122="NR",IF(OR(BD122="Total splenectomy",BD122="Partial splenectomy +/- splenopexy"),"NR - removed, check reason","NR"),"Not applicable")))))</f>
        <v/>
      </c>
    </row>
    <row r="123">
      <c r="D123" s="8" t="n"/>
      <c r="E123" s="9">
        <f>IF(B123="","",IF(B123="OWN","Yes","No"))</f>
        <v/>
      </c>
      <c r="AF123" s="9">
        <f>IF(ISNUMBER(Z123),IF(Z123&lt;=2,"&lt;=2 d",IF(Z123&lt;=7,"3-7 d",IF(Z123&lt;=30,"8-30 d","&gt;30 d"))),IF(AE123&lt;&gt;"",AE123,IF(Z123="NR","NR","")))</f>
        <v/>
      </c>
      <c r="AX123" s="9">
        <f>IF(ISNUMBER(AW123),IF(AW123&gt;450,"Yes","No"),IF(AW123="NR","NR",""))</f>
        <v/>
      </c>
      <c r="BJ123" s="9">
        <f>IF(BB123="","",IF(BB123="Non-viable","Non-viable",IF(BB123="Viable","Viable",IF(BB123="Partially non-viable",IF(OR(BD123="Total splenectomy",BD123="Partial splenectomy +/- splenopexy"),"Non-viable","Review"),IF(BB123="NR",IF(OR(BD123="Total splenectomy",BD123="Partial splenectomy +/- splenopexy"),"NR - removed, check reason","NR"),"Not applicable")))))</f>
        <v/>
      </c>
    </row>
    <row r="124">
      <c r="D124" s="8" t="n"/>
      <c r="E124" s="9">
        <f>IF(B124="","",IF(B124="OWN","Yes","No"))</f>
        <v/>
      </c>
      <c r="AF124" s="9">
        <f>IF(ISNUMBER(Z124),IF(Z124&lt;=2,"&lt;=2 d",IF(Z124&lt;=7,"3-7 d",IF(Z124&lt;=30,"8-30 d","&gt;30 d"))),IF(AE124&lt;&gt;"",AE124,IF(Z124="NR","NR","")))</f>
        <v/>
      </c>
      <c r="AX124" s="9">
        <f>IF(ISNUMBER(AW124),IF(AW124&gt;450,"Yes","No"),IF(AW124="NR","NR",""))</f>
        <v/>
      </c>
      <c r="BJ124" s="9">
        <f>IF(BB124="","",IF(BB124="Non-viable","Non-viable",IF(BB124="Viable","Viable",IF(BB124="Partially non-viable",IF(OR(BD124="Total splenectomy",BD124="Partial splenectomy +/- splenopexy"),"Non-viable","Review"),IF(BB124="NR",IF(OR(BD124="Total splenectomy",BD124="Partial splenectomy +/- splenopexy"),"NR - removed, check reason","NR"),"Not applicable")))))</f>
        <v/>
      </c>
    </row>
    <row r="125">
      <c r="D125" s="8" t="n"/>
      <c r="E125" s="9">
        <f>IF(B125="","",IF(B125="OWN","Yes","No"))</f>
        <v/>
      </c>
      <c r="AF125" s="9">
        <f>IF(ISNUMBER(Z125),IF(Z125&lt;=2,"&lt;=2 d",IF(Z125&lt;=7,"3-7 d",IF(Z125&lt;=30,"8-30 d","&gt;30 d"))),IF(AE125&lt;&gt;"",AE125,IF(Z125="NR","NR","")))</f>
        <v/>
      </c>
      <c r="AX125" s="9">
        <f>IF(ISNUMBER(AW125),IF(AW125&gt;450,"Yes","No"),IF(AW125="NR","NR",""))</f>
        <v/>
      </c>
      <c r="BJ125" s="9">
        <f>IF(BB125="","",IF(BB125="Non-viable","Non-viable",IF(BB125="Viable","Viable",IF(BB125="Partially non-viable",IF(OR(BD125="Total splenectomy",BD125="Partial splenectomy +/- splenopexy"),"Non-viable","Review"),IF(BB125="NR",IF(OR(BD125="Total splenectomy",BD125="Partial splenectomy +/- splenopexy"),"NR - removed, check reason","NR"),"Not applicable")))))</f>
        <v/>
      </c>
    </row>
    <row r="126">
      <c r="D126" s="8" t="n"/>
      <c r="E126" s="9">
        <f>IF(B126="","",IF(B126="OWN","Yes","No"))</f>
        <v/>
      </c>
      <c r="AF126" s="9">
        <f>IF(ISNUMBER(Z126),IF(Z126&lt;=2,"&lt;=2 d",IF(Z126&lt;=7,"3-7 d",IF(Z126&lt;=30,"8-30 d","&gt;30 d"))),IF(AE126&lt;&gt;"",AE126,IF(Z126="NR","NR","")))</f>
        <v/>
      </c>
      <c r="AX126" s="9">
        <f>IF(ISNUMBER(AW126),IF(AW126&gt;450,"Yes","No"),IF(AW126="NR","NR",""))</f>
        <v/>
      </c>
      <c r="BJ126" s="9">
        <f>IF(BB126="","",IF(BB126="Non-viable","Non-viable",IF(BB126="Viable","Viable",IF(BB126="Partially non-viable",IF(OR(BD126="Total splenectomy",BD126="Partial splenectomy +/- splenopexy"),"Non-viable","Review"),IF(BB126="NR",IF(OR(BD126="Total splenectomy",BD126="Partial splenectomy +/- splenopexy"),"NR - removed, check reason","NR"),"Not applicable")))))</f>
        <v/>
      </c>
    </row>
    <row r="127">
      <c r="D127" s="8" t="n"/>
      <c r="E127" s="9">
        <f>IF(B127="","",IF(B127="OWN","Yes","No"))</f>
        <v/>
      </c>
      <c r="AF127" s="9">
        <f>IF(ISNUMBER(Z127),IF(Z127&lt;=2,"&lt;=2 d",IF(Z127&lt;=7,"3-7 d",IF(Z127&lt;=30,"8-30 d","&gt;30 d"))),IF(AE127&lt;&gt;"",AE127,IF(Z127="NR","NR","")))</f>
        <v/>
      </c>
      <c r="AX127" s="9">
        <f>IF(ISNUMBER(AW127),IF(AW127&gt;450,"Yes","No"),IF(AW127="NR","NR",""))</f>
        <v/>
      </c>
      <c r="BJ127" s="9">
        <f>IF(BB127="","",IF(BB127="Non-viable","Non-viable",IF(BB127="Viable","Viable",IF(BB127="Partially non-viable",IF(OR(BD127="Total splenectomy",BD127="Partial splenectomy +/- splenopexy"),"Non-viable","Review"),IF(BB127="NR",IF(OR(BD127="Total splenectomy",BD127="Partial splenectomy +/- splenopexy"),"NR - removed, check reason","NR"),"Not applicable")))))</f>
        <v/>
      </c>
    </row>
    <row r="128">
      <c r="D128" s="8" t="n"/>
      <c r="E128" s="9">
        <f>IF(B128="","",IF(B128="OWN","Yes","No"))</f>
        <v/>
      </c>
      <c r="AF128" s="9">
        <f>IF(ISNUMBER(Z128),IF(Z128&lt;=2,"&lt;=2 d",IF(Z128&lt;=7,"3-7 d",IF(Z128&lt;=30,"8-30 d","&gt;30 d"))),IF(AE128&lt;&gt;"",AE128,IF(Z128="NR","NR","")))</f>
        <v/>
      </c>
      <c r="AX128" s="9">
        <f>IF(ISNUMBER(AW128),IF(AW128&gt;450,"Yes","No"),IF(AW128="NR","NR",""))</f>
        <v/>
      </c>
      <c r="BJ128" s="9">
        <f>IF(BB128="","",IF(BB128="Non-viable","Non-viable",IF(BB128="Viable","Viable",IF(BB128="Partially non-viable",IF(OR(BD128="Total splenectomy",BD128="Partial splenectomy +/- splenopexy"),"Non-viable","Review"),IF(BB128="NR",IF(OR(BD128="Total splenectomy",BD128="Partial splenectomy +/- splenopexy"),"NR - removed, check reason","NR"),"Not applicable")))))</f>
        <v/>
      </c>
    </row>
    <row r="129">
      <c r="D129" s="8" t="n"/>
      <c r="E129" s="9">
        <f>IF(B129="","",IF(B129="OWN","Yes","No"))</f>
        <v/>
      </c>
      <c r="AF129" s="9">
        <f>IF(ISNUMBER(Z129),IF(Z129&lt;=2,"&lt;=2 d",IF(Z129&lt;=7,"3-7 d",IF(Z129&lt;=30,"8-30 d","&gt;30 d"))),IF(AE129&lt;&gt;"",AE129,IF(Z129="NR","NR","")))</f>
        <v/>
      </c>
      <c r="AX129" s="9">
        <f>IF(ISNUMBER(AW129),IF(AW129&gt;450,"Yes","No"),IF(AW129="NR","NR",""))</f>
        <v/>
      </c>
      <c r="BJ129" s="9">
        <f>IF(BB129="","",IF(BB129="Non-viable","Non-viable",IF(BB129="Viable","Viable",IF(BB129="Partially non-viable",IF(OR(BD129="Total splenectomy",BD129="Partial splenectomy +/- splenopexy"),"Non-viable","Review"),IF(BB129="NR",IF(OR(BD129="Total splenectomy",BD129="Partial splenectomy +/- splenopexy"),"NR - removed, check reason","NR"),"Not applicable")))))</f>
        <v/>
      </c>
    </row>
    <row r="130">
      <c r="D130" s="8" t="n"/>
      <c r="E130" s="9">
        <f>IF(B130="","",IF(B130="OWN","Yes","No"))</f>
        <v/>
      </c>
      <c r="AF130" s="9">
        <f>IF(ISNUMBER(Z130),IF(Z130&lt;=2,"&lt;=2 d",IF(Z130&lt;=7,"3-7 d",IF(Z130&lt;=30,"8-30 d","&gt;30 d"))),IF(AE130&lt;&gt;"",AE130,IF(Z130="NR","NR","")))</f>
        <v/>
      </c>
      <c r="AX130" s="9">
        <f>IF(ISNUMBER(AW130),IF(AW130&gt;450,"Yes","No"),IF(AW130="NR","NR",""))</f>
        <v/>
      </c>
      <c r="BJ130" s="9">
        <f>IF(BB130="","",IF(BB130="Non-viable","Non-viable",IF(BB130="Viable","Viable",IF(BB130="Partially non-viable",IF(OR(BD130="Total splenectomy",BD130="Partial splenectomy +/- splenopexy"),"Non-viable","Review"),IF(BB130="NR",IF(OR(BD130="Total splenectomy",BD130="Partial splenectomy +/- splenopexy"),"NR - removed, check reason","NR"),"Not applicable")))))</f>
        <v/>
      </c>
    </row>
    <row r="131">
      <c r="D131" s="8" t="n"/>
      <c r="E131" s="9">
        <f>IF(B131="","",IF(B131="OWN","Yes","No"))</f>
        <v/>
      </c>
      <c r="AF131" s="9">
        <f>IF(ISNUMBER(Z131),IF(Z131&lt;=2,"&lt;=2 d",IF(Z131&lt;=7,"3-7 d",IF(Z131&lt;=30,"8-30 d","&gt;30 d"))),IF(AE131&lt;&gt;"",AE131,IF(Z131="NR","NR","")))</f>
        <v/>
      </c>
      <c r="AX131" s="9">
        <f>IF(ISNUMBER(AW131),IF(AW131&gt;450,"Yes","No"),IF(AW131="NR","NR",""))</f>
        <v/>
      </c>
      <c r="BJ131" s="9">
        <f>IF(BB131="","",IF(BB131="Non-viable","Non-viable",IF(BB131="Viable","Viable",IF(BB131="Partially non-viable",IF(OR(BD131="Total splenectomy",BD131="Partial splenectomy +/- splenopexy"),"Non-viable","Review"),IF(BB131="NR",IF(OR(BD131="Total splenectomy",BD131="Partial splenectomy +/- splenopexy"),"NR - removed, check reason","NR"),"Not applicable")))))</f>
        <v/>
      </c>
    </row>
    <row r="132">
      <c r="D132" s="8" t="n"/>
      <c r="E132" s="9">
        <f>IF(B132="","",IF(B132="OWN","Yes","No"))</f>
        <v/>
      </c>
      <c r="AF132" s="9">
        <f>IF(ISNUMBER(Z132),IF(Z132&lt;=2,"&lt;=2 d",IF(Z132&lt;=7,"3-7 d",IF(Z132&lt;=30,"8-30 d","&gt;30 d"))),IF(AE132&lt;&gt;"",AE132,IF(Z132="NR","NR","")))</f>
        <v/>
      </c>
      <c r="AX132" s="9">
        <f>IF(ISNUMBER(AW132),IF(AW132&gt;450,"Yes","No"),IF(AW132="NR","NR",""))</f>
        <v/>
      </c>
      <c r="BJ132" s="9">
        <f>IF(BB132="","",IF(BB132="Non-viable","Non-viable",IF(BB132="Viable","Viable",IF(BB132="Partially non-viable",IF(OR(BD132="Total splenectomy",BD132="Partial splenectomy +/- splenopexy"),"Non-viable","Review"),IF(BB132="NR",IF(OR(BD132="Total splenectomy",BD132="Partial splenectomy +/- splenopexy"),"NR - removed, check reason","NR"),"Not applicable")))))</f>
        <v/>
      </c>
    </row>
    <row r="133">
      <c r="D133" s="8" t="n"/>
      <c r="E133" s="9">
        <f>IF(B133="","",IF(B133="OWN","Yes","No"))</f>
        <v/>
      </c>
      <c r="AF133" s="9">
        <f>IF(ISNUMBER(Z133),IF(Z133&lt;=2,"&lt;=2 d",IF(Z133&lt;=7,"3-7 d",IF(Z133&lt;=30,"8-30 d","&gt;30 d"))),IF(AE133&lt;&gt;"",AE133,IF(Z133="NR","NR","")))</f>
        <v/>
      </c>
      <c r="AX133" s="9">
        <f>IF(ISNUMBER(AW133),IF(AW133&gt;450,"Yes","No"),IF(AW133="NR","NR",""))</f>
        <v/>
      </c>
      <c r="BJ133" s="9">
        <f>IF(BB133="","",IF(BB133="Non-viable","Non-viable",IF(BB133="Viable","Viable",IF(BB133="Partially non-viable",IF(OR(BD133="Total splenectomy",BD133="Partial splenectomy +/- splenopexy"),"Non-viable","Review"),IF(BB133="NR",IF(OR(BD133="Total splenectomy",BD133="Partial splenectomy +/- splenopexy"),"NR - removed, check reason","NR"),"Not applicable")))))</f>
        <v/>
      </c>
    </row>
    <row r="134">
      <c r="D134" s="8" t="n"/>
      <c r="E134" s="9">
        <f>IF(B134="","",IF(B134="OWN","Yes","No"))</f>
        <v/>
      </c>
      <c r="AF134" s="9">
        <f>IF(ISNUMBER(Z134),IF(Z134&lt;=2,"&lt;=2 d",IF(Z134&lt;=7,"3-7 d",IF(Z134&lt;=30,"8-30 d","&gt;30 d"))),IF(AE134&lt;&gt;"",AE134,IF(Z134="NR","NR","")))</f>
        <v/>
      </c>
      <c r="AX134" s="9">
        <f>IF(ISNUMBER(AW134),IF(AW134&gt;450,"Yes","No"),IF(AW134="NR","NR",""))</f>
        <v/>
      </c>
      <c r="BJ134" s="9">
        <f>IF(BB134="","",IF(BB134="Non-viable","Non-viable",IF(BB134="Viable","Viable",IF(BB134="Partially non-viable",IF(OR(BD134="Total splenectomy",BD134="Partial splenectomy +/- splenopexy"),"Non-viable","Review"),IF(BB134="NR",IF(OR(BD134="Total splenectomy",BD134="Partial splenectomy +/- splenopexy"),"NR - removed, check reason","NR"),"Not applicable")))))</f>
        <v/>
      </c>
    </row>
    <row r="135">
      <c r="D135" s="8" t="n"/>
      <c r="E135" s="9">
        <f>IF(B135="","",IF(B135="OWN","Yes","No"))</f>
        <v/>
      </c>
      <c r="AF135" s="9">
        <f>IF(ISNUMBER(Z135),IF(Z135&lt;=2,"&lt;=2 d",IF(Z135&lt;=7,"3-7 d",IF(Z135&lt;=30,"8-30 d","&gt;30 d"))),IF(AE135&lt;&gt;"",AE135,IF(Z135="NR","NR","")))</f>
        <v/>
      </c>
      <c r="AX135" s="9">
        <f>IF(ISNUMBER(AW135),IF(AW135&gt;450,"Yes","No"),IF(AW135="NR","NR",""))</f>
        <v/>
      </c>
      <c r="BJ135" s="9">
        <f>IF(BB135="","",IF(BB135="Non-viable","Non-viable",IF(BB135="Viable","Viable",IF(BB135="Partially non-viable",IF(OR(BD135="Total splenectomy",BD135="Partial splenectomy +/- splenopexy"),"Non-viable","Review"),IF(BB135="NR",IF(OR(BD135="Total splenectomy",BD135="Partial splenectomy +/- splenopexy"),"NR - removed, check reason","NR"),"Not applicable")))))</f>
        <v/>
      </c>
    </row>
    <row r="136">
      <c r="D136" s="8" t="n"/>
      <c r="E136" s="9">
        <f>IF(B136="","",IF(B136="OWN","Yes","No"))</f>
        <v/>
      </c>
      <c r="AF136" s="9">
        <f>IF(ISNUMBER(Z136),IF(Z136&lt;=2,"&lt;=2 d",IF(Z136&lt;=7,"3-7 d",IF(Z136&lt;=30,"8-30 d","&gt;30 d"))),IF(AE136&lt;&gt;"",AE136,IF(Z136="NR","NR","")))</f>
        <v/>
      </c>
      <c r="AX136" s="9">
        <f>IF(ISNUMBER(AW136),IF(AW136&gt;450,"Yes","No"),IF(AW136="NR","NR",""))</f>
        <v/>
      </c>
      <c r="BJ136" s="9">
        <f>IF(BB136="","",IF(BB136="Non-viable","Non-viable",IF(BB136="Viable","Viable",IF(BB136="Partially non-viable",IF(OR(BD136="Total splenectomy",BD136="Partial splenectomy +/- splenopexy"),"Non-viable","Review"),IF(BB136="NR",IF(OR(BD136="Total splenectomy",BD136="Partial splenectomy +/- splenopexy"),"NR - removed, check reason","NR"),"Not applicable")))))</f>
        <v/>
      </c>
    </row>
    <row r="137">
      <c r="D137" s="8" t="n"/>
      <c r="E137" s="9">
        <f>IF(B137="","",IF(B137="OWN","Yes","No"))</f>
        <v/>
      </c>
      <c r="AF137" s="9">
        <f>IF(ISNUMBER(Z137),IF(Z137&lt;=2,"&lt;=2 d",IF(Z137&lt;=7,"3-7 d",IF(Z137&lt;=30,"8-30 d","&gt;30 d"))),IF(AE137&lt;&gt;"",AE137,IF(Z137="NR","NR","")))</f>
        <v/>
      </c>
      <c r="AX137" s="9">
        <f>IF(ISNUMBER(AW137),IF(AW137&gt;450,"Yes","No"),IF(AW137="NR","NR",""))</f>
        <v/>
      </c>
      <c r="BJ137" s="9">
        <f>IF(BB137="","",IF(BB137="Non-viable","Non-viable",IF(BB137="Viable","Viable",IF(BB137="Partially non-viable",IF(OR(BD137="Total splenectomy",BD137="Partial splenectomy +/- splenopexy"),"Non-viable","Review"),IF(BB137="NR",IF(OR(BD137="Total splenectomy",BD137="Partial splenectomy +/- splenopexy"),"NR - removed, check reason","NR"),"Not applicable")))))</f>
        <v/>
      </c>
    </row>
    <row r="138">
      <c r="D138" s="8" t="n"/>
      <c r="E138" s="9">
        <f>IF(B138="","",IF(B138="OWN","Yes","No"))</f>
        <v/>
      </c>
      <c r="AF138" s="9">
        <f>IF(ISNUMBER(Z138),IF(Z138&lt;=2,"&lt;=2 d",IF(Z138&lt;=7,"3-7 d",IF(Z138&lt;=30,"8-30 d","&gt;30 d"))),IF(AE138&lt;&gt;"",AE138,IF(Z138="NR","NR","")))</f>
        <v/>
      </c>
      <c r="AX138" s="9">
        <f>IF(ISNUMBER(AW138),IF(AW138&gt;450,"Yes","No"),IF(AW138="NR","NR",""))</f>
        <v/>
      </c>
      <c r="BJ138" s="9">
        <f>IF(BB138="","",IF(BB138="Non-viable","Non-viable",IF(BB138="Viable","Viable",IF(BB138="Partially non-viable",IF(OR(BD138="Total splenectomy",BD138="Partial splenectomy +/- splenopexy"),"Non-viable","Review"),IF(BB138="NR",IF(OR(BD138="Total splenectomy",BD138="Partial splenectomy +/- splenopexy"),"NR - removed, check reason","NR"),"Not applicable")))))</f>
        <v/>
      </c>
    </row>
    <row r="139">
      <c r="D139" s="8" t="n"/>
      <c r="E139" s="9">
        <f>IF(B139="","",IF(B139="OWN","Yes","No"))</f>
        <v/>
      </c>
      <c r="AF139" s="9">
        <f>IF(ISNUMBER(Z139),IF(Z139&lt;=2,"&lt;=2 d",IF(Z139&lt;=7,"3-7 d",IF(Z139&lt;=30,"8-30 d","&gt;30 d"))),IF(AE139&lt;&gt;"",AE139,IF(Z139="NR","NR","")))</f>
        <v/>
      </c>
      <c r="AX139" s="9">
        <f>IF(ISNUMBER(AW139),IF(AW139&gt;450,"Yes","No"),IF(AW139="NR","NR",""))</f>
        <v/>
      </c>
      <c r="BJ139" s="9">
        <f>IF(BB139="","",IF(BB139="Non-viable","Non-viable",IF(BB139="Viable","Viable",IF(BB139="Partially non-viable",IF(OR(BD139="Total splenectomy",BD139="Partial splenectomy +/- splenopexy"),"Non-viable","Review"),IF(BB139="NR",IF(OR(BD139="Total splenectomy",BD139="Partial splenectomy +/- splenopexy"),"NR - removed, check reason","NR"),"Not applicable")))))</f>
        <v/>
      </c>
    </row>
    <row r="140">
      <c r="D140" s="8" t="n"/>
      <c r="E140" s="9">
        <f>IF(B140="","",IF(B140="OWN","Yes","No"))</f>
        <v/>
      </c>
      <c r="AF140" s="9">
        <f>IF(ISNUMBER(Z140),IF(Z140&lt;=2,"&lt;=2 d",IF(Z140&lt;=7,"3-7 d",IF(Z140&lt;=30,"8-30 d","&gt;30 d"))),IF(AE140&lt;&gt;"",AE140,IF(Z140="NR","NR","")))</f>
        <v/>
      </c>
      <c r="AX140" s="9">
        <f>IF(ISNUMBER(AW140),IF(AW140&gt;450,"Yes","No"),IF(AW140="NR","NR",""))</f>
        <v/>
      </c>
      <c r="BJ140" s="9">
        <f>IF(BB140="","",IF(BB140="Non-viable","Non-viable",IF(BB140="Viable","Viable",IF(BB140="Partially non-viable",IF(OR(BD140="Total splenectomy",BD140="Partial splenectomy +/- splenopexy"),"Non-viable","Review"),IF(BB140="NR",IF(OR(BD140="Total splenectomy",BD140="Partial splenectomy +/- splenopexy"),"NR - removed, check reason","NR"),"Not applicable")))))</f>
        <v/>
      </c>
    </row>
    <row r="141">
      <c r="D141" s="8" t="n"/>
      <c r="E141" s="9">
        <f>IF(B141="","",IF(B141="OWN","Yes","No"))</f>
        <v/>
      </c>
      <c r="AF141" s="9">
        <f>IF(ISNUMBER(Z141),IF(Z141&lt;=2,"&lt;=2 d",IF(Z141&lt;=7,"3-7 d",IF(Z141&lt;=30,"8-30 d","&gt;30 d"))),IF(AE141&lt;&gt;"",AE141,IF(Z141="NR","NR","")))</f>
        <v/>
      </c>
      <c r="AX141" s="9">
        <f>IF(ISNUMBER(AW141),IF(AW141&gt;450,"Yes","No"),IF(AW141="NR","NR",""))</f>
        <v/>
      </c>
      <c r="BJ141" s="9">
        <f>IF(BB141="","",IF(BB141="Non-viable","Non-viable",IF(BB141="Viable","Viable",IF(BB141="Partially non-viable",IF(OR(BD141="Total splenectomy",BD141="Partial splenectomy +/- splenopexy"),"Non-viable","Review"),IF(BB141="NR",IF(OR(BD141="Total splenectomy",BD141="Partial splenectomy +/- splenopexy"),"NR - removed, check reason","NR"),"Not applicable")))))</f>
        <v/>
      </c>
    </row>
    <row r="142">
      <c r="D142" s="8" t="n"/>
      <c r="E142" s="9">
        <f>IF(B142="","",IF(B142="OWN","Yes","No"))</f>
        <v/>
      </c>
      <c r="AF142" s="9">
        <f>IF(ISNUMBER(Z142),IF(Z142&lt;=2,"&lt;=2 d",IF(Z142&lt;=7,"3-7 d",IF(Z142&lt;=30,"8-30 d","&gt;30 d"))),IF(AE142&lt;&gt;"",AE142,IF(Z142="NR","NR","")))</f>
        <v/>
      </c>
      <c r="AX142" s="9">
        <f>IF(ISNUMBER(AW142),IF(AW142&gt;450,"Yes","No"),IF(AW142="NR","NR",""))</f>
        <v/>
      </c>
      <c r="BJ142" s="9">
        <f>IF(BB142="","",IF(BB142="Non-viable","Non-viable",IF(BB142="Viable","Viable",IF(BB142="Partially non-viable",IF(OR(BD142="Total splenectomy",BD142="Partial splenectomy +/- splenopexy"),"Non-viable","Review"),IF(BB142="NR",IF(OR(BD142="Total splenectomy",BD142="Partial splenectomy +/- splenopexy"),"NR - removed, check reason","NR"),"Not applicable")))))</f>
        <v/>
      </c>
    </row>
    <row r="143">
      <c r="D143" s="8" t="n"/>
      <c r="E143" s="9">
        <f>IF(B143="","",IF(B143="OWN","Yes","No"))</f>
        <v/>
      </c>
      <c r="AF143" s="9">
        <f>IF(ISNUMBER(Z143),IF(Z143&lt;=2,"&lt;=2 d",IF(Z143&lt;=7,"3-7 d",IF(Z143&lt;=30,"8-30 d","&gt;30 d"))),IF(AE143&lt;&gt;"",AE143,IF(Z143="NR","NR","")))</f>
        <v/>
      </c>
      <c r="AX143" s="9">
        <f>IF(ISNUMBER(AW143),IF(AW143&gt;450,"Yes","No"),IF(AW143="NR","NR",""))</f>
        <v/>
      </c>
      <c r="BJ143" s="9">
        <f>IF(BB143="","",IF(BB143="Non-viable","Non-viable",IF(BB143="Viable","Viable",IF(BB143="Partially non-viable",IF(OR(BD143="Total splenectomy",BD143="Partial splenectomy +/- splenopexy"),"Non-viable","Review"),IF(BB143="NR",IF(OR(BD143="Total splenectomy",BD143="Partial splenectomy +/- splenopexy"),"NR - removed, check reason","NR"),"Not applicable")))))</f>
        <v/>
      </c>
    </row>
    <row r="144">
      <c r="D144" s="8" t="n"/>
      <c r="E144" s="9">
        <f>IF(B144="","",IF(B144="OWN","Yes","No"))</f>
        <v/>
      </c>
      <c r="AF144" s="9">
        <f>IF(ISNUMBER(Z144),IF(Z144&lt;=2,"&lt;=2 d",IF(Z144&lt;=7,"3-7 d",IF(Z144&lt;=30,"8-30 d","&gt;30 d"))),IF(AE144&lt;&gt;"",AE144,IF(Z144="NR","NR","")))</f>
        <v/>
      </c>
      <c r="AX144" s="9">
        <f>IF(ISNUMBER(AW144),IF(AW144&gt;450,"Yes","No"),IF(AW144="NR","NR",""))</f>
        <v/>
      </c>
      <c r="BJ144" s="9">
        <f>IF(BB144="","",IF(BB144="Non-viable","Non-viable",IF(BB144="Viable","Viable",IF(BB144="Partially non-viable",IF(OR(BD144="Total splenectomy",BD144="Partial splenectomy +/- splenopexy"),"Non-viable","Review"),IF(BB144="NR",IF(OR(BD144="Total splenectomy",BD144="Partial splenectomy +/- splenopexy"),"NR - removed, check reason","NR"),"Not applicable")))))</f>
        <v/>
      </c>
    </row>
    <row r="145">
      <c r="D145" s="8" t="n"/>
      <c r="E145" s="9">
        <f>IF(B145="","",IF(B145="OWN","Yes","No"))</f>
        <v/>
      </c>
      <c r="AF145" s="9">
        <f>IF(ISNUMBER(Z145),IF(Z145&lt;=2,"&lt;=2 d",IF(Z145&lt;=7,"3-7 d",IF(Z145&lt;=30,"8-30 d","&gt;30 d"))),IF(AE145&lt;&gt;"",AE145,IF(Z145="NR","NR","")))</f>
        <v/>
      </c>
      <c r="AX145" s="9">
        <f>IF(ISNUMBER(AW145),IF(AW145&gt;450,"Yes","No"),IF(AW145="NR","NR",""))</f>
        <v/>
      </c>
      <c r="BJ145" s="9">
        <f>IF(BB145="","",IF(BB145="Non-viable","Non-viable",IF(BB145="Viable","Viable",IF(BB145="Partially non-viable",IF(OR(BD145="Total splenectomy",BD145="Partial splenectomy +/- splenopexy"),"Non-viable","Review"),IF(BB145="NR",IF(OR(BD145="Total splenectomy",BD145="Partial splenectomy +/- splenopexy"),"NR - removed, check reason","NR"),"Not applicable")))))</f>
        <v/>
      </c>
    </row>
    <row r="146">
      <c r="D146" s="8" t="n"/>
      <c r="E146" s="9">
        <f>IF(B146="","",IF(B146="OWN","Yes","No"))</f>
        <v/>
      </c>
      <c r="AF146" s="9">
        <f>IF(ISNUMBER(Z146),IF(Z146&lt;=2,"&lt;=2 d",IF(Z146&lt;=7,"3-7 d",IF(Z146&lt;=30,"8-30 d","&gt;30 d"))),IF(AE146&lt;&gt;"",AE146,IF(Z146="NR","NR","")))</f>
        <v/>
      </c>
      <c r="AX146" s="9">
        <f>IF(ISNUMBER(AW146),IF(AW146&gt;450,"Yes","No"),IF(AW146="NR","NR",""))</f>
        <v/>
      </c>
      <c r="BJ146" s="9">
        <f>IF(BB146="","",IF(BB146="Non-viable","Non-viable",IF(BB146="Viable","Viable",IF(BB146="Partially non-viable",IF(OR(BD146="Total splenectomy",BD146="Partial splenectomy +/- splenopexy"),"Non-viable","Review"),IF(BB146="NR",IF(OR(BD146="Total splenectomy",BD146="Partial splenectomy +/- splenopexy"),"NR - removed, check reason","NR"),"Not applicable")))))</f>
        <v/>
      </c>
    </row>
    <row r="147">
      <c r="D147" s="8" t="n"/>
      <c r="E147" s="9">
        <f>IF(B147="","",IF(B147="OWN","Yes","No"))</f>
        <v/>
      </c>
      <c r="AF147" s="9">
        <f>IF(ISNUMBER(Z147),IF(Z147&lt;=2,"&lt;=2 d",IF(Z147&lt;=7,"3-7 d",IF(Z147&lt;=30,"8-30 d","&gt;30 d"))),IF(AE147&lt;&gt;"",AE147,IF(Z147="NR","NR","")))</f>
        <v/>
      </c>
      <c r="AX147" s="9">
        <f>IF(ISNUMBER(AW147),IF(AW147&gt;450,"Yes","No"),IF(AW147="NR","NR",""))</f>
        <v/>
      </c>
      <c r="BJ147" s="9">
        <f>IF(BB147="","",IF(BB147="Non-viable","Non-viable",IF(BB147="Viable","Viable",IF(BB147="Partially non-viable",IF(OR(BD147="Total splenectomy",BD147="Partial splenectomy +/- splenopexy"),"Non-viable","Review"),IF(BB147="NR",IF(OR(BD147="Total splenectomy",BD147="Partial splenectomy +/- splenopexy"),"NR - removed, check reason","NR"),"Not applicable")))))</f>
        <v/>
      </c>
    </row>
    <row r="148">
      <c r="D148" s="8" t="n"/>
      <c r="E148" s="9">
        <f>IF(B148="","",IF(B148="OWN","Yes","No"))</f>
        <v/>
      </c>
      <c r="AF148" s="9">
        <f>IF(ISNUMBER(Z148),IF(Z148&lt;=2,"&lt;=2 d",IF(Z148&lt;=7,"3-7 d",IF(Z148&lt;=30,"8-30 d","&gt;30 d"))),IF(AE148&lt;&gt;"",AE148,IF(Z148="NR","NR","")))</f>
        <v/>
      </c>
      <c r="AX148" s="9">
        <f>IF(ISNUMBER(AW148),IF(AW148&gt;450,"Yes","No"),IF(AW148="NR","NR",""))</f>
        <v/>
      </c>
      <c r="BJ148" s="9">
        <f>IF(BB148="","",IF(BB148="Non-viable","Non-viable",IF(BB148="Viable","Viable",IF(BB148="Partially non-viable",IF(OR(BD148="Total splenectomy",BD148="Partial splenectomy +/- splenopexy"),"Non-viable","Review"),IF(BB148="NR",IF(OR(BD148="Total splenectomy",BD148="Partial splenectomy +/- splenopexy"),"NR - removed, check reason","NR"),"Not applicable")))))</f>
        <v/>
      </c>
    </row>
    <row r="149">
      <c r="D149" s="8" t="n"/>
      <c r="E149" s="9">
        <f>IF(B149="","",IF(B149="OWN","Yes","No"))</f>
        <v/>
      </c>
      <c r="AF149" s="9">
        <f>IF(ISNUMBER(Z149),IF(Z149&lt;=2,"&lt;=2 d",IF(Z149&lt;=7,"3-7 d",IF(Z149&lt;=30,"8-30 d","&gt;30 d"))),IF(AE149&lt;&gt;"",AE149,IF(Z149="NR","NR","")))</f>
        <v/>
      </c>
      <c r="AX149" s="9">
        <f>IF(ISNUMBER(AW149),IF(AW149&gt;450,"Yes","No"),IF(AW149="NR","NR",""))</f>
        <v/>
      </c>
      <c r="BJ149" s="9">
        <f>IF(BB149="","",IF(BB149="Non-viable","Non-viable",IF(BB149="Viable","Viable",IF(BB149="Partially non-viable",IF(OR(BD149="Total splenectomy",BD149="Partial splenectomy +/- splenopexy"),"Non-viable","Review"),IF(BB149="NR",IF(OR(BD149="Total splenectomy",BD149="Partial splenectomy +/- splenopexy"),"NR - removed, check reason","NR"),"Not applicable")))))</f>
        <v/>
      </c>
    </row>
    <row r="150">
      <c r="D150" s="8" t="n"/>
      <c r="E150" s="9">
        <f>IF(B150="","",IF(B150="OWN","Yes","No"))</f>
        <v/>
      </c>
      <c r="AF150" s="9">
        <f>IF(ISNUMBER(Z150),IF(Z150&lt;=2,"&lt;=2 d",IF(Z150&lt;=7,"3-7 d",IF(Z150&lt;=30,"8-30 d","&gt;30 d"))),IF(AE150&lt;&gt;"",AE150,IF(Z150="NR","NR","")))</f>
        <v/>
      </c>
      <c r="AX150" s="9">
        <f>IF(ISNUMBER(AW150),IF(AW150&gt;450,"Yes","No"),IF(AW150="NR","NR",""))</f>
        <v/>
      </c>
      <c r="BJ150" s="9">
        <f>IF(BB150="","",IF(BB150="Non-viable","Non-viable",IF(BB150="Viable","Viable",IF(BB150="Partially non-viable",IF(OR(BD150="Total splenectomy",BD150="Partial splenectomy +/- splenopexy"),"Non-viable","Review"),IF(BB150="NR",IF(OR(BD150="Total splenectomy",BD150="Partial splenectomy +/- splenopexy"),"NR - removed, check reason","NR"),"Not applicable")))))</f>
        <v/>
      </c>
    </row>
    <row r="151">
      <c r="D151" s="8" t="n"/>
      <c r="E151" s="9">
        <f>IF(B151="","",IF(B151="OWN","Yes","No"))</f>
        <v/>
      </c>
      <c r="AF151" s="9">
        <f>IF(ISNUMBER(Z151),IF(Z151&lt;=2,"&lt;=2 d",IF(Z151&lt;=7,"3-7 d",IF(Z151&lt;=30,"8-30 d","&gt;30 d"))),IF(AE151&lt;&gt;"",AE151,IF(Z151="NR","NR","")))</f>
        <v/>
      </c>
      <c r="AX151" s="9">
        <f>IF(ISNUMBER(AW151),IF(AW151&gt;450,"Yes","No"),IF(AW151="NR","NR",""))</f>
        <v/>
      </c>
      <c r="BJ151" s="9">
        <f>IF(BB151="","",IF(BB151="Non-viable","Non-viable",IF(BB151="Viable","Viable",IF(BB151="Partially non-viable",IF(OR(BD151="Total splenectomy",BD151="Partial splenectomy +/- splenopexy"),"Non-viable","Review"),IF(BB151="NR",IF(OR(BD151="Total splenectomy",BD151="Partial splenectomy +/- splenopexy"),"NR - removed, check reason","NR"),"Not applicable")))))</f>
        <v/>
      </c>
    </row>
    <row r="152">
      <c r="D152" s="8" t="n"/>
      <c r="E152" s="9">
        <f>IF(B152="","",IF(B152="OWN","Yes","No"))</f>
        <v/>
      </c>
      <c r="AF152" s="9">
        <f>IF(ISNUMBER(Z152),IF(Z152&lt;=2,"&lt;=2 d",IF(Z152&lt;=7,"3-7 d",IF(Z152&lt;=30,"8-30 d","&gt;30 d"))),IF(AE152&lt;&gt;"",AE152,IF(Z152="NR","NR","")))</f>
        <v/>
      </c>
      <c r="AX152" s="9">
        <f>IF(ISNUMBER(AW152),IF(AW152&gt;450,"Yes","No"),IF(AW152="NR","NR",""))</f>
        <v/>
      </c>
      <c r="BJ152" s="9">
        <f>IF(BB152="","",IF(BB152="Non-viable","Non-viable",IF(BB152="Viable","Viable",IF(BB152="Partially non-viable",IF(OR(BD152="Total splenectomy",BD152="Partial splenectomy +/- splenopexy"),"Non-viable","Review"),IF(BB152="NR",IF(OR(BD152="Total splenectomy",BD152="Partial splenectomy +/- splenopexy"),"NR - removed, check reason","NR"),"Not applicable")))))</f>
        <v/>
      </c>
    </row>
    <row r="153">
      <c r="D153" s="8" t="n"/>
      <c r="E153" s="9">
        <f>IF(B153="","",IF(B153="OWN","Yes","No"))</f>
        <v/>
      </c>
      <c r="AF153" s="9">
        <f>IF(ISNUMBER(Z153),IF(Z153&lt;=2,"&lt;=2 d",IF(Z153&lt;=7,"3-7 d",IF(Z153&lt;=30,"8-30 d","&gt;30 d"))),IF(AE153&lt;&gt;"",AE153,IF(Z153="NR","NR","")))</f>
        <v/>
      </c>
      <c r="AX153" s="9">
        <f>IF(ISNUMBER(AW153),IF(AW153&gt;450,"Yes","No"),IF(AW153="NR","NR",""))</f>
        <v/>
      </c>
      <c r="BJ153" s="9">
        <f>IF(BB153="","",IF(BB153="Non-viable","Non-viable",IF(BB153="Viable","Viable",IF(BB153="Partially non-viable",IF(OR(BD153="Total splenectomy",BD153="Partial splenectomy +/- splenopexy"),"Non-viable","Review"),IF(BB153="NR",IF(OR(BD153="Total splenectomy",BD153="Partial splenectomy +/- splenopexy"),"NR - removed, check reason","NR"),"Not applicable")))))</f>
        <v/>
      </c>
    </row>
    <row r="154">
      <c r="D154" s="8" t="n"/>
      <c r="E154" s="9">
        <f>IF(B154="","",IF(B154="OWN","Yes","No"))</f>
        <v/>
      </c>
      <c r="AF154" s="9">
        <f>IF(ISNUMBER(Z154),IF(Z154&lt;=2,"&lt;=2 d",IF(Z154&lt;=7,"3-7 d",IF(Z154&lt;=30,"8-30 d","&gt;30 d"))),IF(AE154&lt;&gt;"",AE154,IF(Z154="NR","NR","")))</f>
        <v/>
      </c>
      <c r="AX154" s="9">
        <f>IF(ISNUMBER(AW154),IF(AW154&gt;450,"Yes","No"),IF(AW154="NR","NR",""))</f>
        <v/>
      </c>
      <c r="BJ154" s="9">
        <f>IF(BB154="","",IF(BB154="Non-viable","Non-viable",IF(BB154="Viable","Viable",IF(BB154="Partially non-viable",IF(OR(BD154="Total splenectomy",BD154="Partial splenectomy +/- splenopexy"),"Non-viable","Review"),IF(BB154="NR",IF(OR(BD154="Total splenectomy",BD154="Partial splenectomy +/- splenopexy"),"NR - removed, check reason","NR"),"Not applicable")))))</f>
        <v/>
      </c>
    </row>
    <row r="155">
      <c r="D155" s="8" t="n"/>
      <c r="E155" s="9">
        <f>IF(B155="","",IF(B155="OWN","Yes","No"))</f>
        <v/>
      </c>
      <c r="AF155" s="9">
        <f>IF(ISNUMBER(Z155),IF(Z155&lt;=2,"&lt;=2 d",IF(Z155&lt;=7,"3-7 d",IF(Z155&lt;=30,"8-30 d","&gt;30 d"))),IF(AE155&lt;&gt;"",AE155,IF(Z155="NR","NR","")))</f>
        <v/>
      </c>
      <c r="AX155" s="9">
        <f>IF(ISNUMBER(AW155),IF(AW155&gt;450,"Yes","No"),IF(AW155="NR","NR",""))</f>
        <v/>
      </c>
      <c r="BJ155" s="9">
        <f>IF(BB155="","",IF(BB155="Non-viable","Non-viable",IF(BB155="Viable","Viable",IF(BB155="Partially non-viable",IF(OR(BD155="Total splenectomy",BD155="Partial splenectomy +/- splenopexy"),"Non-viable","Review"),IF(BB155="NR",IF(OR(BD155="Total splenectomy",BD155="Partial splenectomy +/- splenopexy"),"NR - removed, check reason","NR"),"Not applicable")))))</f>
        <v/>
      </c>
    </row>
    <row r="156">
      <c r="D156" s="8" t="n"/>
      <c r="E156" s="9">
        <f>IF(B156="","",IF(B156="OWN","Yes","No"))</f>
        <v/>
      </c>
      <c r="AF156" s="9">
        <f>IF(ISNUMBER(Z156),IF(Z156&lt;=2,"&lt;=2 d",IF(Z156&lt;=7,"3-7 d",IF(Z156&lt;=30,"8-30 d","&gt;30 d"))),IF(AE156&lt;&gt;"",AE156,IF(Z156="NR","NR","")))</f>
        <v/>
      </c>
      <c r="AX156" s="9">
        <f>IF(ISNUMBER(AW156),IF(AW156&gt;450,"Yes","No"),IF(AW156="NR","NR",""))</f>
        <v/>
      </c>
      <c r="BJ156" s="9">
        <f>IF(BB156="","",IF(BB156="Non-viable","Non-viable",IF(BB156="Viable","Viable",IF(BB156="Partially non-viable",IF(OR(BD156="Total splenectomy",BD156="Partial splenectomy +/- splenopexy"),"Non-viable","Review"),IF(BB156="NR",IF(OR(BD156="Total splenectomy",BD156="Partial splenectomy +/- splenopexy"),"NR - removed, check reason","NR"),"Not applicable")))))</f>
        <v/>
      </c>
    </row>
    <row r="157">
      <c r="D157" s="8" t="n"/>
      <c r="E157" s="9">
        <f>IF(B157="","",IF(B157="OWN","Yes","No"))</f>
        <v/>
      </c>
      <c r="AF157" s="9">
        <f>IF(ISNUMBER(Z157),IF(Z157&lt;=2,"&lt;=2 d",IF(Z157&lt;=7,"3-7 d",IF(Z157&lt;=30,"8-30 d","&gt;30 d"))),IF(AE157&lt;&gt;"",AE157,IF(Z157="NR","NR","")))</f>
        <v/>
      </c>
      <c r="AX157" s="9">
        <f>IF(ISNUMBER(AW157),IF(AW157&gt;450,"Yes","No"),IF(AW157="NR","NR",""))</f>
        <v/>
      </c>
      <c r="BJ157" s="9">
        <f>IF(BB157="","",IF(BB157="Non-viable","Non-viable",IF(BB157="Viable","Viable",IF(BB157="Partially non-viable",IF(OR(BD157="Total splenectomy",BD157="Partial splenectomy +/- splenopexy"),"Non-viable","Review"),IF(BB157="NR",IF(OR(BD157="Total splenectomy",BD157="Partial splenectomy +/- splenopexy"),"NR - removed, check reason","NR"),"Not applicable")))))</f>
        <v/>
      </c>
    </row>
    <row r="158">
      <c r="D158" s="8" t="n"/>
      <c r="E158" s="9">
        <f>IF(B158="","",IF(B158="OWN","Yes","No"))</f>
        <v/>
      </c>
      <c r="AF158" s="9">
        <f>IF(ISNUMBER(Z158),IF(Z158&lt;=2,"&lt;=2 d",IF(Z158&lt;=7,"3-7 d",IF(Z158&lt;=30,"8-30 d","&gt;30 d"))),IF(AE158&lt;&gt;"",AE158,IF(Z158="NR","NR","")))</f>
        <v/>
      </c>
      <c r="AX158" s="9">
        <f>IF(ISNUMBER(AW158),IF(AW158&gt;450,"Yes","No"),IF(AW158="NR","NR",""))</f>
        <v/>
      </c>
      <c r="BJ158" s="9">
        <f>IF(BB158="","",IF(BB158="Non-viable","Non-viable",IF(BB158="Viable","Viable",IF(BB158="Partially non-viable",IF(OR(BD158="Total splenectomy",BD158="Partial splenectomy +/- splenopexy"),"Non-viable","Review"),IF(BB158="NR",IF(OR(BD158="Total splenectomy",BD158="Partial splenectomy +/- splenopexy"),"NR - removed, check reason","NR"),"Not applicable")))))</f>
        <v/>
      </c>
    </row>
    <row r="159">
      <c r="D159" s="8" t="n"/>
      <c r="E159" s="9">
        <f>IF(B159="","",IF(B159="OWN","Yes","No"))</f>
        <v/>
      </c>
      <c r="AF159" s="9">
        <f>IF(ISNUMBER(Z159),IF(Z159&lt;=2,"&lt;=2 d",IF(Z159&lt;=7,"3-7 d",IF(Z159&lt;=30,"8-30 d","&gt;30 d"))),IF(AE159&lt;&gt;"",AE159,IF(Z159="NR","NR","")))</f>
        <v/>
      </c>
      <c r="AX159" s="9">
        <f>IF(ISNUMBER(AW159),IF(AW159&gt;450,"Yes","No"),IF(AW159="NR","NR",""))</f>
        <v/>
      </c>
      <c r="BJ159" s="9">
        <f>IF(BB159="","",IF(BB159="Non-viable","Non-viable",IF(BB159="Viable","Viable",IF(BB159="Partially non-viable",IF(OR(BD159="Total splenectomy",BD159="Partial splenectomy +/- splenopexy"),"Non-viable","Review"),IF(BB159="NR",IF(OR(BD159="Total splenectomy",BD159="Partial splenectomy +/- splenopexy"),"NR - removed, check reason","NR"),"Not applicable")))))</f>
        <v/>
      </c>
    </row>
    <row r="160">
      <c r="D160" s="8" t="n"/>
      <c r="E160" s="9">
        <f>IF(B160="","",IF(B160="OWN","Yes","No"))</f>
        <v/>
      </c>
      <c r="AF160" s="9">
        <f>IF(ISNUMBER(Z160),IF(Z160&lt;=2,"&lt;=2 d",IF(Z160&lt;=7,"3-7 d",IF(Z160&lt;=30,"8-30 d","&gt;30 d"))),IF(AE160&lt;&gt;"",AE160,IF(Z160="NR","NR","")))</f>
        <v/>
      </c>
      <c r="AX160" s="9">
        <f>IF(ISNUMBER(AW160),IF(AW160&gt;450,"Yes","No"),IF(AW160="NR","NR",""))</f>
        <v/>
      </c>
      <c r="BJ160" s="9">
        <f>IF(BB160="","",IF(BB160="Non-viable","Non-viable",IF(BB160="Viable","Viable",IF(BB160="Partially non-viable",IF(OR(BD160="Total splenectomy",BD160="Partial splenectomy +/- splenopexy"),"Non-viable","Review"),IF(BB160="NR",IF(OR(BD160="Total splenectomy",BD160="Partial splenectomy +/- splenopexy"),"NR - removed, check reason","NR"),"Not applicable")))))</f>
        <v/>
      </c>
    </row>
    <row r="161">
      <c r="D161" s="8" t="n"/>
      <c r="E161" s="9">
        <f>IF(B161="","",IF(B161="OWN","Yes","No"))</f>
        <v/>
      </c>
      <c r="AF161" s="9">
        <f>IF(ISNUMBER(Z161),IF(Z161&lt;=2,"&lt;=2 d",IF(Z161&lt;=7,"3-7 d",IF(Z161&lt;=30,"8-30 d","&gt;30 d"))),IF(AE161&lt;&gt;"",AE161,IF(Z161="NR","NR","")))</f>
        <v/>
      </c>
      <c r="AX161" s="9">
        <f>IF(ISNUMBER(AW161),IF(AW161&gt;450,"Yes","No"),IF(AW161="NR","NR",""))</f>
        <v/>
      </c>
      <c r="BJ161" s="9">
        <f>IF(BB161="","",IF(BB161="Non-viable","Non-viable",IF(BB161="Viable","Viable",IF(BB161="Partially non-viable",IF(OR(BD161="Total splenectomy",BD161="Partial splenectomy +/- splenopexy"),"Non-viable","Review"),IF(BB161="NR",IF(OR(BD161="Total splenectomy",BD161="Partial splenectomy +/- splenopexy"),"NR - removed, check reason","NR"),"Not applicable")))))</f>
        <v/>
      </c>
    </row>
    <row r="162">
      <c r="D162" s="8" t="n"/>
      <c r="E162" s="9">
        <f>IF(B162="","",IF(B162="OWN","Yes","No"))</f>
        <v/>
      </c>
      <c r="AF162" s="9">
        <f>IF(ISNUMBER(Z162),IF(Z162&lt;=2,"&lt;=2 d",IF(Z162&lt;=7,"3-7 d",IF(Z162&lt;=30,"8-30 d","&gt;30 d"))),IF(AE162&lt;&gt;"",AE162,IF(Z162="NR","NR","")))</f>
        <v/>
      </c>
      <c r="AX162" s="9">
        <f>IF(ISNUMBER(AW162),IF(AW162&gt;450,"Yes","No"),IF(AW162="NR","NR",""))</f>
        <v/>
      </c>
      <c r="BJ162" s="9">
        <f>IF(BB162="","",IF(BB162="Non-viable","Non-viable",IF(BB162="Viable","Viable",IF(BB162="Partially non-viable",IF(OR(BD162="Total splenectomy",BD162="Partial splenectomy +/- splenopexy"),"Non-viable","Review"),IF(BB162="NR",IF(OR(BD162="Total splenectomy",BD162="Partial splenectomy +/- splenopexy"),"NR - removed, check reason","NR"),"Not applicable")))))</f>
        <v/>
      </c>
    </row>
    <row r="163">
      <c r="D163" s="8" t="n"/>
      <c r="E163" s="9">
        <f>IF(B163="","",IF(B163="OWN","Yes","No"))</f>
        <v/>
      </c>
      <c r="AF163" s="9">
        <f>IF(ISNUMBER(Z163),IF(Z163&lt;=2,"&lt;=2 d",IF(Z163&lt;=7,"3-7 d",IF(Z163&lt;=30,"8-30 d","&gt;30 d"))),IF(AE163&lt;&gt;"",AE163,IF(Z163="NR","NR","")))</f>
        <v/>
      </c>
      <c r="AX163" s="9">
        <f>IF(ISNUMBER(AW163),IF(AW163&gt;450,"Yes","No"),IF(AW163="NR","NR",""))</f>
        <v/>
      </c>
      <c r="BJ163" s="9">
        <f>IF(BB163="","",IF(BB163="Non-viable","Non-viable",IF(BB163="Viable","Viable",IF(BB163="Partially non-viable",IF(OR(BD163="Total splenectomy",BD163="Partial splenectomy +/- splenopexy"),"Non-viable","Review"),IF(BB163="NR",IF(OR(BD163="Total splenectomy",BD163="Partial splenectomy +/- splenopexy"),"NR - removed, check reason","NR"),"Not applicable")))))</f>
        <v/>
      </c>
    </row>
    <row r="164">
      <c r="D164" s="8" t="n"/>
      <c r="E164" s="9">
        <f>IF(B164="","",IF(B164="OWN","Yes","No"))</f>
        <v/>
      </c>
      <c r="AF164" s="9">
        <f>IF(ISNUMBER(Z164),IF(Z164&lt;=2,"&lt;=2 d",IF(Z164&lt;=7,"3-7 d",IF(Z164&lt;=30,"8-30 d","&gt;30 d"))),IF(AE164&lt;&gt;"",AE164,IF(Z164="NR","NR","")))</f>
        <v/>
      </c>
      <c r="AX164" s="9">
        <f>IF(ISNUMBER(AW164),IF(AW164&gt;450,"Yes","No"),IF(AW164="NR","NR",""))</f>
        <v/>
      </c>
      <c r="BJ164" s="9">
        <f>IF(BB164="","",IF(BB164="Non-viable","Non-viable",IF(BB164="Viable","Viable",IF(BB164="Partially non-viable",IF(OR(BD164="Total splenectomy",BD164="Partial splenectomy +/- splenopexy"),"Non-viable","Review"),IF(BB164="NR",IF(OR(BD164="Total splenectomy",BD164="Partial splenectomy +/- splenopexy"),"NR - removed, check reason","NR"),"Not applicable")))))</f>
        <v/>
      </c>
    </row>
    <row r="165">
      <c r="D165" s="8" t="n"/>
      <c r="E165" s="9">
        <f>IF(B165="","",IF(B165="OWN","Yes","No"))</f>
        <v/>
      </c>
      <c r="AF165" s="9">
        <f>IF(ISNUMBER(Z165),IF(Z165&lt;=2,"&lt;=2 d",IF(Z165&lt;=7,"3-7 d",IF(Z165&lt;=30,"8-30 d","&gt;30 d"))),IF(AE165&lt;&gt;"",AE165,IF(Z165="NR","NR","")))</f>
        <v/>
      </c>
      <c r="AX165" s="9">
        <f>IF(ISNUMBER(AW165),IF(AW165&gt;450,"Yes","No"),IF(AW165="NR","NR",""))</f>
        <v/>
      </c>
      <c r="BJ165" s="9">
        <f>IF(BB165="","",IF(BB165="Non-viable","Non-viable",IF(BB165="Viable","Viable",IF(BB165="Partially non-viable",IF(OR(BD165="Total splenectomy",BD165="Partial splenectomy +/- splenopexy"),"Non-viable","Review"),IF(BB165="NR",IF(OR(BD165="Total splenectomy",BD165="Partial splenectomy +/- splenopexy"),"NR - removed, check reason","NR"),"Not applicable")))))</f>
        <v/>
      </c>
    </row>
    <row r="166">
      <c r="D166" s="8" t="n"/>
      <c r="E166" s="9">
        <f>IF(B166="","",IF(B166="OWN","Yes","No"))</f>
        <v/>
      </c>
      <c r="AF166" s="9">
        <f>IF(ISNUMBER(Z166),IF(Z166&lt;=2,"&lt;=2 d",IF(Z166&lt;=7,"3-7 d",IF(Z166&lt;=30,"8-30 d","&gt;30 d"))),IF(AE166&lt;&gt;"",AE166,IF(Z166="NR","NR","")))</f>
        <v/>
      </c>
      <c r="AX166" s="9">
        <f>IF(ISNUMBER(AW166),IF(AW166&gt;450,"Yes","No"),IF(AW166="NR","NR",""))</f>
        <v/>
      </c>
      <c r="BJ166" s="9">
        <f>IF(BB166="","",IF(BB166="Non-viable","Non-viable",IF(BB166="Viable","Viable",IF(BB166="Partially non-viable",IF(OR(BD166="Total splenectomy",BD166="Partial splenectomy +/- splenopexy"),"Non-viable","Review"),IF(BB166="NR",IF(OR(BD166="Total splenectomy",BD166="Partial splenectomy +/- splenopexy"),"NR - removed, check reason","NR"),"Not applicable")))))</f>
        <v/>
      </c>
    </row>
    <row r="167">
      <c r="D167" s="8" t="n"/>
      <c r="E167" s="9">
        <f>IF(B167="","",IF(B167="OWN","Yes","No"))</f>
        <v/>
      </c>
      <c r="AF167" s="9">
        <f>IF(ISNUMBER(Z167),IF(Z167&lt;=2,"&lt;=2 d",IF(Z167&lt;=7,"3-7 d",IF(Z167&lt;=30,"8-30 d","&gt;30 d"))),IF(AE167&lt;&gt;"",AE167,IF(Z167="NR","NR","")))</f>
        <v/>
      </c>
      <c r="AX167" s="9">
        <f>IF(ISNUMBER(AW167),IF(AW167&gt;450,"Yes","No"),IF(AW167="NR","NR",""))</f>
        <v/>
      </c>
      <c r="BJ167" s="9">
        <f>IF(BB167="","",IF(BB167="Non-viable","Non-viable",IF(BB167="Viable","Viable",IF(BB167="Partially non-viable",IF(OR(BD167="Total splenectomy",BD167="Partial splenectomy +/- splenopexy"),"Non-viable","Review"),IF(BB167="NR",IF(OR(BD167="Total splenectomy",BD167="Partial splenectomy +/- splenopexy"),"NR - removed, check reason","NR"),"Not applicable")))))</f>
        <v/>
      </c>
    </row>
    <row r="168">
      <c r="D168" s="8" t="n"/>
      <c r="E168" s="9">
        <f>IF(B168="","",IF(B168="OWN","Yes","No"))</f>
        <v/>
      </c>
      <c r="AF168" s="9">
        <f>IF(ISNUMBER(Z168),IF(Z168&lt;=2,"&lt;=2 d",IF(Z168&lt;=7,"3-7 d",IF(Z168&lt;=30,"8-30 d","&gt;30 d"))),IF(AE168&lt;&gt;"",AE168,IF(Z168="NR","NR","")))</f>
        <v/>
      </c>
      <c r="AX168" s="9">
        <f>IF(ISNUMBER(AW168),IF(AW168&gt;450,"Yes","No"),IF(AW168="NR","NR",""))</f>
        <v/>
      </c>
      <c r="BJ168" s="9">
        <f>IF(BB168="","",IF(BB168="Non-viable","Non-viable",IF(BB168="Viable","Viable",IF(BB168="Partially non-viable",IF(OR(BD168="Total splenectomy",BD168="Partial splenectomy +/- splenopexy"),"Non-viable","Review"),IF(BB168="NR",IF(OR(BD168="Total splenectomy",BD168="Partial splenectomy +/- splenopexy"),"NR - removed, check reason","NR"),"Not applicable")))))</f>
        <v/>
      </c>
    </row>
    <row r="169">
      <c r="D169" s="8" t="n"/>
      <c r="E169" s="9">
        <f>IF(B169="","",IF(B169="OWN","Yes","No"))</f>
        <v/>
      </c>
      <c r="AF169" s="9">
        <f>IF(ISNUMBER(Z169),IF(Z169&lt;=2,"&lt;=2 d",IF(Z169&lt;=7,"3-7 d",IF(Z169&lt;=30,"8-30 d","&gt;30 d"))),IF(AE169&lt;&gt;"",AE169,IF(Z169="NR","NR","")))</f>
        <v/>
      </c>
      <c r="AX169" s="9">
        <f>IF(ISNUMBER(AW169),IF(AW169&gt;450,"Yes","No"),IF(AW169="NR","NR",""))</f>
        <v/>
      </c>
      <c r="BJ169" s="9">
        <f>IF(BB169="","",IF(BB169="Non-viable","Non-viable",IF(BB169="Viable","Viable",IF(BB169="Partially non-viable",IF(OR(BD169="Total splenectomy",BD169="Partial splenectomy +/- splenopexy"),"Non-viable","Review"),IF(BB169="NR",IF(OR(BD169="Total splenectomy",BD169="Partial splenectomy +/- splenopexy"),"NR - removed, check reason","NR"),"Not applicable")))))</f>
        <v/>
      </c>
    </row>
    <row r="170">
      <c r="D170" s="8" t="n"/>
      <c r="E170" s="9">
        <f>IF(B170="","",IF(B170="OWN","Yes","No"))</f>
        <v/>
      </c>
      <c r="AF170" s="9">
        <f>IF(ISNUMBER(Z170),IF(Z170&lt;=2,"&lt;=2 d",IF(Z170&lt;=7,"3-7 d",IF(Z170&lt;=30,"8-30 d","&gt;30 d"))),IF(AE170&lt;&gt;"",AE170,IF(Z170="NR","NR","")))</f>
        <v/>
      </c>
      <c r="AX170" s="9">
        <f>IF(ISNUMBER(AW170),IF(AW170&gt;450,"Yes","No"),IF(AW170="NR","NR",""))</f>
        <v/>
      </c>
      <c r="BJ170" s="9">
        <f>IF(BB170="","",IF(BB170="Non-viable","Non-viable",IF(BB170="Viable","Viable",IF(BB170="Partially non-viable",IF(OR(BD170="Total splenectomy",BD170="Partial splenectomy +/- splenopexy"),"Non-viable","Review"),IF(BB170="NR",IF(OR(BD170="Total splenectomy",BD170="Partial splenectomy +/- splenopexy"),"NR - removed, check reason","NR"),"Not applicable")))))</f>
        <v/>
      </c>
    </row>
    <row r="171">
      <c r="D171" s="8" t="n"/>
      <c r="E171" s="9">
        <f>IF(B171="","",IF(B171="OWN","Yes","No"))</f>
        <v/>
      </c>
      <c r="AF171" s="9">
        <f>IF(ISNUMBER(Z171),IF(Z171&lt;=2,"&lt;=2 d",IF(Z171&lt;=7,"3-7 d",IF(Z171&lt;=30,"8-30 d","&gt;30 d"))),IF(AE171&lt;&gt;"",AE171,IF(Z171="NR","NR","")))</f>
        <v/>
      </c>
      <c r="AX171" s="9">
        <f>IF(ISNUMBER(AW171),IF(AW171&gt;450,"Yes","No"),IF(AW171="NR","NR",""))</f>
        <v/>
      </c>
      <c r="BJ171" s="9">
        <f>IF(BB171="","",IF(BB171="Non-viable","Non-viable",IF(BB171="Viable","Viable",IF(BB171="Partially non-viable",IF(OR(BD171="Total splenectomy",BD171="Partial splenectomy +/- splenopexy"),"Non-viable","Review"),IF(BB171="NR",IF(OR(BD171="Total splenectomy",BD171="Partial splenectomy +/- splenopexy"),"NR - removed, check reason","NR"),"Not applicable")))))</f>
        <v/>
      </c>
    </row>
    <row r="172">
      <c r="D172" s="8" t="n"/>
      <c r="E172" s="9">
        <f>IF(B172="","",IF(B172="OWN","Yes","No"))</f>
        <v/>
      </c>
      <c r="AF172" s="9">
        <f>IF(ISNUMBER(Z172),IF(Z172&lt;=2,"&lt;=2 d",IF(Z172&lt;=7,"3-7 d",IF(Z172&lt;=30,"8-30 d","&gt;30 d"))),IF(AE172&lt;&gt;"",AE172,IF(Z172="NR","NR","")))</f>
        <v/>
      </c>
      <c r="AX172" s="9">
        <f>IF(ISNUMBER(AW172),IF(AW172&gt;450,"Yes","No"),IF(AW172="NR","NR",""))</f>
        <v/>
      </c>
      <c r="BJ172" s="9">
        <f>IF(BB172="","",IF(BB172="Non-viable","Non-viable",IF(BB172="Viable","Viable",IF(BB172="Partially non-viable",IF(OR(BD172="Total splenectomy",BD172="Partial splenectomy +/- splenopexy"),"Non-viable","Review"),IF(BB172="NR",IF(OR(BD172="Total splenectomy",BD172="Partial splenectomy +/- splenopexy"),"NR - removed, check reason","NR"),"Not applicable")))))</f>
        <v/>
      </c>
    </row>
    <row r="173">
      <c r="D173" s="8" t="n"/>
      <c r="E173" s="9">
        <f>IF(B173="","",IF(B173="OWN","Yes","No"))</f>
        <v/>
      </c>
      <c r="AF173" s="9">
        <f>IF(ISNUMBER(Z173),IF(Z173&lt;=2,"&lt;=2 d",IF(Z173&lt;=7,"3-7 d",IF(Z173&lt;=30,"8-30 d","&gt;30 d"))),IF(AE173&lt;&gt;"",AE173,IF(Z173="NR","NR","")))</f>
        <v/>
      </c>
      <c r="AX173" s="9">
        <f>IF(ISNUMBER(AW173),IF(AW173&gt;450,"Yes","No"),IF(AW173="NR","NR",""))</f>
        <v/>
      </c>
      <c r="BJ173" s="9">
        <f>IF(BB173="","",IF(BB173="Non-viable","Non-viable",IF(BB173="Viable","Viable",IF(BB173="Partially non-viable",IF(OR(BD173="Total splenectomy",BD173="Partial splenectomy +/- splenopexy"),"Non-viable","Review"),IF(BB173="NR",IF(OR(BD173="Total splenectomy",BD173="Partial splenectomy +/- splenopexy"),"NR - removed, check reason","NR"),"Not applicable")))))</f>
        <v/>
      </c>
    </row>
    <row r="174">
      <c r="D174" s="8" t="n"/>
      <c r="E174" s="9">
        <f>IF(B174="","",IF(B174="OWN","Yes","No"))</f>
        <v/>
      </c>
      <c r="AF174" s="9">
        <f>IF(ISNUMBER(Z174),IF(Z174&lt;=2,"&lt;=2 d",IF(Z174&lt;=7,"3-7 d",IF(Z174&lt;=30,"8-30 d","&gt;30 d"))),IF(AE174&lt;&gt;"",AE174,IF(Z174="NR","NR","")))</f>
        <v/>
      </c>
      <c r="AX174" s="9">
        <f>IF(ISNUMBER(AW174),IF(AW174&gt;450,"Yes","No"),IF(AW174="NR","NR",""))</f>
        <v/>
      </c>
      <c r="BJ174" s="9">
        <f>IF(BB174="","",IF(BB174="Non-viable","Non-viable",IF(BB174="Viable","Viable",IF(BB174="Partially non-viable",IF(OR(BD174="Total splenectomy",BD174="Partial splenectomy +/- splenopexy"),"Non-viable","Review"),IF(BB174="NR",IF(OR(BD174="Total splenectomy",BD174="Partial splenectomy +/- splenopexy"),"NR - removed, check reason","NR"),"Not applicable")))))</f>
        <v/>
      </c>
    </row>
    <row r="175">
      <c r="D175" s="8" t="n"/>
      <c r="E175" s="9">
        <f>IF(B175="","",IF(B175="OWN","Yes","No"))</f>
        <v/>
      </c>
      <c r="AF175" s="9">
        <f>IF(ISNUMBER(Z175),IF(Z175&lt;=2,"&lt;=2 d",IF(Z175&lt;=7,"3-7 d",IF(Z175&lt;=30,"8-30 d","&gt;30 d"))),IF(AE175&lt;&gt;"",AE175,IF(Z175="NR","NR","")))</f>
        <v/>
      </c>
      <c r="AX175" s="9">
        <f>IF(ISNUMBER(AW175),IF(AW175&gt;450,"Yes","No"),IF(AW175="NR","NR",""))</f>
        <v/>
      </c>
      <c r="BJ175" s="9">
        <f>IF(BB175="","",IF(BB175="Non-viable","Non-viable",IF(BB175="Viable","Viable",IF(BB175="Partially non-viable",IF(OR(BD175="Total splenectomy",BD175="Partial splenectomy +/- splenopexy"),"Non-viable","Review"),IF(BB175="NR",IF(OR(BD175="Total splenectomy",BD175="Partial splenectomy +/- splenopexy"),"NR - removed, check reason","NR"),"Not applicable")))))</f>
        <v/>
      </c>
    </row>
    <row r="176">
      <c r="D176" s="8" t="n"/>
      <c r="E176" s="9">
        <f>IF(B176="","",IF(B176="OWN","Yes","No"))</f>
        <v/>
      </c>
      <c r="AF176" s="9">
        <f>IF(ISNUMBER(Z176),IF(Z176&lt;=2,"&lt;=2 d",IF(Z176&lt;=7,"3-7 d",IF(Z176&lt;=30,"8-30 d","&gt;30 d"))),IF(AE176&lt;&gt;"",AE176,IF(Z176="NR","NR","")))</f>
        <v/>
      </c>
      <c r="AX176" s="9">
        <f>IF(ISNUMBER(AW176),IF(AW176&gt;450,"Yes","No"),IF(AW176="NR","NR",""))</f>
        <v/>
      </c>
      <c r="BJ176" s="9">
        <f>IF(BB176="","",IF(BB176="Non-viable","Non-viable",IF(BB176="Viable","Viable",IF(BB176="Partially non-viable",IF(OR(BD176="Total splenectomy",BD176="Partial splenectomy +/- splenopexy"),"Non-viable","Review"),IF(BB176="NR",IF(OR(BD176="Total splenectomy",BD176="Partial splenectomy +/- splenopexy"),"NR - removed, check reason","NR"),"Not applicable")))))</f>
        <v/>
      </c>
    </row>
    <row r="177">
      <c r="D177" s="8" t="n"/>
      <c r="E177" s="9">
        <f>IF(B177="","",IF(B177="OWN","Yes","No"))</f>
        <v/>
      </c>
      <c r="AF177" s="9">
        <f>IF(ISNUMBER(Z177),IF(Z177&lt;=2,"&lt;=2 d",IF(Z177&lt;=7,"3-7 d",IF(Z177&lt;=30,"8-30 d","&gt;30 d"))),IF(AE177&lt;&gt;"",AE177,IF(Z177="NR","NR","")))</f>
        <v/>
      </c>
      <c r="AX177" s="9">
        <f>IF(ISNUMBER(AW177),IF(AW177&gt;450,"Yes","No"),IF(AW177="NR","NR",""))</f>
        <v/>
      </c>
      <c r="BJ177" s="9">
        <f>IF(BB177="","",IF(BB177="Non-viable","Non-viable",IF(BB177="Viable","Viable",IF(BB177="Partially non-viable",IF(OR(BD177="Total splenectomy",BD177="Partial splenectomy +/- splenopexy"),"Non-viable","Review"),IF(BB177="NR",IF(OR(BD177="Total splenectomy",BD177="Partial splenectomy +/- splenopexy"),"NR - removed, check reason","NR"),"Not applicable")))))</f>
        <v/>
      </c>
    </row>
    <row r="178">
      <c r="D178" s="8" t="n"/>
      <c r="E178" s="9">
        <f>IF(B178="","",IF(B178="OWN","Yes","No"))</f>
        <v/>
      </c>
      <c r="AF178" s="9">
        <f>IF(ISNUMBER(Z178),IF(Z178&lt;=2,"&lt;=2 d",IF(Z178&lt;=7,"3-7 d",IF(Z178&lt;=30,"8-30 d","&gt;30 d"))),IF(AE178&lt;&gt;"",AE178,IF(Z178="NR","NR","")))</f>
        <v/>
      </c>
      <c r="AX178" s="9">
        <f>IF(ISNUMBER(AW178),IF(AW178&gt;450,"Yes","No"),IF(AW178="NR","NR",""))</f>
        <v/>
      </c>
      <c r="BJ178" s="9">
        <f>IF(BB178="","",IF(BB178="Non-viable","Non-viable",IF(BB178="Viable","Viable",IF(BB178="Partially non-viable",IF(OR(BD178="Total splenectomy",BD178="Partial splenectomy +/- splenopexy"),"Non-viable","Review"),IF(BB178="NR",IF(OR(BD178="Total splenectomy",BD178="Partial splenectomy +/- splenopexy"),"NR - removed, check reason","NR"),"Not applicable")))))</f>
        <v/>
      </c>
    </row>
    <row r="179">
      <c r="D179" s="8" t="n"/>
      <c r="E179" s="9">
        <f>IF(B179="","",IF(B179="OWN","Yes","No"))</f>
        <v/>
      </c>
      <c r="AF179" s="9">
        <f>IF(ISNUMBER(Z179),IF(Z179&lt;=2,"&lt;=2 d",IF(Z179&lt;=7,"3-7 d",IF(Z179&lt;=30,"8-30 d","&gt;30 d"))),IF(AE179&lt;&gt;"",AE179,IF(Z179="NR","NR","")))</f>
        <v/>
      </c>
      <c r="AX179" s="9">
        <f>IF(ISNUMBER(AW179),IF(AW179&gt;450,"Yes","No"),IF(AW179="NR","NR",""))</f>
        <v/>
      </c>
      <c r="BJ179" s="9">
        <f>IF(BB179="","",IF(BB179="Non-viable","Non-viable",IF(BB179="Viable","Viable",IF(BB179="Partially non-viable",IF(OR(BD179="Total splenectomy",BD179="Partial splenectomy +/- splenopexy"),"Non-viable","Review"),IF(BB179="NR",IF(OR(BD179="Total splenectomy",BD179="Partial splenectomy +/- splenopexy"),"NR - removed, check reason","NR"),"Not applicable")))))</f>
        <v/>
      </c>
    </row>
    <row r="180">
      <c r="D180" s="8" t="n"/>
      <c r="E180" s="9">
        <f>IF(B180="","",IF(B180="OWN","Yes","No"))</f>
        <v/>
      </c>
      <c r="AF180" s="9">
        <f>IF(ISNUMBER(Z180),IF(Z180&lt;=2,"&lt;=2 d",IF(Z180&lt;=7,"3-7 d",IF(Z180&lt;=30,"8-30 d","&gt;30 d"))),IF(AE180&lt;&gt;"",AE180,IF(Z180="NR","NR","")))</f>
        <v/>
      </c>
      <c r="AX180" s="9">
        <f>IF(ISNUMBER(AW180),IF(AW180&gt;450,"Yes","No"),IF(AW180="NR","NR",""))</f>
        <v/>
      </c>
      <c r="BJ180" s="9">
        <f>IF(BB180="","",IF(BB180="Non-viable","Non-viable",IF(BB180="Viable","Viable",IF(BB180="Partially non-viable",IF(OR(BD180="Total splenectomy",BD180="Partial splenectomy +/- splenopexy"),"Non-viable","Review"),IF(BB180="NR",IF(OR(BD180="Total splenectomy",BD180="Partial splenectomy +/- splenopexy"),"NR - removed, check reason","NR"),"Not applicable")))))</f>
        <v/>
      </c>
    </row>
    <row r="181">
      <c r="D181" s="8" t="n"/>
      <c r="E181" s="9">
        <f>IF(B181="","",IF(B181="OWN","Yes","No"))</f>
        <v/>
      </c>
      <c r="AF181" s="9">
        <f>IF(ISNUMBER(Z181),IF(Z181&lt;=2,"&lt;=2 d",IF(Z181&lt;=7,"3-7 d",IF(Z181&lt;=30,"8-30 d","&gt;30 d"))),IF(AE181&lt;&gt;"",AE181,IF(Z181="NR","NR","")))</f>
        <v/>
      </c>
      <c r="AX181" s="9">
        <f>IF(ISNUMBER(AW181),IF(AW181&gt;450,"Yes","No"),IF(AW181="NR","NR",""))</f>
        <v/>
      </c>
      <c r="BJ181" s="9">
        <f>IF(BB181="","",IF(BB181="Non-viable","Non-viable",IF(BB181="Viable","Viable",IF(BB181="Partially non-viable",IF(OR(BD181="Total splenectomy",BD181="Partial splenectomy +/- splenopexy"),"Non-viable","Review"),IF(BB181="NR",IF(OR(BD181="Total splenectomy",BD181="Partial splenectomy +/- splenopexy"),"NR - removed, check reason","NR"),"Not applicable")))))</f>
        <v/>
      </c>
    </row>
    <row r="182">
      <c r="D182" s="8" t="n"/>
      <c r="E182" s="9">
        <f>IF(B182="","",IF(B182="OWN","Yes","No"))</f>
        <v/>
      </c>
      <c r="AF182" s="9">
        <f>IF(ISNUMBER(Z182),IF(Z182&lt;=2,"&lt;=2 d",IF(Z182&lt;=7,"3-7 d",IF(Z182&lt;=30,"8-30 d","&gt;30 d"))),IF(AE182&lt;&gt;"",AE182,IF(Z182="NR","NR","")))</f>
        <v/>
      </c>
      <c r="AX182" s="9">
        <f>IF(ISNUMBER(AW182),IF(AW182&gt;450,"Yes","No"),IF(AW182="NR","NR",""))</f>
        <v/>
      </c>
      <c r="BJ182" s="9">
        <f>IF(BB182="","",IF(BB182="Non-viable","Non-viable",IF(BB182="Viable","Viable",IF(BB182="Partially non-viable",IF(OR(BD182="Total splenectomy",BD182="Partial splenectomy +/- splenopexy"),"Non-viable","Review"),IF(BB182="NR",IF(OR(BD182="Total splenectomy",BD182="Partial splenectomy +/- splenopexy"),"NR - removed, check reason","NR"),"Not applicable")))))</f>
        <v/>
      </c>
    </row>
    <row r="183">
      <c r="D183" s="8" t="n"/>
      <c r="E183" s="9">
        <f>IF(B183="","",IF(B183="OWN","Yes","No"))</f>
        <v/>
      </c>
      <c r="AF183" s="9">
        <f>IF(ISNUMBER(Z183),IF(Z183&lt;=2,"&lt;=2 d",IF(Z183&lt;=7,"3-7 d",IF(Z183&lt;=30,"8-30 d","&gt;30 d"))),IF(AE183&lt;&gt;"",AE183,IF(Z183="NR","NR","")))</f>
        <v/>
      </c>
      <c r="AX183" s="9">
        <f>IF(ISNUMBER(AW183),IF(AW183&gt;450,"Yes","No"),IF(AW183="NR","NR",""))</f>
        <v/>
      </c>
      <c r="BJ183" s="9">
        <f>IF(BB183="","",IF(BB183="Non-viable","Non-viable",IF(BB183="Viable","Viable",IF(BB183="Partially non-viable",IF(OR(BD183="Total splenectomy",BD183="Partial splenectomy +/- splenopexy"),"Non-viable","Review"),IF(BB183="NR",IF(OR(BD183="Total splenectomy",BD183="Partial splenectomy +/- splenopexy"),"NR - removed, check reason","NR"),"Not applicable")))))</f>
        <v/>
      </c>
    </row>
    <row r="184">
      <c r="D184" s="8" t="n"/>
      <c r="E184" s="9">
        <f>IF(B184="","",IF(B184="OWN","Yes","No"))</f>
        <v/>
      </c>
      <c r="AF184" s="9">
        <f>IF(ISNUMBER(Z184),IF(Z184&lt;=2,"&lt;=2 d",IF(Z184&lt;=7,"3-7 d",IF(Z184&lt;=30,"8-30 d","&gt;30 d"))),IF(AE184&lt;&gt;"",AE184,IF(Z184="NR","NR","")))</f>
        <v/>
      </c>
      <c r="AX184" s="9">
        <f>IF(ISNUMBER(AW184),IF(AW184&gt;450,"Yes","No"),IF(AW184="NR","NR",""))</f>
        <v/>
      </c>
      <c r="BJ184" s="9">
        <f>IF(BB184="","",IF(BB184="Non-viable","Non-viable",IF(BB184="Viable","Viable",IF(BB184="Partially non-viable",IF(OR(BD184="Total splenectomy",BD184="Partial splenectomy +/- splenopexy"),"Non-viable","Review"),IF(BB184="NR",IF(OR(BD184="Total splenectomy",BD184="Partial splenectomy +/- splenopexy"),"NR - removed, check reason","NR"),"Not applicable")))))</f>
        <v/>
      </c>
    </row>
    <row r="185">
      <c r="D185" s="8" t="n"/>
      <c r="E185" s="9">
        <f>IF(B185="","",IF(B185="OWN","Yes","No"))</f>
        <v/>
      </c>
      <c r="AF185" s="9">
        <f>IF(ISNUMBER(Z185),IF(Z185&lt;=2,"&lt;=2 d",IF(Z185&lt;=7,"3-7 d",IF(Z185&lt;=30,"8-30 d","&gt;30 d"))),IF(AE185&lt;&gt;"",AE185,IF(Z185="NR","NR","")))</f>
        <v/>
      </c>
      <c r="AX185" s="9">
        <f>IF(ISNUMBER(AW185),IF(AW185&gt;450,"Yes","No"),IF(AW185="NR","NR",""))</f>
        <v/>
      </c>
      <c r="BJ185" s="9">
        <f>IF(BB185="","",IF(BB185="Non-viable","Non-viable",IF(BB185="Viable","Viable",IF(BB185="Partially non-viable",IF(OR(BD185="Total splenectomy",BD185="Partial splenectomy +/- splenopexy"),"Non-viable","Review"),IF(BB185="NR",IF(OR(BD185="Total splenectomy",BD185="Partial splenectomy +/- splenopexy"),"NR - removed, check reason","NR"),"Not applicable")))))</f>
        <v/>
      </c>
    </row>
    <row r="186">
      <c r="D186" s="8" t="n"/>
      <c r="E186" s="9">
        <f>IF(B186="","",IF(B186="OWN","Yes","No"))</f>
        <v/>
      </c>
      <c r="AF186" s="9">
        <f>IF(ISNUMBER(Z186),IF(Z186&lt;=2,"&lt;=2 d",IF(Z186&lt;=7,"3-7 d",IF(Z186&lt;=30,"8-30 d","&gt;30 d"))),IF(AE186&lt;&gt;"",AE186,IF(Z186="NR","NR","")))</f>
        <v/>
      </c>
      <c r="AX186" s="9">
        <f>IF(ISNUMBER(AW186),IF(AW186&gt;450,"Yes","No"),IF(AW186="NR","NR",""))</f>
        <v/>
      </c>
      <c r="BJ186" s="9">
        <f>IF(BB186="","",IF(BB186="Non-viable","Non-viable",IF(BB186="Viable","Viable",IF(BB186="Partially non-viable",IF(OR(BD186="Total splenectomy",BD186="Partial splenectomy +/- splenopexy"),"Non-viable","Review"),IF(BB186="NR",IF(OR(BD186="Total splenectomy",BD186="Partial splenectomy +/- splenopexy"),"NR - removed, check reason","NR"),"Not applicable")))))</f>
        <v/>
      </c>
    </row>
    <row r="187">
      <c r="D187" s="8" t="n"/>
      <c r="E187" s="9">
        <f>IF(B187="","",IF(B187="OWN","Yes","No"))</f>
        <v/>
      </c>
      <c r="AF187" s="9">
        <f>IF(ISNUMBER(Z187),IF(Z187&lt;=2,"&lt;=2 d",IF(Z187&lt;=7,"3-7 d",IF(Z187&lt;=30,"8-30 d","&gt;30 d"))),IF(AE187&lt;&gt;"",AE187,IF(Z187="NR","NR","")))</f>
        <v/>
      </c>
      <c r="AX187" s="9">
        <f>IF(ISNUMBER(AW187),IF(AW187&gt;450,"Yes","No"),IF(AW187="NR","NR",""))</f>
        <v/>
      </c>
      <c r="BJ187" s="9">
        <f>IF(BB187="","",IF(BB187="Non-viable","Non-viable",IF(BB187="Viable","Viable",IF(BB187="Partially non-viable",IF(OR(BD187="Total splenectomy",BD187="Partial splenectomy +/- splenopexy"),"Non-viable","Review"),IF(BB187="NR",IF(OR(BD187="Total splenectomy",BD187="Partial splenectomy +/- splenopexy"),"NR - removed, check reason","NR"),"Not applicable")))))</f>
        <v/>
      </c>
    </row>
    <row r="188">
      <c r="D188" s="8" t="n"/>
      <c r="E188" s="9">
        <f>IF(B188="","",IF(B188="OWN","Yes","No"))</f>
        <v/>
      </c>
      <c r="AF188" s="9">
        <f>IF(ISNUMBER(Z188),IF(Z188&lt;=2,"&lt;=2 d",IF(Z188&lt;=7,"3-7 d",IF(Z188&lt;=30,"8-30 d","&gt;30 d"))),IF(AE188&lt;&gt;"",AE188,IF(Z188="NR","NR","")))</f>
        <v/>
      </c>
      <c r="AX188" s="9">
        <f>IF(ISNUMBER(AW188),IF(AW188&gt;450,"Yes","No"),IF(AW188="NR","NR",""))</f>
        <v/>
      </c>
      <c r="BJ188" s="9">
        <f>IF(BB188="","",IF(BB188="Non-viable","Non-viable",IF(BB188="Viable","Viable",IF(BB188="Partially non-viable",IF(OR(BD188="Total splenectomy",BD188="Partial splenectomy +/- splenopexy"),"Non-viable","Review"),IF(BB188="NR",IF(OR(BD188="Total splenectomy",BD188="Partial splenectomy +/- splenopexy"),"NR - removed, check reason","NR"),"Not applicable")))))</f>
        <v/>
      </c>
    </row>
    <row r="189">
      <c r="D189" s="8" t="n"/>
      <c r="E189" s="9">
        <f>IF(B189="","",IF(B189="OWN","Yes","No"))</f>
        <v/>
      </c>
      <c r="AF189" s="9">
        <f>IF(ISNUMBER(Z189),IF(Z189&lt;=2,"&lt;=2 d",IF(Z189&lt;=7,"3-7 d",IF(Z189&lt;=30,"8-30 d","&gt;30 d"))),IF(AE189&lt;&gt;"",AE189,IF(Z189="NR","NR","")))</f>
        <v/>
      </c>
      <c r="AX189" s="9">
        <f>IF(ISNUMBER(AW189),IF(AW189&gt;450,"Yes","No"),IF(AW189="NR","NR",""))</f>
        <v/>
      </c>
      <c r="BJ189" s="9">
        <f>IF(BB189="","",IF(BB189="Non-viable","Non-viable",IF(BB189="Viable","Viable",IF(BB189="Partially non-viable",IF(OR(BD189="Total splenectomy",BD189="Partial splenectomy +/- splenopexy"),"Non-viable","Review"),IF(BB189="NR",IF(OR(BD189="Total splenectomy",BD189="Partial splenectomy +/- splenopexy"),"NR - removed, check reason","NR"),"Not applicable")))))</f>
        <v/>
      </c>
    </row>
    <row r="190">
      <c r="D190" s="8" t="n"/>
      <c r="E190" s="9">
        <f>IF(B190="","",IF(B190="OWN","Yes","No"))</f>
        <v/>
      </c>
      <c r="AF190" s="9">
        <f>IF(ISNUMBER(Z190),IF(Z190&lt;=2,"&lt;=2 d",IF(Z190&lt;=7,"3-7 d",IF(Z190&lt;=30,"8-30 d","&gt;30 d"))),IF(AE190&lt;&gt;"",AE190,IF(Z190="NR","NR","")))</f>
        <v/>
      </c>
      <c r="AX190" s="9">
        <f>IF(ISNUMBER(AW190),IF(AW190&gt;450,"Yes","No"),IF(AW190="NR","NR",""))</f>
        <v/>
      </c>
      <c r="BJ190" s="9">
        <f>IF(BB190="","",IF(BB190="Non-viable","Non-viable",IF(BB190="Viable","Viable",IF(BB190="Partially non-viable",IF(OR(BD190="Total splenectomy",BD190="Partial splenectomy +/- splenopexy"),"Non-viable","Review"),IF(BB190="NR",IF(OR(BD190="Total splenectomy",BD190="Partial splenectomy +/- splenopexy"),"NR - removed, check reason","NR"),"Not applicable")))))</f>
        <v/>
      </c>
    </row>
    <row r="191">
      <c r="D191" s="8" t="n"/>
      <c r="E191" s="9">
        <f>IF(B191="","",IF(B191="OWN","Yes","No"))</f>
        <v/>
      </c>
      <c r="AF191" s="9">
        <f>IF(ISNUMBER(Z191),IF(Z191&lt;=2,"&lt;=2 d",IF(Z191&lt;=7,"3-7 d",IF(Z191&lt;=30,"8-30 d","&gt;30 d"))),IF(AE191&lt;&gt;"",AE191,IF(Z191="NR","NR","")))</f>
        <v/>
      </c>
      <c r="AX191" s="9">
        <f>IF(ISNUMBER(AW191),IF(AW191&gt;450,"Yes","No"),IF(AW191="NR","NR",""))</f>
        <v/>
      </c>
      <c r="BJ191" s="9">
        <f>IF(BB191="","",IF(BB191="Non-viable","Non-viable",IF(BB191="Viable","Viable",IF(BB191="Partially non-viable",IF(OR(BD191="Total splenectomy",BD191="Partial splenectomy +/- splenopexy"),"Non-viable","Review"),IF(BB191="NR",IF(OR(BD191="Total splenectomy",BD191="Partial splenectomy +/- splenopexy"),"NR - removed, check reason","NR"),"Not applicable")))))</f>
        <v/>
      </c>
    </row>
    <row r="192">
      <c r="D192" s="8" t="n"/>
      <c r="E192" s="9">
        <f>IF(B192="","",IF(B192="OWN","Yes","No"))</f>
        <v/>
      </c>
      <c r="AF192" s="9">
        <f>IF(ISNUMBER(Z192),IF(Z192&lt;=2,"&lt;=2 d",IF(Z192&lt;=7,"3-7 d",IF(Z192&lt;=30,"8-30 d","&gt;30 d"))),IF(AE192&lt;&gt;"",AE192,IF(Z192="NR","NR","")))</f>
        <v/>
      </c>
      <c r="AX192" s="9">
        <f>IF(ISNUMBER(AW192),IF(AW192&gt;450,"Yes","No"),IF(AW192="NR","NR",""))</f>
        <v/>
      </c>
      <c r="BJ192" s="9">
        <f>IF(BB192="","",IF(BB192="Non-viable","Non-viable",IF(BB192="Viable","Viable",IF(BB192="Partially non-viable",IF(OR(BD192="Total splenectomy",BD192="Partial splenectomy +/- splenopexy"),"Non-viable","Review"),IF(BB192="NR",IF(OR(BD192="Total splenectomy",BD192="Partial splenectomy +/- splenopexy"),"NR - removed, check reason","NR"),"Not applicable")))))</f>
        <v/>
      </c>
    </row>
    <row r="193">
      <c r="D193" s="8" t="n"/>
      <c r="E193" s="9">
        <f>IF(B193="","",IF(B193="OWN","Yes","No"))</f>
        <v/>
      </c>
      <c r="AF193" s="9">
        <f>IF(ISNUMBER(Z193),IF(Z193&lt;=2,"&lt;=2 d",IF(Z193&lt;=7,"3-7 d",IF(Z193&lt;=30,"8-30 d","&gt;30 d"))),IF(AE193&lt;&gt;"",AE193,IF(Z193="NR","NR","")))</f>
        <v/>
      </c>
      <c r="AX193" s="9">
        <f>IF(ISNUMBER(AW193),IF(AW193&gt;450,"Yes","No"),IF(AW193="NR","NR",""))</f>
        <v/>
      </c>
      <c r="BJ193" s="9">
        <f>IF(BB193="","",IF(BB193="Non-viable","Non-viable",IF(BB193="Viable","Viable",IF(BB193="Partially non-viable",IF(OR(BD193="Total splenectomy",BD193="Partial splenectomy +/- splenopexy"),"Non-viable","Review"),IF(BB193="NR",IF(OR(BD193="Total splenectomy",BD193="Partial splenectomy +/- splenopexy"),"NR - removed, check reason","NR"),"Not applicable")))))</f>
        <v/>
      </c>
    </row>
    <row r="194">
      <c r="D194" s="8" t="n"/>
      <c r="E194" s="9">
        <f>IF(B194="","",IF(B194="OWN","Yes","No"))</f>
        <v/>
      </c>
      <c r="AF194" s="9">
        <f>IF(ISNUMBER(Z194),IF(Z194&lt;=2,"&lt;=2 d",IF(Z194&lt;=7,"3-7 d",IF(Z194&lt;=30,"8-30 d","&gt;30 d"))),IF(AE194&lt;&gt;"",AE194,IF(Z194="NR","NR","")))</f>
        <v/>
      </c>
      <c r="AX194" s="9">
        <f>IF(ISNUMBER(AW194),IF(AW194&gt;450,"Yes","No"),IF(AW194="NR","NR",""))</f>
        <v/>
      </c>
      <c r="BJ194" s="9">
        <f>IF(BB194="","",IF(BB194="Non-viable","Non-viable",IF(BB194="Viable","Viable",IF(BB194="Partially non-viable",IF(OR(BD194="Total splenectomy",BD194="Partial splenectomy +/- splenopexy"),"Non-viable","Review"),IF(BB194="NR",IF(OR(BD194="Total splenectomy",BD194="Partial splenectomy +/- splenopexy"),"NR - removed, check reason","NR"),"Not applicable")))))</f>
        <v/>
      </c>
    </row>
    <row r="195">
      <c r="D195" s="8" t="n"/>
      <c r="E195" s="9">
        <f>IF(B195="","",IF(B195="OWN","Yes","No"))</f>
        <v/>
      </c>
      <c r="AF195" s="9">
        <f>IF(ISNUMBER(Z195),IF(Z195&lt;=2,"&lt;=2 d",IF(Z195&lt;=7,"3-7 d",IF(Z195&lt;=30,"8-30 d","&gt;30 d"))),IF(AE195&lt;&gt;"",AE195,IF(Z195="NR","NR","")))</f>
        <v/>
      </c>
      <c r="AX195" s="9">
        <f>IF(ISNUMBER(AW195),IF(AW195&gt;450,"Yes","No"),IF(AW195="NR","NR",""))</f>
        <v/>
      </c>
      <c r="BJ195" s="9">
        <f>IF(BB195="","",IF(BB195="Non-viable","Non-viable",IF(BB195="Viable","Viable",IF(BB195="Partially non-viable",IF(OR(BD195="Total splenectomy",BD195="Partial splenectomy +/- splenopexy"),"Non-viable","Review"),IF(BB195="NR",IF(OR(BD195="Total splenectomy",BD195="Partial splenectomy +/- splenopexy"),"NR - removed, check reason","NR"),"Not applicable")))))</f>
        <v/>
      </c>
    </row>
    <row r="196">
      <c r="D196" s="8" t="n"/>
      <c r="E196" s="9">
        <f>IF(B196="","",IF(B196="OWN","Yes","No"))</f>
        <v/>
      </c>
      <c r="AF196" s="9">
        <f>IF(ISNUMBER(Z196),IF(Z196&lt;=2,"&lt;=2 d",IF(Z196&lt;=7,"3-7 d",IF(Z196&lt;=30,"8-30 d","&gt;30 d"))),IF(AE196&lt;&gt;"",AE196,IF(Z196="NR","NR","")))</f>
        <v/>
      </c>
      <c r="AX196" s="9">
        <f>IF(ISNUMBER(AW196),IF(AW196&gt;450,"Yes","No"),IF(AW196="NR","NR",""))</f>
        <v/>
      </c>
      <c r="BJ196" s="9">
        <f>IF(BB196="","",IF(BB196="Non-viable","Non-viable",IF(BB196="Viable","Viable",IF(BB196="Partially non-viable",IF(OR(BD196="Total splenectomy",BD196="Partial splenectomy +/- splenopexy"),"Non-viable","Review"),IF(BB196="NR",IF(OR(BD196="Total splenectomy",BD196="Partial splenectomy +/- splenopexy"),"NR - removed, check reason","NR"),"Not applicable")))))</f>
        <v/>
      </c>
    </row>
    <row r="197">
      <c r="D197" s="8" t="n"/>
      <c r="E197" s="9">
        <f>IF(B197="","",IF(B197="OWN","Yes","No"))</f>
        <v/>
      </c>
      <c r="AF197" s="9">
        <f>IF(ISNUMBER(Z197),IF(Z197&lt;=2,"&lt;=2 d",IF(Z197&lt;=7,"3-7 d",IF(Z197&lt;=30,"8-30 d","&gt;30 d"))),IF(AE197&lt;&gt;"",AE197,IF(Z197="NR","NR","")))</f>
        <v/>
      </c>
      <c r="AX197" s="9">
        <f>IF(ISNUMBER(AW197),IF(AW197&gt;450,"Yes","No"),IF(AW197="NR","NR",""))</f>
        <v/>
      </c>
      <c r="BJ197" s="9">
        <f>IF(BB197="","",IF(BB197="Non-viable","Non-viable",IF(BB197="Viable","Viable",IF(BB197="Partially non-viable",IF(OR(BD197="Total splenectomy",BD197="Partial splenectomy +/- splenopexy"),"Non-viable","Review"),IF(BB197="NR",IF(OR(BD197="Total splenectomy",BD197="Partial splenectomy +/- splenopexy"),"NR - removed, check reason","NR"),"Not applicable")))))</f>
        <v/>
      </c>
    </row>
    <row r="198">
      <c r="D198" s="8" t="n"/>
      <c r="E198" s="9">
        <f>IF(B198="","",IF(B198="OWN","Yes","No"))</f>
        <v/>
      </c>
      <c r="AF198" s="9">
        <f>IF(ISNUMBER(Z198),IF(Z198&lt;=2,"&lt;=2 d",IF(Z198&lt;=7,"3-7 d",IF(Z198&lt;=30,"8-30 d","&gt;30 d"))),IF(AE198&lt;&gt;"",AE198,IF(Z198="NR","NR","")))</f>
        <v/>
      </c>
      <c r="AX198" s="9">
        <f>IF(ISNUMBER(AW198),IF(AW198&gt;450,"Yes","No"),IF(AW198="NR","NR",""))</f>
        <v/>
      </c>
      <c r="BJ198" s="9">
        <f>IF(BB198="","",IF(BB198="Non-viable","Non-viable",IF(BB198="Viable","Viable",IF(BB198="Partially non-viable",IF(OR(BD198="Total splenectomy",BD198="Partial splenectomy +/- splenopexy"),"Non-viable","Review"),IF(BB198="NR",IF(OR(BD198="Total splenectomy",BD198="Partial splenectomy +/- splenopexy"),"NR - removed, check reason","NR"),"Not applicable")))))</f>
        <v/>
      </c>
    </row>
    <row r="199">
      <c r="D199" s="8" t="n"/>
      <c r="E199" s="9">
        <f>IF(B199="","",IF(B199="OWN","Yes","No"))</f>
        <v/>
      </c>
      <c r="AF199" s="9">
        <f>IF(ISNUMBER(Z199),IF(Z199&lt;=2,"&lt;=2 d",IF(Z199&lt;=7,"3-7 d",IF(Z199&lt;=30,"8-30 d","&gt;30 d"))),IF(AE199&lt;&gt;"",AE199,IF(Z199="NR","NR","")))</f>
        <v/>
      </c>
      <c r="AX199" s="9">
        <f>IF(ISNUMBER(AW199),IF(AW199&gt;450,"Yes","No"),IF(AW199="NR","NR",""))</f>
        <v/>
      </c>
      <c r="BJ199" s="9">
        <f>IF(BB199="","",IF(BB199="Non-viable","Non-viable",IF(BB199="Viable","Viable",IF(BB199="Partially non-viable",IF(OR(BD199="Total splenectomy",BD199="Partial splenectomy +/- splenopexy"),"Non-viable","Review"),IF(BB199="NR",IF(OR(BD199="Total splenectomy",BD199="Partial splenectomy +/- splenopexy"),"NR - removed, check reason","NR"),"Not applicable")))))</f>
        <v/>
      </c>
    </row>
    <row r="200">
      <c r="D200" s="8" t="n"/>
      <c r="E200" s="9">
        <f>IF(B200="","",IF(B200="OWN","Yes","No"))</f>
        <v/>
      </c>
      <c r="AF200" s="9">
        <f>IF(ISNUMBER(Z200),IF(Z200&lt;=2,"&lt;=2 d",IF(Z200&lt;=7,"3-7 d",IF(Z200&lt;=30,"8-30 d","&gt;30 d"))),IF(AE200&lt;&gt;"",AE200,IF(Z200="NR","NR","")))</f>
        <v/>
      </c>
      <c r="AX200" s="9">
        <f>IF(ISNUMBER(AW200),IF(AW200&gt;450,"Yes","No"),IF(AW200="NR","NR",""))</f>
        <v/>
      </c>
      <c r="BJ200" s="9">
        <f>IF(BB200="","",IF(BB200="Non-viable","Non-viable",IF(BB200="Viable","Viable",IF(BB200="Partially non-viable",IF(OR(BD200="Total splenectomy",BD200="Partial splenectomy +/- splenopexy"),"Non-viable","Review"),IF(BB200="NR",IF(OR(BD200="Total splenectomy",BD200="Partial splenectomy +/- splenopexy"),"NR - removed, check reason","NR"),"Not applicable")))))</f>
        <v/>
      </c>
    </row>
    <row r="201">
      <c r="D201" s="8" t="n"/>
      <c r="E201" s="9">
        <f>IF(B201="","",IF(B201="OWN","Yes","No"))</f>
        <v/>
      </c>
      <c r="AF201" s="9">
        <f>IF(ISNUMBER(Z201),IF(Z201&lt;=2,"&lt;=2 d",IF(Z201&lt;=7,"3-7 d",IF(Z201&lt;=30,"8-30 d","&gt;30 d"))),IF(AE201&lt;&gt;"",AE201,IF(Z201="NR","NR","")))</f>
        <v/>
      </c>
      <c r="AX201" s="9">
        <f>IF(ISNUMBER(AW201),IF(AW201&gt;450,"Yes","No"),IF(AW201="NR","NR",""))</f>
        <v/>
      </c>
      <c r="BJ201" s="9">
        <f>IF(BB201="","",IF(BB201="Non-viable","Non-viable",IF(BB201="Viable","Viable",IF(BB201="Partially non-viable",IF(OR(BD201="Total splenectomy",BD201="Partial splenectomy +/- splenopexy"),"Non-viable","Review"),IF(BB201="NR",IF(OR(BD201="Total splenectomy",BD201="Partial splenectomy +/- splenopexy"),"NR - removed, check reason","NR"),"Not applicable")))))</f>
        <v/>
      </c>
    </row>
    <row r="202">
      <c r="D202" s="8" t="n"/>
      <c r="E202" s="9">
        <f>IF(B202="","",IF(B202="OWN","Yes","No"))</f>
        <v/>
      </c>
      <c r="AF202" s="9">
        <f>IF(ISNUMBER(Z202),IF(Z202&lt;=2,"&lt;=2 d",IF(Z202&lt;=7,"3-7 d",IF(Z202&lt;=30,"8-30 d","&gt;30 d"))),IF(AE202&lt;&gt;"",AE202,IF(Z202="NR","NR","")))</f>
        <v/>
      </c>
      <c r="AX202" s="9">
        <f>IF(ISNUMBER(AW202),IF(AW202&gt;450,"Yes","No"),IF(AW202="NR","NR",""))</f>
        <v/>
      </c>
      <c r="BJ202" s="9">
        <f>IF(BB202="","",IF(BB202="Non-viable","Non-viable",IF(BB202="Viable","Viable",IF(BB202="Partially non-viable",IF(OR(BD202="Total splenectomy",BD202="Partial splenectomy +/- splenopexy"),"Non-viable","Review"),IF(BB202="NR",IF(OR(BD202="Total splenectomy",BD202="Partial splenectomy +/- splenopexy"),"NR - removed, check reason","NR"),"Not applicable")))))</f>
        <v/>
      </c>
    </row>
    <row r="203">
      <c r="D203" s="8" t="n"/>
      <c r="E203" s="9">
        <f>IF(B203="","",IF(B203="OWN","Yes","No"))</f>
        <v/>
      </c>
      <c r="AF203" s="9">
        <f>IF(ISNUMBER(Z203),IF(Z203&lt;=2,"&lt;=2 d",IF(Z203&lt;=7,"3-7 d",IF(Z203&lt;=30,"8-30 d","&gt;30 d"))),IF(AE203&lt;&gt;"",AE203,IF(Z203="NR","NR","")))</f>
        <v/>
      </c>
      <c r="AX203" s="9">
        <f>IF(ISNUMBER(AW203),IF(AW203&gt;450,"Yes","No"),IF(AW203="NR","NR",""))</f>
        <v/>
      </c>
      <c r="BJ203" s="9">
        <f>IF(BB203="","",IF(BB203="Non-viable","Non-viable",IF(BB203="Viable","Viable",IF(BB203="Partially non-viable",IF(OR(BD203="Total splenectomy",BD203="Partial splenectomy +/- splenopexy"),"Non-viable","Review"),IF(BB203="NR",IF(OR(BD203="Total splenectomy",BD203="Partial splenectomy +/- splenopexy"),"NR - removed, check reason","NR"),"Not applicable")))))</f>
        <v/>
      </c>
    </row>
    <row r="204">
      <c r="D204" s="8" t="n"/>
      <c r="E204" s="9">
        <f>IF(B204="","",IF(B204="OWN","Yes","No"))</f>
        <v/>
      </c>
      <c r="AF204" s="9">
        <f>IF(ISNUMBER(Z204),IF(Z204&lt;=2,"&lt;=2 d",IF(Z204&lt;=7,"3-7 d",IF(Z204&lt;=30,"8-30 d","&gt;30 d"))),IF(AE204&lt;&gt;"",AE204,IF(Z204="NR","NR","")))</f>
        <v/>
      </c>
      <c r="AX204" s="9">
        <f>IF(ISNUMBER(AW204),IF(AW204&gt;450,"Yes","No"),IF(AW204="NR","NR",""))</f>
        <v/>
      </c>
      <c r="BJ204" s="9">
        <f>IF(BB204="","",IF(BB204="Non-viable","Non-viable",IF(BB204="Viable","Viable",IF(BB204="Partially non-viable",IF(OR(BD204="Total splenectomy",BD204="Partial splenectomy +/- splenopexy"),"Non-viable","Review"),IF(BB204="NR",IF(OR(BD204="Total splenectomy",BD204="Partial splenectomy +/- splenopexy"),"NR - removed, check reason","NR"),"Not applicable")))))</f>
        <v/>
      </c>
    </row>
    <row r="205">
      <c r="D205" s="8" t="n"/>
      <c r="E205" s="9">
        <f>IF(B205="","",IF(B205="OWN","Yes","No"))</f>
        <v/>
      </c>
      <c r="AF205" s="9">
        <f>IF(ISNUMBER(Z205),IF(Z205&lt;=2,"&lt;=2 d",IF(Z205&lt;=7,"3-7 d",IF(Z205&lt;=30,"8-30 d","&gt;30 d"))),IF(AE205&lt;&gt;"",AE205,IF(Z205="NR","NR","")))</f>
        <v/>
      </c>
      <c r="AX205" s="9">
        <f>IF(ISNUMBER(AW205),IF(AW205&gt;450,"Yes","No"),IF(AW205="NR","NR",""))</f>
        <v/>
      </c>
      <c r="BJ205" s="9">
        <f>IF(BB205="","",IF(BB205="Non-viable","Non-viable",IF(BB205="Viable","Viable",IF(BB205="Partially non-viable",IF(OR(BD205="Total splenectomy",BD205="Partial splenectomy +/- splenopexy"),"Non-viable","Review"),IF(BB205="NR",IF(OR(BD205="Total splenectomy",BD205="Partial splenectomy +/- splenopexy"),"NR - removed, check reason","NR"),"Not applicable")))))</f>
        <v/>
      </c>
    </row>
    <row r="206">
      <c r="D206" s="8" t="n"/>
      <c r="E206" s="9">
        <f>IF(B206="","",IF(B206="OWN","Yes","No"))</f>
        <v/>
      </c>
      <c r="AF206" s="9">
        <f>IF(ISNUMBER(Z206),IF(Z206&lt;=2,"&lt;=2 d",IF(Z206&lt;=7,"3-7 d",IF(Z206&lt;=30,"8-30 d","&gt;30 d"))),IF(AE206&lt;&gt;"",AE206,IF(Z206="NR","NR","")))</f>
        <v/>
      </c>
      <c r="AX206" s="9">
        <f>IF(ISNUMBER(AW206),IF(AW206&gt;450,"Yes","No"),IF(AW206="NR","NR",""))</f>
        <v/>
      </c>
      <c r="BJ206" s="9">
        <f>IF(BB206="","",IF(BB206="Non-viable","Non-viable",IF(BB206="Viable","Viable",IF(BB206="Partially non-viable",IF(OR(BD206="Total splenectomy",BD206="Partial splenectomy +/- splenopexy"),"Non-viable","Review"),IF(BB206="NR",IF(OR(BD206="Total splenectomy",BD206="Partial splenectomy +/- splenopexy"),"NR - removed, check reason","NR"),"Not applicable")))))</f>
        <v/>
      </c>
    </row>
    <row r="207">
      <c r="D207" s="8" t="n"/>
      <c r="E207" s="9">
        <f>IF(B207="","",IF(B207="OWN","Yes","No"))</f>
        <v/>
      </c>
      <c r="AF207" s="9">
        <f>IF(ISNUMBER(Z207),IF(Z207&lt;=2,"&lt;=2 d",IF(Z207&lt;=7,"3-7 d",IF(Z207&lt;=30,"8-30 d","&gt;30 d"))),IF(AE207&lt;&gt;"",AE207,IF(Z207="NR","NR","")))</f>
        <v/>
      </c>
      <c r="AX207" s="9">
        <f>IF(ISNUMBER(AW207),IF(AW207&gt;450,"Yes","No"),IF(AW207="NR","NR",""))</f>
        <v/>
      </c>
      <c r="BJ207" s="9">
        <f>IF(BB207="","",IF(BB207="Non-viable","Non-viable",IF(BB207="Viable","Viable",IF(BB207="Partially non-viable",IF(OR(BD207="Total splenectomy",BD207="Partial splenectomy +/- splenopexy"),"Non-viable","Review"),IF(BB207="NR",IF(OR(BD207="Total splenectomy",BD207="Partial splenectomy +/- splenopexy"),"NR - removed, check reason","NR"),"Not applicable")))))</f>
        <v/>
      </c>
    </row>
    <row r="208">
      <c r="D208" s="8" t="n"/>
      <c r="E208" s="9">
        <f>IF(B208="","",IF(B208="OWN","Yes","No"))</f>
        <v/>
      </c>
      <c r="AF208" s="9">
        <f>IF(ISNUMBER(Z208),IF(Z208&lt;=2,"&lt;=2 d",IF(Z208&lt;=7,"3-7 d",IF(Z208&lt;=30,"8-30 d","&gt;30 d"))),IF(AE208&lt;&gt;"",AE208,IF(Z208="NR","NR","")))</f>
        <v/>
      </c>
      <c r="AX208" s="9">
        <f>IF(ISNUMBER(AW208),IF(AW208&gt;450,"Yes","No"),IF(AW208="NR","NR",""))</f>
        <v/>
      </c>
      <c r="BJ208" s="9">
        <f>IF(BB208="","",IF(BB208="Non-viable","Non-viable",IF(BB208="Viable","Viable",IF(BB208="Partially non-viable",IF(OR(BD208="Total splenectomy",BD208="Partial splenectomy +/- splenopexy"),"Non-viable","Review"),IF(BB208="NR",IF(OR(BD208="Total splenectomy",BD208="Partial splenectomy +/- splenopexy"),"NR - removed, check reason","NR"),"Not applicable")))))</f>
        <v/>
      </c>
    </row>
    <row r="209">
      <c r="D209" s="8" t="n"/>
      <c r="E209" s="9">
        <f>IF(B209="","",IF(B209="OWN","Yes","No"))</f>
        <v/>
      </c>
      <c r="AF209" s="9">
        <f>IF(ISNUMBER(Z209),IF(Z209&lt;=2,"&lt;=2 d",IF(Z209&lt;=7,"3-7 d",IF(Z209&lt;=30,"8-30 d","&gt;30 d"))),IF(AE209&lt;&gt;"",AE209,IF(Z209="NR","NR","")))</f>
        <v/>
      </c>
      <c r="AX209" s="9">
        <f>IF(ISNUMBER(AW209),IF(AW209&gt;450,"Yes","No"),IF(AW209="NR","NR",""))</f>
        <v/>
      </c>
      <c r="BJ209" s="9">
        <f>IF(BB209="","",IF(BB209="Non-viable","Non-viable",IF(BB209="Viable","Viable",IF(BB209="Partially non-viable",IF(OR(BD209="Total splenectomy",BD209="Partial splenectomy +/- splenopexy"),"Non-viable","Review"),IF(BB209="NR",IF(OR(BD209="Total splenectomy",BD209="Partial splenectomy +/- splenopexy"),"NR - removed, check reason","NR"),"Not applicable")))))</f>
        <v/>
      </c>
    </row>
    <row r="210">
      <c r="D210" s="8" t="n"/>
      <c r="E210" s="9">
        <f>IF(B210="","",IF(B210="OWN","Yes","No"))</f>
        <v/>
      </c>
      <c r="AF210" s="9">
        <f>IF(ISNUMBER(Z210),IF(Z210&lt;=2,"&lt;=2 d",IF(Z210&lt;=7,"3-7 d",IF(Z210&lt;=30,"8-30 d","&gt;30 d"))),IF(AE210&lt;&gt;"",AE210,IF(Z210="NR","NR","")))</f>
        <v/>
      </c>
      <c r="AX210" s="9">
        <f>IF(ISNUMBER(AW210),IF(AW210&gt;450,"Yes","No"),IF(AW210="NR","NR",""))</f>
        <v/>
      </c>
      <c r="BJ210" s="9">
        <f>IF(BB210="","",IF(BB210="Non-viable","Non-viable",IF(BB210="Viable","Viable",IF(BB210="Partially non-viable",IF(OR(BD210="Total splenectomy",BD210="Partial splenectomy +/- splenopexy"),"Non-viable","Review"),IF(BB210="NR",IF(OR(BD210="Total splenectomy",BD210="Partial splenectomy +/- splenopexy"),"NR - removed, check reason","NR"),"Not applicable")))))</f>
        <v/>
      </c>
    </row>
    <row r="211">
      <c r="D211" s="8" t="n"/>
      <c r="E211" s="9">
        <f>IF(B211="","",IF(B211="OWN","Yes","No"))</f>
        <v/>
      </c>
      <c r="AF211" s="9">
        <f>IF(ISNUMBER(Z211),IF(Z211&lt;=2,"&lt;=2 d",IF(Z211&lt;=7,"3-7 d",IF(Z211&lt;=30,"8-30 d","&gt;30 d"))),IF(AE211&lt;&gt;"",AE211,IF(Z211="NR","NR","")))</f>
        <v/>
      </c>
      <c r="AX211" s="9">
        <f>IF(ISNUMBER(AW211),IF(AW211&gt;450,"Yes","No"),IF(AW211="NR","NR",""))</f>
        <v/>
      </c>
      <c r="BJ211" s="9">
        <f>IF(BB211="","",IF(BB211="Non-viable","Non-viable",IF(BB211="Viable","Viable",IF(BB211="Partially non-viable",IF(OR(BD211="Total splenectomy",BD211="Partial splenectomy +/- splenopexy"),"Non-viable","Review"),IF(BB211="NR",IF(OR(BD211="Total splenectomy",BD211="Partial splenectomy +/- splenopexy"),"NR - removed, check reason","NR"),"Not applicable")))))</f>
        <v/>
      </c>
    </row>
    <row r="212">
      <c r="D212" s="8" t="n"/>
      <c r="E212" s="9">
        <f>IF(B212="","",IF(B212="OWN","Yes","No"))</f>
        <v/>
      </c>
      <c r="AF212" s="9">
        <f>IF(ISNUMBER(Z212),IF(Z212&lt;=2,"&lt;=2 d",IF(Z212&lt;=7,"3-7 d",IF(Z212&lt;=30,"8-30 d","&gt;30 d"))),IF(AE212&lt;&gt;"",AE212,IF(Z212="NR","NR","")))</f>
        <v/>
      </c>
      <c r="AX212" s="9">
        <f>IF(ISNUMBER(AW212),IF(AW212&gt;450,"Yes","No"),IF(AW212="NR","NR",""))</f>
        <v/>
      </c>
      <c r="BJ212" s="9">
        <f>IF(BB212="","",IF(BB212="Non-viable","Non-viable",IF(BB212="Viable","Viable",IF(BB212="Partially non-viable",IF(OR(BD212="Total splenectomy",BD212="Partial splenectomy +/- splenopexy"),"Non-viable","Review"),IF(BB212="NR",IF(OR(BD212="Total splenectomy",BD212="Partial splenectomy +/- splenopexy"),"NR - removed, check reason","NR"),"Not applicable")))))</f>
        <v/>
      </c>
    </row>
    <row r="213">
      <c r="D213" s="8" t="n"/>
      <c r="E213" s="9">
        <f>IF(B213="","",IF(B213="OWN","Yes","No"))</f>
        <v/>
      </c>
      <c r="AF213" s="9">
        <f>IF(ISNUMBER(Z213),IF(Z213&lt;=2,"&lt;=2 d",IF(Z213&lt;=7,"3-7 d",IF(Z213&lt;=30,"8-30 d","&gt;30 d"))),IF(AE213&lt;&gt;"",AE213,IF(Z213="NR","NR","")))</f>
        <v/>
      </c>
      <c r="AX213" s="9">
        <f>IF(ISNUMBER(AW213),IF(AW213&gt;450,"Yes","No"),IF(AW213="NR","NR",""))</f>
        <v/>
      </c>
      <c r="BJ213" s="9">
        <f>IF(BB213="","",IF(BB213="Non-viable","Non-viable",IF(BB213="Viable","Viable",IF(BB213="Partially non-viable",IF(OR(BD213="Total splenectomy",BD213="Partial splenectomy +/- splenopexy"),"Non-viable","Review"),IF(BB213="NR",IF(OR(BD213="Total splenectomy",BD213="Partial splenectomy +/- splenopexy"),"NR - removed, check reason","NR"),"Not applicable")))))</f>
        <v/>
      </c>
    </row>
    <row r="214">
      <c r="D214" s="8" t="n"/>
      <c r="E214" s="9">
        <f>IF(B214="","",IF(B214="OWN","Yes","No"))</f>
        <v/>
      </c>
      <c r="AF214" s="9">
        <f>IF(ISNUMBER(Z214),IF(Z214&lt;=2,"&lt;=2 d",IF(Z214&lt;=7,"3-7 d",IF(Z214&lt;=30,"8-30 d","&gt;30 d"))),IF(AE214&lt;&gt;"",AE214,IF(Z214="NR","NR","")))</f>
        <v/>
      </c>
      <c r="AX214" s="9">
        <f>IF(ISNUMBER(AW214),IF(AW214&gt;450,"Yes","No"),IF(AW214="NR","NR",""))</f>
        <v/>
      </c>
      <c r="BJ214" s="9">
        <f>IF(BB214="","",IF(BB214="Non-viable","Non-viable",IF(BB214="Viable","Viable",IF(BB214="Partially non-viable",IF(OR(BD214="Total splenectomy",BD214="Partial splenectomy +/- splenopexy"),"Non-viable","Review"),IF(BB214="NR",IF(OR(BD214="Total splenectomy",BD214="Partial splenectomy +/- splenopexy"),"NR - removed, check reason","NR"),"Not applicable")))))</f>
        <v/>
      </c>
    </row>
    <row r="215">
      <c r="D215" s="8" t="n"/>
      <c r="E215" s="9">
        <f>IF(B215="","",IF(B215="OWN","Yes","No"))</f>
        <v/>
      </c>
      <c r="AF215" s="9">
        <f>IF(ISNUMBER(Z215),IF(Z215&lt;=2,"&lt;=2 d",IF(Z215&lt;=7,"3-7 d",IF(Z215&lt;=30,"8-30 d","&gt;30 d"))),IF(AE215&lt;&gt;"",AE215,IF(Z215="NR","NR","")))</f>
        <v/>
      </c>
      <c r="AX215" s="9">
        <f>IF(ISNUMBER(AW215),IF(AW215&gt;450,"Yes","No"),IF(AW215="NR","NR",""))</f>
        <v/>
      </c>
      <c r="BJ215" s="9">
        <f>IF(BB215="","",IF(BB215="Non-viable","Non-viable",IF(BB215="Viable","Viable",IF(BB215="Partially non-viable",IF(OR(BD215="Total splenectomy",BD215="Partial splenectomy +/- splenopexy"),"Non-viable","Review"),IF(BB215="NR",IF(OR(BD215="Total splenectomy",BD215="Partial splenectomy +/- splenopexy"),"NR - removed, check reason","NR"),"Not applicable")))))</f>
        <v/>
      </c>
    </row>
    <row r="216">
      <c r="D216" s="8" t="n"/>
      <c r="E216" s="9">
        <f>IF(B216="","",IF(B216="OWN","Yes","No"))</f>
        <v/>
      </c>
      <c r="AF216" s="9">
        <f>IF(ISNUMBER(Z216),IF(Z216&lt;=2,"&lt;=2 d",IF(Z216&lt;=7,"3-7 d",IF(Z216&lt;=30,"8-30 d","&gt;30 d"))),IF(AE216&lt;&gt;"",AE216,IF(Z216="NR","NR","")))</f>
        <v/>
      </c>
      <c r="AX216" s="9">
        <f>IF(ISNUMBER(AW216),IF(AW216&gt;450,"Yes","No"),IF(AW216="NR","NR",""))</f>
        <v/>
      </c>
      <c r="BJ216" s="9">
        <f>IF(BB216="","",IF(BB216="Non-viable","Non-viable",IF(BB216="Viable","Viable",IF(BB216="Partially non-viable",IF(OR(BD216="Total splenectomy",BD216="Partial splenectomy +/- splenopexy"),"Non-viable","Review"),IF(BB216="NR",IF(OR(BD216="Total splenectomy",BD216="Partial splenectomy +/- splenopexy"),"NR - removed, check reason","NR"),"Not applicable")))))</f>
        <v/>
      </c>
    </row>
    <row r="217">
      <c r="D217" s="8" t="n"/>
      <c r="E217" s="9">
        <f>IF(B217="","",IF(B217="OWN","Yes","No"))</f>
        <v/>
      </c>
      <c r="AF217" s="9">
        <f>IF(ISNUMBER(Z217),IF(Z217&lt;=2,"&lt;=2 d",IF(Z217&lt;=7,"3-7 d",IF(Z217&lt;=30,"8-30 d","&gt;30 d"))),IF(AE217&lt;&gt;"",AE217,IF(Z217="NR","NR","")))</f>
        <v/>
      </c>
      <c r="AX217" s="9">
        <f>IF(ISNUMBER(AW217),IF(AW217&gt;450,"Yes","No"),IF(AW217="NR","NR",""))</f>
        <v/>
      </c>
      <c r="BJ217" s="9">
        <f>IF(BB217="","",IF(BB217="Non-viable","Non-viable",IF(BB217="Viable","Viable",IF(BB217="Partially non-viable",IF(OR(BD217="Total splenectomy",BD217="Partial splenectomy +/- splenopexy"),"Non-viable","Review"),IF(BB217="NR",IF(OR(BD217="Total splenectomy",BD217="Partial splenectomy +/- splenopexy"),"NR - removed, check reason","NR"),"Not applicable")))))</f>
        <v/>
      </c>
    </row>
    <row r="218">
      <c r="D218" s="8" t="n"/>
      <c r="E218" s="9">
        <f>IF(B218="","",IF(B218="OWN","Yes","No"))</f>
        <v/>
      </c>
      <c r="AF218" s="9">
        <f>IF(ISNUMBER(Z218),IF(Z218&lt;=2,"&lt;=2 d",IF(Z218&lt;=7,"3-7 d",IF(Z218&lt;=30,"8-30 d","&gt;30 d"))),IF(AE218&lt;&gt;"",AE218,IF(Z218="NR","NR","")))</f>
        <v/>
      </c>
      <c r="AX218" s="9">
        <f>IF(ISNUMBER(AW218),IF(AW218&gt;450,"Yes","No"),IF(AW218="NR","NR",""))</f>
        <v/>
      </c>
      <c r="BJ218" s="9">
        <f>IF(BB218="","",IF(BB218="Non-viable","Non-viable",IF(BB218="Viable","Viable",IF(BB218="Partially non-viable",IF(OR(BD218="Total splenectomy",BD218="Partial splenectomy +/- splenopexy"),"Non-viable","Review"),IF(BB218="NR",IF(OR(BD218="Total splenectomy",BD218="Partial splenectomy +/- splenopexy"),"NR - removed, check reason","NR"),"Not applicable")))))</f>
        <v/>
      </c>
    </row>
    <row r="219">
      <c r="D219" s="8" t="n"/>
      <c r="E219" s="9">
        <f>IF(B219="","",IF(B219="OWN","Yes","No"))</f>
        <v/>
      </c>
      <c r="AF219" s="9">
        <f>IF(ISNUMBER(Z219),IF(Z219&lt;=2,"&lt;=2 d",IF(Z219&lt;=7,"3-7 d",IF(Z219&lt;=30,"8-30 d","&gt;30 d"))),IF(AE219&lt;&gt;"",AE219,IF(Z219="NR","NR","")))</f>
        <v/>
      </c>
      <c r="AX219" s="9">
        <f>IF(ISNUMBER(AW219),IF(AW219&gt;450,"Yes","No"),IF(AW219="NR","NR",""))</f>
        <v/>
      </c>
      <c r="BJ219" s="9">
        <f>IF(BB219="","",IF(BB219="Non-viable","Non-viable",IF(BB219="Viable","Viable",IF(BB219="Partially non-viable",IF(OR(BD219="Total splenectomy",BD219="Partial splenectomy +/- splenopexy"),"Non-viable","Review"),IF(BB219="NR",IF(OR(BD219="Total splenectomy",BD219="Partial splenectomy +/- splenopexy"),"NR - removed, check reason","NR"),"Not applicable")))))</f>
        <v/>
      </c>
    </row>
    <row r="220">
      <c r="D220" s="8" t="n"/>
      <c r="E220" s="9">
        <f>IF(B220="","",IF(B220="OWN","Yes","No"))</f>
        <v/>
      </c>
      <c r="AF220" s="9">
        <f>IF(ISNUMBER(Z220),IF(Z220&lt;=2,"&lt;=2 d",IF(Z220&lt;=7,"3-7 d",IF(Z220&lt;=30,"8-30 d","&gt;30 d"))),IF(AE220&lt;&gt;"",AE220,IF(Z220="NR","NR","")))</f>
        <v/>
      </c>
      <c r="AX220" s="9">
        <f>IF(ISNUMBER(AW220),IF(AW220&gt;450,"Yes","No"),IF(AW220="NR","NR",""))</f>
        <v/>
      </c>
      <c r="BJ220" s="9">
        <f>IF(BB220="","",IF(BB220="Non-viable","Non-viable",IF(BB220="Viable","Viable",IF(BB220="Partially non-viable",IF(OR(BD220="Total splenectomy",BD220="Partial splenectomy +/- splenopexy"),"Non-viable","Review"),IF(BB220="NR",IF(OR(BD220="Total splenectomy",BD220="Partial splenectomy +/- splenopexy"),"NR - removed, check reason","NR"),"Not applicable")))))</f>
        <v/>
      </c>
    </row>
    <row r="221">
      <c r="D221" s="8" t="n"/>
      <c r="E221" s="9">
        <f>IF(B221="","",IF(B221="OWN","Yes","No"))</f>
        <v/>
      </c>
      <c r="AF221" s="9">
        <f>IF(ISNUMBER(Z221),IF(Z221&lt;=2,"&lt;=2 d",IF(Z221&lt;=7,"3-7 d",IF(Z221&lt;=30,"8-30 d","&gt;30 d"))),IF(AE221&lt;&gt;"",AE221,IF(Z221="NR","NR","")))</f>
        <v/>
      </c>
      <c r="AX221" s="9">
        <f>IF(ISNUMBER(AW221),IF(AW221&gt;450,"Yes","No"),IF(AW221="NR","NR",""))</f>
        <v/>
      </c>
      <c r="BJ221" s="9">
        <f>IF(BB221="","",IF(BB221="Non-viable","Non-viable",IF(BB221="Viable","Viable",IF(BB221="Partially non-viable",IF(OR(BD221="Total splenectomy",BD221="Partial splenectomy +/- splenopexy"),"Non-viable","Review"),IF(BB221="NR",IF(OR(BD221="Total splenectomy",BD221="Partial splenectomy +/- splenopexy"),"NR - removed, check reason","NR"),"Not applicable")))))</f>
        <v/>
      </c>
    </row>
    <row r="222">
      <c r="D222" s="8" t="n"/>
      <c r="E222" s="9">
        <f>IF(B222="","",IF(B222="OWN","Yes","No"))</f>
        <v/>
      </c>
      <c r="AF222" s="9">
        <f>IF(ISNUMBER(Z222),IF(Z222&lt;=2,"&lt;=2 d",IF(Z222&lt;=7,"3-7 d",IF(Z222&lt;=30,"8-30 d","&gt;30 d"))),IF(AE222&lt;&gt;"",AE222,IF(Z222="NR","NR","")))</f>
        <v/>
      </c>
      <c r="AX222" s="9">
        <f>IF(ISNUMBER(AW222),IF(AW222&gt;450,"Yes","No"),IF(AW222="NR","NR",""))</f>
        <v/>
      </c>
      <c r="BJ222" s="9">
        <f>IF(BB222="","",IF(BB222="Non-viable","Non-viable",IF(BB222="Viable","Viable",IF(BB222="Partially non-viable",IF(OR(BD222="Total splenectomy",BD222="Partial splenectomy +/- splenopexy"),"Non-viable","Review"),IF(BB222="NR",IF(OR(BD222="Total splenectomy",BD222="Partial splenectomy +/- splenopexy"),"NR - removed, check reason","NR"),"Not applicable")))))</f>
        <v/>
      </c>
    </row>
    <row r="223">
      <c r="D223" s="8" t="n"/>
      <c r="E223" s="9">
        <f>IF(B223="","",IF(B223="OWN","Yes","No"))</f>
        <v/>
      </c>
      <c r="AF223" s="9">
        <f>IF(ISNUMBER(Z223),IF(Z223&lt;=2,"&lt;=2 d",IF(Z223&lt;=7,"3-7 d",IF(Z223&lt;=30,"8-30 d","&gt;30 d"))),IF(AE223&lt;&gt;"",AE223,IF(Z223="NR","NR","")))</f>
        <v/>
      </c>
      <c r="AX223" s="9">
        <f>IF(ISNUMBER(AW223),IF(AW223&gt;450,"Yes","No"),IF(AW223="NR","NR",""))</f>
        <v/>
      </c>
      <c r="BJ223" s="9">
        <f>IF(BB223="","",IF(BB223="Non-viable","Non-viable",IF(BB223="Viable","Viable",IF(BB223="Partially non-viable",IF(OR(BD223="Total splenectomy",BD223="Partial splenectomy +/- splenopexy"),"Non-viable","Review"),IF(BB223="NR",IF(OR(BD223="Total splenectomy",BD223="Partial splenectomy +/- splenopexy"),"NR - removed, check reason","NR"),"Not applicable")))))</f>
        <v/>
      </c>
    </row>
    <row r="224">
      <c r="D224" s="8" t="n"/>
      <c r="E224" s="9">
        <f>IF(B224="","",IF(B224="OWN","Yes","No"))</f>
        <v/>
      </c>
      <c r="AF224" s="9">
        <f>IF(ISNUMBER(Z224),IF(Z224&lt;=2,"&lt;=2 d",IF(Z224&lt;=7,"3-7 d",IF(Z224&lt;=30,"8-30 d","&gt;30 d"))),IF(AE224&lt;&gt;"",AE224,IF(Z224="NR","NR","")))</f>
        <v/>
      </c>
      <c r="AX224" s="9">
        <f>IF(ISNUMBER(AW224),IF(AW224&gt;450,"Yes","No"),IF(AW224="NR","NR",""))</f>
        <v/>
      </c>
      <c r="BJ224" s="9">
        <f>IF(BB224="","",IF(BB224="Non-viable","Non-viable",IF(BB224="Viable","Viable",IF(BB224="Partially non-viable",IF(OR(BD224="Total splenectomy",BD224="Partial splenectomy +/- splenopexy"),"Non-viable","Review"),IF(BB224="NR",IF(OR(BD224="Total splenectomy",BD224="Partial splenectomy +/- splenopexy"),"NR - removed, check reason","NR"),"Not applicable")))))</f>
        <v/>
      </c>
    </row>
    <row r="225">
      <c r="D225" s="8" t="n"/>
      <c r="E225" s="9">
        <f>IF(B225="","",IF(B225="OWN","Yes","No"))</f>
        <v/>
      </c>
      <c r="AF225" s="9">
        <f>IF(ISNUMBER(Z225),IF(Z225&lt;=2,"&lt;=2 d",IF(Z225&lt;=7,"3-7 d",IF(Z225&lt;=30,"8-30 d","&gt;30 d"))),IF(AE225&lt;&gt;"",AE225,IF(Z225="NR","NR","")))</f>
        <v/>
      </c>
      <c r="AX225" s="9">
        <f>IF(ISNUMBER(AW225),IF(AW225&gt;450,"Yes","No"),IF(AW225="NR","NR",""))</f>
        <v/>
      </c>
      <c r="BJ225" s="9">
        <f>IF(BB225="","",IF(BB225="Non-viable","Non-viable",IF(BB225="Viable","Viable",IF(BB225="Partially non-viable",IF(OR(BD225="Total splenectomy",BD225="Partial splenectomy +/- splenopexy"),"Non-viable","Review"),IF(BB225="NR",IF(OR(BD225="Total splenectomy",BD225="Partial splenectomy +/- splenopexy"),"NR - removed, check reason","NR"),"Not applicable")))))</f>
        <v/>
      </c>
    </row>
    <row r="226">
      <c r="D226" s="8" t="n"/>
      <c r="E226" s="9">
        <f>IF(B226="","",IF(B226="OWN","Yes","No"))</f>
        <v/>
      </c>
      <c r="AF226" s="9">
        <f>IF(ISNUMBER(Z226),IF(Z226&lt;=2,"&lt;=2 d",IF(Z226&lt;=7,"3-7 d",IF(Z226&lt;=30,"8-30 d","&gt;30 d"))),IF(AE226&lt;&gt;"",AE226,IF(Z226="NR","NR","")))</f>
        <v/>
      </c>
      <c r="AX226" s="9">
        <f>IF(ISNUMBER(AW226),IF(AW226&gt;450,"Yes","No"),IF(AW226="NR","NR",""))</f>
        <v/>
      </c>
      <c r="BJ226" s="9">
        <f>IF(BB226="","",IF(BB226="Non-viable","Non-viable",IF(BB226="Viable","Viable",IF(BB226="Partially non-viable",IF(OR(BD226="Total splenectomy",BD226="Partial splenectomy +/- splenopexy"),"Non-viable","Review"),IF(BB226="NR",IF(OR(BD226="Total splenectomy",BD226="Partial splenectomy +/- splenopexy"),"NR - removed, check reason","NR"),"Not applicable")))))</f>
        <v/>
      </c>
    </row>
    <row r="227">
      <c r="D227" s="8" t="n"/>
      <c r="E227" s="9">
        <f>IF(B227="","",IF(B227="OWN","Yes","No"))</f>
        <v/>
      </c>
      <c r="AF227" s="9">
        <f>IF(ISNUMBER(Z227),IF(Z227&lt;=2,"&lt;=2 d",IF(Z227&lt;=7,"3-7 d",IF(Z227&lt;=30,"8-30 d","&gt;30 d"))),IF(AE227&lt;&gt;"",AE227,IF(Z227="NR","NR","")))</f>
        <v/>
      </c>
      <c r="AX227" s="9">
        <f>IF(ISNUMBER(AW227),IF(AW227&gt;450,"Yes","No"),IF(AW227="NR","NR",""))</f>
        <v/>
      </c>
      <c r="BJ227" s="9">
        <f>IF(BB227="","",IF(BB227="Non-viable","Non-viable",IF(BB227="Viable","Viable",IF(BB227="Partially non-viable",IF(OR(BD227="Total splenectomy",BD227="Partial splenectomy +/- splenopexy"),"Non-viable","Review"),IF(BB227="NR",IF(OR(BD227="Total splenectomy",BD227="Partial splenectomy +/- splenopexy"),"NR - removed, check reason","NR"),"Not applicable")))))</f>
        <v/>
      </c>
    </row>
    <row r="228">
      <c r="D228" s="8" t="n"/>
      <c r="E228" s="9">
        <f>IF(B228="","",IF(B228="OWN","Yes","No"))</f>
        <v/>
      </c>
      <c r="AF228" s="9">
        <f>IF(ISNUMBER(Z228),IF(Z228&lt;=2,"&lt;=2 d",IF(Z228&lt;=7,"3-7 d",IF(Z228&lt;=30,"8-30 d","&gt;30 d"))),IF(AE228&lt;&gt;"",AE228,IF(Z228="NR","NR","")))</f>
        <v/>
      </c>
      <c r="AX228" s="9">
        <f>IF(ISNUMBER(AW228),IF(AW228&gt;450,"Yes","No"),IF(AW228="NR","NR",""))</f>
        <v/>
      </c>
      <c r="BJ228" s="9">
        <f>IF(BB228="","",IF(BB228="Non-viable","Non-viable",IF(BB228="Viable","Viable",IF(BB228="Partially non-viable",IF(OR(BD228="Total splenectomy",BD228="Partial splenectomy +/- splenopexy"),"Non-viable","Review"),IF(BB228="NR",IF(OR(BD228="Total splenectomy",BD228="Partial splenectomy +/- splenopexy"),"NR - removed, check reason","NR"),"Not applicable")))))</f>
        <v/>
      </c>
    </row>
    <row r="229">
      <c r="D229" s="8" t="n"/>
      <c r="E229" s="9">
        <f>IF(B229="","",IF(B229="OWN","Yes","No"))</f>
        <v/>
      </c>
      <c r="AF229" s="9">
        <f>IF(ISNUMBER(Z229),IF(Z229&lt;=2,"&lt;=2 d",IF(Z229&lt;=7,"3-7 d",IF(Z229&lt;=30,"8-30 d","&gt;30 d"))),IF(AE229&lt;&gt;"",AE229,IF(Z229="NR","NR","")))</f>
        <v/>
      </c>
      <c r="AX229" s="9">
        <f>IF(ISNUMBER(AW229),IF(AW229&gt;450,"Yes","No"),IF(AW229="NR","NR",""))</f>
        <v/>
      </c>
      <c r="BJ229" s="9">
        <f>IF(BB229="","",IF(BB229="Non-viable","Non-viable",IF(BB229="Viable","Viable",IF(BB229="Partially non-viable",IF(OR(BD229="Total splenectomy",BD229="Partial splenectomy +/- splenopexy"),"Non-viable","Review"),IF(BB229="NR",IF(OR(BD229="Total splenectomy",BD229="Partial splenectomy +/- splenopexy"),"NR - removed, check reason","NR"),"Not applicable")))))</f>
        <v/>
      </c>
    </row>
    <row r="230">
      <c r="D230" s="8" t="n"/>
      <c r="E230" s="9">
        <f>IF(B230="","",IF(B230="OWN","Yes","No"))</f>
        <v/>
      </c>
      <c r="AF230" s="9">
        <f>IF(ISNUMBER(Z230),IF(Z230&lt;=2,"&lt;=2 d",IF(Z230&lt;=7,"3-7 d",IF(Z230&lt;=30,"8-30 d","&gt;30 d"))),IF(AE230&lt;&gt;"",AE230,IF(Z230="NR","NR","")))</f>
        <v/>
      </c>
      <c r="AX230" s="9">
        <f>IF(ISNUMBER(AW230),IF(AW230&gt;450,"Yes","No"),IF(AW230="NR","NR",""))</f>
        <v/>
      </c>
      <c r="BJ230" s="9">
        <f>IF(BB230="","",IF(BB230="Non-viable","Non-viable",IF(BB230="Viable","Viable",IF(BB230="Partially non-viable",IF(OR(BD230="Total splenectomy",BD230="Partial splenectomy +/- splenopexy"),"Non-viable","Review"),IF(BB230="NR",IF(OR(BD230="Total splenectomy",BD230="Partial splenectomy +/- splenopexy"),"NR - removed, check reason","NR"),"Not applicable")))))</f>
        <v/>
      </c>
    </row>
    <row r="231">
      <c r="D231" s="8" t="n"/>
      <c r="E231" s="9">
        <f>IF(B231="","",IF(B231="OWN","Yes","No"))</f>
        <v/>
      </c>
      <c r="AF231" s="9">
        <f>IF(ISNUMBER(Z231),IF(Z231&lt;=2,"&lt;=2 d",IF(Z231&lt;=7,"3-7 d",IF(Z231&lt;=30,"8-30 d","&gt;30 d"))),IF(AE231&lt;&gt;"",AE231,IF(Z231="NR","NR","")))</f>
        <v/>
      </c>
      <c r="AX231" s="9">
        <f>IF(ISNUMBER(AW231),IF(AW231&gt;450,"Yes","No"),IF(AW231="NR","NR",""))</f>
        <v/>
      </c>
      <c r="BJ231" s="9">
        <f>IF(BB231="","",IF(BB231="Non-viable","Non-viable",IF(BB231="Viable","Viable",IF(BB231="Partially non-viable",IF(OR(BD231="Total splenectomy",BD231="Partial splenectomy +/- splenopexy"),"Non-viable","Review"),IF(BB231="NR",IF(OR(BD231="Total splenectomy",BD231="Partial splenectomy +/- splenopexy"),"NR - removed, check reason","NR"),"Not applicable")))))</f>
        <v/>
      </c>
    </row>
    <row r="232">
      <c r="D232" s="8" t="n"/>
      <c r="E232" s="9">
        <f>IF(B232="","",IF(B232="OWN","Yes","No"))</f>
        <v/>
      </c>
      <c r="AF232" s="9">
        <f>IF(ISNUMBER(Z232),IF(Z232&lt;=2,"&lt;=2 d",IF(Z232&lt;=7,"3-7 d",IF(Z232&lt;=30,"8-30 d","&gt;30 d"))),IF(AE232&lt;&gt;"",AE232,IF(Z232="NR","NR","")))</f>
        <v/>
      </c>
      <c r="AX232" s="9">
        <f>IF(ISNUMBER(AW232),IF(AW232&gt;450,"Yes","No"),IF(AW232="NR","NR",""))</f>
        <v/>
      </c>
      <c r="BJ232" s="9">
        <f>IF(BB232="","",IF(BB232="Non-viable","Non-viable",IF(BB232="Viable","Viable",IF(BB232="Partially non-viable",IF(OR(BD232="Total splenectomy",BD232="Partial splenectomy +/- splenopexy"),"Non-viable","Review"),IF(BB232="NR",IF(OR(BD232="Total splenectomy",BD232="Partial splenectomy +/- splenopexy"),"NR - removed, check reason","NR"),"Not applicable")))))</f>
        <v/>
      </c>
    </row>
    <row r="233">
      <c r="D233" s="8" t="n"/>
      <c r="E233" s="9">
        <f>IF(B233="","",IF(B233="OWN","Yes","No"))</f>
        <v/>
      </c>
      <c r="AF233" s="9">
        <f>IF(ISNUMBER(Z233),IF(Z233&lt;=2,"&lt;=2 d",IF(Z233&lt;=7,"3-7 d",IF(Z233&lt;=30,"8-30 d","&gt;30 d"))),IF(AE233&lt;&gt;"",AE233,IF(Z233="NR","NR","")))</f>
        <v/>
      </c>
      <c r="AX233" s="9">
        <f>IF(ISNUMBER(AW233),IF(AW233&gt;450,"Yes","No"),IF(AW233="NR","NR",""))</f>
        <v/>
      </c>
      <c r="BJ233" s="9">
        <f>IF(BB233="","",IF(BB233="Non-viable","Non-viable",IF(BB233="Viable","Viable",IF(BB233="Partially non-viable",IF(OR(BD233="Total splenectomy",BD233="Partial splenectomy +/- splenopexy"),"Non-viable","Review"),IF(BB233="NR",IF(OR(BD233="Total splenectomy",BD233="Partial splenectomy +/- splenopexy"),"NR - removed, check reason","NR"),"Not applicable")))))</f>
        <v/>
      </c>
    </row>
    <row r="234">
      <c r="D234" s="8" t="n"/>
      <c r="E234" s="9">
        <f>IF(B234="","",IF(B234="OWN","Yes","No"))</f>
        <v/>
      </c>
      <c r="AF234" s="9">
        <f>IF(ISNUMBER(Z234),IF(Z234&lt;=2,"&lt;=2 d",IF(Z234&lt;=7,"3-7 d",IF(Z234&lt;=30,"8-30 d","&gt;30 d"))),IF(AE234&lt;&gt;"",AE234,IF(Z234="NR","NR","")))</f>
        <v/>
      </c>
      <c r="AX234" s="9">
        <f>IF(ISNUMBER(AW234),IF(AW234&gt;450,"Yes","No"),IF(AW234="NR","NR",""))</f>
        <v/>
      </c>
      <c r="BJ234" s="9">
        <f>IF(BB234="","",IF(BB234="Non-viable","Non-viable",IF(BB234="Viable","Viable",IF(BB234="Partially non-viable",IF(OR(BD234="Total splenectomy",BD234="Partial splenectomy +/- splenopexy"),"Non-viable","Review"),IF(BB234="NR",IF(OR(BD234="Total splenectomy",BD234="Partial splenectomy +/- splenopexy"),"NR - removed, check reason","NR"),"Not applicable")))))</f>
        <v/>
      </c>
    </row>
    <row r="235">
      <c r="D235" s="8" t="n"/>
      <c r="E235" s="9">
        <f>IF(B235="","",IF(B235="OWN","Yes","No"))</f>
        <v/>
      </c>
      <c r="AF235" s="9">
        <f>IF(ISNUMBER(Z235),IF(Z235&lt;=2,"&lt;=2 d",IF(Z235&lt;=7,"3-7 d",IF(Z235&lt;=30,"8-30 d","&gt;30 d"))),IF(AE235&lt;&gt;"",AE235,IF(Z235="NR","NR","")))</f>
        <v/>
      </c>
      <c r="AX235" s="9">
        <f>IF(ISNUMBER(AW235),IF(AW235&gt;450,"Yes","No"),IF(AW235="NR","NR",""))</f>
        <v/>
      </c>
      <c r="BJ235" s="9">
        <f>IF(BB235="","",IF(BB235="Non-viable","Non-viable",IF(BB235="Viable","Viable",IF(BB235="Partially non-viable",IF(OR(BD235="Total splenectomy",BD235="Partial splenectomy +/- splenopexy"),"Non-viable","Review"),IF(BB235="NR",IF(OR(BD235="Total splenectomy",BD235="Partial splenectomy +/- splenopexy"),"NR - removed, check reason","NR"),"Not applicable")))))</f>
        <v/>
      </c>
    </row>
    <row r="236">
      <c r="D236" s="8" t="n"/>
      <c r="E236" s="9">
        <f>IF(B236="","",IF(B236="OWN","Yes","No"))</f>
        <v/>
      </c>
      <c r="AF236" s="9">
        <f>IF(ISNUMBER(Z236),IF(Z236&lt;=2,"&lt;=2 d",IF(Z236&lt;=7,"3-7 d",IF(Z236&lt;=30,"8-30 d","&gt;30 d"))),IF(AE236&lt;&gt;"",AE236,IF(Z236="NR","NR","")))</f>
        <v/>
      </c>
      <c r="AX236" s="9">
        <f>IF(ISNUMBER(AW236),IF(AW236&gt;450,"Yes","No"),IF(AW236="NR","NR",""))</f>
        <v/>
      </c>
      <c r="BJ236" s="9">
        <f>IF(BB236="","",IF(BB236="Non-viable","Non-viable",IF(BB236="Viable","Viable",IF(BB236="Partially non-viable",IF(OR(BD236="Total splenectomy",BD236="Partial splenectomy +/- splenopexy"),"Non-viable","Review"),IF(BB236="NR",IF(OR(BD236="Total splenectomy",BD236="Partial splenectomy +/- splenopexy"),"NR - removed, check reason","NR"),"Not applicable")))))</f>
        <v/>
      </c>
    </row>
    <row r="237">
      <c r="D237" s="8" t="n"/>
      <c r="E237" s="9">
        <f>IF(B237="","",IF(B237="OWN","Yes","No"))</f>
        <v/>
      </c>
      <c r="AF237" s="9">
        <f>IF(ISNUMBER(Z237),IF(Z237&lt;=2,"&lt;=2 d",IF(Z237&lt;=7,"3-7 d",IF(Z237&lt;=30,"8-30 d","&gt;30 d"))),IF(AE237&lt;&gt;"",AE237,IF(Z237="NR","NR","")))</f>
        <v/>
      </c>
      <c r="AX237" s="9">
        <f>IF(ISNUMBER(AW237),IF(AW237&gt;450,"Yes","No"),IF(AW237="NR","NR",""))</f>
        <v/>
      </c>
      <c r="BJ237" s="9">
        <f>IF(BB237="","",IF(BB237="Non-viable","Non-viable",IF(BB237="Viable","Viable",IF(BB237="Partially non-viable",IF(OR(BD237="Total splenectomy",BD237="Partial splenectomy +/- splenopexy"),"Non-viable","Review"),IF(BB237="NR",IF(OR(BD237="Total splenectomy",BD237="Partial splenectomy +/- splenopexy"),"NR - removed, check reason","NR"),"Not applicable")))))</f>
        <v/>
      </c>
    </row>
    <row r="238">
      <c r="D238" s="8" t="n"/>
      <c r="E238" s="9">
        <f>IF(B238="","",IF(B238="OWN","Yes","No"))</f>
        <v/>
      </c>
      <c r="AF238" s="9">
        <f>IF(ISNUMBER(Z238),IF(Z238&lt;=2,"&lt;=2 d",IF(Z238&lt;=7,"3-7 d",IF(Z238&lt;=30,"8-30 d","&gt;30 d"))),IF(AE238&lt;&gt;"",AE238,IF(Z238="NR","NR","")))</f>
        <v/>
      </c>
      <c r="AX238" s="9">
        <f>IF(ISNUMBER(AW238),IF(AW238&gt;450,"Yes","No"),IF(AW238="NR","NR",""))</f>
        <v/>
      </c>
      <c r="BJ238" s="9">
        <f>IF(BB238="","",IF(BB238="Non-viable","Non-viable",IF(BB238="Viable","Viable",IF(BB238="Partially non-viable",IF(OR(BD238="Total splenectomy",BD238="Partial splenectomy +/- splenopexy"),"Non-viable","Review"),IF(BB238="NR",IF(OR(BD238="Total splenectomy",BD238="Partial splenectomy +/- splenopexy"),"NR - removed, check reason","NR"),"Not applicable")))))</f>
        <v/>
      </c>
    </row>
    <row r="239">
      <c r="D239" s="8" t="n"/>
      <c r="E239" s="9">
        <f>IF(B239="","",IF(B239="OWN","Yes","No"))</f>
        <v/>
      </c>
      <c r="AF239" s="9">
        <f>IF(ISNUMBER(Z239),IF(Z239&lt;=2,"&lt;=2 d",IF(Z239&lt;=7,"3-7 d",IF(Z239&lt;=30,"8-30 d","&gt;30 d"))),IF(AE239&lt;&gt;"",AE239,IF(Z239="NR","NR","")))</f>
        <v/>
      </c>
      <c r="AX239" s="9">
        <f>IF(ISNUMBER(AW239),IF(AW239&gt;450,"Yes","No"),IF(AW239="NR","NR",""))</f>
        <v/>
      </c>
      <c r="BJ239" s="9">
        <f>IF(BB239="","",IF(BB239="Non-viable","Non-viable",IF(BB239="Viable","Viable",IF(BB239="Partially non-viable",IF(OR(BD239="Total splenectomy",BD239="Partial splenectomy +/- splenopexy"),"Non-viable","Review"),IF(BB239="NR",IF(OR(BD239="Total splenectomy",BD239="Partial splenectomy +/- splenopexy"),"NR - removed, check reason","NR"),"Not applicable")))))</f>
        <v/>
      </c>
    </row>
    <row r="240">
      <c r="D240" s="8" t="n"/>
      <c r="E240" s="9">
        <f>IF(B240="","",IF(B240="OWN","Yes","No"))</f>
        <v/>
      </c>
      <c r="AF240" s="9">
        <f>IF(ISNUMBER(Z240),IF(Z240&lt;=2,"&lt;=2 d",IF(Z240&lt;=7,"3-7 d",IF(Z240&lt;=30,"8-30 d","&gt;30 d"))),IF(AE240&lt;&gt;"",AE240,IF(Z240="NR","NR","")))</f>
        <v/>
      </c>
      <c r="AX240" s="9">
        <f>IF(ISNUMBER(AW240),IF(AW240&gt;450,"Yes","No"),IF(AW240="NR","NR",""))</f>
        <v/>
      </c>
      <c r="BJ240" s="9">
        <f>IF(BB240="","",IF(BB240="Non-viable","Non-viable",IF(BB240="Viable","Viable",IF(BB240="Partially non-viable",IF(OR(BD240="Total splenectomy",BD240="Partial splenectomy +/- splenopexy"),"Non-viable","Review"),IF(BB240="NR",IF(OR(BD240="Total splenectomy",BD240="Partial splenectomy +/- splenopexy"),"NR - removed, check reason","NR"),"Not applicable")))))</f>
        <v/>
      </c>
    </row>
    <row r="241">
      <c r="D241" s="8" t="n"/>
      <c r="E241" s="9">
        <f>IF(B241="","",IF(B241="OWN","Yes","No"))</f>
        <v/>
      </c>
      <c r="AF241" s="9">
        <f>IF(ISNUMBER(Z241),IF(Z241&lt;=2,"&lt;=2 d",IF(Z241&lt;=7,"3-7 d",IF(Z241&lt;=30,"8-30 d","&gt;30 d"))),IF(AE241&lt;&gt;"",AE241,IF(Z241="NR","NR","")))</f>
        <v/>
      </c>
      <c r="AX241" s="9">
        <f>IF(ISNUMBER(AW241),IF(AW241&gt;450,"Yes","No"),IF(AW241="NR","NR",""))</f>
        <v/>
      </c>
      <c r="BJ241" s="9">
        <f>IF(BB241="","",IF(BB241="Non-viable","Non-viable",IF(BB241="Viable","Viable",IF(BB241="Partially non-viable",IF(OR(BD241="Total splenectomy",BD241="Partial splenectomy +/- splenopexy"),"Non-viable","Review"),IF(BB241="NR",IF(OR(BD241="Total splenectomy",BD241="Partial splenectomy +/- splenopexy"),"NR - removed, check reason","NR"),"Not applicable")))))</f>
        <v/>
      </c>
    </row>
    <row r="242">
      <c r="D242" s="8" t="n"/>
      <c r="E242" s="9">
        <f>IF(B242="","",IF(B242="OWN","Yes","No"))</f>
        <v/>
      </c>
      <c r="AF242" s="9">
        <f>IF(ISNUMBER(Z242),IF(Z242&lt;=2,"&lt;=2 d",IF(Z242&lt;=7,"3-7 d",IF(Z242&lt;=30,"8-30 d","&gt;30 d"))),IF(AE242&lt;&gt;"",AE242,IF(Z242="NR","NR","")))</f>
        <v/>
      </c>
      <c r="AX242" s="9">
        <f>IF(ISNUMBER(AW242),IF(AW242&gt;450,"Yes","No"),IF(AW242="NR","NR",""))</f>
        <v/>
      </c>
      <c r="BJ242" s="9">
        <f>IF(BB242="","",IF(BB242="Non-viable","Non-viable",IF(BB242="Viable","Viable",IF(BB242="Partially non-viable",IF(OR(BD242="Total splenectomy",BD242="Partial splenectomy +/- splenopexy"),"Non-viable","Review"),IF(BB242="NR",IF(OR(BD242="Total splenectomy",BD242="Partial splenectomy +/- splenopexy"),"NR - removed, check reason","NR"),"Not applicable")))))</f>
        <v/>
      </c>
    </row>
    <row r="243">
      <c r="D243" s="8" t="n"/>
      <c r="E243" s="9">
        <f>IF(B243="","",IF(B243="OWN","Yes","No"))</f>
        <v/>
      </c>
      <c r="AF243" s="9">
        <f>IF(ISNUMBER(Z243),IF(Z243&lt;=2,"&lt;=2 d",IF(Z243&lt;=7,"3-7 d",IF(Z243&lt;=30,"8-30 d","&gt;30 d"))),IF(AE243&lt;&gt;"",AE243,IF(Z243="NR","NR","")))</f>
        <v/>
      </c>
      <c r="AX243" s="9">
        <f>IF(ISNUMBER(AW243),IF(AW243&gt;450,"Yes","No"),IF(AW243="NR","NR",""))</f>
        <v/>
      </c>
      <c r="BJ243" s="9">
        <f>IF(BB243="","",IF(BB243="Non-viable","Non-viable",IF(BB243="Viable","Viable",IF(BB243="Partially non-viable",IF(OR(BD243="Total splenectomy",BD243="Partial splenectomy +/- splenopexy"),"Non-viable","Review"),IF(BB243="NR",IF(OR(BD243="Total splenectomy",BD243="Partial splenectomy +/- splenopexy"),"NR - removed, check reason","NR"),"Not applicable")))))</f>
        <v/>
      </c>
    </row>
    <row r="244">
      <c r="D244" s="8" t="n"/>
      <c r="E244" s="9">
        <f>IF(B244="","",IF(B244="OWN","Yes","No"))</f>
        <v/>
      </c>
      <c r="AF244" s="9">
        <f>IF(ISNUMBER(Z244),IF(Z244&lt;=2,"&lt;=2 d",IF(Z244&lt;=7,"3-7 d",IF(Z244&lt;=30,"8-30 d","&gt;30 d"))),IF(AE244&lt;&gt;"",AE244,IF(Z244="NR","NR","")))</f>
        <v/>
      </c>
      <c r="AX244" s="9">
        <f>IF(ISNUMBER(AW244),IF(AW244&gt;450,"Yes","No"),IF(AW244="NR","NR",""))</f>
        <v/>
      </c>
      <c r="BJ244" s="9">
        <f>IF(BB244="","",IF(BB244="Non-viable","Non-viable",IF(BB244="Viable","Viable",IF(BB244="Partially non-viable",IF(OR(BD244="Total splenectomy",BD244="Partial splenectomy +/- splenopexy"),"Non-viable","Review"),IF(BB244="NR",IF(OR(BD244="Total splenectomy",BD244="Partial splenectomy +/- splenopexy"),"NR - removed, check reason","NR"),"Not applicable")))))</f>
        <v/>
      </c>
    </row>
    <row r="245">
      <c r="D245" s="8" t="n"/>
      <c r="E245" s="9">
        <f>IF(B245="","",IF(B245="OWN","Yes","No"))</f>
        <v/>
      </c>
      <c r="AF245" s="9">
        <f>IF(ISNUMBER(Z245),IF(Z245&lt;=2,"&lt;=2 d",IF(Z245&lt;=7,"3-7 d",IF(Z245&lt;=30,"8-30 d","&gt;30 d"))),IF(AE245&lt;&gt;"",AE245,IF(Z245="NR","NR","")))</f>
        <v/>
      </c>
      <c r="AX245" s="9">
        <f>IF(ISNUMBER(AW245),IF(AW245&gt;450,"Yes","No"),IF(AW245="NR","NR",""))</f>
        <v/>
      </c>
      <c r="BJ245" s="9">
        <f>IF(BB245="","",IF(BB245="Non-viable","Non-viable",IF(BB245="Viable","Viable",IF(BB245="Partially non-viable",IF(OR(BD245="Total splenectomy",BD245="Partial splenectomy +/- splenopexy"),"Non-viable","Review"),IF(BB245="NR",IF(OR(BD245="Total splenectomy",BD245="Partial splenectomy +/- splenopexy"),"NR - removed, check reason","NR"),"Not applicable")))))</f>
        <v/>
      </c>
    </row>
    <row r="246">
      <c r="D246" s="8" t="n"/>
      <c r="E246" s="9">
        <f>IF(B246="","",IF(B246="OWN","Yes","No"))</f>
        <v/>
      </c>
      <c r="AF246" s="9">
        <f>IF(ISNUMBER(Z246),IF(Z246&lt;=2,"&lt;=2 d",IF(Z246&lt;=7,"3-7 d",IF(Z246&lt;=30,"8-30 d","&gt;30 d"))),IF(AE246&lt;&gt;"",AE246,IF(Z246="NR","NR","")))</f>
        <v/>
      </c>
      <c r="AX246" s="9">
        <f>IF(ISNUMBER(AW246),IF(AW246&gt;450,"Yes","No"),IF(AW246="NR","NR",""))</f>
        <v/>
      </c>
      <c r="BJ246" s="9">
        <f>IF(BB246="","",IF(BB246="Non-viable","Non-viable",IF(BB246="Viable","Viable",IF(BB246="Partially non-viable",IF(OR(BD246="Total splenectomy",BD246="Partial splenectomy +/- splenopexy"),"Non-viable","Review"),IF(BB246="NR",IF(OR(BD246="Total splenectomy",BD246="Partial splenectomy +/- splenopexy"),"NR - removed, check reason","NR"),"Not applicable")))))</f>
        <v/>
      </c>
    </row>
    <row r="247">
      <c r="D247" s="8" t="n"/>
      <c r="E247" s="9">
        <f>IF(B247="","",IF(B247="OWN","Yes","No"))</f>
        <v/>
      </c>
      <c r="AF247" s="9">
        <f>IF(ISNUMBER(Z247),IF(Z247&lt;=2,"&lt;=2 d",IF(Z247&lt;=7,"3-7 d",IF(Z247&lt;=30,"8-30 d","&gt;30 d"))),IF(AE247&lt;&gt;"",AE247,IF(Z247="NR","NR","")))</f>
        <v/>
      </c>
      <c r="AX247" s="9">
        <f>IF(ISNUMBER(AW247),IF(AW247&gt;450,"Yes","No"),IF(AW247="NR","NR",""))</f>
        <v/>
      </c>
      <c r="BJ247" s="9">
        <f>IF(BB247="","",IF(BB247="Non-viable","Non-viable",IF(BB247="Viable","Viable",IF(BB247="Partially non-viable",IF(OR(BD247="Total splenectomy",BD247="Partial splenectomy +/- splenopexy"),"Non-viable","Review"),IF(BB247="NR",IF(OR(BD247="Total splenectomy",BD247="Partial splenectomy +/- splenopexy"),"NR - removed, check reason","NR"),"Not applicable")))))</f>
        <v/>
      </c>
    </row>
    <row r="248">
      <c r="D248" s="8" t="n"/>
      <c r="E248" s="9">
        <f>IF(B248="","",IF(B248="OWN","Yes","No"))</f>
        <v/>
      </c>
      <c r="AF248" s="9">
        <f>IF(ISNUMBER(Z248),IF(Z248&lt;=2,"&lt;=2 d",IF(Z248&lt;=7,"3-7 d",IF(Z248&lt;=30,"8-30 d","&gt;30 d"))),IF(AE248&lt;&gt;"",AE248,IF(Z248="NR","NR","")))</f>
        <v/>
      </c>
      <c r="AX248" s="9">
        <f>IF(ISNUMBER(AW248),IF(AW248&gt;450,"Yes","No"),IF(AW248="NR","NR",""))</f>
        <v/>
      </c>
      <c r="BJ248" s="9">
        <f>IF(BB248="","",IF(BB248="Non-viable","Non-viable",IF(BB248="Viable","Viable",IF(BB248="Partially non-viable",IF(OR(BD248="Total splenectomy",BD248="Partial splenectomy +/- splenopexy"),"Non-viable","Review"),IF(BB248="NR",IF(OR(BD248="Total splenectomy",BD248="Partial splenectomy +/- splenopexy"),"NR - removed, check reason","NR"),"Not applicable")))))</f>
        <v/>
      </c>
    </row>
    <row r="249">
      <c r="D249" s="8" t="n"/>
      <c r="E249" s="9">
        <f>IF(B249="","",IF(B249="OWN","Yes","No"))</f>
        <v/>
      </c>
      <c r="AF249" s="9">
        <f>IF(ISNUMBER(Z249),IF(Z249&lt;=2,"&lt;=2 d",IF(Z249&lt;=7,"3-7 d",IF(Z249&lt;=30,"8-30 d","&gt;30 d"))),IF(AE249&lt;&gt;"",AE249,IF(Z249="NR","NR","")))</f>
        <v/>
      </c>
      <c r="AX249" s="9">
        <f>IF(ISNUMBER(AW249),IF(AW249&gt;450,"Yes","No"),IF(AW249="NR","NR",""))</f>
        <v/>
      </c>
      <c r="BJ249" s="9">
        <f>IF(BB249="","",IF(BB249="Non-viable","Non-viable",IF(BB249="Viable","Viable",IF(BB249="Partially non-viable",IF(OR(BD249="Total splenectomy",BD249="Partial splenectomy +/- splenopexy"),"Non-viable","Review"),IF(BB249="NR",IF(OR(BD249="Total splenectomy",BD249="Partial splenectomy +/- splenopexy"),"NR - removed, check reason","NR"),"Not applicable")))))</f>
        <v/>
      </c>
    </row>
    <row r="250">
      <c r="D250" s="8" t="n"/>
      <c r="E250" s="9">
        <f>IF(B250="","",IF(B250="OWN","Yes","No"))</f>
        <v/>
      </c>
      <c r="AF250" s="9">
        <f>IF(ISNUMBER(Z250),IF(Z250&lt;=2,"&lt;=2 d",IF(Z250&lt;=7,"3-7 d",IF(Z250&lt;=30,"8-30 d","&gt;30 d"))),IF(AE250&lt;&gt;"",AE250,IF(Z250="NR","NR","")))</f>
        <v/>
      </c>
      <c r="AX250" s="9">
        <f>IF(ISNUMBER(AW250),IF(AW250&gt;450,"Yes","No"),IF(AW250="NR","NR",""))</f>
        <v/>
      </c>
      <c r="BJ250" s="9">
        <f>IF(BB250="","",IF(BB250="Non-viable","Non-viable",IF(BB250="Viable","Viable",IF(BB250="Partially non-viable",IF(OR(BD250="Total splenectomy",BD250="Partial splenectomy +/- splenopexy"),"Non-viable","Review"),IF(BB250="NR",IF(OR(BD250="Total splenectomy",BD250="Partial splenectomy +/- splenopexy"),"NR - removed, check reason","NR"),"Not applicable")))))</f>
        <v/>
      </c>
    </row>
    <row r="251">
      <c r="D251" s="8" t="n"/>
      <c r="E251" s="9">
        <f>IF(B251="","",IF(B251="OWN","Yes","No"))</f>
        <v/>
      </c>
      <c r="AF251" s="9">
        <f>IF(ISNUMBER(Z251),IF(Z251&lt;=2,"&lt;=2 d",IF(Z251&lt;=7,"3-7 d",IF(Z251&lt;=30,"8-30 d","&gt;30 d"))),IF(AE251&lt;&gt;"",AE251,IF(Z251="NR","NR","")))</f>
        <v/>
      </c>
      <c r="AX251" s="9">
        <f>IF(ISNUMBER(AW251),IF(AW251&gt;450,"Yes","No"),IF(AW251="NR","NR",""))</f>
        <v/>
      </c>
      <c r="BJ251" s="9">
        <f>IF(BB251="","",IF(BB251="Non-viable","Non-viable",IF(BB251="Viable","Viable",IF(BB251="Partially non-viable",IF(OR(BD251="Total splenectomy",BD251="Partial splenectomy +/- splenopexy"),"Non-viable","Review"),IF(BB251="NR",IF(OR(BD251="Total splenectomy",BD251="Partial splenectomy +/- splenopexy"),"NR - removed, check reason","NR"),"Not applicable")))))</f>
        <v/>
      </c>
    </row>
    <row r="252">
      <c r="D252" s="8" t="n"/>
      <c r="E252" s="9">
        <f>IF(B252="","",IF(B252="OWN","Yes","No"))</f>
        <v/>
      </c>
      <c r="AF252" s="9">
        <f>IF(ISNUMBER(Z252),IF(Z252&lt;=2,"&lt;=2 d",IF(Z252&lt;=7,"3-7 d",IF(Z252&lt;=30,"8-30 d","&gt;30 d"))),IF(AE252&lt;&gt;"",AE252,IF(Z252="NR","NR","")))</f>
        <v/>
      </c>
      <c r="AX252" s="9">
        <f>IF(ISNUMBER(AW252),IF(AW252&gt;450,"Yes","No"),IF(AW252="NR","NR",""))</f>
        <v/>
      </c>
      <c r="BJ252" s="9">
        <f>IF(BB252="","",IF(BB252="Non-viable","Non-viable",IF(BB252="Viable","Viable",IF(BB252="Partially non-viable",IF(OR(BD252="Total splenectomy",BD252="Partial splenectomy +/- splenopexy"),"Non-viable","Review"),IF(BB252="NR",IF(OR(BD252="Total splenectomy",BD252="Partial splenectomy +/- splenopexy"),"NR - removed, check reason","NR"),"Not applicable")))))</f>
        <v/>
      </c>
    </row>
    <row r="253">
      <c r="D253" s="8" t="n"/>
      <c r="E253" s="9">
        <f>IF(B253="","",IF(B253="OWN","Yes","No"))</f>
        <v/>
      </c>
      <c r="AF253" s="9">
        <f>IF(ISNUMBER(Z253),IF(Z253&lt;=2,"&lt;=2 d",IF(Z253&lt;=7,"3-7 d",IF(Z253&lt;=30,"8-30 d","&gt;30 d"))),IF(AE253&lt;&gt;"",AE253,IF(Z253="NR","NR","")))</f>
        <v/>
      </c>
      <c r="AX253" s="9">
        <f>IF(ISNUMBER(AW253),IF(AW253&gt;450,"Yes","No"),IF(AW253="NR","NR",""))</f>
        <v/>
      </c>
      <c r="BJ253" s="9">
        <f>IF(BB253="","",IF(BB253="Non-viable","Non-viable",IF(BB253="Viable","Viable",IF(BB253="Partially non-viable",IF(OR(BD253="Total splenectomy",BD253="Partial splenectomy +/- splenopexy"),"Non-viable","Review"),IF(BB253="NR",IF(OR(BD253="Total splenectomy",BD253="Partial splenectomy +/- splenopexy"),"NR - removed, check reason","NR"),"Not applicable")))))</f>
        <v/>
      </c>
    </row>
    <row r="254">
      <c r="D254" s="8" t="n"/>
      <c r="E254" s="9">
        <f>IF(B254="","",IF(B254="OWN","Yes","No"))</f>
        <v/>
      </c>
      <c r="AF254" s="9">
        <f>IF(ISNUMBER(Z254),IF(Z254&lt;=2,"&lt;=2 d",IF(Z254&lt;=7,"3-7 d",IF(Z254&lt;=30,"8-30 d","&gt;30 d"))),IF(AE254&lt;&gt;"",AE254,IF(Z254="NR","NR","")))</f>
        <v/>
      </c>
      <c r="AX254" s="9">
        <f>IF(ISNUMBER(AW254),IF(AW254&gt;450,"Yes","No"),IF(AW254="NR","NR",""))</f>
        <v/>
      </c>
      <c r="BJ254" s="9">
        <f>IF(BB254="","",IF(BB254="Non-viable","Non-viable",IF(BB254="Viable","Viable",IF(BB254="Partially non-viable",IF(OR(BD254="Total splenectomy",BD254="Partial splenectomy +/- splenopexy"),"Non-viable","Review"),IF(BB254="NR",IF(OR(BD254="Total splenectomy",BD254="Partial splenectomy +/- splenopexy"),"NR - removed, check reason","NR"),"Not applicable")))))</f>
        <v/>
      </c>
    </row>
    <row r="255">
      <c r="D255" s="8" t="n"/>
      <c r="E255" s="9">
        <f>IF(B255="","",IF(B255="OWN","Yes","No"))</f>
        <v/>
      </c>
      <c r="AF255" s="9">
        <f>IF(ISNUMBER(Z255),IF(Z255&lt;=2,"&lt;=2 d",IF(Z255&lt;=7,"3-7 d",IF(Z255&lt;=30,"8-30 d","&gt;30 d"))),IF(AE255&lt;&gt;"",AE255,IF(Z255="NR","NR","")))</f>
        <v/>
      </c>
      <c r="AX255" s="9">
        <f>IF(ISNUMBER(AW255),IF(AW255&gt;450,"Yes","No"),IF(AW255="NR","NR",""))</f>
        <v/>
      </c>
      <c r="BJ255" s="9">
        <f>IF(BB255="","",IF(BB255="Non-viable","Non-viable",IF(BB255="Viable","Viable",IF(BB255="Partially non-viable",IF(OR(BD255="Total splenectomy",BD255="Partial splenectomy +/- splenopexy"),"Non-viable","Review"),IF(BB255="NR",IF(OR(BD255="Total splenectomy",BD255="Partial splenectomy +/- splenopexy"),"NR - removed, check reason","NR"),"Not applicable")))))</f>
        <v/>
      </c>
    </row>
    <row r="256">
      <c r="D256" s="8" t="n"/>
      <c r="E256" s="9">
        <f>IF(B256="","",IF(B256="OWN","Yes","No"))</f>
        <v/>
      </c>
      <c r="AF256" s="9">
        <f>IF(ISNUMBER(Z256),IF(Z256&lt;=2,"&lt;=2 d",IF(Z256&lt;=7,"3-7 d",IF(Z256&lt;=30,"8-30 d","&gt;30 d"))),IF(AE256&lt;&gt;"",AE256,IF(Z256="NR","NR","")))</f>
        <v/>
      </c>
      <c r="AX256" s="9">
        <f>IF(ISNUMBER(AW256),IF(AW256&gt;450,"Yes","No"),IF(AW256="NR","NR",""))</f>
        <v/>
      </c>
      <c r="BJ256" s="9">
        <f>IF(BB256="","",IF(BB256="Non-viable","Non-viable",IF(BB256="Viable","Viable",IF(BB256="Partially non-viable",IF(OR(BD256="Total splenectomy",BD256="Partial splenectomy +/- splenopexy"),"Non-viable","Review"),IF(BB256="NR",IF(OR(BD256="Total splenectomy",BD256="Partial splenectomy +/- splenopexy"),"NR - removed, check reason","NR"),"Not applicable")))))</f>
        <v/>
      </c>
    </row>
    <row r="257">
      <c r="D257" s="8" t="n"/>
      <c r="E257" s="9">
        <f>IF(B257="","",IF(B257="OWN","Yes","No"))</f>
        <v/>
      </c>
      <c r="AF257" s="9">
        <f>IF(ISNUMBER(Z257),IF(Z257&lt;=2,"&lt;=2 d",IF(Z257&lt;=7,"3-7 d",IF(Z257&lt;=30,"8-30 d","&gt;30 d"))),IF(AE257&lt;&gt;"",AE257,IF(Z257="NR","NR","")))</f>
        <v/>
      </c>
      <c r="AX257" s="9">
        <f>IF(ISNUMBER(AW257),IF(AW257&gt;450,"Yes","No"),IF(AW257="NR","NR",""))</f>
        <v/>
      </c>
      <c r="BJ257" s="9">
        <f>IF(BB257="","",IF(BB257="Non-viable","Non-viable",IF(BB257="Viable","Viable",IF(BB257="Partially non-viable",IF(OR(BD257="Total splenectomy",BD257="Partial splenectomy +/- splenopexy"),"Non-viable","Review"),IF(BB257="NR",IF(OR(BD257="Total splenectomy",BD257="Partial splenectomy +/- splenopexy"),"NR - removed, check reason","NR"),"Not applicable")))))</f>
        <v/>
      </c>
    </row>
    <row r="258">
      <c r="D258" s="8" t="n"/>
      <c r="E258" s="9">
        <f>IF(B258="","",IF(B258="OWN","Yes","No"))</f>
        <v/>
      </c>
      <c r="AF258" s="9">
        <f>IF(ISNUMBER(Z258),IF(Z258&lt;=2,"&lt;=2 d",IF(Z258&lt;=7,"3-7 d",IF(Z258&lt;=30,"8-30 d","&gt;30 d"))),IF(AE258&lt;&gt;"",AE258,IF(Z258="NR","NR","")))</f>
        <v/>
      </c>
      <c r="AX258" s="9">
        <f>IF(ISNUMBER(AW258),IF(AW258&gt;450,"Yes","No"),IF(AW258="NR","NR",""))</f>
        <v/>
      </c>
      <c r="BJ258" s="9">
        <f>IF(BB258="","",IF(BB258="Non-viable","Non-viable",IF(BB258="Viable","Viable",IF(BB258="Partially non-viable",IF(OR(BD258="Total splenectomy",BD258="Partial splenectomy +/- splenopexy"),"Non-viable","Review"),IF(BB258="NR",IF(OR(BD258="Total splenectomy",BD258="Partial splenectomy +/- splenopexy"),"NR - removed, check reason","NR"),"Not applicable")))))</f>
        <v/>
      </c>
    </row>
    <row r="259">
      <c r="D259" s="8" t="n"/>
      <c r="E259" s="9">
        <f>IF(B259="","",IF(B259="OWN","Yes","No"))</f>
        <v/>
      </c>
      <c r="AF259" s="9">
        <f>IF(ISNUMBER(Z259),IF(Z259&lt;=2,"&lt;=2 d",IF(Z259&lt;=7,"3-7 d",IF(Z259&lt;=30,"8-30 d","&gt;30 d"))),IF(AE259&lt;&gt;"",AE259,IF(Z259="NR","NR","")))</f>
        <v/>
      </c>
      <c r="AX259" s="9">
        <f>IF(ISNUMBER(AW259),IF(AW259&gt;450,"Yes","No"),IF(AW259="NR","NR",""))</f>
        <v/>
      </c>
      <c r="BJ259" s="9">
        <f>IF(BB259="","",IF(BB259="Non-viable","Non-viable",IF(BB259="Viable","Viable",IF(BB259="Partially non-viable",IF(OR(BD259="Total splenectomy",BD259="Partial splenectomy +/- splenopexy"),"Non-viable","Review"),IF(BB259="NR",IF(OR(BD259="Total splenectomy",BD259="Partial splenectomy +/- splenopexy"),"NR - removed, check reason","NR"),"Not applicable")))))</f>
        <v/>
      </c>
    </row>
    <row r="260">
      <c r="D260" s="8" t="n"/>
      <c r="E260" s="9">
        <f>IF(B260="","",IF(B260="OWN","Yes","No"))</f>
        <v/>
      </c>
      <c r="AF260" s="9">
        <f>IF(ISNUMBER(Z260),IF(Z260&lt;=2,"&lt;=2 d",IF(Z260&lt;=7,"3-7 d",IF(Z260&lt;=30,"8-30 d","&gt;30 d"))),IF(AE260&lt;&gt;"",AE260,IF(Z260="NR","NR","")))</f>
        <v/>
      </c>
      <c r="AX260" s="9">
        <f>IF(ISNUMBER(AW260),IF(AW260&gt;450,"Yes","No"),IF(AW260="NR","NR",""))</f>
        <v/>
      </c>
      <c r="BJ260" s="9">
        <f>IF(BB260="","",IF(BB260="Non-viable","Non-viable",IF(BB260="Viable","Viable",IF(BB260="Partially non-viable",IF(OR(BD260="Total splenectomy",BD260="Partial splenectomy +/- splenopexy"),"Non-viable","Review"),IF(BB260="NR",IF(OR(BD260="Total splenectomy",BD260="Partial splenectomy +/- splenopexy"),"NR - removed, check reason","NR"),"Not applicable")))))</f>
        <v/>
      </c>
    </row>
    <row r="261">
      <c r="D261" s="8" t="n"/>
      <c r="E261" s="9">
        <f>IF(B261="","",IF(B261="OWN","Yes","No"))</f>
        <v/>
      </c>
      <c r="AF261" s="9">
        <f>IF(ISNUMBER(Z261),IF(Z261&lt;=2,"&lt;=2 d",IF(Z261&lt;=7,"3-7 d",IF(Z261&lt;=30,"8-30 d","&gt;30 d"))),IF(AE261&lt;&gt;"",AE261,IF(Z261="NR","NR","")))</f>
        <v/>
      </c>
      <c r="AX261" s="9">
        <f>IF(ISNUMBER(AW261),IF(AW261&gt;450,"Yes","No"),IF(AW261="NR","NR",""))</f>
        <v/>
      </c>
      <c r="BJ261" s="9">
        <f>IF(BB261="","",IF(BB261="Non-viable","Non-viable",IF(BB261="Viable","Viable",IF(BB261="Partially non-viable",IF(OR(BD261="Total splenectomy",BD261="Partial splenectomy +/- splenopexy"),"Non-viable","Review"),IF(BB261="NR",IF(OR(BD261="Total splenectomy",BD261="Partial splenectomy +/- splenopexy"),"NR - removed, check reason","NR"),"Not applicable")))))</f>
        <v/>
      </c>
    </row>
    <row r="262">
      <c r="D262" s="8" t="n"/>
      <c r="E262" s="9">
        <f>IF(B262="","",IF(B262="OWN","Yes","No"))</f>
        <v/>
      </c>
      <c r="AF262" s="9">
        <f>IF(ISNUMBER(Z262),IF(Z262&lt;=2,"&lt;=2 d",IF(Z262&lt;=7,"3-7 d",IF(Z262&lt;=30,"8-30 d","&gt;30 d"))),IF(AE262&lt;&gt;"",AE262,IF(Z262="NR","NR","")))</f>
        <v/>
      </c>
      <c r="AX262" s="9">
        <f>IF(ISNUMBER(AW262),IF(AW262&gt;450,"Yes","No"),IF(AW262="NR","NR",""))</f>
        <v/>
      </c>
      <c r="BJ262" s="9">
        <f>IF(BB262="","",IF(BB262="Non-viable","Non-viable",IF(BB262="Viable","Viable",IF(BB262="Partially non-viable",IF(OR(BD262="Total splenectomy",BD262="Partial splenectomy +/- splenopexy"),"Non-viable","Review"),IF(BB262="NR",IF(OR(BD262="Total splenectomy",BD262="Partial splenectomy +/- splenopexy"),"NR - removed, check reason","NR"),"Not applicable")))))</f>
        <v/>
      </c>
    </row>
    <row r="263">
      <c r="D263" s="8" t="n"/>
      <c r="E263" s="9">
        <f>IF(B263="","",IF(B263="OWN","Yes","No"))</f>
        <v/>
      </c>
      <c r="AF263" s="9">
        <f>IF(ISNUMBER(Z263),IF(Z263&lt;=2,"&lt;=2 d",IF(Z263&lt;=7,"3-7 d",IF(Z263&lt;=30,"8-30 d","&gt;30 d"))),IF(AE263&lt;&gt;"",AE263,IF(Z263="NR","NR","")))</f>
        <v/>
      </c>
      <c r="AX263" s="9">
        <f>IF(ISNUMBER(AW263),IF(AW263&gt;450,"Yes","No"),IF(AW263="NR","NR",""))</f>
        <v/>
      </c>
      <c r="BJ263" s="9">
        <f>IF(BB263="","",IF(BB263="Non-viable","Non-viable",IF(BB263="Viable","Viable",IF(BB263="Partially non-viable",IF(OR(BD263="Total splenectomy",BD263="Partial splenectomy +/- splenopexy"),"Non-viable","Review"),IF(BB263="NR",IF(OR(BD263="Total splenectomy",BD263="Partial splenectomy +/- splenopexy"),"NR - removed, check reason","NR"),"Not applicable")))))</f>
        <v/>
      </c>
    </row>
    <row r="264">
      <c r="D264" s="8" t="n"/>
      <c r="E264" s="9">
        <f>IF(B264="","",IF(B264="OWN","Yes","No"))</f>
        <v/>
      </c>
      <c r="AF264" s="9">
        <f>IF(ISNUMBER(Z264),IF(Z264&lt;=2,"&lt;=2 d",IF(Z264&lt;=7,"3-7 d",IF(Z264&lt;=30,"8-30 d","&gt;30 d"))),IF(AE264&lt;&gt;"",AE264,IF(Z264="NR","NR","")))</f>
        <v/>
      </c>
      <c r="AX264" s="9">
        <f>IF(ISNUMBER(AW264),IF(AW264&gt;450,"Yes","No"),IF(AW264="NR","NR",""))</f>
        <v/>
      </c>
      <c r="BJ264" s="9">
        <f>IF(BB264="","",IF(BB264="Non-viable","Non-viable",IF(BB264="Viable","Viable",IF(BB264="Partially non-viable",IF(OR(BD264="Total splenectomy",BD264="Partial splenectomy +/- splenopexy"),"Non-viable","Review"),IF(BB264="NR",IF(OR(BD264="Total splenectomy",BD264="Partial splenectomy +/- splenopexy"),"NR - removed, check reason","NR"),"Not applicable")))))</f>
        <v/>
      </c>
    </row>
    <row r="265">
      <c r="D265" s="8" t="n"/>
      <c r="E265" s="9">
        <f>IF(B265="","",IF(B265="OWN","Yes","No"))</f>
        <v/>
      </c>
      <c r="AF265" s="9">
        <f>IF(ISNUMBER(Z265),IF(Z265&lt;=2,"&lt;=2 d",IF(Z265&lt;=7,"3-7 d",IF(Z265&lt;=30,"8-30 d","&gt;30 d"))),IF(AE265&lt;&gt;"",AE265,IF(Z265="NR","NR","")))</f>
        <v/>
      </c>
      <c r="AX265" s="9">
        <f>IF(ISNUMBER(AW265),IF(AW265&gt;450,"Yes","No"),IF(AW265="NR","NR",""))</f>
        <v/>
      </c>
      <c r="BJ265" s="9">
        <f>IF(BB265="","",IF(BB265="Non-viable","Non-viable",IF(BB265="Viable","Viable",IF(BB265="Partially non-viable",IF(OR(BD265="Total splenectomy",BD265="Partial splenectomy +/- splenopexy"),"Non-viable","Review"),IF(BB265="NR",IF(OR(BD265="Total splenectomy",BD265="Partial splenectomy +/- splenopexy"),"NR - removed, check reason","NR"),"Not applicable")))))</f>
        <v/>
      </c>
    </row>
    <row r="266">
      <c r="D266" s="8" t="n"/>
      <c r="E266" s="9">
        <f>IF(B266="","",IF(B266="OWN","Yes","No"))</f>
        <v/>
      </c>
      <c r="AF266" s="9">
        <f>IF(ISNUMBER(Z266),IF(Z266&lt;=2,"&lt;=2 d",IF(Z266&lt;=7,"3-7 d",IF(Z266&lt;=30,"8-30 d","&gt;30 d"))),IF(AE266&lt;&gt;"",AE266,IF(Z266="NR","NR","")))</f>
        <v/>
      </c>
      <c r="AX266" s="9">
        <f>IF(ISNUMBER(AW266),IF(AW266&gt;450,"Yes","No"),IF(AW266="NR","NR",""))</f>
        <v/>
      </c>
      <c r="BJ266" s="9">
        <f>IF(BB266="","",IF(BB266="Non-viable","Non-viable",IF(BB266="Viable","Viable",IF(BB266="Partially non-viable",IF(OR(BD266="Total splenectomy",BD266="Partial splenectomy +/- splenopexy"),"Non-viable","Review"),IF(BB266="NR",IF(OR(BD266="Total splenectomy",BD266="Partial splenectomy +/- splenopexy"),"NR - removed, check reason","NR"),"Not applicable")))))</f>
        <v/>
      </c>
    </row>
    <row r="267">
      <c r="D267" s="8" t="n"/>
      <c r="E267" s="9">
        <f>IF(B267="","",IF(B267="OWN","Yes","No"))</f>
        <v/>
      </c>
      <c r="AF267" s="9">
        <f>IF(ISNUMBER(Z267),IF(Z267&lt;=2,"&lt;=2 d",IF(Z267&lt;=7,"3-7 d",IF(Z267&lt;=30,"8-30 d","&gt;30 d"))),IF(AE267&lt;&gt;"",AE267,IF(Z267="NR","NR","")))</f>
        <v/>
      </c>
      <c r="AX267" s="9">
        <f>IF(ISNUMBER(AW267),IF(AW267&gt;450,"Yes","No"),IF(AW267="NR","NR",""))</f>
        <v/>
      </c>
      <c r="BJ267" s="9">
        <f>IF(BB267="","",IF(BB267="Non-viable","Non-viable",IF(BB267="Viable","Viable",IF(BB267="Partially non-viable",IF(OR(BD267="Total splenectomy",BD267="Partial splenectomy +/- splenopexy"),"Non-viable","Review"),IF(BB267="NR",IF(OR(BD267="Total splenectomy",BD267="Partial splenectomy +/- splenopexy"),"NR - removed, check reason","NR"),"Not applicable")))))</f>
        <v/>
      </c>
    </row>
    <row r="268">
      <c r="D268" s="8" t="n"/>
      <c r="E268" s="9">
        <f>IF(B268="","",IF(B268="OWN","Yes","No"))</f>
        <v/>
      </c>
      <c r="AF268" s="9">
        <f>IF(ISNUMBER(Z268),IF(Z268&lt;=2,"&lt;=2 d",IF(Z268&lt;=7,"3-7 d",IF(Z268&lt;=30,"8-30 d","&gt;30 d"))),IF(AE268&lt;&gt;"",AE268,IF(Z268="NR","NR","")))</f>
        <v/>
      </c>
      <c r="AX268" s="9">
        <f>IF(ISNUMBER(AW268),IF(AW268&gt;450,"Yes","No"),IF(AW268="NR","NR",""))</f>
        <v/>
      </c>
      <c r="BJ268" s="9">
        <f>IF(BB268="","",IF(BB268="Non-viable","Non-viable",IF(BB268="Viable","Viable",IF(BB268="Partially non-viable",IF(OR(BD268="Total splenectomy",BD268="Partial splenectomy +/- splenopexy"),"Non-viable","Review"),IF(BB268="NR",IF(OR(BD268="Total splenectomy",BD268="Partial splenectomy +/- splenopexy"),"NR - removed, check reason","NR"),"Not applicable")))))</f>
        <v/>
      </c>
    </row>
    <row r="269">
      <c r="D269" s="8" t="n"/>
      <c r="E269" s="9">
        <f>IF(B269="","",IF(B269="OWN","Yes","No"))</f>
        <v/>
      </c>
      <c r="AF269" s="9">
        <f>IF(ISNUMBER(Z269),IF(Z269&lt;=2,"&lt;=2 d",IF(Z269&lt;=7,"3-7 d",IF(Z269&lt;=30,"8-30 d","&gt;30 d"))),IF(AE269&lt;&gt;"",AE269,IF(Z269="NR","NR","")))</f>
        <v/>
      </c>
      <c r="AX269" s="9">
        <f>IF(ISNUMBER(AW269),IF(AW269&gt;450,"Yes","No"),IF(AW269="NR","NR",""))</f>
        <v/>
      </c>
      <c r="BJ269" s="9">
        <f>IF(BB269="","",IF(BB269="Non-viable","Non-viable",IF(BB269="Viable","Viable",IF(BB269="Partially non-viable",IF(OR(BD269="Total splenectomy",BD269="Partial splenectomy +/- splenopexy"),"Non-viable","Review"),IF(BB269="NR",IF(OR(BD269="Total splenectomy",BD269="Partial splenectomy +/- splenopexy"),"NR - removed, check reason","NR"),"Not applicable")))))</f>
        <v/>
      </c>
    </row>
    <row r="270">
      <c r="D270" s="8" t="n"/>
      <c r="E270" s="9">
        <f>IF(B270="","",IF(B270="OWN","Yes","No"))</f>
        <v/>
      </c>
      <c r="AF270" s="9">
        <f>IF(ISNUMBER(Z270),IF(Z270&lt;=2,"&lt;=2 d",IF(Z270&lt;=7,"3-7 d",IF(Z270&lt;=30,"8-30 d","&gt;30 d"))),IF(AE270&lt;&gt;"",AE270,IF(Z270="NR","NR","")))</f>
        <v/>
      </c>
      <c r="AX270" s="9">
        <f>IF(ISNUMBER(AW270),IF(AW270&gt;450,"Yes","No"),IF(AW270="NR","NR",""))</f>
        <v/>
      </c>
      <c r="BJ270" s="9">
        <f>IF(BB270="","",IF(BB270="Non-viable","Non-viable",IF(BB270="Viable","Viable",IF(BB270="Partially non-viable",IF(OR(BD270="Total splenectomy",BD270="Partial splenectomy +/- splenopexy"),"Non-viable","Review"),IF(BB270="NR",IF(OR(BD270="Total splenectomy",BD270="Partial splenectomy +/- splenopexy"),"NR - removed, check reason","NR"),"Not applicable")))))</f>
        <v/>
      </c>
    </row>
    <row r="271">
      <c r="D271" s="8" t="n"/>
      <c r="E271" s="9">
        <f>IF(B271="","",IF(B271="OWN","Yes","No"))</f>
        <v/>
      </c>
      <c r="AF271" s="9">
        <f>IF(ISNUMBER(Z271),IF(Z271&lt;=2,"&lt;=2 d",IF(Z271&lt;=7,"3-7 d",IF(Z271&lt;=30,"8-30 d","&gt;30 d"))),IF(AE271&lt;&gt;"",AE271,IF(Z271="NR","NR","")))</f>
        <v/>
      </c>
      <c r="AX271" s="9">
        <f>IF(ISNUMBER(AW271),IF(AW271&gt;450,"Yes","No"),IF(AW271="NR","NR",""))</f>
        <v/>
      </c>
      <c r="BJ271" s="9">
        <f>IF(BB271="","",IF(BB271="Non-viable","Non-viable",IF(BB271="Viable","Viable",IF(BB271="Partially non-viable",IF(OR(BD271="Total splenectomy",BD271="Partial splenectomy +/- splenopexy"),"Non-viable","Review"),IF(BB271="NR",IF(OR(BD271="Total splenectomy",BD271="Partial splenectomy +/- splenopexy"),"NR - removed, check reason","NR"),"Not applicable")))))</f>
        <v/>
      </c>
    </row>
    <row r="272">
      <c r="D272" s="8" t="n"/>
      <c r="E272" s="9">
        <f>IF(B272="","",IF(B272="OWN","Yes","No"))</f>
        <v/>
      </c>
      <c r="AF272" s="9">
        <f>IF(ISNUMBER(Z272),IF(Z272&lt;=2,"&lt;=2 d",IF(Z272&lt;=7,"3-7 d",IF(Z272&lt;=30,"8-30 d","&gt;30 d"))),IF(AE272&lt;&gt;"",AE272,IF(Z272="NR","NR","")))</f>
        <v/>
      </c>
      <c r="AX272" s="9">
        <f>IF(ISNUMBER(AW272),IF(AW272&gt;450,"Yes","No"),IF(AW272="NR","NR",""))</f>
        <v/>
      </c>
      <c r="BJ272" s="9">
        <f>IF(BB272="","",IF(BB272="Non-viable","Non-viable",IF(BB272="Viable","Viable",IF(BB272="Partially non-viable",IF(OR(BD272="Total splenectomy",BD272="Partial splenectomy +/- splenopexy"),"Non-viable","Review"),IF(BB272="NR",IF(OR(BD272="Total splenectomy",BD272="Partial splenectomy +/- splenopexy"),"NR - removed, check reason","NR"),"Not applicable")))))</f>
        <v/>
      </c>
    </row>
    <row r="273">
      <c r="D273" s="8" t="n"/>
      <c r="E273" s="9">
        <f>IF(B273="","",IF(B273="OWN","Yes","No"))</f>
        <v/>
      </c>
      <c r="AF273" s="9">
        <f>IF(ISNUMBER(Z273),IF(Z273&lt;=2,"&lt;=2 d",IF(Z273&lt;=7,"3-7 d",IF(Z273&lt;=30,"8-30 d","&gt;30 d"))),IF(AE273&lt;&gt;"",AE273,IF(Z273="NR","NR","")))</f>
        <v/>
      </c>
      <c r="AX273" s="9">
        <f>IF(ISNUMBER(AW273),IF(AW273&gt;450,"Yes","No"),IF(AW273="NR","NR",""))</f>
        <v/>
      </c>
      <c r="BJ273" s="9">
        <f>IF(BB273="","",IF(BB273="Non-viable","Non-viable",IF(BB273="Viable","Viable",IF(BB273="Partially non-viable",IF(OR(BD273="Total splenectomy",BD273="Partial splenectomy +/- splenopexy"),"Non-viable","Review"),IF(BB273="NR",IF(OR(BD273="Total splenectomy",BD273="Partial splenectomy +/- splenopexy"),"NR - removed, check reason","NR"),"Not applicable")))))</f>
        <v/>
      </c>
    </row>
    <row r="274">
      <c r="D274" s="8" t="n"/>
      <c r="E274" s="9">
        <f>IF(B274="","",IF(B274="OWN","Yes","No"))</f>
        <v/>
      </c>
      <c r="AF274" s="9">
        <f>IF(ISNUMBER(Z274),IF(Z274&lt;=2,"&lt;=2 d",IF(Z274&lt;=7,"3-7 d",IF(Z274&lt;=30,"8-30 d","&gt;30 d"))),IF(AE274&lt;&gt;"",AE274,IF(Z274="NR","NR","")))</f>
        <v/>
      </c>
      <c r="AX274" s="9">
        <f>IF(ISNUMBER(AW274),IF(AW274&gt;450,"Yes","No"),IF(AW274="NR","NR",""))</f>
        <v/>
      </c>
      <c r="BJ274" s="9">
        <f>IF(BB274="","",IF(BB274="Non-viable","Non-viable",IF(BB274="Viable","Viable",IF(BB274="Partially non-viable",IF(OR(BD274="Total splenectomy",BD274="Partial splenectomy +/- splenopexy"),"Non-viable","Review"),IF(BB274="NR",IF(OR(BD274="Total splenectomy",BD274="Partial splenectomy +/- splenopexy"),"NR - removed, check reason","NR"),"Not applicable")))))</f>
        <v/>
      </c>
    </row>
    <row r="275">
      <c r="D275" s="8" t="n"/>
      <c r="E275" s="9">
        <f>IF(B275="","",IF(B275="OWN","Yes","No"))</f>
        <v/>
      </c>
      <c r="AF275" s="9">
        <f>IF(ISNUMBER(Z275),IF(Z275&lt;=2,"&lt;=2 d",IF(Z275&lt;=7,"3-7 d",IF(Z275&lt;=30,"8-30 d","&gt;30 d"))),IF(AE275&lt;&gt;"",AE275,IF(Z275="NR","NR","")))</f>
        <v/>
      </c>
      <c r="AX275" s="9">
        <f>IF(ISNUMBER(AW275),IF(AW275&gt;450,"Yes","No"),IF(AW275="NR","NR",""))</f>
        <v/>
      </c>
      <c r="BJ275" s="9">
        <f>IF(BB275="","",IF(BB275="Non-viable","Non-viable",IF(BB275="Viable","Viable",IF(BB275="Partially non-viable",IF(OR(BD275="Total splenectomy",BD275="Partial splenectomy +/- splenopexy"),"Non-viable","Review"),IF(BB275="NR",IF(OR(BD275="Total splenectomy",BD275="Partial splenectomy +/- splenopexy"),"NR - removed, check reason","NR"),"Not applicable")))))</f>
        <v/>
      </c>
    </row>
    <row r="276">
      <c r="D276" s="8" t="n"/>
      <c r="E276" s="9">
        <f>IF(B276="","",IF(B276="OWN","Yes","No"))</f>
        <v/>
      </c>
      <c r="AF276" s="9">
        <f>IF(ISNUMBER(Z276),IF(Z276&lt;=2,"&lt;=2 d",IF(Z276&lt;=7,"3-7 d",IF(Z276&lt;=30,"8-30 d","&gt;30 d"))),IF(AE276&lt;&gt;"",AE276,IF(Z276="NR","NR","")))</f>
        <v/>
      </c>
      <c r="AX276" s="9">
        <f>IF(ISNUMBER(AW276),IF(AW276&gt;450,"Yes","No"),IF(AW276="NR","NR",""))</f>
        <v/>
      </c>
      <c r="BJ276" s="9">
        <f>IF(BB276="","",IF(BB276="Non-viable","Non-viable",IF(BB276="Viable","Viable",IF(BB276="Partially non-viable",IF(OR(BD276="Total splenectomy",BD276="Partial splenectomy +/- splenopexy"),"Non-viable","Review"),IF(BB276="NR",IF(OR(BD276="Total splenectomy",BD276="Partial splenectomy +/- splenopexy"),"NR - removed, check reason","NR"),"Not applicable")))))</f>
        <v/>
      </c>
    </row>
    <row r="277">
      <c r="D277" s="8" t="n"/>
      <c r="E277" s="9">
        <f>IF(B277="","",IF(B277="OWN","Yes","No"))</f>
        <v/>
      </c>
      <c r="AF277" s="9">
        <f>IF(ISNUMBER(Z277),IF(Z277&lt;=2,"&lt;=2 d",IF(Z277&lt;=7,"3-7 d",IF(Z277&lt;=30,"8-30 d","&gt;30 d"))),IF(AE277&lt;&gt;"",AE277,IF(Z277="NR","NR","")))</f>
        <v/>
      </c>
      <c r="AX277" s="9">
        <f>IF(ISNUMBER(AW277),IF(AW277&gt;450,"Yes","No"),IF(AW277="NR","NR",""))</f>
        <v/>
      </c>
      <c r="BJ277" s="9">
        <f>IF(BB277="","",IF(BB277="Non-viable","Non-viable",IF(BB277="Viable","Viable",IF(BB277="Partially non-viable",IF(OR(BD277="Total splenectomy",BD277="Partial splenectomy +/- splenopexy"),"Non-viable","Review"),IF(BB277="NR",IF(OR(BD277="Total splenectomy",BD277="Partial splenectomy +/- splenopexy"),"NR - removed, check reason","NR"),"Not applicable")))))</f>
        <v/>
      </c>
    </row>
    <row r="278">
      <c r="D278" s="8" t="n"/>
      <c r="E278" s="9">
        <f>IF(B278="","",IF(B278="OWN","Yes","No"))</f>
        <v/>
      </c>
      <c r="AF278" s="9">
        <f>IF(ISNUMBER(Z278),IF(Z278&lt;=2,"&lt;=2 d",IF(Z278&lt;=7,"3-7 d",IF(Z278&lt;=30,"8-30 d","&gt;30 d"))),IF(AE278&lt;&gt;"",AE278,IF(Z278="NR","NR","")))</f>
        <v/>
      </c>
      <c r="AX278" s="9">
        <f>IF(ISNUMBER(AW278),IF(AW278&gt;450,"Yes","No"),IF(AW278="NR","NR",""))</f>
        <v/>
      </c>
      <c r="BJ278" s="9">
        <f>IF(BB278="","",IF(BB278="Non-viable","Non-viable",IF(BB278="Viable","Viable",IF(BB278="Partially non-viable",IF(OR(BD278="Total splenectomy",BD278="Partial splenectomy +/- splenopexy"),"Non-viable","Review"),IF(BB278="NR",IF(OR(BD278="Total splenectomy",BD278="Partial splenectomy +/- splenopexy"),"NR - removed, check reason","NR"),"Not applicable")))))</f>
        <v/>
      </c>
    </row>
    <row r="279">
      <c r="D279" s="8" t="n"/>
      <c r="E279" s="9">
        <f>IF(B279="","",IF(B279="OWN","Yes","No"))</f>
        <v/>
      </c>
      <c r="AF279" s="9">
        <f>IF(ISNUMBER(Z279),IF(Z279&lt;=2,"&lt;=2 d",IF(Z279&lt;=7,"3-7 d",IF(Z279&lt;=30,"8-30 d","&gt;30 d"))),IF(AE279&lt;&gt;"",AE279,IF(Z279="NR","NR","")))</f>
        <v/>
      </c>
      <c r="AX279" s="9">
        <f>IF(ISNUMBER(AW279),IF(AW279&gt;450,"Yes","No"),IF(AW279="NR","NR",""))</f>
        <v/>
      </c>
      <c r="BJ279" s="9">
        <f>IF(BB279="","",IF(BB279="Non-viable","Non-viable",IF(BB279="Viable","Viable",IF(BB279="Partially non-viable",IF(OR(BD279="Total splenectomy",BD279="Partial splenectomy +/- splenopexy"),"Non-viable","Review"),IF(BB279="NR",IF(OR(BD279="Total splenectomy",BD279="Partial splenectomy +/- splenopexy"),"NR - removed, check reason","NR"),"Not applicable")))))</f>
        <v/>
      </c>
    </row>
    <row r="280">
      <c r="D280" s="8" t="n"/>
      <c r="E280" s="9">
        <f>IF(B280="","",IF(B280="OWN","Yes","No"))</f>
        <v/>
      </c>
      <c r="AF280" s="9">
        <f>IF(ISNUMBER(Z280),IF(Z280&lt;=2,"&lt;=2 d",IF(Z280&lt;=7,"3-7 d",IF(Z280&lt;=30,"8-30 d","&gt;30 d"))),IF(AE280&lt;&gt;"",AE280,IF(Z280="NR","NR","")))</f>
        <v/>
      </c>
      <c r="AX280" s="9">
        <f>IF(ISNUMBER(AW280),IF(AW280&gt;450,"Yes","No"),IF(AW280="NR","NR",""))</f>
        <v/>
      </c>
      <c r="BJ280" s="9">
        <f>IF(BB280="","",IF(BB280="Non-viable","Non-viable",IF(BB280="Viable","Viable",IF(BB280="Partially non-viable",IF(OR(BD280="Total splenectomy",BD280="Partial splenectomy +/- splenopexy"),"Non-viable","Review"),IF(BB280="NR",IF(OR(BD280="Total splenectomy",BD280="Partial splenectomy +/- splenopexy"),"NR - removed, check reason","NR"),"Not applicable")))))</f>
        <v/>
      </c>
    </row>
    <row r="281">
      <c r="D281" s="8" t="n"/>
      <c r="E281" s="9">
        <f>IF(B281="","",IF(B281="OWN","Yes","No"))</f>
        <v/>
      </c>
      <c r="AF281" s="9">
        <f>IF(ISNUMBER(Z281),IF(Z281&lt;=2,"&lt;=2 d",IF(Z281&lt;=7,"3-7 d",IF(Z281&lt;=30,"8-30 d","&gt;30 d"))),IF(AE281&lt;&gt;"",AE281,IF(Z281="NR","NR","")))</f>
        <v/>
      </c>
      <c r="AX281" s="9">
        <f>IF(ISNUMBER(AW281),IF(AW281&gt;450,"Yes","No"),IF(AW281="NR","NR",""))</f>
        <v/>
      </c>
      <c r="BJ281" s="9">
        <f>IF(BB281="","",IF(BB281="Non-viable","Non-viable",IF(BB281="Viable","Viable",IF(BB281="Partially non-viable",IF(OR(BD281="Total splenectomy",BD281="Partial splenectomy +/- splenopexy"),"Non-viable","Review"),IF(BB281="NR",IF(OR(BD281="Total splenectomy",BD281="Partial splenectomy +/- splenopexy"),"NR - removed, check reason","NR"),"Not applicable")))))</f>
        <v/>
      </c>
    </row>
    <row r="282">
      <c r="D282" s="8" t="n"/>
      <c r="E282" s="9">
        <f>IF(B282="","",IF(B282="OWN","Yes","No"))</f>
        <v/>
      </c>
      <c r="AF282" s="9">
        <f>IF(ISNUMBER(Z282),IF(Z282&lt;=2,"&lt;=2 d",IF(Z282&lt;=7,"3-7 d",IF(Z282&lt;=30,"8-30 d","&gt;30 d"))),IF(AE282&lt;&gt;"",AE282,IF(Z282="NR","NR","")))</f>
        <v/>
      </c>
      <c r="AX282" s="9">
        <f>IF(ISNUMBER(AW282),IF(AW282&gt;450,"Yes","No"),IF(AW282="NR","NR",""))</f>
        <v/>
      </c>
      <c r="BJ282" s="9">
        <f>IF(BB282="","",IF(BB282="Non-viable","Non-viable",IF(BB282="Viable","Viable",IF(BB282="Partially non-viable",IF(OR(BD282="Total splenectomy",BD282="Partial splenectomy +/- splenopexy"),"Non-viable","Review"),IF(BB282="NR",IF(OR(BD282="Total splenectomy",BD282="Partial splenectomy +/- splenopexy"),"NR - removed, check reason","NR"),"Not applicable")))))</f>
        <v/>
      </c>
    </row>
    <row r="283">
      <c r="D283" s="8" t="n"/>
      <c r="E283" s="9">
        <f>IF(B283="","",IF(B283="OWN","Yes","No"))</f>
        <v/>
      </c>
      <c r="AF283" s="9">
        <f>IF(ISNUMBER(Z283),IF(Z283&lt;=2,"&lt;=2 d",IF(Z283&lt;=7,"3-7 d",IF(Z283&lt;=30,"8-30 d","&gt;30 d"))),IF(AE283&lt;&gt;"",AE283,IF(Z283="NR","NR","")))</f>
        <v/>
      </c>
      <c r="AX283" s="9">
        <f>IF(ISNUMBER(AW283),IF(AW283&gt;450,"Yes","No"),IF(AW283="NR","NR",""))</f>
        <v/>
      </c>
      <c r="BJ283" s="9">
        <f>IF(BB283="","",IF(BB283="Non-viable","Non-viable",IF(BB283="Viable","Viable",IF(BB283="Partially non-viable",IF(OR(BD283="Total splenectomy",BD283="Partial splenectomy +/- splenopexy"),"Non-viable","Review"),IF(BB283="NR",IF(OR(BD283="Total splenectomy",BD283="Partial splenectomy +/- splenopexy"),"NR - removed, check reason","NR"),"Not applicable")))))</f>
        <v/>
      </c>
    </row>
    <row r="284">
      <c r="D284" s="8" t="n"/>
      <c r="E284" s="9">
        <f>IF(B284="","",IF(B284="OWN","Yes","No"))</f>
        <v/>
      </c>
      <c r="AF284" s="9">
        <f>IF(ISNUMBER(Z284),IF(Z284&lt;=2,"&lt;=2 d",IF(Z284&lt;=7,"3-7 d",IF(Z284&lt;=30,"8-30 d","&gt;30 d"))),IF(AE284&lt;&gt;"",AE284,IF(Z284="NR","NR","")))</f>
        <v/>
      </c>
      <c r="AX284" s="9">
        <f>IF(ISNUMBER(AW284),IF(AW284&gt;450,"Yes","No"),IF(AW284="NR","NR",""))</f>
        <v/>
      </c>
      <c r="BJ284" s="9">
        <f>IF(BB284="","",IF(BB284="Non-viable","Non-viable",IF(BB284="Viable","Viable",IF(BB284="Partially non-viable",IF(OR(BD284="Total splenectomy",BD284="Partial splenectomy +/- splenopexy"),"Non-viable","Review"),IF(BB284="NR",IF(OR(BD284="Total splenectomy",BD284="Partial splenectomy +/- splenopexy"),"NR - removed, check reason","NR"),"Not applicable")))))</f>
        <v/>
      </c>
    </row>
    <row r="285">
      <c r="D285" s="8" t="n"/>
      <c r="E285" s="9">
        <f>IF(B285="","",IF(B285="OWN","Yes","No"))</f>
        <v/>
      </c>
      <c r="AF285" s="9">
        <f>IF(ISNUMBER(Z285),IF(Z285&lt;=2,"&lt;=2 d",IF(Z285&lt;=7,"3-7 d",IF(Z285&lt;=30,"8-30 d","&gt;30 d"))),IF(AE285&lt;&gt;"",AE285,IF(Z285="NR","NR","")))</f>
        <v/>
      </c>
      <c r="AX285" s="9">
        <f>IF(ISNUMBER(AW285),IF(AW285&gt;450,"Yes","No"),IF(AW285="NR","NR",""))</f>
        <v/>
      </c>
      <c r="BJ285" s="9">
        <f>IF(BB285="","",IF(BB285="Non-viable","Non-viable",IF(BB285="Viable","Viable",IF(BB285="Partially non-viable",IF(OR(BD285="Total splenectomy",BD285="Partial splenectomy +/- splenopexy"),"Non-viable","Review"),IF(BB285="NR",IF(OR(BD285="Total splenectomy",BD285="Partial splenectomy +/- splenopexy"),"NR - removed, check reason","NR"),"Not applicable")))))</f>
        <v/>
      </c>
    </row>
    <row r="286">
      <c r="D286" s="8" t="n"/>
      <c r="E286" s="9">
        <f>IF(B286="","",IF(B286="OWN","Yes","No"))</f>
        <v/>
      </c>
      <c r="AF286" s="9">
        <f>IF(ISNUMBER(Z286),IF(Z286&lt;=2,"&lt;=2 d",IF(Z286&lt;=7,"3-7 d",IF(Z286&lt;=30,"8-30 d","&gt;30 d"))),IF(AE286&lt;&gt;"",AE286,IF(Z286="NR","NR","")))</f>
        <v/>
      </c>
      <c r="AX286" s="9">
        <f>IF(ISNUMBER(AW286),IF(AW286&gt;450,"Yes","No"),IF(AW286="NR","NR",""))</f>
        <v/>
      </c>
      <c r="BJ286" s="9">
        <f>IF(BB286="","",IF(BB286="Non-viable","Non-viable",IF(BB286="Viable","Viable",IF(BB286="Partially non-viable",IF(OR(BD286="Total splenectomy",BD286="Partial splenectomy +/- splenopexy"),"Non-viable","Review"),IF(BB286="NR",IF(OR(BD286="Total splenectomy",BD286="Partial splenectomy +/- splenopexy"),"NR - removed, check reason","NR"),"Not applicable")))))</f>
        <v/>
      </c>
    </row>
    <row r="287">
      <c r="D287" s="8" t="n"/>
      <c r="E287" s="9">
        <f>IF(B287="","",IF(B287="OWN","Yes","No"))</f>
        <v/>
      </c>
      <c r="AF287" s="9">
        <f>IF(ISNUMBER(Z287),IF(Z287&lt;=2,"&lt;=2 d",IF(Z287&lt;=7,"3-7 d",IF(Z287&lt;=30,"8-30 d","&gt;30 d"))),IF(AE287&lt;&gt;"",AE287,IF(Z287="NR","NR","")))</f>
        <v/>
      </c>
      <c r="AX287" s="9">
        <f>IF(ISNUMBER(AW287),IF(AW287&gt;450,"Yes","No"),IF(AW287="NR","NR",""))</f>
        <v/>
      </c>
      <c r="BJ287" s="9">
        <f>IF(BB287="","",IF(BB287="Non-viable","Non-viable",IF(BB287="Viable","Viable",IF(BB287="Partially non-viable",IF(OR(BD287="Total splenectomy",BD287="Partial splenectomy +/- splenopexy"),"Non-viable","Review"),IF(BB287="NR",IF(OR(BD287="Total splenectomy",BD287="Partial splenectomy +/- splenopexy"),"NR - removed, check reason","NR"),"Not applicable")))))</f>
        <v/>
      </c>
    </row>
    <row r="288">
      <c r="D288" s="8" t="n"/>
      <c r="E288" s="9">
        <f>IF(B288="","",IF(B288="OWN","Yes","No"))</f>
        <v/>
      </c>
      <c r="AF288" s="9">
        <f>IF(ISNUMBER(Z288),IF(Z288&lt;=2,"&lt;=2 d",IF(Z288&lt;=7,"3-7 d",IF(Z288&lt;=30,"8-30 d","&gt;30 d"))),IF(AE288&lt;&gt;"",AE288,IF(Z288="NR","NR","")))</f>
        <v/>
      </c>
      <c r="AX288" s="9">
        <f>IF(ISNUMBER(AW288),IF(AW288&gt;450,"Yes","No"),IF(AW288="NR","NR",""))</f>
        <v/>
      </c>
      <c r="BJ288" s="9">
        <f>IF(BB288="","",IF(BB288="Non-viable","Non-viable",IF(BB288="Viable","Viable",IF(BB288="Partially non-viable",IF(OR(BD288="Total splenectomy",BD288="Partial splenectomy +/- splenopexy"),"Non-viable","Review"),IF(BB288="NR",IF(OR(BD288="Total splenectomy",BD288="Partial splenectomy +/- splenopexy"),"NR - removed, check reason","NR"),"Not applicable")))))</f>
        <v/>
      </c>
    </row>
    <row r="289">
      <c r="D289" s="8" t="n"/>
      <c r="E289" s="9">
        <f>IF(B289="","",IF(B289="OWN","Yes","No"))</f>
        <v/>
      </c>
      <c r="AF289" s="9">
        <f>IF(ISNUMBER(Z289),IF(Z289&lt;=2,"&lt;=2 d",IF(Z289&lt;=7,"3-7 d",IF(Z289&lt;=30,"8-30 d","&gt;30 d"))),IF(AE289&lt;&gt;"",AE289,IF(Z289="NR","NR","")))</f>
        <v/>
      </c>
      <c r="AX289" s="9">
        <f>IF(ISNUMBER(AW289),IF(AW289&gt;450,"Yes","No"),IF(AW289="NR","NR",""))</f>
        <v/>
      </c>
      <c r="BJ289" s="9">
        <f>IF(BB289="","",IF(BB289="Non-viable","Non-viable",IF(BB289="Viable","Viable",IF(BB289="Partially non-viable",IF(OR(BD289="Total splenectomy",BD289="Partial splenectomy +/- splenopexy"),"Non-viable","Review"),IF(BB289="NR",IF(OR(BD289="Total splenectomy",BD289="Partial splenectomy +/- splenopexy"),"NR - removed, check reason","NR"),"Not applicable")))))</f>
        <v/>
      </c>
    </row>
    <row r="290">
      <c r="D290" s="8" t="n"/>
      <c r="E290" s="9">
        <f>IF(B290="","",IF(B290="OWN","Yes","No"))</f>
        <v/>
      </c>
      <c r="AF290" s="9">
        <f>IF(ISNUMBER(Z290),IF(Z290&lt;=2,"&lt;=2 d",IF(Z290&lt;=7,"3-7 d",IF(Z290&lt;=30,"8-30 d","&gt;30 d"))),IF(AE290&lt;&gt;"",AE290,IF(Z290="NR","NR","")))</f>
        <v/>
      </c>
      <c r="AX290" s="9">
        <f>IF(ISNUMBER(AW290),IF(AW290&gt;450,"Yes","No"),IF(AW290="NR","NR",""))</f>
        <v/>
      </c>
      <c r="BJ290" s="9">
        <f>IF(BB290="","",IF(BB290="Non-viable","Non-viable",IF(BB290="Viable","Viable",IF(BB290="Partially non-viable",IF(OR(BD290="Total splenectomy",BD290="Partial splenectomy +/- splenopexy"),"Non-viable","Review"),IF(BB290="NR",IF(OR(BD290="Total splenectomy",BD290="Partial splenectomy +/- splenopexy"),"NR - removed, check reason","NR"),"Not applicable")))))</f>
        <v/>
      </c>
    </row>
    <row r="291">
      <c r="D291" s="8" t="n"/>
      <c r="E291" s="9">
        <f>IF(B291="","",IF(B291="OWN","Yes","No"))</f>
        <v/>
      </c>
      <c r="AF291" s="9">
        <f>IF(ISNUMBER(Z291),IF(Z291&lt;=2,"&lt;=2 d",IF(Z291&lt;=7,"3-7 d",IF(Z291&lt;=30,"8-30 d","&gt;30 d"))),IF(AE291&lt;&gt;"",AE291,IF(Z291="NR","NR","")))</f>
        <v/>
      </c>
      <c r="AX291" s="9">
        <f>IF(ISNUMBER(AW291),IF(AW291&gt;450,"Yes","No"),IF(AW291="NR","NR",""))</f>
        <v/>
      </c>
      <c r="BJ291" s="9">
        <f>IF(BB291="","",IF(BB291="Non-viable","Non-viable",IF(BB291="Viable","Viable",IF(BB291="Partially non-viable",IF(OR(BD291="Total splenectomy",BD291="Partial splenectomy +/- splenopexy"),"Non-viable","Review"),IF(BB291="NR",IF(OR(BD291="Total splenectomy",BD291="Partial splenectomy +/- splenopexy"),"NR - removed, check reason","NR"),"Not applicable")))))</f>
        <v/>
      </c>
    </row>
    <row r="292">
      <c r="D292" s="8" t="n"/>
      <c r="E292" s="9">
        <f>IF(B292="","",IF(B292="OWN","Yes","No"))</f>
        <v/>
      </c>
      <c r="AF292" s="9">
        <f>IF(ISNUMBER(Z292),IF(Z292&lt;=2,"&lt;=2 d",IF(Z292&lt;=7,"3-7 d",IF(Z292&lt;=30,"8-30 d","&gt;30 d"))),IF(AE292&lt;&gt;"",AE292,IF(Z292="NR","NR","")))</f>
        <v/>
      </c>
      <c r="AX292" s="9">
        <f>IF(ISNUMBER(AW292),IF(AW292&gt;450,"Yes","No"),IF(AW292="NR","NR",""))</f>
        <v/>
      </c>
      <c r="BJ292" s="9">
        <f>IF(BB292="","",IF(BB292="Non-viable","Non-viable",IF(BB292="Viable","Viable",IF(BB292="Partially non-viable",IF(OR(BD292="Total splenectomy",BD292="Partial splenectomy +/- splenopexy"),"Non-viable","Review"),IF(BB292="NR",IF(OR(BD292="Total splenectomy",BD292="Partial splenectomy +/- splenopexy"),"NR - removed, check reason","NR"),"Not applicable")))))</f>
        <v/>
      </c>
    </row>
    <row r="293">
      <c r="D293" s="8" t="n"/>
      <c r="E293" s="9">
        <f>IF(B293="","",IF(B293="OWN","Yes","No"))</f>
        <v/>
      </c>
      <c r="AF293" s="9">
        <f>IF(ISNUMBER(Z293),IF(Z293&lt;=2,"&lt;=2 d",IF(Z293&lt;=7,"3-7 d",IF(Z293&lt;=30,"8-30 d","&gt;30 d"))),IF(AE293&lt;&gt;"",AE293,IF(Z293="NR","NR","")))</f>
        <v/>
      </c>
      <c r="AX293" s="9">
        <f>IF(ISNUMBER(AW293),IF(AW293&gt;450,"Yes","No"),IF(AW293="NR","NR",""))</f>
        <v/>
      </c>
      <c r="BJ293" s="9">
        <f>IF(BB293="","",IF(BB293="Non-viable","Non-viable",IF(BB293="Viable","Viable",IF(BB293="Partially non-viable",IF(OR(BD293="Total splenectomy",BD293="Partial splenectomy +/- splenopexy"),"Non-viable","Review"),IF(BB293="NR",IF(OR(BD293="Total splenectomy",BD293="Partial splenectomy +/- splenopexy"),"NR - removed, check reason","NR"),"Not applicable")))))</f>
        <v/>
      </c>
    </row>
    <row r="294">
      <c r="D294" s="8" t="n"/>
      <c r="E294" s="9">
        <f>IF(B294="","",IF(B294="OWN","Yes","No"))</f>
        <v/>
      </c>
      <c r="AF294" s="9">
        <f>IF(ISNUMBER(Z294),IF(Z294&lt;=2,"&lt;=2 d",IF(Z294&lt;=7,"3-7 d",IF(Z294&lt;=30,"8-30 d","&gt;30 d"))),IF(AE294&lt;&gt;"",AE294,IF(Z294="NR","NR","")))</f>
        <v/>
      </c>
      <c r="AX294" s="9">
        <f>IF(ISNUMBER(AW294),IF(AW294&gt;450,"Yes","No"),IF(AW294="NR","NR",""))</f>
        <v/>
      </c>
      <c r="BJ294" s="9">
        <f>IF(BB294="","",IF(BB294="Non-viable","Non-viable",IF(BB294="Viable","Viable",IF(BB294="Partially non-viable",IF(OR(BD294="Total splenectomy",BD294="Partial splenectomy +/- splenopexy"),"Non-viable","Review"),IF(BB294="NR",IF(OR(BD294="Total splenectomy",BD294="Partial splenectomy +/- splenopexy"),"NR - removed, check reason","NR"),"Not applicable")))))</f>
        <v/>
      </c>
    </row>
    <row r="295">
      <c r="D295" s="8" t="n"/>
      <c r="E295" s="9">
        <f>IF(B295="","",IF(B295="OWN","Yes","No"))</f>
        <v/>
      </c>
      <c r="AF295" s="9">
        <f>IF(ISNUMBER(Z295),IF(Z295&lt;=2,"&lt;=2 d",IF(Z295&lt;=7,"3-7 d",IF(Z295&lt;=30,"8-30 d","&gt;30 d"))),IF(AE295&lt;&gt;"",AE295,IF(Z295="NR","NR","")))</f>
        <v/>
      </c>
      <c r="AX295" s="9">
        <f>IF(ISNUMBER(AW295),IF(AW295&gt;450,"Yes","No"),IF(AW295="NR","NR",""))</f>
        <v/>
      </c>
      <c r="BJ295" s="9">
        <f>IF(BB295="","",IF(BB295="Non-viable","Non-viable",IF(BB295="Viable","Viable",IF(BB295="Partially non-viable",IF(OR(BD295="Total splenectomy",BD295="Partial splenectomy +/- splenopexy"),"Non-viable","Review"),IF(BB295="NR",IF(OR(BD295="Total splenectomy",BD295="Partial splenectomy +/- splenopexy"),"NR - removed, check reason","NR"),"Not applicable")))))</f>
        <v/>
      </c>
    </row>
    <row r="296">
      <c r="D296" s="8" t="n"/>
      <c r="E296" s="9">
        <f>IF(B296="","",IF(B296="OWN","Yes","No"))</f>
        <v/>
      </c>
      <c r="AF296" s="9">
        <f>IF(ISNUMBER(Z296),IF(Z296&lt;=2,"&lt;=2 d",IF(Z296&lt;=7,"3-7 d",IF(Z296&lt;=30,"8-30 d","&gt;30 d"))),IF(AE296&lt;&gt;"",AE296,IF(Z296="NR","NR","")))</f>
        <v/>
      </c>
      <c r="AX296" s="9">
        <f>IF(ISNUMBER(AW296),IF(AW296&gt;450,"Yes","No"),IF(AW296="NR","NR",""))</f>
        <v/>
      </c>
      <c r="BJ296" s="9">
        <f>IF(BB296="","",IF(BB296="Non-viable","Non-viable",IF(BB296="Viable","Viable",IF(BB296="Partially non-viable",IF(OR(BD296="Total splenectomy",BD296="Partial splenectomy +/- splenopexy"),"Non-viable","Review"),IF(BB296="NR",IF(OR(BD296="Total splenectomy",BD296="Partial splenectomy +/- splenopexy"),"NR - removed, check reason","NR"),"Not applicable")))))</f>
        <v/>
      </c>
    </row>
    <row r="297">
      <c r="D297" s="8" t="n"/>
      <c r="E297" s="9">
        <f>IF(B297="","",IF(B297="OWN","Yes","No"))</f>
        <v/>
      </c>
      <c r="AF297" s="9">
        <f>IF(ISNUMBER(Z297),IF(Z297&lt;=2,"&lt;=2 d",IF(Z297&lt;=7,"3-7 d",IF(Z297&lt;=30,"8-30 d","&gt;30 d"))),IF(AE297&lt;&gt;"",AE297,IF(Z297="NR","NR","")))</f>
        <v/>
      </c>
      <c r="AX297" s="9">
        <f>IF(ISNUMBER(AW297),IF(AW297&gt;450,"Yes","No"),IF(AW297="NR","NR",""))</f>
        <v/>
      </c>
      <c r="BJ297" s="9">
        <f>IF(BB297="","",IF(BB297="Non-viable","Non-viable",IF(BB297="Viable","Viable",IF(BB297="Partially non-viable",IF(OR(BD297="Total splenectomy",BD297="Partial splenectomy +/- splenopexy"),"Non-viable","Review"),IF(BB297="NR",IF(OR(BD297="Total splenectomy",BD297="Partial splenectomy +/- splenopexy"),"NR - removed, check reason","NR"),"Not applicable")))))</f>
        <v/>
      </c>
    </row>
    <row r="298">
      <c r="D298" s="8" t="n"/>
      <c r="E298" s="9">
        <f>IF(B298="","",IF(B298="OWN","Yes","No"))</f>
        <v/>
      </c>
      <c r="AF298" s="9">
        <f>IF(ISNUMBER(Z298),IF(Z298&lt;=2,"&lt;=2 d",IF(Z298&lt;=7,"3-7 d",IF(Z298&lt;=30,"8-30 d","&gt;30 d"))),IF(AE298&lt;&gt;"",AE298,IF(Z298="NR","NR","")))</f>
        <v/>
      </c>
      <c r="AX298" s="9">
        <f>IF(ISNUMBER(AW298),IF(AW298&gt;450,"Yes","No"),IF(AW298="NR","NR",""))</f>
        <v/>
      </c>
      <c r="BJ298" s="9">
        <f>IF(BB298="","",IF(BB298="Non-viable","Non-viable",IF(BB298="Viable","Viable",IF(BB298="Partially non-viable",IF(OR(BD298="Total splenectomy",BD298="Partial splenectomy +/- splenopexy"),"Non-viable","Review"),IF(BB298="NR",IF(OR(BD298="Total splenectomy",BD298="Partial splenectomy +/- splenopexy"),"NR - removed, check reason","NR"),"Not applicable")))))</f>
        <v/>
      </c>
    </row>
    <row r="299">
      <c r="D299" s="8" t="n"/>
      <c r="E299" s="9">
        <f>IF(B299="","",IF(B299="OWN","Yes","No"))</f>
        <v/>
      </c>
      <c r="AF299" s="9">
        <f>IF(ISNUMBER(Z299),IF(Z299&lt;=2,"&lt;=2 d",IF(Z299&lt;=7,"3-7 d",IF(Z299&lt;=30,"8-30 d","&gt;30 d"))),IF(AE299&lt;&gt;"",AE299,IF(Z299="NR","NR","")))</f>
        <v/>
      </c>
      <c r="AX299" s="9">
        <f>IF(ISNUMBER(AW299),IF(AW299&gt;450,"Yes","No"),IF(AW299="NR","NR",""))</f>
        <v/>
      </c>
      <c r="BJ299" s="9">
        <f>IF(BB299="","",IF(BB299="Non-viable","Non-viable",IF(BB299="Viable","Viable",IF(BB299="Partially non-viable",IF(OR(BD299="Total splenectomy",BD299="Partial splenectomy +/- splenopexy"),"Non-viable","Review"),IF(BB299="NR",IF(OR(BD299="Total splenectomy",BD299="Partial splenectomy +/- splenopexy"),"NR - removed, check reason","NR"),"Not applicable")))))</f>
        <v/>
      </c>
    </row>
    <row r="300">
      <c r="D300" s="8" t="n"/>
      <c r="E300" s="9">
        <f>IF(B300="","",IF(B300="OWN","Yes","No"))</f>
        <v/>
      </c>
      <c r="AF300" s="9">
        <f>IF(ISNUMBER(Z300),IF(Z300&lt;=2,"&lt;=2 d",IF(Z300&lt;=7,"3-7 d",IF(Z300&lt;=30,"8-30 d","&gt;30 d"))),IF(AE300&lt;&gt;"",AE300,IF(Z300="NR","NR","")))</f>
        <v/>
      </c>
      <c r="AX300" s="9">
        <f>IF(ISNUMBER(AW300),IF(AW300&gt;450,"Yes","No"),IF(AW300="NR","NR",""))</f>
        <v/>
      </c>
      <c r="BJ300" s="9">
        <f>IF(BB300="","",IF(BB300="Non-viable","Non-viable",IF(BB300="Viable","Viable",IF(BB300="Partially non-viable",IF(OR(BD300="Total splenectomy",BD300="Partial splenectomy +/- splenopexy"),"Non-viable","Review"),IF(BB300="NR",IF(OR(BD300="Total splenectomy",BD300="Partial splenectomy +/- splenopexy"),"NR - removed, check reason","NR"),"Not applicable")))))</f>
        <v/>
      </c>
    </row>
    <row r="301">
      <c r="D301" s="8" t="n"/>
      <c r="E301" s="9">
        <f>IF(B301="","",IF(B301="OWN","Yes","No"))</f>
        <v/>
      </c>
      <c r="AF301" s="9">
        <f>IF(ISNUMBER(Z301),IF(Z301&lt;=2,"&lt;=2 d",IF(Z301&lt;=7,"3-7 d",IF(Z301&lt;=30,"8-30 d","&gt;30 d"))),IF(AE301&lt;&gt;"",AE301,IF(Z301="NR","NR","")))</f>
        <v/>
      </c>
      <c r="AX301" s="9">
        <f>IF(ISNUMBER(AW301),IF(AW301&gt;450,"Yes","No"),IF(AW301="NR","NR",""))</f>
        <v/>
      </c>
      <c r="BJ301" s="9">
        <f>IF(BB301="","",IF(BB301="Non-viable","Non-viable",IF(BB301="Viable","Viable",IF(BB301="Partially non-viable",IF(OR(BD301="Total splenectomy",BD301="Partial splenectomy +/- splenopexy"),"Non-viable","Review"),IF(BB301="NR",IF(OR(BD301="Total splenectomy",BD301="Partial splenectomy +/- splenopexy"),"NR - removed, check reason","NR"),"Not applicable")))))</f>
        <v/>
      </c>
    </row>
    <row r="302">
      <c r="D302" s="8" t="n"/>
      <c r="E302" s="9">
        <f>IF(B302="","",IF(B302="OWN","Yes","No"))</f>
        <v/>
      </c>
      <c r="AF302" s="9">
        <f>IF(ISNUMBER(Z302),IF(Z302&lt;=2,"&lt;=2 d",IF(Z302&lt;=7,"3-7 d",IF(Z302&lt;=30,"8-30 d","&gt;30 d"))),IF(AE302&lt;&gt;"",AE302,IF(Z302="NR","NR","")))</f>
        <v/>
      </c>
      <c r="AX302" s="9">
        <f>IF(ISNUMBER(AW302),IF(AW302&gt;450,"Yes","No"),IF(AW302="NR","NR",""))</f>
        <v/>
      </c>
      <c r="BJ302" s="9">
        <f>IF(BB302="","",IF(BB302="Non-viable","Non-viable",IF(BB302="Viable","Viable",IF(BB302="Partially non-viable",IF(OR(BD302="Total splenectomy",BD302="Partial splenectomy +/- splenopexy"),"Non-viable","Review"),IF(BB302="NR",IF(OR(BD302="Total splenectomy",BD302="Partial splenectomy +/- splenopexy"),"NR - removed, check reason","NR"),"Not applicable")))))</f>
        <v/>
      </c>
    </row>
    <row r="303">
      <c r="D303" s="8" t="n"/>
      <c r="E303" s="9">
        <f>IF(B303="","",IF(B303="OWN","Yes","No"))</f>
        <v/>
      </c>
      <c r="AF303" s="9">
        <f>IF(ISNUMBER(Z303),IF(Z303&lt;=2,"&lt;=2 d",IF(Z303&lt;=7,"3-7 d",IF(Z303&lt;=30,"8-30 d","&gt;30 d"))),IF(AE303&lt;&gt;"",AE303,IF(Z303="NR","NR","")))</f>
        <v/>
      </c>
      <c r="AX303" s="9">
        <f>IF(ISNUMBER(AW303),IF(AW303&gt;450,"Yes","No"),IF(AW303="NR","NR",""))</f>
        <v/>
      </c>
      <c r="BJ303" s="9">
        <f>IF(BB303="","",IF(BB303="Non-viable","Non-viable",IF(BB303="Viable","Viable",IF(BB303="Partially non-viable",IF(OR(BD303="Total splenectomy",BD303="Partial splenectomy +/- splenopexy"),"Non-viable","Review"),IF(BB303="NR",IF(OR(BD303="Total splenectomy",BD303="Partial splenectomy +/- splenopexy"),"NR - removed, check reason","NR"),"Not applicable")))))</f>
        <v/>
      </c>
    </row>
    <row r="304">
      <c r="D304" s="8" t="n"/>
      <c r="E304" s="9">
        <f>IF(B304="","",IF(B304="OWN","Yes","No"))</f>
        <v/>
      </c>
      <c r="AF304" s="9">
        <f>IF(ISNUMBER(Z304),IF(Z304&lt;=2,"&lt;=2 d",IF(Z304&lt;=7,"3-7 d",IF(Z304&lt;=30,"8-30 d","&gt;30 d"))),IF(AE304&lt;&gt;"",AE304,IF(Z304="NR","NR","")))</f>
        <v/>
      </c>
      <c r="AX304" s="9">
        <f>IF(ISNUMBER(AW304),IF(AW304&gt;450,"Yes","No"),IF(AW304="NR","NR",""))</f>
        <v/>
      </c>
      <c r="BJ304" s="9">
        <f>IF(BB304="","",IF(BB304="Non-viable","Non-viable",IF(BB304="Viable","Viable",IF(BB304="Partially non-viable",IF(OR(BD304="Total splenectomy",BD304="Partial splenectomy +/- splenopexy"),"Non-viable","Review"),IF(BB304="NR",IF(OR(BD304="Total splenectomy",BD304="Partial splenectomy +/- splenopexy"),"NR - removed, check reason","NR"),"Not applicable")))))</f>
        <v/>
      </c>
    </row>
    <row r="305">
      <c r="D305" s="8" t="n"/>
      <c r="E305" s="9">
        <f>IF(B305="","",IF(B305="OWN","Yes","No"))</f>
        <v/>
      </c>
      <c r="AF305" s="9">
        <f>IF(ISNUMBER(Z305),IF(Z305&lt;=2,"&lt;=2 d",IF(Z305&lt;=7,"3-7 d",IF(Z305&lt;=30,"8-30 d","&gt;30 d"))),IF(AE305&lt;&gt;"",AE305,IF(Z305="NR","NR","")))</f>
        <v/>
      </c>
      <c r="AX305" s="9">
        <f>IF(ISNUMBER(AW305),IF(AW305&gt;450,"Yes","No"),IF(AW305="NR","NR",""))</f>
        <v/>
      </c>
      <c r="BJ305" s="9">
        <f>IF(BB305="","",IF(BB305="Non-viable","Non-viable",IF(BB305="Viable","Viable",IF(BB305="Partially non-viable",IF(OR(BD305="Total splenectomy",BD305="Partial splenectomy +/- splenopexy"),"Non-viable","Review"),IF(BB305="NR",IF(OR(BD305="Total splenectomy",BD305="Partial splenectomy +/- splenopexy"),"NR - removed, check reason","NR"),"Not applicable")))))</f>
        <v/>
      </c>
    </row>
    <row r="306">
      <c r="D306" s="8" t="n"/>
      <c r="E306" s="9">
        <f>IF(B306="","",IF(B306="OWN","Yes","No"))</f>
        <v/>
      </c>
      <c r="AF306" s="9">
        <f>IF(ISNUMBER(Z306),IF(Z306&lt;=2,"&lt;=2 d",IF(Z306&lt;=7,"3-7 d",IF(Z306&lt;=30,"8-30 d","&gt;30 d"))),IF(AE306&lt;&gt;"",AE306,IF(Z306="NR","NR","")))</f>
        <v/>
      </c>
      <c r="AX306" s="9">
        <f>IF(ISNUMBER(AW306),IF(AW306&gt;450,"Yes","No"),IF(AW306="NR","NR",""))</f>
        <v/>
      </c>
      <c r="BJ306" s="9">
        <f>IF(BB306="","",IF(BB306="Non-viable","Non-viable",IF(BB306="Viable","Viable",IF(BB306="Partially non-viable",IF(OR(BD306="Total splenectomy",BD306="Partial splenectomy +/- splenopexy"),"Non-viable","Review"),IF(BB306="NR",IF(OR(BD306="Total splenectomy",BD306="Partial splenectomy +/- splenopexy"),"NR - removed, check reason","NR"),"Not applicable")))))</f>
        <v/>
      </c>
    </row>
    <row r="307">
      <c r="D307" s="8" t="n"/>
      <c r="E307" s="9">
        <f>IF(B307="","",IF(B307="OWN","Yes","No"))</f>
        <v/>
      </c>
      <c r="AF307" s="9">
        <f>IF(ISNUMBER(Z307),IF(Z307&lt;=2,"&lt;=2 d",IF(Z307&lt;=7,"3-7 d",IF(Z307&lt;=30,"8-30 d","&gt;30 d"))),IF(AE307&lt;&gt;"",AE307,IF(Z307="NR","NR","")))</f>
        <v/>
      </c>
      <c r="AX307" s="9">
        <f>IF(ISNUMBER(AW307),IF(AW307&gt;450,"Yes","No"),IF(AW307="NR","NR",""))</f>
        <v/>
      </c>
      <c r="BJ307" s="9">
        <f>IF(BB307="","",IF(BB307="Non-viable","Non-viable",IF(BB307="Viable","Viable",IF(BB307="Partially non-viable",IF(OR(BD307="Total splenectomy",BD307="Partial splenectomy +/- splenopexy"),"Non-viable","Review"),IF(BB307="NR",IF(OR(BD307="Total splenectomy",BD307="Partial splenectomy +/- splenopexy"),"NR - removed, check reason","NR"),"Not applicable")))))</f>
        <v/>
      </c>
    </row>
    <row r="308">
      <c r="D308" s="8" t="n"/>
      <c r="E308" s="9">
        <f>IF(B308="","",IF(B308="OWN","Yes","No"))</f>
        <v/>
      </c>
      <c r="AF308" s="9">
        <f>IF(ISNUMBER(Z308),IF(Z308&lt;=2,"&lt;=2 d",IF(Z308&lt;=7,"3-7 d",IF(Z308&lt;=30,"8-30 d","&gt;30 d"))),IF(AE308&lt;&gt;"",AE308,IF(Z308="NR","NR","")))</f>
        <v/>
      </c>
      <c r="AX308" s="9">
        <f>IF(ISNUMBER(AW308),IF(AW308&gt;450,"Yes","No"),IF(AW308="NR","NR",""))</f>
        <v/>
      </c>
      <c r="BJ308" s="9">
        <f>IF(BB308="","",IF(BB308="Non-viable","Non-viable",IF(BB308="Viable","Viable",IF(BB308="Partially non-viable",IF(OR(BD308="Total splenectomy",BD308="Partial splenectomy +/- splenopexy"),"Non-viable","Review"),IF(BB308="NR",IF(OR(BD308="Total splenectomy",BD308="Partial splenectomy +/- splenopexy"),"NR - removed, check reason","NR"),"Not applicable")))))</f>
        <v/>
      </c>
    </row>
    <row r="309">
      <c r="D309" s="8" t="n"/>
      <c r="E309" s="9">
        <f>IF(B309="","",IF(B309="OWN","Yes","No"))</f>
        <v/>
      </c>
      <c r="AF309" s="9">
        <f>IF(ISNUMBER(Z309),IF(Z309&lt;=2,"&lt;=2 d",IF(Z309&lt;=7,"3-7 d",IF(Z309&lt;=30,"8-30 d","&gt;30 d"))),IF(AE309&lt;&gt;"",AE309,IF(Z309="NR","NR","")))</f>
        <v/>
      </c>
      <c r="AX309" s="9">
        <f>IF(ISNUMBER(AW309),IF(AW309&gt;450,"Yes","No"),IF(AW309="NR","NR",""))</f>
        <v/>
      </c>
      <c r="BJ309" s="9">
        <f>IF(BB309="","",IF(BB309="Non-viable","Non-viable",IF(BB309="Viable","Viable",IF(BB309="Partially non-viable",IF(OR(BD309="Total splenectomy",BD309="Partial splenectomy +/- splenopexy"),"Non-viable","Review"),IF(BB309="NR",IF(OR(BD309="Total splenectomy",BD309="Partial splenectomy +/- splenopexy"),"NR - removed, check reason","NR"),"Not applicable")))))</f>
        <v/>
      </c>
    </row>
    <row r="310">
      <c r="D310" s="8" t="n"/>
      <c r="E310" s="9">
        <f>IF(B310="","",IF(B310="OWN","Yes","No"))</f>
        <v/>
      </c>
      <c r="AF310" s="9">
        <f>IF(ISNUMBER(Z310),IF(Z310&lt;=2,"&lt;=2 d",IF(Z310&lt;=7,"3-7 d",IF(Z310&lt;=30,"8-30 d","&gt;30 d"))),IF(AE310&lt;&gt;"",AE310,IF(Z310="NR","NR","")))</f>
        <v/>
      </c>
      <c r="AX310" s="9">
        <f>IF(ISNUMBER(AW310),IF(AW310&gt;450,"Yes","No"),IF(AW310="NR","NR",""))</f>
        <v/>
      </c>
      <c r="BJ310" s="9">
        <f>IF(BB310="","",IF(BB310="Non-viable","Non-viable",IF(BB310="Viable","Viable",IF(BB310="Partially non-viable",IF(OR(BD310="Total splenectomy",BD310="Partial splenectomy +/- splenopexy"),"Non-viable","Review"),IF(BB310="NR",IF(OR(BD310="Total splenectomy",BD310="Partial splenectomy +/- splenopexy"),"NR - removed, check reason","NR"),"Not applicable")))))</f>
        <v/>
      </c>
    </row>
    <row r="311">
      <c r="D311" s="8" t="n"/>
      <c r="E311" s="9">
        <f>IF(B311="","",IF(B311="OWN","Yes","No"))</f>
        <v/>
      </c>
      <c r="AF311" s="9">
        <f>IF(ISNUMBER(Z311),IF(Z311&lt;=2,"&lt;=2 d",IF(Z311&lt;=7,"3-7 d",IF(Z311&lt;=30,"8-30 d","&gt;30 d"))),IF(AE311&lt;&gt;"",AE311,IF(Z311="NR","NR","")))</f>
        <v/>
      </c>
      <c r="AX311" s="9">
        <f>IF(ISNUMBER(AW311),IF(AW311&gt;450,"Yes","No"),IF(AW311="NR","NR",""))</f>
        <v/>
      </c>
      <c r="BJ311" s="9">
        <f>IF(BB311="","",IF(BB311="Non-viable","Non-viable",IF(BB311="Viable","Viable",IF(BB311="Partially non-viable",IF(OR(BD311="Total splenectomy",BD311="Partial splenectomy +/- splenopexy"),"Non-viable","Review"),IF(BB311="NR",IF(OR(BD311="Total splenectomy",BD311="Partial splenectomy +/- splenopexy"),"NR - removed, check reason","NR"),"Not applicable")))))</f>
        <v/>
      </c>
    </row>
    <row r="312">
      <c r="D312" s="8" t="n"/>
      <c r="E312" s="9">
        <f>IF(B312="","",IF(B312="OWN","Yes","No"))</f>
        <v/>
      </c>
      <c r="AF312" s="9">
        <f>IF(ISNUMBER(Z312),IF(Z312&lt;=2,"&lt;=2 d",IF(Z312&lt;=7,"3-7 d",IF(Z312&lt;=30,"8-30 d","&gt;30 d"))),IF(AE312&lt;&gt;"",AE312,IF(Z312="NR","NR","")))</f>
        <v/>
      </c>
      <c r="AX312" s="9">
        <f>IF(ISNUMBER(AW312),IF(AW312&gt;450,"Yes","No"),IF(AW312="NR","NR",""))</f>
        <v/>
      </c>
      <c r="BJ312" s="9">
        <f>IF(BB312="","",IF(BB312="Non-viable","Non-viable",IF(BB312="Viable","Viable",IF(BB312="Partially non-viable",IF(OR(BD312="Total splenectomy",BD312="Partial splenectomy +/- splenopexy"),"Non-viable","Review"),IF(BB312="NR",IF(OR(BD312="Total splenectomy",BD312="Partial splenectomy +/- splenopexy"),"NR - removed, check reason","NR"),"Not applicable")))))</f>
        <v/>
      </c>
    </row>
    <row r="313">
      <c r="D313" s="8" t="n"/>
      <c r="E313" s="9">
        <f>IF(B313="","",IF(B313="OWN","Yes","No"))</f>
        <v/>
      </c>
      <c r="AF313" s="9">
        <f>IF(ISNUMBER(Z313),IF(Z313&lt;=2,"&lt;=2 d",IF(Z313&lt;=7,"3-7 d",IF(Z313&lt;=30,"8-30 d","&gt;30 d"))),IF(AE313&lt;&gt;"",AE313,IF(Z313="NR","NR","")))</f>
        <v/>
      </c>
      <c r="AX313" s="9">
        <f>IF(ISNUMBER(AW313),IF(AW313&gt;450,"Yes","No"),IF(AW313="NR","NR",""))</f>
        <v/>
      </c>
      <c r="BJ313" s="9">
        <f>IF(BB313="","",IF(BB313="Non-viable","Non-viable",IF(BB313="Viable","Viable",IF(BB313="Partially non-viable",IF(OR(BD313="Total splenectomy",BD313="Partial splenectomy +/- splenopexy"),"Non-viable","Review"),IF(BB313="NR",IF(OR(BD313="Total splenectomy",BD313="Partial splenectomy +/- splenopexy"),"NR - removed, check reason","NR"),"Not applicable")))))</f>
        <v/>
      </c>
    </row>
    <row r="314">
      <c r="D314" s="8" t="n"/>
      <c r="E314" s="9">
        <f>IF(B314="","",IF(B314="OWN","Yes","No"))</f>
        <v/>
      </c>
      <c r="AF314" s="9">
        <f>IF(ISNUMBER(Z314),IF(Z314&lt;=2,"&lt;=2 d",IF(Z314&lt;=7,"3-7 d",IF(Z314&lt;=30,"8-30 d","&gt;30 d"))),IF(AE314&lt;&gt;"",AE314,IF(Z314="NR","NR","")))</f>
        <v/>
      </c>
      <c r="AX314" s="9">
        <f>IF(ISNUMBER(AW314),IF(AW314&gt;450,"Yes","No"),IF(AW314="NR","NR",""))</f>
        <v/>
      </c>
      <c r="BJ314" s="9">
        <f>IF(BB314="","",IF(BB314="Non-viable","Non-viable",IF(BB314="Viable","Viable",IF(BB314="Partially non-viable",IF(OR(BD314="Total splenectomy",BD314="Partial splenectomy +/- splenopexy"),"Non-viable","Review"),IF(BB314="NR",IF(OR(BD314="Total splenectomy",BD314="Partial splenectomy +/- splenopexy"),"NR - removed, check reason","NR"),"Not applicable")))))</f>
        <v/>
      </c>
    </row>
    <row r="315">
      <c r="D315" s="8" t="n"/>
      <c r="E315" s="9">
        <f>IF(B315="","",IF(B315="OWN","Yes","No"))</f>
        <v/>
      </c>
      <c r="AF315" s="9">
        <f>IF(ISNUMBER(Z315),IF(Z315&lt;=2,"&lt;=2 d",IF(Z315&lt;=7,"3-7 d",IF(Z315&lt;=30,"8-30 d","&gt;30 d"))),IF(AE315&lt;&gt;"",AE315,IF(Z315="NR","NR","")))</f>
        <v/>
      </c>
      <c r="AX315" s="9">
        <f>IF(ISNUMBER(AW315),IF(AW315&gt;450,"Yes","No"),IF(AW315="NR","NR",""))</f>
        <v/>
      </c>
      <c r="BJ315" s="9">
        <f>IF(BB315="","",IF(BB315="Non-viable","Non-viable",IF(BB315="Viable","Viable",IF(BB315="Partially non-viable",IF(OR(BD315="Total splenectomy",BD315="Partial splenectomy +/- splenopexy"),"Non-viable","Review"),IF(BB315="NR",IF(OR(BD315="Total splenectomy",BD315="Partial splenectomy +/- splenopexy"),"NR - removed, check reason","NR"),"Not applicable")))))</f>
        <v/>
      </c>
    </row>
    <row r="316">
      <c r="D316" s="8" t="n"/>
      <c r="E316" s="9">
        <f>IF(B316="","",IF(B316="OWN","Yes","No"))</f>
        <v/>
      </c>
      <c r="AF316" s="9">
        <f>IF(ISNUMBER(Z316),IF(Z316&lt;=2,"&lt;=2 d",IF(Z316&lt;=7,"3-7 d",IF(Z316&lt;=30,"8-30 d","&gt;30 d"))),IF(AE316&lt;&gt;"",AE316,IF(Z316="NR","NR","")))</f>
        <v/>
      </c>
      <c r="AX316" s="9">
        <f>IF(ISNUMBER(AW316),IF(AW316&gt;450,"Yes","No"),IF(AW316="NR","NR",""))</f>
        <v/>
      </c>
      <c r="BJ316" s="9">
        <f>IF(BB316="","",IF(BB316="Non-viable","Non-viable",IF(BB316="Viable","Viable",IF(BB316="Partially non-viable",IF(OR(BD316="Total splenectomy",BD316="Partial splenectomy +/- splenopexy"),"Non-viable","Review"),IF(BB316="NR",IF(OR(BD316="Total splenectomy",BD316="Partial splenectomy +/- splenopexy"),"NR - removed, check reason","NR"),"Not applicable")))))</f>
        <v/>
      </c>
    </row>
    <row r="317">
      <c r="D317" s="8" t="n"/>
      <c r="E317" s="9">
        <f>IF(B317="","",IF(B317="OWN","Yes","No"))</f>
        <v/>
      </c>
      <c r="AF317" s="9">
        <f>IF(ISNUMBER(Z317),IF(Z317&lt;=2,"&lt;=2 d",IF(Z317&lt;=7,"3-7 d",IF(Z317&lt;=30,"8-30 d","&gt;30 d"))),IF(AE317&lt;&gt;"",AE317,IF(Z317="NR","NR","")))</f>
        <v/>
      </c>
      <c r="AX317" s="9">
        <f>IF(ISNUMBER(AW317),IF(AW317&gt;450,"Yes","No"),IF(AW317="NR","NR",""))</f>
        <v/>
      </c>
      <c r="BJ317" s="9">
        <f>IF(BB317="","",IF(BB317="Non-viable","Non-viable",IF(BB317="Viable","Viable",IF(BB317="Partially non-viable",IF(OR(BD317="Total splenectomy",BD317="Partial splenectomy +/- splenopexy"),"Non-viable","Review"),IF(BB317="NR",IF(OR(BD317="Total splenectomy",BD317="Partial splenectomy +/- splenopexy"),"NR - removed, check reason","NR"),"Not applicable")))))</f>
        <v/>
      </c>
    </row>
    <row r="318">
      <c r="D318" s="8" t="n"/>
      <c r="E318" s="9">
        <f>IF(B318="","",IF(B318="OWN","Yes","No"))</f>
        <v/>
      </c>
      <c r="AF318" s="9">
        <f>IF(ISNUMBER(Z318),IF(Z318&lt;=2,"&lt;=2 d",IF(Z318&lt;=7,"3-7 d",IF(Z318&lt;=30,"8-30 d","&gt;30 d"))),IF(AE318&lt;&gt;"",AE318,IF(Z318="NR","NR","")))</f>
        <v/>
      </c>
      <c r="AX318" s="9">
        <f>IF(ISNUMBER(AW318),IF(AW318&gt;450,"Yes","No"),IF(AW318="NR","NR",""))</f>
        <v/>
      </c>
      <c r="BJ318" s="9">
        <f>IF(BB318="","",IF(BB318="Non-viable","Non-viable",IF(BB318="Viable","Viable",IF(BB318="Partially non-viable",IF(OR(BD318="Total splenectomy",BD318="Partial splenectomy +/- splenopexy"),"Non-viable","Review"),IF(BB318="NR",IF(OR(BD318="Total splenectomy",BD318="Partial splenectomy +/- splenopexy"),"NR - removed, check reason","NR"),"Not applicable")))))</f>
        <v/>
      </c>
    </row>
    <row r="319">
      <c r="D319" s="8" t="n"/>
      <c r="E319" s="9">
        <f>IF(B319="","",IF(B319="OWN","Yes","No"))</f>
        <v/>
      </c>
      <c r="AF319" s="9">
        <f>IF(ISNUMBER(Z319),IF(Z319&lt;=2,"&lt;=2 d",IF(Z319&lt;=7,"3-7 d",IF(Z319&lt;=30,"8-30 d","&gt;30 d"))),IF(AE319&lt;&gt;"",AE319,IF(Z319="NR","NR","")))</f>
        <v/>
      </c>
      <c r="AX319" s="9">
        <f>IF(ISNUMBER(AW319),IF(AW319&gt;450,"Yes","No"),IF(AW319="NR","NR",""))</f>
        <v/>
      </c>
      <c r="BJ319" s="9">
        <f>IF(BB319="","",IF(BB319="Non-viable","Non-viable",IF(BB319="Viable","Viable",IF(BB319="Partially non-viable",IF(OR(BD319="Total splenectomy",BD319="Partial splenectomy +/- splenopexy"),"Non-viable","Review"),IF(BB319="NR",IF(OR(BD319="Total splenectomy",BD319="Partial splenectomy +/- splenopexy"),"NR - removed, check reason","NR"),"Not applicable")))))</f>
        <v/>
      </c>
    </row>
    <row r="320">
      <c r="D320" s="8" t="n"/>
      <c r="E320" s="9">
        <f>IF(B320="","",IF(B320="OWN","Yes","No"))</f>
        <v/>
      </c>
      <c r="AF320" s="9">
        <f>IF(ISNUMBER(Z320),IF(Z320&lt;=2,"&lt;=2 d",IF(Z320&lt;=7,"3-7 d",IF(Z320&lt;=30,"8-30 d","&gt;30 d"))),IF(AE320&lt;&gt;"",AE320,IF(Z320="NR","NR","")))</f>
        <v/>
      </c>
      <c r="AX320" s="9">
        <f>IF(ISNUMBER(AW320),IF(AW320&gt;450,"Yes","No"),IF(AW320="NR","NR",""))</f>
        <v/>
      </c>
      <c r="BJ320" s="9">
        <f>IF(BB320="","",IF(BB320="Non-viable","Non-viable",IF(BB320="Viable","Viable",IF(BB320="Partially non-viable",IF(OR(BD320="Total splenectomy",BD320="Partial splenectomy +/- splenopexy"),"Non-viable","Review"),IF(BB320="NR",IF(OR(BD320="Total splenectomy",BD320="Partial splenectomy +/- splenopexy"),"NR - removed, check reason","NR"),"Not applicable")))))</f>
        <v/>
      </c>
    </row>
    <row r="321">
      <c r="D321" s="8" t="n"/>
      <c r="E321" s="9">
        <f>IF(B321="","",IF(B321="OWN","Yes","No"))</f>
        <v/>
      </c>
      <c r="AF321" s="9">
        <f>IF(ISNUMBER(Z321),IF(Z321&lt;=2,"&lt;=2 d",IF(Z321&lt;=7,"3-7 d",IF(Z321&lt;=30,"8-30 d","&gt;30 d"))),IF(AE321&lt;&gt;"",AE321,IF(Z321="NR","NR","")))</f>
        <v/>
      </c>
      <c r="AX321" s="9">
        <f>IF(ISNUMBER(AW321),IF(AW321&gt;450,"Yes","No"),IF(AW321="NR","NR",""))</f>
        <v/>
      </c>
      <c r="BJ321" s="9">
        <f>IF(BB321="","",IF(BB321="Non-viable","Non-viable",IF(BB321="Viable","Viable",IF(BB321="Partially non-viable",IF(OR(BD321="Total splenectomy",BD321="Partial splenectomy +/- splenopexy"),"Non-viable","Review"),IF(BB321="NR",IF(OR(BD321="Total splenectomy",BD321="Partial splenectomy +/- splenopexy"),"NR - removed, check reason","NR"),"Not applicable")))))</f>
        <v/>
      </c>
    </row>
    <row r="322">
      <c r="D322" s="8" t="n"/>
      <c r="E322" s="9">
        <f>IF(B322="","",IF(B322="OWN","Yes","No"))</f>
        <v/>
      </c>
      <c r="AF322" s="9">
        <f>IF(ISNUMBER(Z322),IF(Z322&lt;=2,"&lt;=2 d",IF(Z322&lt;=7,"3-7 d",IF(Z322&lt;=30,"8-30 d","&gt;30 d"))),IF(AE322&lt;&gt;"",AE322,IF(Z322="NR","NR","")))</f>
        <v/>
      </c>
      <c r="AX322" s="9">
        <f>IF(ISNUMBER(AW322),IF(AW322&gt;450,"Yes","No"),IF(AW322="NR","NR",""))</f>
        <v/>
      </c>
      <c r="BJ322" s="9">
        <f>IF(BB322="","",IF(BB322="Non-viable","Non-viable",IF(BB322="Viable","Viable",IF(BB322="Partially non-viable",IF(OR(BD322="Total splenectomy",BD322="Partial splenectomy +/- splenopexy"),"Non-viable","Review"),IF(BB322="NR",IF(OR(BD322="Total splenectomy",BD322="Partial splenectomy +/- splenopexy"),"NR - removed, check reason","NR"),"Not applicable")))))</f>
        <v/>
      </c>
    </row>
    <row r="323">
      <c r="D323" s="8" t="n"/>
      <c r="E323" s="9">
        <f>IF(B323="","",IF(B323="OWN","Yes","No"))</f>
        <v/>
      </c>
      <c r="AF323" s="9">
        <f>IF(ISNUMBER(Z323),IF(Z323&lt;=2,"&lt;=2 d",IF(Z323&lt;=7,"3-7 d",IF(Z323&lt;=30,"8-30 d","&gt;30 d"))),IF(AE323&lt;&gt;"",AE323,IF(Z323="NR","NR","")))</f>
        <v/>
      </c>
      <c r="AX323" s="9">
        <f>IF(ISNUMBER(AW323),IF(AW323&gt;450,"Yes","No"),IF(AW323="NR","NR",""))</f>
        <v/>
      </c>
      <c r="BJ323" s="9">
        <f>IF(BB323="","",IF(BB323="Non-viable","Non-viable",IF(BB323="Viable","Viable",IF(BB323="Partially non-viable",IF(OR(BD323="Total splenectomy",BD323="Partial splenectomy +/- splenopexy"),"Non-viable","Review"),IF(BB323="NR",IF(OR(BD323="Total splenectomy",BD323="Partial splenectomy +/- splenopexy"),"NR - removed, check reason","NR"),"Not applicable")))))</f>
        <v/>
      </c>
    </row>
    <row r="324">
      <c r="D324" s="8" t="n"/>
      <c r="E324" s="9">
        <f>IF(B324="","",IF(B324="OWN","Yes","No"))</f>
        <v/>
      </c>
      <c r="AF324" s="9">
        <f>IF(ISNUMBER(Z324),IF(Z324&lt;=2,"&lt;=2 d",IF(Z324&lt;=7,"3-7 d",IF(Z324&lt;=30,"8-30 d","&gt;30 d"))),IF(AE324&lt;&gt;"",AE324,IF(Z324="NR","NR","")))</f>
        <v/>
      </c>
      <c r="AX324" s="9">
        <f>IF(ISNUMBER(AW324),IF(AW324&gt;450,"Yes","No"),IF(AW324="NR","NR",""))</f>
        <v/>
      </c>
      <c r="BJ324" s="9">
        <f>IF(BB324="","",IF(BB324="Non-viable","Non-viable",IF(BB324="Viable","Viable",IF(BB324="Partially non-viable",IF(OR(BD324="Total splenectomy",BD324="Partial splenectomy +/- splenopexy"),"Non-viable","Review"),IF(BB324="NR",IF(OR(BD324="Total splenectomy",BD324="Partial splenectomy +/- splenopexy"),"NR - removed, check reason","NR"),"Not applicable")))))</f>
        <v/>
      </c>
    </row>
    <row r="325">
      <c r="D325" s="8" t="n"/>
      <c r="E325" s="9">
        <f>IF(B325="","",IF(B325="OWN","Yes","No"))</f>
        <v/>
      </c>
      <c r="AF325" s="9">
        <f>IF(ISNUMBER(Z325),IF(Z325&lt;=2,"&lt;=2 d",IF(Z325&lt;=7,"3-7 d",IF(Z325&lt;=30,"8-30 d","&gt;30 d"))),IF(AE325&lt;&gt;"",AE325,IF(Z325="NR","NR","")))</f>
        <v/>
      </c>
      <c r="AX325" s="9">
        <f>IF(ISNUMBER(AW325),IF(AW325&gt;450,"Yes","No"),IF(AW325="NR","NR",""))</f>
        <v/>
      </c>
      <c r="BJ325" s="9">
        <f>IF(BB325="","",IF(BB325="Non-viable","Non-viable",IF(BB325="Viable","Viable",IF(BB325="Partially non-viable",IF(OR(BD325="Total splenectomy",BD325="Partial splenectomy +/- splenopexy"),"Non-viable","Review"),IF(BB325="NR",IF(OR(BD325="Total splenectomy",BD325="Partial splenectomy +/- splenopexy"),"NR - removed, check reason","NR"),"Not applicable")))))</f>
        <v/>
      </c>
    </row>
    <row r="326">
      <c r="D326" s="8" t="n"/>
      <c r="E326" s="9">
        <f>IF(B326="","",IF(B326="OWN","Yes","No"))</f>
        <v/>
      </c>
      <c r="AF326" s="9">
        <f>IF(ISNUMBER(Z326),IF(Z326&lt;=2,"&lt;=2 d",IF(Z326&lt;=7,"3-7 d",IF(Z326&lt;=30,"8-30 d","&gt;30 d"))),IF(AE326&lt;&gt;"",AE326,IF(Z326="NR","NR","")))</f>
        <v/>
      </c>
      <c r="AX326" s="9">
        <f>IF(ISNUMBER(AW326),IF(AW326&gt;450,"Yes","No"),IF(AW326="NR","NR",""))</f>
        <v/>
      </c>
      <c r="BJ326" s="9">
        <f>IF(BB326="","",IF(BB326="Non-viable","Non-viable",IF(BB326="Viable","Viable",IF(BB326="Partially non-viable",IF(OR(BD326="Total splenectomy",BD326="Partial splenectomy +/- splenopexy"),"Non-viable","Review"),IF(BB326="NR",IF(OR(BD326="Total splenectomy",BD326="Partial splenectomy +/- splenopexy"),"NR - removed, check reason","NR"),"Not applicable")))))</f>
        <v/>
      </c>
    </row>
    <row r="327">
      <c r="D327" s="8" t="n"/>
      <c r="E327" s="9">
        <f>IF(B327="","",IF(B327="OWN","Yes","No"))</f>
        <v/>
      </c>
      <c r="AF327" s="9">
        <f>IF(ISNUMBER(Z327),IF(Z327&lt;=2,"&lt;=2 d",IF(Z327&lt;=7,"3-7 d",IF(Z327&lt;=30,"8-30 d","&gt;30 d"))),IF(AE327&lt;&gt;"",AE327,IF(Z327="NR","NR","")))</f>
        <v/>
      </c>
      <c r="AX327" s="9">
        <f>IF(ISNUMBER(AW327),IF(AW327&gt;450,"Yes","No"),IF(AW327="NR","NR",""))</f>
        <v/>
      </c>
      <c r="BJ327" s="9">
        <f>IF(BB327="","",IF(BB327="Non-viable","Non-viable",IF(BB327="Viable","Viable",IF(BB327="Partially non-viable",IF(OR(BD327="Total splenectomy",BD327="Partial splenectomy +/- splenopexy"),"Non-viable","Review"),IF(BB327="NR",IF(OR(BD327="Total splenectomy",BD327="Partial splenectomy +/- splenopexy"),"NR - removed, check reason","NR"),"Not applicable")))))</f>
        <v/>
      </c>
    </row>
    <row r="328">
      <c r="D328" s="8" t="n"/>
      <c r="E328" s="9">
        <f>IF(B328="","",IF(B328="OWN","Yes","No"))</f>
        <v/>
      </c>
      <c r="AF328" s="9">
        <f>IF(ISNUMBER(Z328),IF(Z328&lt;=2,"&lt;=2 d",IF(Z328&lt;=7,"3-7 d",IF(Z328&lt;=30,"8-30 d","&gt;30 d"))),IF(AE328&lt;&gt;"",AE328,IF(Z328="NR","NR","")))</f>
        <v/>
      </c>
      <c r="AX328" s="9">
        <f>IF(ISNUMBER(AW328),IF(AW328&gt;450,"Yes","No"),IF(AW328="NR","NR",""))</f>
        <v/>
      </c>
      <c r="BJ328" s="9">
        <f>IF(BB328="","",IF(BB328="Non-viable","Non-viable",IF(BB328="Viable","Viable",IF(BB328="Partially non-viable",IF(OR(BD328="Total splenectomy",BD328="Partial splenectomy +/- splenopexy"),"Non-viable","Review"),IF(BB328="NR",IF(OR(BD328="Total splenectomy",BD328="Partial splenectomy +/- splenopexy"),"NR - removed, check reason","NR"),"Not applicable")))))</f>
        <v/>
      </c>
    </row>
    <row r="329">
      <c r="D329" s="8" t="n"/>
      <c r="E329" s="9">
        <f>IF(B329="","",IF(B329="OWN","Yes","No"))</f>
        <v/>
      </c>
      <c r="AF329" s="9">
        <f>IF(ISNUMBER(Z329),IF(Z329&lt;=2,"&lt;=2 d",IF(Z329&lt;=7,"3-7 d",IF(Z329&lt;=30,"8-30 d","&gt;30 d"))),IF(AE329&lt;&gt;"",AE329,IF(Z329="NR","NR","")))</f>
        <v/>
      </c>
      <c r="AX329" s="9">
        <f>IF(ISNUMBER(AW329),IF(AW329&gt;450,"Yes","No"),IF(AW329="NR","NR",""))</f>
        <v/>
      </c>
      <c r="BJ329" s="9">
        <f>IF(BB329="","",IF(BB329="Non-viable","Non-viable",IF(BB329="Viable","Viable",IF(BB329="Partially non-viable",IF(OR(BD329="Total splenectomy",BD329="Partial splenectomy +/- splenopexy"),"Non-viable","Review"),IF(BB329="NR",IF(OR(BD329="Total splenectomy",BD329="Partial splenectomy +/- splenopexy"),"NR - removed, check reason","NR"),"Not applicable")))))</f>
        <v/>
      </c>
    </row>
    <row r="330">
      <c r="D330" s="8" t="n"/>
      <c r="E330" s="9">
        <f>IF(B330="","",IF(B330="OWN","Yes","No"))</f>
        <v/>
      </c>
      <c r="AF330" s="9">
        <f>IF(ISNUMBER(Z330),IF(Z330&lt;=2,"&lt;=2 d",IF(Z330&lt;=7,"3-7 d",IF(Z330&lt;=30,"8-30 d","&gt;30 d"))),IF(AE330&lt;&gt;"",AE330,IF(Z330="NR","NR","")))</f>
        <v/>
      </c>
      <c r="AX330" s="9">
        <f>IF(ISNUMBER(AW330),IF(AW330&gt;450,"Yes","No"),IF(AW330="NR","NR",""))</f>
        <v/>
      </c>
      <c r="BJ330" s="9">
        <f>IF(BB330="","",IF(BB330="Non-viable","Non-viable",IF(BB330="Viable","Viable",IF(BB330="Partially non-viable",IF(OR(BD330="Total splenectomy",BD330="Partial splenectomy +/- splenopexy"),"Non-viable","Review"),IF(BB330="NR",IF(OR(BD330="Total splenectomy",BD330="Partial splenectomy +/- splenopexy"),"NR - removed, check reason","NR"),"Not applicable")))))</f>
        <v/>
      </c>
    </row>
    <row r="331">
      <c r="D331" s="8" t="n"/>
      <c r="E331" s="9">
        <f>IF(B331="","",IF(B331="OWN","Yes","No"))</f>
        <v/>
      </c>
      <c r="AF331" s="9">
        <f>IF(ISNUMBER(Z331),IF(Z331&lt;=2,"&lt;=2 d",IF(Z331&lt;=7,"3-7 d",IF(Z331&lt;=30,"8-30 d","&gt;30 d"))),IF(AE331&lt;&gt;"",AE331,IF(Z331="NR","NR","")))</f>
        <v/>
      </c>
      <c r="AX331" s="9">
        <f>IF(ISNUMBER(AW331),IF(AW331&gt;450,"Yes","No"),IF(AW331="NR","NR",""))</f>
        <v/>
      </c>
      <c r="BJ331" s="9">
        <f>IF(BB331="","",IF(BB331="Non-viable","Non-viable",IF(BB331="Viable","Viable",IF(BB331="Partially non-viable",IF(OR(BD331="Total splenectomy",BD331="Partial splenectomy +/- splenopexy"),"Non-viable","Review"),IF(BB331="NR",IF(OR(BD331="Total splenectomy",BD331="Partial splenectomy +/- splenopexy"),"NR - removed, check reason","NR"),"Not applicable")))))</f>
        <v/>
      </c>
    </row>
    <row r="332">
      <c r="D332" s="8" t="n"/>
      <c r="E332" s="9">
        <f>IF(B332="","",IF(B332="OWN","Yes","No"))</f>
        <v/>
      </c>
      <c r="AF332" s="9">
        <f>IF(ISNUMBER(Z332),IF(Z332&lt;=2,"&lt;=2 d",IF(Z332&lt;=7,"3-7 d",IF(Z332&lt;=30,"8-30 d","&gt;30 d"))),IF(AE332&lt;&gt;"",AE332,IF(Z332="NR","NR","")))</f>
        <v/>
      </c>
      <c r="AX332" s="9">
        <f>IF(ISNUMBER(AW332),IF(AW332&gt;450,"Yes","No"),IF(AW332="NR","NR",""))</f>
        <v/>
      </c>
      <c r="BJ332" s="9">
        <f>IF(BB332="","",IF(BB332="Non-viable","Non-viable",IF(BB332="Viable","Viable",IF(BB332="Partially non-viable",IF(OR(BD332="Total splenectomy",BD332="Partial splenectomy +/- splenopexy"),"Non-viable","Review"),IF(BB332="NR",IF(OR(BD332="Total splenectomy",BD332="Partial splenectomy +/- splenopexy"),"NR - removed, check reason","NR"),"Not applicable")))))</f>
        <v/>
      </c>
    </row>
    <row r="333">
      <c r="D333" s="8" t="n"/>
      <c r="E333" s="9">
        <f>IF(B333="","",IF(B333="OWN","Yes","No"))</f>
        <v/>
      </c>
      <c r="AF333" s="9">
        <f>IF(ISNUMBER(Z333),IF(Z333&lt;=2,"&lt;=2 d",IF(Z333&lt;=7,"3-7 d",IF(Z333&lt;=30,"8-30 d","&gt;30 d"))),IF(AE333&lt;&gt;"",AE333,IF(Z333="NR","NR","")))</f>
        <v/>
      </c>
      <c r="AX333" s="9">
        <f>IF(ISNUMBER(AW333),IF(AW333&gt;450,"Yes","No"),IF(AW333="NR","NR",""))</f>
        <v/>
      </c>
      <c r="BJ333" s="9">
        <f>IF(BB333="","",IF(BB333="Non-viable","Non-viable",IF(BB333="Viable","Viable",IF(BB333="Partially non-viable",IF(OR(BD333="Total splenectomy",BD333="Partial splenectomy +/- splenopexy"),"Non-viable","Review"),IF(BB333="NR",IF(OR(BD333="Total splenectomy",BD333="Partial splenectomy +/- splenopexy"),"NR - removed, check reason","NR"),"Not applicable")))))</f>
        <v/>
      </c>
    </row>
    <row r="334">
      <c r="D334" s="8" t="n"/>
      <c r="E334" s="9">
        <f>IF(B334="","",IF(B334="OWN","Yes","No"))</f>
        <v/>
      </c>
      <c r="AF334" s="9">
        <f>IF(ISNUMBER(Z334),IF(Z334&lt;=2,"&lt;=2 d",IF(Z334&lt;=7,"3-7 d",IF(Z334&lt;=30,"8-30 d","&gt;30 d"))),IF(AE334&lt;&gt;"",AE334,IF(Z334="NR","NR","")))</f>
        <v/>
      </c>
      <c r="AX334" s="9">
        <f>IF(ISNUMBER(AW334),IF(AW334&gt;450,"Yes","No"),IF(AW334="NR","NR",""))</f>
        <v/>
      </c>
      <c r="BJ334" s="9">
        <f>IF(BB334="","",IF(BB334="Non-viable","Non-viable",IF(BB334="Viable","Viable",IF(BB334="Partially non-viable",IF(OR(BD334="Total splenectomy",BD334="Partial splenectomy +/- splenopexy"),"Non-viable","Review"),IF(BB334="NR",IF(OR(BD334="Total splenectomy",BD334="Partial splenectomy +/- splenopexy"),"NR - removed, check reason","NR"),"Not applicable")))))</f>
        <v/>
      </c>
    </row>
    <row r="335">
      <c r="D335" s="8" t="n"/>
      <c r="E335" s="9">
        <f>IF(B335="","",IF(B335="OWN","Yes","No"))</f>
        <v/>
      </c>
      <c r="AF335" s="9">
        <f>IF(ISNUMBER(Z335),IF(Z335&lt;=2,"&lt;=2 d",IF(Z335&lt;=7,"3-7 d",IF(Z335&lt;=30,"8-30 d","&gt;30 d"))),IF(AE335&lt;&gt;"",AE335,IF(Z335="NR","NR","")))</f>
        <v/>
      </c>
      <c r="AX335" s="9">
        <f>IF(ISNUMBER(AW335),IF(AW335&gt;450,"Yes","No"),IF(AW335="NR","NR",""))</f>
        <v/>
      </c>
      <c r="BJ335" s="9">
        <f>IF(BB335="","",IF(BB335="Non-viable","Non-viable",IF(BB335="Viable","Viable",IF(BB335="Partially non-viable",IF(OR(BD335="Total splenectomy",BD335="Partial splenectomy +/- splenopexy"),"Non-viable","Review"),IF(BB335="NR",IF(OR(BD335="Total splenectomy",BD335="Partial splenectomy +/- splenopexy"),"NR - removed, check reason","NR"),"Not applicable")))))</f>
        <v/>
      </c>
    </row>
    <row r="336">
      <c r="D336" s="8" t="n"/>
      <c r="E336" s="9">
        <f>IF(B336="","",IF(B336="OWN","Yes","No"))</f>
        <v/>
      </c>
      <c r="AF336" s="9">
        <f>IF(ISNUMBER(Z336),IF(Z336&lt;=2,"&lt;=2 d",IF(Z336&lt;=7,"3-7 d",IF(Z336&lt;=30,"8-30 d","&gt;30 d"))),IF(AE336&lt;&gt;"",AE336,IF(Z336="NR","NR","")))</f>
        <v/>
      </c>
      <c r="AX336" s="9">
        <f>IF(ISNUMBER(AW336),IF(AW336&gt;450,"Yes","No"),IF(AW336="NR","NR",""))</f>
        <v/>
      </c>
      <c r="BJ336" s="9">
        <f>IF(BB336="","",IF(BB336="Non-viable","Non-viable",IF(BB336="Viable","Viable",IF(BB336="Partially non-viable",IF(OR(BD336="Total splenectomy",BD336="Partial splenectomy +/- splenopexy"),"Non-viable","Review"),IF(BB336="NR",IF(OR(BD336="Total splenectomy",BD336="Partial splenectomy +/- splenopexy"),"NR - removed, check reason","NR"),"Not applicable")))))</f>
        <v/>
      </c>
    </row>
    <row r="337">
      <c r="D337" s="8" t="n"/>
      <c r="E337" s="9">
        <f>IF(B337="","",IF(B337="OWN","Yes","No"))</f>
        <v/>
      </c>
      <c r="AF337" s="9">
        <f>IF(ISNUMBER(Z337),IF(Z337&lt;=2,"&lt;=2 d",IF(Z337&lt;=7,"3-7 d",IF(Z337&lt;=30,"8-30 d","&gt;30 d"))),IF(AE337&lt;&gt;"",AE337,IF(Z337="NR","NR","")))</f>
        <v/>
      </c>
      <c r="AX337" s="9">
        <f>IF(ISNUMBER(AW337),IF(AW337&gt;450,"Yes","No"),IF(AW337="NR","NR",""))</f>
        <v/>
      </c>
      <c r="BJ337" s="9">
        <f>IF(BB337="","",IF(BB337="Non-viable","Non-viable",IF(BB337="Viable","Viable",IF(BB337="Partially non-viable",IF(OR(BD337="Total splenectomy",BD337="Partial splenectomy +/- splenopexy"),"Non-viable","Review"),IF(BB337="NR",IF(OR(BD337="Total splenectomy",BD337="Partial splenectomy +/- splenopexy"),"NR - removed, check reason","NR"),"Not applicable")))))</f>
        <v/>
      </c>
    </row>
    <row r="338">
      <c r="D338" s="8" t="n"/>
      <c r="E338" s="9">
        <f>IF(B338="","",IF(B338="OWN","Yes","No"))</f>
        <v/>
      </c>
      <c r="AF338" s="9">
        <f>IF(ISNUMBER(Z338),IF(Z338&lt;=2,"&lt;=2 d",IF(Z338&lt;=7,"3-7 d",IF(Z338&lt;=30,"8-30 d","&gt;30 d"))),IF(AE338&lt;&gt;"",AE338,IF(Z338="NR","NR","")))</f>
        <v/>
      </c>
      <c r="AX338" s="9">
        <f>IF(ISNUMBER(AW338),IF(AW338&gt;450,"Yes","No"),IF(AW338="NR","NR",""))</f>
        <v/>
      </c>
      <c r="BJ338" s="9">
        <f>IF(BB338="","",IF(BB338="Non-viable","Non-viable",IF(BB338="Viable","Viable",IF(BB338="Partially non-viable",IF(OR(BD338="Total splenectomy",BD338="Partial splenectomy +/- splenopexy"),"Non-viable","Review"),IF(BB338="NR",IF(OR(BD338="Total splenectomy",BD338="Partial splenectomy +/- splenopexy"),"NR - removed, check reason","NR"),"Not applicable")))))</f>
        <v/>
      </c>
    </row>
    <row r="339">
      <c r="D339" s="8" t="n"/>
      <c r="E339" s="9">
        <f>IF(B339="","",IF(B339="OWN","Yes","No"))</f>
        <v/>
      </c>
      <c r="AF339" s="9">
        <f>IF(ISNUMBER(Z339),IF(Z339&lt;=2,"&lt;=2 d",IF(Z339&lt;=7,"3-7 d",IF(Z339&lt;=30,"8-30 d","&gt;30 d"))),IF(AE339&lt;&gt;"",AE339,IF(Z339="NR","NR","")))</f>
        <v/>
      </c>
      <c r="AX339" s="9">
        <f>IF(ISNUMBER(AW339),IF(AW339&gt;450,"Yes","No"),IF(AW339="NR","NR",""))</f>
        <v/>
      </c>
      <c r="BJ339" s="9">
        <f>IF(BB339="","",IF(BB339="Non-viable","Non-viable",IF(BB339="Viable","Viable",IF(BB339="Partially non-viable",IF(OR(BD339="Total splenectomy",BD339="Partial splenectomy +/- splenopexy"),"Non-viable","Review"),IF(BB339="NR",IF(OR(BD339="Total splenectomy",BD339="Partial splenectomy +/- splenopexy"),"NR - removed, check reason","NR"),"Not applicable")))))</f>
        <v/>
      </c>
    </row>
    <row r="340">
      <c r="D340" s="8" t="n"/>
      <c r="E340" s="9">
        <f>IF(B340="","",IF(B340="OWN","Yes","No"))</f>
        <v/>
      </c>
      <c r="AF340" s="9">
        <f>IF(ISNUMBER(Z340),IF(Z340&lt;=2,"&lt;=2 d",IF(Z340&lt;=7,"3-7 d",IF(Z340&lt;=30,"8-30 d","&gt;30 d"))),IF(AE340&lt;&gt;"",AE340,IF(Z340="NR","NR","")))</f>
        <v/>
      </c>
      <c r="AX340" s="9">
        <f>IF(ISNUMBER(AW340),IF(AW340&gt;450,"Yes","No"),IF(AW340="NR","NR",""))</f>
        <v/>
      </c>
      <c r="BJ340" s="9">
        <f>IF(BB340="","",IF(BB340="Non-viable","Non-viable",IF(BB340="Viable","Viable",IF(BB340="Partially non-viable",IF(OR(BD340="Total splenectomy",BD340="Partial splenectomy +/- splenopexy"),"Non-viable","Review"),IF(BB340="NR",IF(OR(BD340="Total splenectomy",BD340="Partial splenectomy +/- splenopexy"),"NR - removed, check reason","NR"),"Not applicable")))))</f>
        <v/>
      </c>
    </row>
    <row r="341">
      <c r="D341" s="8" t="n"/>
      <c r="E341" s="9">
        <f>IF(B341="","",IF(B341="OWN","Yes","No"))</f>
        <v/>
      </c>
      <c r="AF341" s="9">
        <f>IF(ISNUMBER(Z341),IF(Z341&lt;=2,"&lt;=2 d",IF(Z341&lt;=7,"3-7 d",IF(Z341&lt;=30,"8-30 d","&gt;30 d"))),IF(AE341&lt;&gt;"",AE341,IF(Z341="NR","NR","")))</f>
        <v/>
      </c>
      <c r="AX341" s="9">
        <f>IF(ISNUMBER(AW341),IF(AW341&gt;450,"Yes","No"),IF(AW341="NR","NR",""))</f>
        <v/>
      </c>
      <c r="BJ341" s="9">
        <f>IF(BB341="","",IF(BB341="Non-viable","Non-viable",IF(BB341="Viable","Viable",IF(BB341="Partially non-viable",IF(OR(BD341="Total splenectomy",BD341="Partial splenectomy +/- splenopexy"),"Non-viable","Review"),IF(BB341="NR",IF(OR(BD341="Total splenectomy",BD341="Partial splenectomy +/- splenopexy"),"NR - removed, check reason","NR"),"Not applicable")))))</f>
        <v/>
      </c>
    </row>
    <row r="342">
      <c r="D342" s="8" t="n"/>
      <c r="E342" s="9">
        <f>IF(B342="","",IF(B342="OWN","Yes","No"))</f>
        <v/>
      </c>
      <c r="AF342" s="9">
        <f>IF(ISNUMBER(Z342),IF(Z342&lt;=2,"&lt;=2 d",IF(Z342&lt;=7,"3-7 d",IF(Z342&lt;=30,"8-30 d","&gt;30 d"))),IF(AE342&lt;&gt;"",AE342,IF(Z342="NR","NR","")))</f>
        <v/>
      </c>
      <c r="AX342" s="9">
        <f>IF(ISNUMBER(AW342),IF(AW342&gt;450,"Yes","No"),IF(AW342="NR","NR",""))</f>
        <v/>
      </c>
      <c r="BJ342" s="9">
        <f>IF(BB342="","",IF(BB342="Non-viable","Non-viable",IF(BB342="Viable","Viable",IF(BB342="Partially non-viable",IF(OR(BD342="Total splenectomy",BD342="Partial splenectomy +/- splenopexy"),"Non-viable","Review"),IF(BB342="NR",IF(OR(BD342="Total splenectomy",BD342="Partial splenectomy +/- splenopexy"),"NR - removed, check reason","NR"),"Not applicable")))))</f>
        <v/>
      </c>
    </row>
    <row r="343">
      <c r="D343" s="8" t="n"/>
      <c r="E343" s="9">
        <f>IF(B343="","",IF(B343="OWN","Yes","No"))</f>
        <v/>
      </c>
      <c r="AF343" s="9">
        <f>IF(ISNUMBER(Z343),IF(Z343&lt;=2,"&lt;=2 d",IF(Z343&lt;=7,"3-7 d",IF(Z343&lt;=30,"8-30 d","&gt;30 d"))),IF(AE343&lt;&gt;"",AE343,IF(Z343="NR","NR","")))</f>
        <v/>
      </c>
      <c r="AX343" s="9">
        <f>IF(ISNUMBER(AW343),IF(AW343&gt;450,"Yes","No"),IF(AW343="NR","NR",""))</f>
        <v/>
      </c>
      <c r="BJ343" s="9">
        <f>IF(BB343="","",IF(BB343="Non-viable","Non-viable",IF(BB343="Viable","Viable",IF(BB343="Partially non-viable",IF(OR(BD343="Total splenectomy",BD343="Partial splenectomy +/- splenopexy"),"Non-viable","Review"),IF(BB343="NR",IF(OR(BD343="Total splenectomy",BD343="Partial splenectomy +/- splenopexy"),"NR - removed, check reason","NR"),"Not applicable")))))</f>
        <v/>
      </c>
    </row>
    <row r="344">
      <c r="D344" s="8" t="n"/>
      <c r="E344" s="9">
        <f>IF(B344="","",IF(B344="OWN","Yes","No"))</f>
        <v/>
      </c>
      <c r="AF344" s="9">
        <f>IF(ISNUMBER(Z344),IF(Z344&lt;=2,"&lt;=2 d",IF(Z344&lt;=7,"3-7 d",IF(Z344&lt;=30,"8-30 d","&gt;30 d"))),IF(AE344&lt;&gt;"",AE344,IF(Z344="NR","NR","")))</f>
        <v/>
      </c>
      <c r="AX344" s="9">
        <f>IF(ISNUMBER(AW344),IF(AW344&gt;450,"Yes","No"),IF(AW344="NR","NR",""))</f>
        <v/>
      </c>
      <c r="BJ344" s="9">
        <f>IF(BB344="","",IF(BB344="Non-viable","Non-viable",IF(BB344="Viable","Viable",IF(BB344="Partially non-viable",IF(OR(BD344="Total splenectomy",BD344="Partial splenectomy +/- splenopexy"),"Non-viable","Review"),IF(BB344="NR",IF(OR(BD344="Total splenectomy",BD344="Partial splenectomy +/- splenopexy"),"NR - removed, check reason","NR"),"Not applicable")))))</f>
        <v/>
      </c>
    </row>
    <row r="345">
      <c r="D345" s="8" t="n"/>
      <c r="E345" s="9">
        <f>IF(B345="","",IF(B345="OWN","Yes","No"))</f>
        <v/>
      </c>
      <c r="AF345" s="9">
        <f>IF(ISNUMBER(Z345),IF(Z345&lt;=2,"&lt;=2 d",IF(Z345&lt;=7,"3-7 d",IF(Z345&lt;=30,"8-30 d","&gt;30 d"))),IF(AE345&lt;&gt;"",AE345,IF(Z345="NR","NR","")))</f>
        <v/>
      </c>
      <c r="AX345" s="9">
        <f>IF(ISNUMBER(AW345),IF(AW345&gt;450,"Yes","No"),IF(AW345="NR","NR",""))</f>
        <v/>
      </c>
      <c r="BJ345" s="9">
        <f>IF(BB345="","",IF(BB345="Non-viable","Non-viable",IF(BB345="Viable","Viable",IF(BB345="Partially non-viable",IF(OR(BD345="Total splenectomy",BD345="Partial splenectomy +/- splenopexy"),"Non-viable","Review"),IF(BB345="NR",IF(OR(BD345="Total splenectomy",BD345="Partial splenectomy +/- splenopexy"),"NR - removed, check reason","NR"),"Not applicable")))))</f>
        <v/>
      </c>
    </row>
    <row r="346">
      <c r="D346" s="8" t="n"/>
      <c r="E346" s="9">
        <f>IF(B346="","",IF(B346="OWN","Yes","No"))</f>
        <v/>
      </c>
      <c r="AF346" s="9">
        <f>IF(ISNUMBER(Z346),IF(Z346&lt;=2,"&lt;=2 d",IF(Z346&lt;=7,"3-7 d",IF(Z346&lt;=30,"8-30 d","&gt;30 d"))),IF(AE346&lt;&gt;"",AE346,IF(Z346="NR","NR","")))</f>
        <v/>
      </c>
      <c r="AX346" s="9">
        <f>IF(ISNUMBER(AW346),IF(AW346&gt;450,"Yes","No"),IF(AW346="NR","NR",""))</f>
        <v/>
      </c>
      <c r="BJ346" s="9">
        <f>IF(BB346="","",IF(BB346="Non-viable","Non-viable",IF(BB346="Viable","Viable",IF(BB346="Partially non-viable",IF(OR(BD346="Total splenectomy",BD346="Partial splenectomy +/- splenopexy"),"Non-viable","Review"),IF(BB346="NR",IF(OR(BD346="Total splenectomy",BD346="Partial splenectomy +/- splenopexy"),"NR - removed, check reason","NR"),"Not applicable")))))</f>
        <v/>
      </c>
    </row>
    <row r="347">
      <c r="D347" s="8" t="n"/>
      <c r="E347" s="9">
        <f>IF(B347="","",IF(B347="OWN","Yes","No"))</f>
        <v/>
      </c>
      <c r="AF347" s="9">
        <f>IF(ISNUMBER(Z347),IF(Z347&lt;=2,"&lt;=2 d",IF(Z347&lt;=7,"3-7 d",IF(Z347&lt;=30,"8-30 d","&gt;30 d"))),IF(AE347&lt;&gt;"",AE347,IF(Z347="NR","NR","")))</f>
        <v/>
      </c>
      <c r="AX347" s="9">
        <f>IF(ISNUMBER(AW347),IF(AW347&gt;450,"Yes","No"),IF(AW347="NR","NR",""))</f>
        <v/>
      </c>
      <c r="BJ347" s="9">
        <f>IF(BB347="","",IF(BB347="Non-viable","Non-viable",IF(BB347="Viable","Viable",IF(BB347="Partially non-viable",IF(OR(BD347="Total splenectomy",BD347="Partial splenectomy +/- splenopexy"),"Non-viable","Review"),IF(BB347="NR",IF(OR(BD347="Total splenectomy",BD347="Partial splenectomy +/- splenopexy"),"NR - removed, check reason","NR"),"Not applicable")))))</f>
        <v/>
      </c>
    </row>
    <row r="348">
      <c r="D348" s="8" t="n"/>
      <c r="E348" s="9">
        <f>IF(B348="","",IF(B348="OWN","Yes","No"))</f>
        <v/>
      </c>
      <c r="AF348" s="9">
        <f>IF(ISNUMBER(Z348),IF(Z348&lt;=2,"&lt;=2 d",IF(Z348&lt;=7,"3-7 d",IF(Z348&lt;=30,"8-30 d","&gt;30 d"))),IF(AE348&lt;&gt;"",AE348,IF(Z348="NR","NR","")))</f>
        <v/>
      </c>
      <c r="AX348" s="9">
        <f>IF(ISNUMBER(AW348),IF(AW348&gt;450,"Yes","No"),IF(AW348="NR","NR",""))</f>
        <v/>
      </c>
      <c r="BJ348" s="9">
        <f>IF(BB348="","",IF(BB348="Non-viable","Non-viable",IF(BB348="Viable","Viable",IF(BB348="Partially non-viable",IF(OR(BD348="Total splenectomy",BD348="Partial splenectomy +/- splenopexy"),"Non-viable","Review"),IF(BB348="NR",IF(OR(BD348="Total splenectomy",BD348="Partial splenectomy +/- splenopexy"),"NR - removed, check reason","NR"),"Not applicable")))))</f>
        <v/>
      </c>
    </row>
    <row r="349">
      <c r="D349" s="8" t="n"/>
      <c r="E349" s="9">
        <f>IF(B349="","",IF(B349="OWN","Yes","No"))</f>
        <v/>
      </c>
      <c r="AF349" s="9">
        <f>IF(ISNUMBER(Z349),IF(Z349&lt;=2,"&lt;=2 d",IF(Z349&lt;=7,"3-7 d",IF(Z349&lt;=30,"8-30 d","&gt;30 d"))),IF(AE349&lt;&gt;"",AE349,IF(Z349="NR","NR","")))</f>
        <v/>
      </c>
      <c r="AX349" s="9">
        <f>IF(ISNUMBER(AW349),IF(AW349&gt;450,"Yes","No"),IF(AW349="NR","NR",""))</f>
        <v/>
      </c>
      <c r="BJ349" s="9">
        <f>IF(BB349="","",IF(BB349="Non-viable","Non-viable",IF(BB349="Viable","Viable",IF(BB349="Partially non-viable",IF(OR(BD349="Total splenectomy",BD349="Partial splenectomy +/- splenopexy"),"Non-viable","Review"),IF(BB349="NR",IF(OR(BD349="Total splenectomy",BD349="Partial splenectomy +/- splenopexy"),"NR - removed, check reason","NR"),"Not applicable")))))</f>
        <v/>
      </c>
    </row>
    <row r="350">
      <c r="D350" s="8" t="n"/>
      <c r="E350" s="9">
        <f>IF(B350="","",IF(B350="OWN","Yes","No"))</f>
        <v/>
      </c>
      <c r="AF350" s="9">
        <f>IF(ISNUMBER(Z350),IF(Z350&lt;=2,"&lt;=2 d",IF(Z350&lt;=7,"3-7 d",IF(Z350&lt;=30,"8-30 d","&gt;30 d"))),IF(AE350&lt;&gt;"",AE350,IF(Z350="NR","NR","")))</f>
        <v/>
      </c>
      <c r="AX350" s="9">
        <f>IF(ISNUMBER(AW350),IF(AW350&gt;450,"Yes","No"),IF(AW350="NR","NR",""))</f>
        <v/>
      </c>
      <c r="BJ350" s="9">
        <f>IF(BB350="","",IF(BB350="Non-viable","Non-viable",IF(BB350="Viable","Viable",IF(BB350="Partially non-viable",IF(OR(BD350="Total splenectomy",BD350="Partial splenectomy +/- splenopexy"),"Non-viable","Review"),IF(BB350="NR",IF(OR(BD350="Total splenectomy",BD350="Partial splenectomy +/- splenopexy"),"NR - removed, check reason","NR"),"Not applicable")))))</f>
        <v/>
      </c>
    </row>
    <row r="351">
      <c r="D351" s="8" t="n"/>
      <c r="E351" s="9">
        <f>IF(B351="","",IF(B351="OWN","Yes","No"))</f>
        <v/>
      </c>
      <c r="AF351" s="9">
        <f>IF(ISNUMBER(Z351),IF(Z351&lt;=2,"&lt;=2 d",IF(Z351&lt;=7,"3-7 d",IF(Z351&lt;=30,"8-30 d","&gt;30 d"))),IF(AE351&lt;&gt;"",AE351,IF(Z351="NR","NR","")))</f>
        <v/>
      </c>
      <c r="AX351" s="9">
        <f>IF(ISNUMBER(AW351),IF(AW351&gt;450,"Yes","No"),IF(AW351="NR","NR",""))</f>
        <v/>
      </c>
      <c r="BJ351" s="9">
        <f>IF(BB351="","",IF(BB351="Non-viable","Non-viable",IF(BB351="Viable","Viable",IF(BB351="Partially non-viable",IF(OR(BD351="Total splenectomy",BD351="Partial splenectomy +/- splenopexy"),"Non-viable","Review"),IF(BB351="NR",IF(OR(BD351="Total splenectomy",BD351="Partial splenectomy +/- splenopexy"),"NR - removed, check reason","NR"),"Not applicable")))))</f>
        <v/>
      </c>
    </row>
    <row r="352">
      <c r="D352" s="8" t="n"/>
      <c r="E352" s="9">
        <f>IF(B352="","",IF(B352="OWN","Yes","No"))</f>
        <v/>
      </c>
      <c r="AF352" s="9">
        <f>IF(ISNUMBER(Z352),IF(Z352&lt;=2,"&lt;=2 d",IF(Z352&lt;=7,"3-7 d",IF(Z352&lt;=30,"8-30 d","&gt;30 d"))),IF(AE352&lt;&gt;"",AE352,IF(Z352="NR","NR","")))</f>
        <v/>
      </c>
      <c r="AX352" s="9">
        <f>IF(ISNUMBER(AW352),IF(AW352&gt;450,"Yes","No"),IF(AW352="NR","NR",""))</f>
        <v/>
      </c>
      <c r="BJ352" s="9">
        <f>IF(BB352="","",IF(BB352="Non-viable","Non-viable",IF(BB352="Viable","Viable",IF(BB352="Partially non-viable",IF(OR(BD352="Total splenectomy",BD352="Partial splenectomy +/- splenopexy"),"Non-viable","Review"),IF(BB352="NR",IF(OR(BD352="Total splenectomy",BD352="Partial splenectomy +/- splenopexy"),"NR - removed, check reason","NR"),"Not applicable")))))</f>
        <v/>
      </c>
    </row>
    <row r="353">
      <c r="D353" s="8" t="n"/>
      <c r="E353" s="9">
        <f>IF(B353="","",IF(B353="OWN","Yes","No"))</f>
        <v/>
      </c>
      <c r="AF353" s="9">
        <f>IF(ISNUMBER(Z353),IF(Z353&lt;=2,"&lt;=2 d",IF(Z353&lt;=7,"3-7 d",IF(Z353&lt;=30,"8-30 d","&gt;30 d"))),IF(AE353&lt;&gt;"",AE353,IF(Z353="NR","NR","")))</f>
        <v/>
      </c>
      <c r="AX353" s="9">
        <f>IF(ISNUMBER(AW353),IF(AW353&gt;450,"Yes","No"),IF(AW353="NR","NR",""))</f>
        <v/>
      </c>
      <c r="BJ353" s="9">
        <f>IF(BB353="","",IF(BB353="Non-viable","Non-viable",IF(BB353="Viable","Viable",IF(BB353="Partially non-viable",IF(OR(BD353="Total splenectomy",BD353="Partial splenectomy +/- splenopexy"),"Non-viable","Review"),IF(BB353="NR",IF(OR(BD353="Total splenectomy",BD353="Partial splenectomy +/- splenopexy"),"NR - removed, check reason","NR"),"Not applicable")))))</f>
        <v/>
      </c>
    </row>
    <row r="354">
      <c r="D354" s="8" t="n"/>
      <c r="E354" s="9">
        <f>IF(B354="","",IF(B354="OWN","Yes","No"))</f>
        <v/>
      </c>
      <c r="AF354" s="9">
        <f>IF(ISNUMBER(Z354),IF(Z354&lt;=2,"&lt;=2 d",IF(Z354&lt;=7,"3-7 d",IF(Z354&lt;=30,"8-30 d","&gt;30 d"))),IF(AE354&lt;&gt;"",AE354,IF(Z354="NR","NR","")))</f>
        <v/>
      </c>
      <c r="AX354" s="9">
        <f>IF(ISNUMBER(AW354),IF(AW354&gt;450,"Yes","No"),IF(AW354="NR","NR",""))</f>
        <v/>
      </c>
      <c r="BJ354" s="9">
        <f>IF(BB354="","",IF(BB354="Non-viable","Non-viable",IF(BB354="Viable","Viable",IF(BB354="Partially non-viable",IF(OR(BD354="Total splenectomy",BD354="Partial splenectomy +/- splenopexy"),"Non-viable","Review"),IF(BB354="NR",IF(OR(BD354="Total splenectomy",BD354="Partial splenectomy +/- splenopexy"),"NR - removed, check reason","NR"),"Not applicable")))))</f>
        <v/>
      </c>
    </row>
    <row r="355">
      <c r="D355" s="8" t="n"/>
      <c r="E355" s="9">
        <f>IF(B355="","",IF(B355="OWN","Yes","No"))</f>
        <v/>
      </c>
      <c r="AF355" s="9">
        <f>IF(ISNUMBER(Z355),IF(Z355&lt;=2,"&lt;=2 d",IF(Z355&lt;=7,"3-7 d",IF(Z355&lt;=30,"8-30 d","&gt;30 d"))),IF(AE355&lt;&gt;"",AE355,IF(Z355="NR","NR","")))</f>
        <v/>
      </c>
      <c r="AX355" s="9">
        <f>IF(ISNUMBER(AW355),IF(AW355&gt;450,"Yes","No"),IF(AW355="NR","NR",""))</f>
        <v/>
      </c>
      <c r="BJ355" s="9">
        <f>IF(BB355="","",IF(BB355="Non-viable","Non-viable",IF(BB355="Viable","Viable",IF(BB355="Partially non-viable",IF(OR(BD355="Total splenectomy",BD355="Partial splenectomy +/- splenopexy"),"Non-viable","Review"),IF(BB355="NR",IF(OR(BD355="Total splenectomy",BD355="Partial splenectomy +/- splenopexy"),"NR - removed, check reason","NR"),"Not applicable")))))</f>
        <v/>
      </c>
    </row>
    <row r="356">
      <c r="D356" s="8" t="n"/>
      <c r="E356" s="9">
        <f>IF(B356="","",IF(B356="OWN","Yes","No"))</f>
        <v/>
      </c>
      <c r="AF356" s="9">
        <f>IF(ISNUMBER(Z356),IF(Z356&lt;=2,"&lt;=2 d",IF(Z356&lt;=7,"3-7 d",IF(Z356&lt;=30,"8-30 d","&gt;30 d"))),IF(AE356&lt;&gt;"",AE356,IF(Z356="NR","NR","")))</f>
        <v/>
      </c>
      <c r="AX356" s="9">
        <f>IF(ISNUMBER(AW356),IF(AW356&gt;450,"Yes","No"),IF(AW356="NR","NR",""))</f>
        <v/>
      </c>
      <c r="BJ356" s="9">
        <f>IF(BB356="","",IF(BB356="Non-viable","Non-viable",IF(BB356="Viable","Viable",IF(BB356="Partially non-viable",IF(OR(BD356="Total splenectomy",BD356="Partial splenectomy +/- splenopexy"),"Non-viable","Review"),IF(BB356="NR",IF(OR(BD356="Total splenectomy",BD356="Partial splenectomy +/- splenopexy"),"NR - removed, check reason","NR"),"Not applicable")))))</f>
        <v/>
      </c>
    </row>
    <row r="357">
      <c r="D357" s="8" t="n"/>
      <c r="E357" s="9">
        <f>IF(B357="","",IF(B357="OWN","Yes","No"))</f>
        <v/>
      </c>
      <c r="AF357" s="9">
        <f>IF(ISNUMBER(Z357),IF(Z357&lt;=2,"&lt;=2 d",IF(Z357&lt;=7,"3-7 d",IF(Z357&lt;=30,"8-30 d","&gt;30 d"))),IF(AE357&lt;&gt;"",AE357,IF(Z357="NR","NR","")))</f>
        <v/>
      </c>
      <c r="AX357" s="9">
        <f>IF(ISNUMBER(AW357),IF(AW357&gt;450,"Yes","No"),IF(AW357="NR","NR",""))</f>
        <v/>
      </c>
      <c r="BJ357" s="9">
        <f>IF(BB357="","",IF(BB357="Non-viable","Non-viable",IF(BB357="Viable","Viable",IF(BB357="Partially non-viable",IF(OR(BD357="Total splenectomy",BD357="Partial splenectomy +/- splenopexy"),"Non-viable","Review"),IF(BB357="NR",IF(OR(BD357="Total splenectomy",BD357="Partial splenectomy +/- splenopexy"),"NR - removed, check reason","NR"),"Not applicable")))))</f>
        <v/>
      </c>
    </row>
    <row r="358">
      <c r="D358" s="8" t="n"/>
      <c r="E358" s="9">
        <f>IF(B358="","",IF(B358="OWN","Yes","No"))</f>
        <v/>
      </c>
      <c r="AF358" s="9">
        <f>IF(ISNUMBER(Z358),IF(Z358&lt;=2,"&lt;=2 d",IF(Z358&lt;=7,"3-7 d",IF(Z358&lt;=30,"8-30 d","&gt;30 d"))),IF(AE358&lt;&gt;"",AE358,IF(Z358="NR","NR","")))</f>
        <v/>
      </c>
      <c r="AX358" s="9">
        <f>IF(ISNUMBER(AW358),IF(AW358&gt;450,"Yes","No"),IF(AW358="NR","NR",""))</f>
        <v/>
      </c>
      <c r="BJ358" s="9">
        <f>IF(BB358="","",IF(BB358="Non-viable","Non-viable",IF(BB358="Viable","Viable",IF(BB358="Partially non-viable",IF(OR(BD358="Total splenectomy",BD358="Partial splenectomy +/- splenopexy"),"Non-viable","Review"),IF(BB358="NR",IF(OR(BD358="Total splenectomy",BD358="Partial splenectomy +/- splenopexy"),"NR - removed, check reason","NR"),"Not applicable")))))</f>
        <v/>
      </c>
    </row>
    <row r="359">
      <c r="D359" s="8" t="n"/>
      <c r="E359" s="9">
        <f>IF(B359="","",IF(B359="OWN","Yes","No"))</f>
        <v/>
      </c>
      <c r="AF359" s="9">
        <f>IF(ISNUMBER(Z359),IF(Z359&lt;=2,"&lt;=2 d",IF(Z359&lt;=7,"3-7 d",IF(Z359&lt;=30,"8-30 d","&gt;30 d"))),IF(AE359&lt;&gt;"",AE359,IF(Z359="NR","NR","")))</f>
        <v/>
      </c>
      <c r="AX359" s="9">
        <f>IF(ISNUMBER(AW359),IF(AW359&gt;450,"Yes","No"),IF(AW359="NR","NR",""))</f>
        <v/>
      </c>
      <c r="BJ359" s="9">
        <f>IF(BB359="","",IF(BB359="Non-viable","Non-viable",IF(BB359="Viable","Viable",IF(BB359="Partially non-viable",IF(OR(BD359="Total splenectomy",BD359="Partial splenectomy +/- splenopexy"),"Non-viable","Review"),IF(BB359="NR",IF(OR(BD359="Total splenectomy",BD359="Partial splenectomy +/- splenopexy"),"NR - removed, check reason","NR"),"Not applicable")))))</f>
        <v/>
      </c>
    </row>
    <row r="360">
      <c r="D360" s="8" t="n"/>
      <c r="E360" s="9">
        <f>IF(B360="","",IF(B360="OWN","Yes","No"))</f>
        <v/>
      </c>
      <c r="AF360" s="9">
        <f>IF(ISNUMBER(Z360),IF(Z360&lt;=2,"&lt;=2 d",IF(Z360&lt;=7,"3-7 d",IF(Z360&lt;=30,"8-30 d","&gt;30 d"))),IF(AE360&lt;&gt;"",AE360,IF(Z360="NR","NR","")))</f>
        <v/>
      </c>
      <c r="AX360" s="9">
        <f>IF(ISNUMBER(AW360),IF(AW360&gt;450,"Yes","No"),IF(AW360="NR","NR",""))</f>
        <v/>
      </c>
      <c r="BJ360" s="9">
        <f>IF(BB360="","",IF(BB360="Non-viable","Non-viable",IF(BB360="Viable","Viable",IF(BB360="Partially non-viable",IF(OR(BD360="Total splenectomy",BD360="Partial splenectomy +/- splenopexy"),"Non-viable","Review"),IF(BB360="NR",IF(OR(BD360="Total splenectomy",BD360="Partial splenectomy +/- splenopexy"),"NR - removed, check reason","NR"),"Not applicable")))))</f>
        <v/>
      </c>
    </row>
    <row r="361">
      <c r="D361" s="8" t="n"/>
      <c r="E361" s="9">
        <f>IF(B361="","",IF(B361="OWN","Yes","No"))</f>
        <v/>
      </c>
      <c r="AF361" s="9">
        <f>IF(ISNUMBER(Z361),IF(Z361&lt;=2,"&lt;=2 d",IF(Z361&lt;=7,"3-7 d",IF(Z361&lt;=30,"8-30 d","&gt;30 d"))),IF(AE361&lt;&gt;"",AE361,IF(Z361="NR","NR","")))</f>
        <v/>
      </c>
      <c r="AX361" s="9">
        <f>IF(ISNUMBER(AW361),IF(AW361&gt;450,"Yes","No"),IF(AW361="NR","NR",""))</f>
        <v/>
      </c>
      <c r="BJ361" s="9">
        <f>IF(BB361="","",IF(BB361="Non-viable","Non-viable",IF(BB361="Viable","Viable",IF(BB361="Partially non-viable",IF(OR(BD361="Total splenectomy",BD361="Partial splenectomy +/- splenopexy"),"Non-viable","Review"),IF(BB361="NR",IF(OR(BD361="Total splenectomy",BD361="Partial splenectomy +/- splenopexy"),"NR - removed, check reason","NR"),"Not applicable")))))</f>
        <v/>
      </c>
    </row>
    <row r="362">
      <c r="D362" s="8" t="n"/>
      <c r="E362" s="9">
        <f>IF(B362="","",IF(B362="OWN","Yes","No"))</f>
        <v/>
      </c>
      <c r="AF362" s="9">
        <f>IF(ISNUMBER(Z362),IF(Z362&lt;=2,"&lt;=2 d",IF(Z362&lt;=7,"3-7 d",IF(Z362&lt;=30,"8-30 d","&gt;30 d"))),IF(AE362&lt;&gt;"",AE362,IF(Z362="NR","NR","")))</f>
        <v/>
      </c>
      <c r="AX362" s="9">
        <f>IF(ISNUMBER(AW362),IF(AW362&gt;450,"Yes","No"),IF(AW362="NR","NR",""))</f>
        <v/>
      </c>
      <c r="BJ362" s="9">
        <f>IF(BB362="","",IF(BB362="Non-viable","Non-viable",IF(BB362="Viable","Viable",IF(BB362="Partially non-viable",IF(OR(BD362="Total splenectomy",BD362="Partial splenectomy +/- splenopexy"),"Non-viable","Review"),IF(BB362="NR",IF(OR(BD362="Total splenectomy",BD362="Partial splenectomy +/- splenopexy"),"NR - removed, check reason","NR"),"Not applicable")))))</f>
        <v/>
      </c>
    </row>
    <row r="363">
      <c r="D363" s="8" t="n"/>
      <c r="E363" s="9">
        <f>IF(B363="","",IF(B363="OWN","Yes","No"))</f>
        <v/>
      </c>
      <c r="AF363" s="9">
        <f>IF(ISNUMBER(Z363),IF(Z363&lt;=2,"&lt;=2 d",IF(Z363&lt;=7,"3-7 d",IF(Z363&lt;=30,"8-30 d","&gt;30 d"))),IF(AE363&lt;&gt;"",AE363,IF(Z363="NR","NR","")))</f>
        <v/>
      </c>
      <c r="AX363" s="9">
        <f>IF(ISNUMBER(AW363),IF(AW363&gt;450,"Yes","No"),IF(AW363="NR","NR",""))</f>
        <v/>
      </c>
      <c r="BJ363" s="9">
        <f>IF(BB363="","",IF(BB363="Non-viable","Non-viable",IF(BB363="Viable","Viable",IF(BB363="Partially non-viable",IF(OR(BD363="Total splenectomy",BD363="Partial splenectomy +/- splenopexy"),"Non-viable","Review"),IF(BB363="NR",IF(OR(BD363="Total splenectomy",BD363="Partial splenectomy +/- splenopexy"),"NR - removed, check reason","NR"),"Not applicable")))))</f>
        <v/>
      </c>
    </row>
    <row r="364">
      <c r="D364" s="8" t="n"/>
      <c r="E364" s="9">
        <f>IF(B364="","",IF(B364="OWN","Yes","No"))</f>
        <v/>
      </c>
      <c r="AF364" s="9">
        <f>IF(ISNUMBER(Z364),IF(Z364&lt;=2,"&lt;=2 d",IF(Z364&lt;=7,"3-7 d",IF(Z364&lt;=30,"8-30 d","&gt;30 d"))),IF(AE364&lt;&gt;"",AE364,IF(Z364="NR","NR","")))</f>
        <v/>
      </c>
      <c r="AX364" s="9">
        <f>IF(ISNUMBER(AW364),IF(AW364&gt;450,"Yes","No"),IF(AW364="NR","NR",""))</f>
        <v/>
      </c>
      <c r="BJ364" s="9">
        <f>IF(BB364="","",IF(BB364="Non-viable","Non-viable",IF(BB364="Viable","Viable",IF(BB364="Partially non-viable",IF(OR(BD364="Total splenectomy",BD364="Partial splenectomy +/- splenopexy"),"Non-viable","Review"),IF(BB364="NR",IF(OR(BD364="Total splenectomy",BD364="Partial splenectomy +/- splenopexy"),"NR - removed, check reason","NR"),"Not applicable")))))</f>
        <v/>
      </c>
    </row>
    <row r="365">
      <c r="D365" s="8" t="n"/>
      <c r="E365" s="9">
        <f>IF(B365="","",IF(B365="OWN","Yes","No"))</f>
        <v/>
      </c>
      <c r="AF365" s="9">
        <f>IF(ISNUMBER(Z365),IF(Z365&lt;=2,"&lt;=2 d",IF(Z365&lt;=7,"3-7 d",IF(Z365&lt;=30,"8-30 d","&gt;30 d"))),IF(AE365&lt;&gt;"",AE365,IF(Z365="NR","NR","")))</f>
        <v/>
      </c>
      <c r="AX365" s="9">
        <f>IF(ISNUMBER(AW365),IF(AW365&gt;450,"Yes","No"),IF(AW365="NR","NR",""))</f>
        <v/>
      </c>
      <c r="BJ365" s="9">
        <f>IF(BB365="","",IF(BB365="Non-viable","Non-viable",IF(BB365="Viable","Viable",IF(BB365="Partially non-viable",IF(OR(BD365="Total splenectomy",BD365="Partial splenectomy +/- splenopexy"),"Non-viable","Review"),IF(BB365="NR",IF(OR(BD365="Total splenectomy",BD365="Partial splenectomy +/- splenopexy"),"NR - removed, check reason","NR"),"Not applicable")))))</f>
        <v/>
      </c>
    </row>
    <row r="366">
      <c r="D366" s="8" t="n"/>
      <c r="E366" s="9">
        <f>IF(B366="","",IF(B366="OWN","Yes","No"))</f>
        <v/>
      </c>
      <c r="AF366" s="9">
        <f>IF(ISNUMBER(Z366),IF(Z366&lt;=2,"&lt;=2 d",IF(Z366&lt;=7,"3-7 d",IF(Z366&lt;=30,"8-30 d","&gt;30 d"))),IF(AE366&lt;&gt;"",AE366,IF(Z366="NR","NR","")))</f>
        <v/>
      </c>
      <c r="AX366" s="9">
        <f>IF(ISNUMBER(AW366),IF(AW366&gt;450,"Yes","No"),IF(AW366="NR","NR",""))</f>
        <v/>
      </c>
      <c r="BJ366" s="9">
        <f>IF(BB366="","",IF(BB366="Non-viable","Non-viable",IF(BB366="Viable","Viable",IF(BB366="Partially non-viable",IF(OR(BD366="Total splenectomy",BD366="Partial splenectomy +/- splenopexy"),"Non-viable","Review"),IF(BB366="NR",IF(OR(BD366="Total splenectomy",BD366="Partial splenectomy +/- splenopexy"),"NR - removed, check reason","NR"),"Not applicable")))))</f>
        <v/>
      </c>
    </row>
    <row r="367">
      <c r="D367" s="8" t="n"/>
      <c r="E367" s="9">
        <f>IF(B367="","",IF(B367="OWN","Yes","No"))</f>
        <v/>
      </c>
      <c r="AF367" s="9">
        <f>IF(ISNUMBER(Z367),IF(Z367&lt;=2,"&lt;=2 d",IF(Z367&lt;=7,"3-7 d",IF(Z367&lt;=30,"8-30 d","&gt;30 d"))),IF(AE367&lt;&gt;"",AE367,IF(Z367="NR","NR","")))</f>
        <v/>
      </c>
      <c r="AX367" s="9">
        <f>IF(ISNUMBER(AW367),IF(AW367&gt;450,"Yes","No"),IF(AW367="NR","NR",""))</f>
        <v/>
      </c>
      <c r="BJ367" s="9">
        <f>IF(BB367="","",IF(BB367="Non-viable","Non-viable",IF(BB367="Viable","Viable",IF(BB367="Partially non-viable",IF(OR(BD367="Total splenectomy",BD367="Partial splenectomy +/- splenopexy"),"Non-viable","Review"),IF(BB367="NR",IF(OR(BD367="Total splenectomy",BD367="Partial splenectomy +/- splenopexy"),"NR - removed, check reason","NR"),"Not applicable")))))</f>
        <v/>
      </c>
    </row>
    <row r="368">
      <c r="D368" s="8" t="n"/>
      <c r="E368" s="9">
        <f>IF(B368="","",IF(B368="OWN","Yes","No"))</f>
        <v/>
      </c>
      <c r="AF368" s="9">
        <f>IF(ISNUMBER(Z368),IF(Z368&lt;=2,"&lt;=2 d",IF(Z368&lt;=7,"3-7 d",IF(Z368&lt;=30,"8-30 d","&gt;30 d"))),IF(AE368&lt;&gt;"",AE368,IF(Z368="NR","NR","")))</f>
        <v/>
      </c>
      <c r="AX368" s="9">
        <f>IF(ISNUMBER(AW368),IF(AW368&gt;450,"Yes","No"),IF(AW368="NR","NR",""))</f>
        <v/>
      </c>
      <c r="BJ368" s="9">
        <f>IF(BB368="","",IF(BB368="Non-viable","Non-viable",IF(BB368="Viable","Viable",IF(BB368="Partially non-viable",IF(OR(BD368="Total splenectomy",BD368="Partial splenectomy +/- splenopexy"),"Non-viable","Review"),IF(BB368="NR",IF(OR(BD368="Total splenectomy",BD368="Partial splenectomy +/- splenopexy"),"NR - removed, check reason","NR"),"Not applicable")))))</f>
        <v/>
      </c>
    </row>
    <row r="369">
      <c r="D369" s="8" t="n"/>
      <c r="E369" s="9">
        <f>IF(B369="","",IF(B369="OWN","Yes","No"))</f>
        <v/>
      </c>
      <c r="AF369" s="9">
        <f>IF(ISNUMBER(Z369),IF(Z369&lt;=2,"&lt;=2 d",IF(Z369&lt;=7,"3-7 d",IF(Z369&lt;=30,"8-30 d","&gt;30 d"))),IF(AE369&lt;&gt;"",AE369,IF(Z369="NR","NR","")))</f>
        <v/>
      </c>
      <c r="AX369" s="9">
        <f>IF(ISNUMBER(AW369),IF(AW369&gt;450,"Yes","No"),IF(AW369="NR","NR",""))</f>
        <v/>
      </c>
      <c r="BJ369" s="9">
        <f>IF(BB369="","",IF(BB369="Non-viable","Non-viable",IF(BB369="Viable","Viable",IF(BB369="Partially non-viable",IF(OR(BD369="Total splenectomy",BD369="Partial splenectomy +/- splenopexy"),"Non-viable","Review"),IF(BB369="NR",IF(OR(BD369="Total splenectomy",BD369="Partial splenectomy +/- splenopexy"),"NR - removed, check reason","NR"),"Not applicable")))))</f>
        <v/>
      </c>
    </row>
    <row r="370">
      <c r="D370" s="8" t="n"/>
      <c r="E370" s="9">
        <f>IF(B370="","",IF(B370="OWN","Yes","No"))</f>
        <v/>
      </c>
      <c r="AF370" s="9">
        <f>IF(ISNUMBER(Z370),IF(Z370&lt;=2,"&lt;=2 d",IF(Z370&lt;=7,"3-7 d",IF(Z370&lt;=30,"8-30 d","&gt;30 d"))),IF(AE370&lt;&gt;"",AE370,IF(Z370="NR","NR","")))</f>
        <v/>
      </c>
      <c r="AX370" s="9">
        <f>IF(ISNUMBER(AW370),IF(AW370&gt;450,"Yes","No"),IF(AW370="NR","NR",""))</f>
        <v/>
      </c>
      <c r="BJ370" s="9">
        <f>IF(BB370="","",IF(BB370="Non-viable","Non-viable",IF(BB370="Viable","Viable",IF(BB370="Partially non-viable",IF(OR(BD370="Total splenectomy",BD370="Partial splenectomy +/- splenopexy"),"Non-viable","Review"),IF(BB370="NR",IF(OR(BD370="Total splenectomy",BD370="Partial splenectomy +/- splenopexy"),"NR - removed, check reason","NR"),"Not applicable")))))</f>
        <v/>
      </c>
    </row>
    <row r="371">
      <c r="D371" s="8" t="n"/>
      <c r="E371" s="9">
        <f>IF(B371="","",IF(B371="OWN","Yes","No"))</f>
        <v/>
      </c>
      <c r="AF371" s="9">
        <f>IF(ISNUMBER(Z371),IF(Z371&lt;=2,"&lt;=2 d",IF(Z371&lt;=7,"3-7 d",IF(Z371&lt;=30,"8-30 d","&gt;30 d"))),IF(AE371&lt;&gt;"",AE371,IF(Z371="NR","NR","")))</f>
        <v/>
      </c>
      <c r="AX371" s="9">
        <f>IF(ISNUMBER(AW371),IF(AW371&gt;450,"Yes","No"),IF(AW371="NR","NR",""))</f>
        <v/>
      </c>
      <c r="BJ371" s="9">
        <f>IF(BB371="","",IF(BB371="Non-viable","Non-viable",IF(BB371="Viable","Viable",IF(BB371="Partially non-viable",IF(OR(BD371="Total splenectomy",BD371="Partial splenectomy +/- splenopexy"),"Non-viable","Review"),IF(BB371="NR",IF(OR(BD371="Total splenectomy",BD371="Partial splenectomy +/- splenopexy"),"NR - removed, check reason","NR"),"Not applicable")))))</f>
        <v/>
      </c>
    </row>
    <row r="372">
      <c r="D372" s="8" t="n"/>
      <c r="E372" s="9">
        <f>IF(B372="","",IF(B372="OWN","Yes","No"))</f>
        <v/>
      </c>
      <c r="AF372" s="9">
        <f>IF(ISNUMBER(Z372),IF(Z372&lt;=2,"&lt;=2 d",IF(Z372&lt;=7,"3-7 d",IF(Z372&lt;=30,"8-30 d","&gt;30 d"))),IF(AE372&lt;&gt;"",AE372,IF(Z372="NR","NR","")))</f>
        <v/>
      </c>
      <c r="AX372" s="9">
        <f>IF(ISNUMBER(AW372),IF(AW372&gt;450,"Yes","No"),IF(AW372="NR","NR",""))</f>
        <v/>
      </c>
      <c r="BJ372" s="9">
        <f>IF(BB372="","",IF(BB372="Non-viable","Non-viable",IF(BB372="Viable","Viable",IF(BB372="Partially non-viable",IF(OR(BD372="Total splenectomy",BD372="Partial splenectomy +/- splenopexy"),"Non-viable","Review"),IF(BB372="NR",IF(OR(BD372="Total splenectomy",BD372="Partial splenectomy +/- splenopexy"),"NR - removed, check reason","NR"),"Not applicable")))))</f>
        <v/>
      </c>
    </row>
    <row r="373">
      <c r="D373" s="8" t="n"/>
      <c r="E373" s="9">
        <f>IF(B373="","",IF(B373="OWN","Yes","No"))</f>
        <v/>
      </c>
      <c r="AF373" s="9">
        <f>IF(ISNUMBER(Z373),IF(Z373&lt;=2,"&lt;=2 d",IF(Z373&lt;=7,"3-7 d",IF(Z373&lt;=30,"8-30 d","&gt;30 d"))),IF(AE373&lt;&gt;"",AE373,IF(Z373="NR","NR","")))</f>
        <v/>
      </c>
      <c r="AX373" s="9">
        <f>IF(ISNUMBER(AW373),IF(AW373&gt;450,"Yes","No"),IF(AW373="NR","NR",""))</f>
        <v/>
      </c>
      <c r="BJ373" s="9">
        <f>IF(BB373="","",IF(BB373="Non-viable","Non-viable",IF(BB373="Viable","Viable",IF(BB373="Partially non-viable",IF(OR(BD373="Total splenectomy",BD373="Partial splenectomy +/- splenopexy"),"Non-viable","Review"),IF(BB373="NR",IF(OR(BD373="Total splenectomy",BD373="Partial splenectomy +/- splenopexy"),"NR - removed, check reason","NR"),"Not applicable")))))</f>
        <v/>
      </c>
    </row>
    <row r="374">
      <c r="D374" s="8" t="n"/>
      <c r="E374" s="9">
        <f>IF(B374="","",IF(B374="OWN","Yes","No"))</f>
        <v/>
      </c>
      <c r="AF374" s="9">
        <f>IF(ISNUMBER(Z374),IF(Z374&lt;=2,"&lt;=2 d",IF(Z374&lt;=7,"3-7 d",IF(Z374&lt;=30,"8-30 d","&gt;30 d"))),IF(AE374&lt;&gt;"",AE374,IF(Z374="NR","NR","")))</f>
        <v/>
      </c>
      <c r="AX374" s="9">
        <f>IF(ISNUMBER(AW374),IF(AW374&gt;450,"Yes","No"),IF(AW374="NR","NR",""))</f>
        <v/>
      </c>
      <c r="BJ374" s="9">
        <f>IF(BB374="","",IF(BB374="Non-viable","Non-viable",IF(BB374="Viable","Viable",IF(BB374="Partially non-viable",IF(OR(BD374="Total splenectomy",BD374="Partial splenectomy +/- splenopexy"),"Non-viable","Review"),IF(BB374="NR",IF(OR(BD374="Total splenectomy",BD374="Partial splenectomy +/- splenopexy"),"NR - removed, check reason","NR"),"Not applicable")))))</f>
        <v/>
      </c>
    </row>
    <row r="375">
      <c r="D375" s="8" t="n"/>
      <c r="E375" s="9">
        <f>IF(B375="","",IF(B375="OWN","Yes","No"))</f>
        <v/>
      </c>
      <c r="AF375" s="9">
        <f>IF(ISNUMBER(Z375),IF(Z375&lt;=2,"&lt;=2 d",IF(Z375&lt;=7,"3-7 d",IF(Z375&lt;=30,"8-30 d","&gt;30 d"))),IF(AE375&lt;&gt;"",AE375,IF(Z375="NR","NR","")))</f>
        <v/>
      </c>
      <c r="AX375" s="9">
        <f>IF(ISNUMBER(AW375),IF(AW375&gt;450,"Yes","No"),IF(AW375="NR","NR",""))</f>
        <v/>
      </c>
      <c r="BJ375" s="9">
        <f>IF(BB375="","",IF(BB375="Non-viable","Non-viable",IF(BB375="Viable","Viable",IF(BB375="Partially non-viable",IF(OR(BD375="Total splenectomy",BD375="Partial splenectomy +/- splenopexy"),"Non-viable","Review"),IF(BB375="NR",IF(OR(BD375="Total splenectomy",BD375="Partial splenectomy +/- splenopexy"),"NR - removed, check reason","NR"),"Not applicable")))))</f>
        <v/>
      </c>
    </row>
    <row r="376">
      <c r="D376" s="8" t="n"/>
      <c r="E376" s="9">
        <f>IF(B376="","",IF(B376="OWN","Yes","No"))</f>
        <v/>
      </c>
      <c r="AF376" s="9">
        <f>IF(ISNUMBER(Z376),IF(Z376&lt;=2,"&lt;=2 d",IF(Z376&lt;=7,"3-7 d",IF(Z376&lt;=30,"8-30 d","&gt;30 d"))),IF(AE376&lt;&gt;"",AE376,IF(Z376="NR","NR","")))</f>
        <v/>
      </c>
      <c r="AX376" s="9">
        <f>IF(ISNUMBER(AW376),IF(AW376&gt;450,"Yes","No"),IF(AW376="NR","NR",""))</f>
        <v/>
      </c>
      <c r="BJ376" s="9">
        <f>IF(BB376="","",IF(BB376="Non-viable","Non-viable",IF(BB376="Viable","Viable",IF(BB376="Partially non-viable",IF(OR(BD376="Total splenectomy",BD376="Partial splenectomy +/- splenopexy"),"Non-viable","Review"),IF(BB376="NR",IF(OR(BD376="Total splenectomy",BD376="Partial splenectomy +/- splenopexy"),"NR - removed, check reason","NR"),"Not applicable")))))</f>
        <v/>
      </c>
    </row>
    <row r="377">
      <c r="D377" s="8" t="n"/>
      <c r="E377" s="9">
        <f>IF(B377="","",IF(B377="OWN","Yes","No"))</f>
        <v/>
      </c>
      <c r="AF377" s="9">
        <f>IF(ISNUMBER(Z377),IF(Z377&lt;=2,"&lt;=2 d",IF(Z377&lt;=7,"3-7 d",IF(Z377&lt;=30,"8-30 d","&gt;30 d"))),IF(AE377&lt;&gt;"",AE377,IF(Z377="NR","NR","")))</f>
        <v/>
      </c>
      <c r="AX377" s="9">
        <f>IF(ISNUMBER(AW377),IF(AW377&gt;450,"Yes","No"),IF(AW377="NR","NR",""))</f>
        <v/>
      </c>
      <c r="BJ377" s="9">
        <f>IF(BB377="","",IF(BB377="Non-viable","Non-viable",IF(BB377="Viable","Viable",IF(BB377="Partially non-viable",IF(OR(BD377="Total splenectomy",BD377="Partial splenectomy +/- splenopexy"),"Non-viable","Review"),IF(BB377="NR",IF(OR(BD377="Total splenectomy",BD377="Partial splenectomy +/- splenopexy"),"NR - removed, check reason","NR"),"Not applicable")))))</f>
        <v/>
      </c>
    </row>
    <row r="378">
      <c r="D378" s="8" t="n"/>
      <c r="E378" s="9">
        <f>IF(B378="","",IF(B378="OWN","Yes","No"))</f>
        <v/>
      </c>
      <c r="AF378" s="9">
        <f>IF(ISNUMBER(Z378),IF(Z378&lt;=2,"&lt;=2 d",IF(Z378&lt;=7,"3-7 d",IF(Z378&lt;=30,"8-30 d","&gt;30 d"))),IF(AE378&lt;&gt;"",AE378,IF(Z378="NR","NR","")))</f>
        <v/>
      </c>
      <c r="AX378" s="9">
        <f>IF(ISNUMBER(AW378),IF(AW378&gt;450,"Yes","No"),IF(AW378="NR","NR",""))</f>
        <v/>
      </c>
      <c r="BJ378" s="9">
        <f>IF(BB378="","",IF(BB378="Non-viable","Non-viable",IF(BB378="Viable","Viable",IF(BB378="Partially non-viable",IF(OR(BD378="Total splenectomy",BD378="Partial splenectomy +/- splenopexy"),"Non-viable","Review"),IF(BB378="NR",IF(OR(BD378="Total splenectomy",BD378="Partial splenectomy +/- splenopexy"),"NR - removed, check reason","NR"),"Not applicable")))))</f>
        <v/>
      </c>
    </row>
    <row r="379">
      <c r="D379" s="8" t="n"/>
      <c r="E379" s="9">
        <f>IF(B379="","",IF(B379="OWN","Yes","No"))</f>
        <v/>
      </c>
      <c r="AF379" s="9">
        <f>IF(ISNUMBER(Z379),IF(Z379&lt;=2,"&lt;=2 d",IF(Z379&lt;=7,"3-7 d",IF(Z379&lt;=30,"8-30 d","&gt;30 d"))),IF(AE379&lt;&gt;"",AE379,IF(Z379="NR","NR","")))</f>
        <v/>
      </c>
      <c r="AX379" s="9">
        <f>IF(ISNUMBER(AW379),IF(AW379&gt;450,"Yes","No"),IF(AW379="NR","NR",""))</f>
        <v/>
      </c>
      <c r="BJ379" s="9">
        <f>IF(BB379="","",IF(BB379="Non-viable","Non-viable",IF(BB379="Viable","Viable",IF(BB379="Partially non-viable",IF(OR(BD379="Total splenectomy",BD379="Partial splenectomy +/- splenopexy"),"Non-viable","Review"),IF(BB379="NR",IF(OR(BD379="Total splenectomy",BD379="Partial splenectomy +/- splenopexy"),"NR - removed, check reason","NR"),"Not applicable")))))</f>
        <v/>
      </c>
    </row>
    <row r="380">
      <c r="D380" s="8" t="n"/>
      <c r="E380" s="9">
        <f>IF(B380="","",IF(B380="OWN","Yes","No"))</f>
        <v/>
      </c>
      <c r="AF380" s="9">
        <f>IF(ISNUMBER(Z380),IF(Z380&lt;=2,"&lt;=2 d",IF(Z380&lt;=7,"3-7 d",IF(Z380&lt;=30,"8-30 d","&gt;30 d"))),IF(AE380&lt;&gt;"",AE380,IF(Z380="NR","NR","")))</f>
        <v/>
      </c>
      <c r="AX380" s="9">
        <f>IF(ISNUMBER(AW380),IF(AW380&gt;450,"Yes","No"),IF(AW380="NR","NR",""))</f>
        <v/>
      </c>
      <c r="BJ380" s="9">
        <f>IF(BB380="","",IF(BB380="Non-viable","Non-viable",IF(BB380="Viable","Viable",IF(BB380="Partially non-viable",IF(OR(BD380="Total splenectomy",BD380="Partial splenectomy +/- splenopexy"),"Non-viable","Review"),IF(BB380="NR",IF(OR(BD380="Total splenectomy",BD380="Partial splenectomy +/- splenopexy"),"NR - removed, check reason","NR"),"Not applicable")))))</f>
        <v/>
      </c>
    </row>
    <row r="381">
      <c r="D381" s="8" t="n"/>
      <c r="E381" s="9">
        <f>IF(B381="","",IF(B381="OWN","Yes","No"))</f>
        <v/>
      </c>
      <c r="AF381" s="9">
        <f>IF(ISNUMBER(Z381),IF(Z381&lt;=2,"&lt;=2 d",IF(Z381&lt;=7,"3-7 d",IF(Z381&lt;=30,"8-30 d","&gt;30 d"))),IF(AE381&lt;&gt;"",AE381,IF(Z381="NR","NR","")))</f>
        <v/>
      </c>
      <c r="AX381" s="9">
        <f>IF(ISNUMBER(AW381),IF(AW381&gt;450,"Yes","No"),IF(AW381="NR","NR",""))</f>
        <v/>
      </c>
      <c r="BJ381" s="9">
        <f>IF(BB381="","",IF(BB381="Non-viable","Non-viable",IF(BB381="Viable","Viable",IF(BB381="Partially non-viable",IF(OR(BD381="Total splenectomy",BD381="Partial splenectomy +/- splenopexy"),"Non-viable","Review"),IF(BB381="NR",IF(OR(BD381="Total splenectomy",BD381="Partial splenectomy +/- splenopexy"),"NR - removed, check reason","NR"),"Not applicable")))))</f>
        <v/>
      </c>
    </row>
    <row r="382">
      <c r="D382" s="8" t="n"/>
      <c r="E382" s="9">
        <f>IF(B382="","",IF(B382="OWN","Yes","No"))</f>
        <v/>
      </c>
      <c r="AF382" s="9">
        <f>IF(ISNUMBER(Z382),IF(Z382&lt;=2,"&lt;=2 d",IF(Z382&lt;=7,"3-7 d",IF(Z382&lt;=30,"8-30 d","&gt;30 d"))),IF(AE382&lt;&gt;"",AE382,IF(Z382="NR","NR","")))</f>
        <v/>
      </c>
      <c r="AX382" s="9">
        <f>IF(ISNUMBER(AW382),IF(AW382&gt;450,"Yes","No"),IF(AW382="NR","NR",""))</f>
        <v/>
      </c>
      <c r="BJ382" s="9">
        <f>IF(BB382="","",IF(BB382="Non-viable","Non-viable",IF(BB382="Viable","Viable",IF(BB382="Partially non-viable",IF(OR(BD382="Total splenectomy",BD382="Partial splenectomy +/- splenopexy"),"Non-viable","Review"),IF(BB382="NR",IF(OR(BD382="Total splenectomy",BD382="Partial splenectomy +/- splenopexy"),"NR - removed, check reason","NR"),"Not applicable")))))</f>
        <v/>
      </c>
    </row>
    <row r="383">
      <c r="D383" s="8" t="n"/>
      <c r="E383" s="9">
        <f>IF(B383="","",IF(B383="OWN","Yes","No"))</f>
        <v/>
      </c>
      <c r="AF383" s="9">
        <f>IF(ISNUMBER(Z383),IF(Z383&lt;=2,"&lt;=2 d",IF(Z383&lt;=7,"3-7 d",IF(Z383&lt;=30,"8-30 d","&gt;30 d"))),IF(AE383&lt;&gt;"",AE383,IF(Z383="NR","NR","")))</f>
        <v/>
      </c>
      <c r="AX383" s="9">
        <f>IF(ISNUMBER(AW383),IF(AW383&gt;450,"Yes","No"),IF(AW383="NR","NR",""))</f>
        <v/>
      </c>
      <c r="BJ383" s="9">
        <f>IF(BB383="","",IF(BB383="Non-viable","Non-viable",IF(BB383="Viable","Viable",IF(BB383="Partially non-viable",IF(OR(BD383="Total splenectomy",BD383="Partial splenectomy +/- splenopexy"),"Non-viable","Review"),IF(BB383="NR",IF(OR(BD383="Total splenectomy",BD383="Partial splenectomy +/- splenopexy"),"NR - removed, check reason","NR"),"Not applicable")))))</f>
        <v/>
      </c>
    </row>
    <row r="384">
      <c r="D384" s="8" t="n"/>
      <c r="E384" s="9">
        <f>IF(B384="","",IF(B384="OWN","Yes","No"))</f>
        <v/>
      </c>
      <c r="AF384" s="9">
        <f>IF(ISNUMBER(Z384),IF(Z384&lt;=2,"&lt;=2 d",IF(Z384&lt;=7,"3-7 d",IF(Z384&lt;=30,"8-30 d","&gt;30 d"))),IF(AE384&lt;&gt;"",AE384,IF(Z384="NR","NR","")))</f>
        <v/>
      </c>
      <c r="AX384" s="9">
        <f>IF(ISNUMBER(AW384),IF(AW384&gt;450,"Yes","No"),IF(AW384="NR","NR",""))</f>
        <v/>
      </c>
      <c r="BJ384" s="9">
        <f>IF(BB384="","",IF(BB384="Non-viable","Non-viable",IF(BB384="Viable","Viable",IF(BB384="Partially non-viable",IF(OR(BD384="Total splenectomy",BD384="Partial splenectomy +/- splenopexy"),"Non-viable","Review"),IF(BB384="NR",IF(OR(BD384="Total splenectomy",BD384="Partial splenectomy +/- splenopexy"),"NR - removed, check reason","NR"),"Not applicable")))))</f>
        <v/>
      </c>
    </row>
    <row r="385">
      <c r="D385" s="8" t="n"/>
      <c r="E385" s="9">
        <f>IF(B385="","",IF(B385="OWN","Yes","No"))</f>
        <v/>
      </c>
      <c r="AF385" s="9">
        <f>IF(ISNUMBER(Z385),IF(Z385&lt;=2,"&lt;=2 d",IF(Z385&lt;=7,"3-7 d",IF(Z385&lt;=30,"8-30 d","&gt;30 d"))),IF(AE385&lt;&gt;"",AE385,IF(Z385="NR","NR","")))</f>
        <v/>
      </c>
      <c r="AX385" s="9">
        <f>IF(ISNUMBER(AW385),IF(AW385&gt;450,"Yes","No"),IF(AW385="NR","NR",""))</f>
        <v/>
      </c>
      <c r="BJ385" s="9">
        <f>IF(BB385="","",IF(BB385="Non-viable","Non-viable",IF(BB385="Viable","Viable",IF(BB385="Partially non-viable",IF(OR(BD385="Total splenectomy",BD385="Partial splenectomy +/- splenopexy"),"Non-viable","Review"),IF(BB385="NR",IF(OR(BD385="Total splenectomy",BD385="Partial splenectomy +/- splenopexy"),"NR - removed, check reason","NR"),"Not applicable")))))</f>
        <v/>
      </c>
    </row>
    <row r="386">
      <c r="D386" s="8" t="n"/>
      <c r="E386" s="9">
        <f>IF(B386="","",IF(B386="OWN","Yes","No"))</f>
        <v/>
      </c>
      <c r="AF386" s="9">
        <f>IF(ISNUMBER(Z386),IF(Z386&lt;=2,"&lt;=2 d",IF(Z386&lt;=7,"3-7 d",IF(Z386&lt;=30,"8-30 d","&gt;30 d"))),IF(AE386&lt;&gt;"",AE386,IF(Z386="NR","NR","")))</f>
        <v/>
      </c>
      <c r="AX386" s="9">
        <f>IF(ISNUMBER(AW386),IF(AW386&gt;450,"Yes","No"),IF(AW386="NR","NR",""))</f>
        <v/>
      </c>
      <c r="BJ386" s="9">
        <f>IF(BB386="","",IF(BB386="Non-viable","Non-viable",IF(BB386="Viable","Viable",IF(BB386="Partially non-viable",IF(OR(BD386="Total splenectomy",BD386="Partial splenectomy +/- splenopexy"),"Non-viable","Review"),IF(BB386="NR",IF(OR(BD386="Total splenectomy",BD386="Partial splenectomy +/- splenopexy"),"NR - removed, check reason","NR"),"Not applicable")))))</f>
        <v/>
      </c>
    </row>
    <row r="387">
      <c r="D387" s="8" t="n"/>
      <c r="E387" s="9">
        <f>IF(B387="","",IF(B387="OWN","Yes","No"))</f>
        <v/>
      </c>
      <c r="AF387" s="9">
        <f>IF(ISNUMBER(Z387),IF(Z387&lt;=2,"&lt;=2 d",IF(Z387&lt;=7,"3-7 d",IF(Z387&lt;=30,"8-30 d","&gt;30 d"))),IF(AE387&lt;&gt;"",AE387,IF(Z387="NR","NR","")))</f>
        <v/>
      </c>
      <c r="AX387" s="9">
        <f>IF(ISNUMBER(AW387),IF(AW387&gt;450,"Yes","No"),IF(AW387="NR","NR",""))</f>
        <v/>
      </c>
      <c r="BJ387" s="9">
        <f>IF(BB387="","",IF(BB387="Non-viable","Non-viable",IF(BB387="Viable","Viable",IF(BB387="Partially non-viable",IF(OR(BD387="Total splenectomy",BD387="Partial splenectomy +/- splenopexy"),"Non-viable","Review"),IF(BB387="NR",IF(OR(BD387="Total splenectomy",BD387="Partial splenectomy +/- splenopexy"),"NR - removed, check reason","NR"),"Not applicable")))))</f>
        <v/>
      </c>
    </row>
    <row r="388">
      <c r="D388" s="8" t="n"/>
      <c r="E388" s="9">
        <f>IF(B388="","",IF(B388="OWN","Yes","No"))</f>
        <v/>
      </c>
      <c r="AF388" s="9">
        <f>IF(ISNUMBER(Z388),IF(Z388&lt;=2,"&lt;=2 d",IF(Z388&lt;=7,"3-7 d",IF(Z388&lt;=30,"8-30 d","&gt;30 d"))),IF(AE388&lt;&gt;"",AE388,IF(Z388="NR","NR","")))</f>
        <v/>
      </c>
      <c r="AX388" s="9">
        <f>IF(ISNUMBER(AW388),IF(AW388&gt;450,"Yes","No"),IF(AW388="NR","NR",""))</f>
        <v/>
      </c>
      <c r="BJ388" s="9">
        <f>IF(BB388="","",IF(BB388="Non-viable","Non-viable",IF(BB388="Viable","Viable",IF(BB388="Partially non-viable",IF(OR(BD388="Total splenectomy",BD388="Partial splenectomy +/- splenopexy"),"Non-viable","Review"),IF(BB388="NR",IF(OR(BD388="Total splenectomy",BD388="Partial splenectomy +/- splenopexy"),"NR - removed, check reason","NR"),"Not applicable")))))</f>
        <v/>
      </c>
    </row>
    <row r="389">
      <c r="D389" s="8" t="n"/>
      <c r="E389" s="9">
        <f>IF(B389="","",IF(B389="OWN","Yes","No"))</f>
        <v/>
      </c>
      <c r="AF389" s="9">
        <f>IF(ISNUMBER(Z389),IF(Z389&lt;=2,"&lt;=2 d",IF(Z389&lt;=7,"3-7 d",IF(Z389&lt;=30,"8-30 d","&gt;30 d"))),IF(AE389&lt;&gt;"",AE389,IF(Z389="NR","NR","")))</f>
        <v/>
      </c>
      <c r="AX389" s="9">
        <f>IF(ISNUMBER(AW389),IF(AW389&gt;450,"Yes","No"),IF(AW389="NR","NR",""))</f>
        <v/>
      </c>
      <c r="BJ389" s="9">
        <f>IF(BB389="","",IF(BB389="Non-viable","Non-viable",IF(BB389="Viable","Viable",IF(BB389="Partially non-viable",IF(OR(BD389="Total splenectomy",BD389="Partial splenectomy +/- splenopexy"),"Non-viable","Review"),IF(BB389="NR",IF(OR(BD389="Total splenectomy",BD389="Partial splenectomy +/- splenopexy"),"NR - removed, check reason","NR"),"Not applicable")))))</f>
        <v/>
      </c>
    </row>
    <row r="390">
      <c r="D390" s="8" t="n"/>
      <c r="E390" s="9">
        <f>IF(B390="","",IF(B390="OWN","Yes","No"))</f>
        <v/>
      </c>
      <c r="AF390" s="9">
        <f>IF(ISNUMBER(Z390),IF(Z390&lt;=2,"&lt;=2 d",IF(Z390&lt;=7,"3-7 d",IF(Z390&lt;=30,"8-30 d","&gt;30 d"))),IF(AE390&lt;&gt;"",AE390,IF(Z390="NR","NR","")))</f>
        <v/>
      </c>
      <c r="AX390" s="9">
        <f>IF(ISNUMBER(AW390),IF(AW390&gt;450,"Yes","No"),IF(AW390="NR","NR",""))</f>
        <v/>
      </c>
      <c r="BJ390" s="9">
        <f>IF(BB390="","",IF(BB390="Non-viable","Non-viable",IF(BB390="Viable","Viable",IF(BB390="Partially non-viable",IF(OR(BD390="Total splenectomy",BD390="Partial splenectomy +/- splenopexy"),"Non-viable","Review"),IF(BB390="NR",IF(OR(BD390="Total splenectomy",BD390="Partial splenectomy +/- splenopexy"),"NR - removed, check reason","NR"),"Not applicable")))))</f>
        <v/>
      </c>
    </row>
    <row r="391">
      <c r="D391" s="8" t="n"/>
      <c r="E391" s="9">
        <f>IF(B391="","",IF(B391="OWN","Yes","No"))</f>
        <v/>
      </c>
      <c r="AF391" s="9">
        <f>IF(ISNUMBER(Z391),IF(Z391&lt;=2,"&lt;=2 d",IF(Z391&lt;=7,"3-7 d",IF(Z391&lt;=30,"8-30 d","&gt;30 d"))),IF(AE391&lt;&gt;"",AE391,IF(Z391="NR","NR","")))</f>
        <v/>
      </c>
      <c r="AX391" s="9">
        <f>IF(ISNUMBER(AW391),IF(AW391&gt;450,"Yes","No"),IF(AW391="NR","NR",""))</f>
        <v/>
      </c>
      <c r="BJ391" s="9">
        <f>IF(BB391="","",IF(BB391="Non-viable","Non-viable",IF(BB391="Viable","Viable",IF(BB391="Partially non-viable",IF(OR(BD391="Total splenectomy",BD391="Partial splenectomy +/- splenopexy"),"Non-viable","Review"),IF(BB391="NR",IF(OR(BD391="Total splenectomy",BD391="Partial splenectomy +/- splenopexy"),"NR - removed, check reason","NR"),"Not applicable")))))</f>
        <v/>
      </c>
    </row>
    <row r="392">
      <c r="D392" s="8" t="n"/>
      <c r="E392" s="9">
        <f>IF(B392="","",IF(B392="OWN","Yes","No"))</f>
        <v/>
      </c>
      <c r="AF392" s="9">
        <f>IF(ISNUMBER(Z392),IF(Z392&lt;=2,"&lt;=2 d",IF(Z392&lt;=7,"3-7 d",IF(Z392&lt;=30,"8-30 d","&gt;30 d"))),IF(AE392&lt;&gt;"",AE392,IF(Z392="NR","NR","")))</f>
        <v/>
      </c>
      <c r="AX392" s="9">
        <f>IF(ISNUMBER(AW392),IF(AW392&gt;450,"Yes","No"),IF(AW392="NR","NR",""))</f>
        <v/>
      </c>
      <c r="BJ392" s="9">
        <f>IF(BB392="","",IF(BB392="Non-viable","Non-viable",IF(BB392="Viable","Viable",IF(BB392="Partially non-viable",IF(OR(BD392="Total splenectomy",BD392="Partial splenectomy +/- splenopexy"),"Non-viable","Review"),IF(BB392="NR",IF(OR(BD392="Total splenectomy",BD392="Partial splenectomy +/- splenopexy"),"NR - removed, check reason","NR"),"Not applicable")))))</f>
        <v/>
      </c>
    </row>
    <row r="393">
      <c r="D393" s="8" t="n"/>
      <c r="E393" s="9">
        <f>IF(B393="","",IF(B393="OWN","Yes","No"))</f>
        <v/>
      </c>
      <c r="AF393" s="9">
        <f>IF(ISNUMBER(Z393),IF(Z393&lt;=2,"&lt;=2 d",IF(Z393&lt;=7,"3-7 d",IF(Z393&lt;=30,"8-30 d","&gt;30 d"))),IF(AE393&lt;&gt;"",AE393,IF(Z393="NR","NR","")))</f>
        <v/>
      </c>
      <c r="AX393" s="9">
        <f>IF(ISNUMBER(AW393),IF(AW393&gt;450,"Yes","No"),IF(AW393="NR","NR",""))</f>
        <v/>
      </c>
      <c r="BJ393" s="9">
        <f>IF(BB393="","",IF(BB393="Non-viable","Non-viable",IF(BB393="Viable","Viable",IF(BB393="Partially non-viable",IF(OR(BD393="Total splenectomy",BD393="Partial splenectomy +/- splenopexy"),"Non-viable","Review"),IF(BB393="NR",IF(OR(BD393="Total splenectomy",BD393="Partial splenectomy +/- splenopexy"),"NR - removed, check reason","NR"),"Not applicable")))))</f>
        <v/>
      </c>
    </row>
    <row r="394">
      <c r="D394" s="8" t="n"/>
      <c r="E394" s="9">
        <f>IF(B394="","",IF(B394="OWN","Yes","No"))</f>
        <v/>
      </c>
      <c r="AF394" s="9">
        <f>IF(ISNUMBER(Z394),IF(Z394&lt;=2,"&lt;=2 d",IF(Z394&lt;=7,"3-7 d",IF(Z394&lt;=30,"8-30 d","&gt;30 d"))),IF(AE394&lt;&gt;"",AE394,IF(Z394="NR","NR","")))</f>
        <v/>
      </c>
      <c r="AX394" s="9">
        <f>IF(ISNUMBER(AW394),IF(AW394&gt;450,"Yes","No"),IF(AW394="NR","NR",""))</f>
        <v/>
      </c>
      <c r="BJ394" s="9">
        <f>IF(BB394="","",IF(BB394="Non-viable","Non-viable",IF(BB394="Viable","Viable",IF(BB394="Partially non-viable",IF(OR(BD394="Total splenectomy",BD394="Partial splenectomy +/- splenopexy"),"Non-viable","Review"),IF(BB394="NR",IF(OR(BD394="Total splenectomy",BD394="Partial splenectomy +/- splenopexy"),"NR - removed, check reason","NR"),"Not applicable")))))</f>
        <v/>
      </c>
    </row>
    <row r="395">
      <c r="D395" s="8" t="n"/>
      <c r="E395" s="9">
        <f>IF(B395="","",IF(B395="OWN","Yes","No"))</f>
        <v/>
      </c>
      <c r="AF395" s="9">
        <f>IF(ISNUMBER(Z395),IF(Z395&lt;=2,"&lt;=2 d",IF(Z395&lt;=7,"3-7 d",IF(Z395&lt;=30,"8-30 d","&gt;30 d"))),IF(AE395&lt;&gt;"",AE395,IF(Z395="NR","NR","")))</f>
        <v/>
      </c>
      <c r="AX395" s="9">
        <f>IF(ISNUMBER(AW395),IF(AW395&gt;450,"Yes","No"),IF(AW395="NR","NR",""))</f>
        <v/>
      </c>
      <c r="BJ395" s="9">
        <f>IF(BB395="","",IF(BB395="Non-viable","Non-viable",IF(BB395="Viable","Viable",IF(BB395="Partially non-viable",IF(OR(BD395="Total splenectomy",BD395="Partial splenectomy +/- splenopexy"),"Non-viable","Review"),IF(BB395="NR",IF(OR(BD395="Total splenectomy",BD395="Partial splenectomy +/- splenopexy"),"NR - removed, check reason","NR"),"Not applicable")))))</f>
        <v/>
      </c>
    </row>
    <row r="396">
      <c r="D396" s="8" t="n"/>
      <c r="E396" s="9">
        <f>IF(B396="","",IF(B396="OWN","Yes","No"))</f>
        <v/>
      </c>
      <c r="AF396" s="9">
        <f>IF(ISNUMBER(Z396),IF(Z396&lt;=2,"&lt;=2 d",IF(Z396&lt;=7,"3-7 d",IF(Z396&lt;=30,"8-30 d","&gt;30 d"))),IF(AE396&lt;&gt;"",AE396,IF(Z396="NR","NR","")))</f>
        <v/>
      </c>
      <c r="AX396" s="9">
        <f>IF(ISNUMBER(AW396),IF(AW396&gt;450,"Yes","No"),IF(AW396="NR","NR",""))</f>
        <v/>
      </c>
      <c r="BJ396" s="9">
        <f>IF(BB396="","",IF(BB396="Non-viable","Non-viable",IF(BB396="Viable","Viable",IF(BB396="Partially non-viable",IF(OR(BD396="Total splenectomy",BD396="Partial splenectomy +/- splenopexy"),"Non-viable","Review"),IF(BB396="NR",IF(OR(BD396="Total splenectomy",BD396="Partial splenectomy +/- splenopexy"),"NR - removed, check reason","NR"),"Not applicable")))))</f>
        <v/>
      </c>
    </row>
    <row r="397">
      <c r="D397" s="8" t="n"/>
      <c r="E397" s="9">
        <f>IF(B397="","",IF(B397="OWN","Yes","No"))</f>
        <v/>
      </c>
      <c r="AF397" s="9">
        <f>IF(ISNUMBER(Z397),IF(Z397&lt;=2,"&lt;=2 d",IF(Z397&lt;=7,"3-7 d",IF(Z397&lt;=30,"8-30 d","&gt;30 d"))),IF(AE397&lt;&gt;"",AE397,IF(Z397="NR","NR","")))</f>
        <v/>
      </c>
      <c r="AX397" s="9">
        <f>IF(ISNUMBER(AW397),IF(AW397&gt;450,"Yes","No"),IF(AW397="NR","NR",""))</f>
        <v/>
      </c>
      <c r="BJ397" s="9">
        <f>IF(BB397="","",IF(BB397="Non-viable","Non-viable",IF(BB397="Viable","Viable",IF(BB397="Partially non-viable",IF(OR(BD397="Total splenectomy",BD397="Partial splenectomy +/- splenopexy"),"Non-viable","Review"),IF(BB397="NR",IF(OR(BD397="Total splenectomy",BD397="Partial splenectomy +/- splenopexy"),"NR - removed, check reason","NR"),"Not applicable")))))</f>
        <v/>
      </c>
    </row>
    <row r="398">
      <c r="D398" s="8" t="n"/>
      <c r="E398" s="9">
        <f>IF(B398="","",IF(B398="OWN","Yes","No"))</f>
        <v/>
      </c>
      <c r="AF398" s="9">
        <f>IF(ISNUMBER(Z398),IF(Z398&lt;=2,"&lt;=2 d",IF(Z398&lt;=7,"3-7 d",IF(Z398&lt;=30,"8-30 d","&gt;30 d"))),IF(AE398&lt;&gt;"",AE398,IF(Z398="NR","NR","")))</f>
        <v/>
      </c>
      <c r="AX398" s="9">
        <f>IF(ISNUMBER(AW398),IF(AW398&gt;450,"Yes","No"),IF(AW398="NR","NR",""))</f>
        <v/>
      </c>
      <c r="BJ398" s="9">
        <f>IF(BB398="","",IF(BB398="Non-viable","Non-viable",IF(BB398="Viable","Viable",IF(BB398="Partially non-viable",IF(OR(BD398="Total splenectomy",BD398="Partial splenectomy +/- splenopexy"),"Non-viable","Review"),IF(BB398="NR",IF(OR(BD398="Total splenectomy",BD398="Partial splenectomy +/- splenopexy"),"NR - removed, check reason","NR"),"Not applicable")))))</f>
        <v/>
      </c>
    </row>
    <row r="399">
      <c r="D399" s="8" t="n"/>
      <c r="E399" s="9">
        <f>IF(B399="","",IF(B399="OWN","Yes","No"))</f>
        <v/>
      </c>
      <c r="AF399" s="9">
        <f>IF(ISNUMBER(Z399),IF(Z399&lt;=2,"&lt;=2 d",IF(Z399&lt;=7,"3-7 d",IF(Z399&lt;=30,"8-30 d","&gt;30 d"))),IF(AE399&lt;&gt;"",AE399,IF(Z399="NR","NR","")))</f>
        <v/>
      </c>
      <c r="AX399" s="9">
        <f>IF(ISNUMBER(AW399),IF(AW399&gt;450,"Yes","No"),IF(AW399="NR","NR",""))</f>
        <v/>
      </c>
      <c r="BJ399" s="9">
        <f>IF(BB399="","",IF(BB399="Non-viable","Non-viable",IF(BB399="Viable","Viable",IF(BB399="Partially non-viable",IF(OR(BD399="Total splenectomy",BD399="Partial splenectomy +/- splenopexy"),"Non-viable","Review"),IF(BB399="NR",IF(OR(BD399="Total splenectomy",BD399="Partial splenectomy +/- splenopexy"),"NR - removed, check reason","NR"),"Not applicable")))))</f>
        <v/>
      </c>
    </row>
    <row r="400">
      <c r="D400" s="8" t="n"/>
      <c r="E400" s="9">
        <f>IF(B400="","",IF(B400="OWN","Yes","No"))</f>
        <v/>
      </c>
      <c r="AF400" s="9">
        <f>IF(ISNUMBER(Z400),IF(Z400&lt;=2,"&lt;=2 d",IF(Z400&lt;=7,"3-7 d",IF(Z400&lt;=30,"8-30 d","&gt;30 d"))),IF(AE400&lt;&gt;"",AE400,IF(Z400="NR","NR","")))</f>
        <v/>
      </c>
      <c r="AX400" s="9">
        <f>IF(ISNUMBER(AW400),IF(AW400&gt;450,"Yes","No"),IF(AW400="NR","NR",""))</f>
        <v/>
      </c>
      <c r="BJ400" s="9">
        <f>IF(BB400="","",IF(BB400="Non-viable","Non-viable",IF(BB400="Viable","Viable",IF(BB400="Partially non-viable",IF(OR(BD400="Total splenectomy",BD400="Partial splenectomy +/- splenopexy"),"Non-viable","Review"),IF(BB400="NR",IF(OR(BD400="Total splenectomy",BD400="Partial splenectomy +/- splenopexy"),"NR - removed, check reason","NR"),"Not applicable")))))</f>
        <v/>
      </c>
    </row>
    <row r="401">
      <c r="D401" s="8" t="n"/>
      <c r="E401" s="9">
        <f>IF(B401="","",IF(B401="OWN","Yes","No"))</f>
        <v/>
      </c>
      <c r="AF401" s="9">
        <f>IF(ISNUMBER(Z401),IF(Z401&lt;=2,"&lt;=2 d",IF(Z401&lt;=7,"3-7 d",IF(Z401&lt;=30,"8-30 d","&gt;30 d"))),IF(AE401&lt;&gt;"",AE401,IF(Z401="NR","NR","")))</f>
        <v/>
      </c>
      <c r="AX401" s="9">
        <f>IF(ISNUMBER(AW401),IF(AW401&gt;450,"Yes","No"),IF(AW401="NR","NR",""))</f>
        <v/>
      </c>
      <c r="BJ401" s="9">
        <f>IF(BB401="","",IF(BB401="Non-viable","Non-viable",IF(BB401="Viable","Viable",IF(BB401="Partially non-viable",IF(OR(BD401="Total splenectomy",BD401="Partial splenectomy +/- splenopexy"),"Non-viable","Review"),IF(BB401="NR",IF(OR(BD401="Total splenectomy",BD401="Partial splenectomy +/- splenopexy"),"NR - removed, check reason","NR"),"Not applicable")))))</f>
        <v/>
      </c>
    </row>
    <row r="402">
      <c r="D402" s="8" t="n"/>
      <c r="E402" s="9">
        <f>IF(B402="","",IF(B402="OWN","Yes","No"))</f>
        <v/>
      </c>
      <c r="AF402" s="9">
        <f>IF(ISNUMBER(Z402),IF(Z402&lt;=2,"&lt;=2 d",IF(Z402&lt;=7,"3-7 d",IF(Z402&lt;=30,"8-30 d","&gt;30 d"))),IF(AE402&lt;&gt;"",AE402,IF(Z402="NR","NR","")))</f>
        <v/>
      </c>
      <c r="AX402" s="9">
        <f>IF(ISNUMBER(AW402),IF(AW402&gt;450,"Yes","No"),IF(AW402="NR","NR",""))</f>
        <v/>
      </c>
      <c r="BJ402" s="9">
        <f>IF(BB402="","",IF(BB402="Non-viable","Non-viable",IF(BB402="Viable","Viable",IF(BB402="Partially non-viable",IF(OR(BD402="Total splenectomy",BD402="Partial splenectomy +/- splenopexy"),"Non-viable","Review"),IF(BB402="NR",IF(OR(BD402="Total splenectomy",BD402="Partial splenectomy +/- splenopexy"),"NR - removed, check reason","NR"),"Not applicable")))))</f>
        <v/>
      </c>
    </row>
    <row r="403">
      <c r="D403" s="8" t="n"/>
      <c r="E403" s="9">
        <f>IF(B403="","",IF(B403="OWN","Yes","No"))</f>
        <v/>
      </c>
      <c r="AF403" s="9">
        <f>IF(ISNUMBER(Z403),IF(Z403&lt;=2,"&lt;=2 d",IF(Z403&lt;=7,"3-7 d",IF(Z403&lt;=30,"8-30 d","&gt;30 d"))),IF(AE403&lt;&gt;"",AE403,IF(Z403="NR","NR","")))</f>
        <v/>
      </c>
      <c r="AX403" s="9">
        <f>IF(ISNUMBER(AW403),IF(AW403&gt;450,"Yes","No"),IF(AW403="NR","NR",""))</f>
        <v/>
      </c>
      <c r="BJ403" s="9">
        <f>IF(BB403="","",IF(BB403="Non-viable","Non-viable",IF(BB403="Viable","Viable",IF(BB403="Partially non-viable",IF(OR(BD403="Total splenectomy",BD403="Partial splenectomy +/- splenopexy"),"Non-viable","Review"),IF(BB403="NR",IF(OR(BD403="Total splenectomy",BD403="Partial splenectomy +/- splenopexy"),"NR - removed, check reason","NR"),"Not applicable")))))</f>
        <v/>
      </c>
    </row>
    <row r="404">
      <c r="D404" s="8" t="n"/>
      <c r="E404" s="9">
        <f>IF(B404="","",IF(B404="OWN","Yes","No"))</f>
        <v/>
      </c>
      <c r="AF404" s="9">
        <f>IF(ISNUMBER(Z404),IF(Z404&lt;=2,"&lt;=2 d",IF(Z404&lt;=7,"3-7 d",IF(Z404&lt;=30,"8-30 d","&gt;30 d"))),IF(AE404&lt;&gt;"",AE404,IF(Z404="NR","NR","")))</f>
        <v/>
      </c>
      <c r="AX404" s="9">
        <f>IF(ISNUMBER(AW404),IF(AW404&gt;450,"Yes","No"),IF(AW404="NR","NR",""))</f>
        <v/>
      </c>
      <c r="BJ404" s="9">
        <f>IF(BB404="","",IF(BB404="Non-viable","Non-viable",IF(BB404="Viable","Viable",IF(BB404="Partially non-viable",IF(OR(BD404="Total splenectomy",BD404="Partial splenectomy +/- splenopexy"),"Non-viable","Review"),IF(BB404="NR",IF(OR(BD404="Total splenectomy",BD404="Partial splenectomy +/- splenopexy"),"NR - removed, check reason","NR"),"Not applicable")))))</f>
        <v/>
      </c>
    </row>
    <row r="405">
      <c r="D405" s="8" t="n"/>
      <c r="E405" s="9">
        <f>IF(B405="","",IF(B405="OWN","Yes","No"))</f>
        <v/>
      </c>
      <c r="AF405" s="9">
        <f>IF(ISNUMBER(Z405),IF(Z405&lt;=2,"&lt;=2 d",IF(Z405&lt;=7,"3-7 d",IF(Z405&lt;=30,"8-30 d","&gt;30 d"))),IF(AE405&lt;&gt;"",AE405,IF(Z405="NR","NR","")))</f>
        <v/>
      </c>
      <c r="AX405" s="9">
        <f>IF(ISNUMBER(AW405),IF(AW405&gt;450,"Yes","No"),IF(AW405="NR","NR",""))</f>
        <v/>
      </c>
      <c r="BJ405" s="9">
        <f>IF(BB405="","",IF(BB405="Non-viable","Non-viable",IF(BB405="Viable","Viable",IF(BB405="Partially non-viable",IF(OR(BD405="Total splenectomy",BD405="Partial splenectomy +/- splenopexy"),"Non-viable","Review"),IF(BB405="NR",IF(OR(BD405="Total splenectomy",BD405="Partial splenectomy +/- splenopexy"),"NR - removed, check reason","NR"),"Not applicable")))))</f>
        <v/>
      </c>
    </row>
    <row r="406">
      <c r="D406" s="8" t="n"/>
      <c r="E406" s="9">
        <f>IF(B406="","",IF(B406="OWN","Yes","No"))</f>
        <v/>
      </c>
      <c r="AF406" s="9">
        <f>IF(ISNUMBER(Z406),IF(Z406&lt;=2,"&lt;=2 d",IF(Z406&lt;=7,"3-7 d",IF(Z406&lt;=30,"8-30 d","&gt;30 d"))),IF(AE406&lt;&gt;"",AE406,IF(Z406="NR","NR","")))</f>
        <v/>
      </c>
      <c r="AX406" s="9">
        <f>IF(ISNUMBER(AW406),IF(AW406&gt;450,"Yes","No"),IF(AW406="NR","NR",""))</f>
        <v/>
      </c>
      <c r="BJ406" s="9">
        <f>IF(BB406="","",IF(BB406="Non-viable","Non-viable",IF(BB406="Viable","Viable",IF(BB406="Partially non-viable",IF(OR(BD406="Total splenectomy",BD406="Partial splenectomy +/- splenopexy"),"Non-viable","Review"),IF(BB406="NR",IF(OR(BD406="Total splenectomy",BD406="Partial splenectomy +/- splenopexy"),"NR - removed, check reason","NR"),"Not applicable")))))</f>
        <v/>
      </c>
    </row>
    <row r="407">
      <c r="D407" s="8" t="n"/>
      <c r="E407" s="9">
        <f>IF(B407="","",IF(B407="OWN","Yes","No"))</f>
        <v/>
      </c>
      <c r="AF407" s="9">
        <f>IF(ISNUMBER(Z407),IF(Z407&lt;=2,"&lt;=2 d",IF(Z407&lt;=7,"3-7 d",IF(Z407&lt;=30,"8-30 d","&gt;30 d"))),IF(AE407&lt;&gt;"",AE407,IF(Z407="NR","NR","")))</f>
        <v/>
      </c>
      <c r="AX407" s="9">
        <f>IF(ISNUMBER(AW407),IF(AW407&gt;450,"Yes","No"),IF(AW407="NR","NR",""))</f>
        <v/>
      </c>
      <c r="BJ407" s="9">
        <f>IF(BB407="","",IF(BB407="Non-viable","Non-viable",IF(BB407="Viable","Viable",IF(BB407="Partially non-viable",IF(OR(BD407="Total splenectomy",BD407="Partial splenectomy +/- splenopexy"),"Non-viable","Review"),IF(BB407="NR",IF(OR(BD407="Total splenectomy",BD407="Partial splenectomy +/- splenopexy"),"NR - removed, check reason","NR"),"Not applicable")))))</f>
        <v/>
      </c>
    </row>
    <row r="408">
      <c r="D408" s="8" t="n"/>
      <c r="E408" s="9">
        <f>IF(B408="","",IF(B408="OWN","Yes","No"))</f>
        <v/>
      </c>
      <c r="AF408" s="9">
        <f>IF(ISNUMBER(Z408),IF(Z408&lt;=2,"&lt;=2 d",IF(Z408&lt;=7,"3-7 d",IF(Z408&lt;=30,"8-30 d","&gt;30 d"))),IF(AE408&lt;&gt;"",AE408,IF(Z408="NR","NR","")))</f>
        <v/>
      </c>
      <c r="AX408" s="9">
        <f>IF(ISNUMBER(AW408),IF(AW408&gt;450,"Yes","No"),IF(AW408="NR","NR",""))</f>
        <v/>
      </c>
      <c r="BJ408" s="9">
        <f>IF(BB408="","",IF(BB408="Non-viable","Non-viable",IF(BB408="Viable","Viable",IF(BB408="Partially non-viable",IF(OR(BD408="Total splenectomy",BD408="Partial splenectomy +/- splenopexy"),"Non-viable","Review"),IF(BB408="NR",IF(OR(BD408="Total splenectomy",BD408="Partial splenectomy +/- splenopexy"),"NR - removed, check reason","NR"),"Not applicable")))))</f>
        <v/>
      </c>
    </row>
    <row r="409">
      <c r="D409" s="8" t="n"/>
      <c r="E409" s="9">
        <f>IF(B409="","",IF(B409="OWN","Yes","No"))</f>
        <v/>
      </c>
      <c r="AF409" s="9">
        <f>IF(ISNUMBER(Z409),IF(Z409&lt;=2,"&lt;=2 d",IF(Z409&lt;=7,"3-7 d",IF(Z409&lt;=30,"8-30 d","&gt;30 d"))),IF(AE409&lt;&gt;"",AE409,IF(Z409="NR","NR","")))</f>
        <v/>
      </c>
      <c r="AX409" s="9">
        <f>IF(ISNUMBER(AW409),IF(AW409&gt;450,"Yes","No"),IF(AW409="NR","NR",""))</f>
        <v/>
      </c>
      <c r="BJ409" s="9">
        <f>IF(BB409="","",IF(BB409="Non-viable","Non-viable",IF(BB409="Viable","Viable",IF(BB409="Partially non-viable",IF(OR(BD409="Total splenectomy",BD409="Partial splenectomy +/- splenopexy"),"Non-viable","Review"),IF(BB409="NR",IF(OR(BD409="Total splenectomy",BD409="Partial splenectomy +/- splenopexy"),"NR - removed, check reason","NR"),"Not applicable")))))</f>
        <v/>
      </c>
    </row>
    <row r="410">
      <c r="D410" s="8" t="n"/>
      <c r="E410" s="9">
        <f>IF(B410="","",IF(B410="OWN","Yes","No"))</f>
        <v/>
      </c>
      <c r="AF410" s="9">
        <f>IF(ISNUMBER(Z410),IF(Z410&lt;=2,"&lt;=2 d",IF(Z410&lt;=7,"3-7 d",IF(Z410&lt;=30,"8-30 d","&gt;30 d"))),IF(AE410&lt;&gt;"",AE410,IF(Z410="NR","NR","")))</f>
        <v/>
      </c>
      <c r="AX410" s="9">
        <f>IF(ISNUMBER(AW410),IF(AW410&gt;450,"Yes","No"),IF(AW410="NR","NR",""))</f>
        <v/>
      </c>
      <c r="BJ410" s="9">
        <f>IF(BB410="","",IF(BB410="Non-viable","Non-viable",IF(BB410="Viable","Viable",IF(BB410="Partially non-viable",IF(OR(BD410="Total splenectomy",BD410="Partial splenectomy +/- splenopexy"),"Non-viable","Review"),IF(BB410="NR",IF(OR(BD410="Total splenectomy",BD410="Partial splenectomy +/- splenopexy"),"NR - removed, check reason","NR"),"Not applicable")))))</f>
        <v/>
      </c>
    </row>
    <row r="411">
      <c r="D411" s="8" t="n"/>
      <c r="E411" s="9">
        <f>IF(B411="","",IF(B411="OWN","Yes","No"))</f>
        <v/>
      </c>
      <c r="AF411" s="9">
        <f>IF(ISNUMBER(Z411),IF(Z411&lt;=2,"&lt;=2 d",IF(Z411&lt;=7,"3-7 d",IF(Z411&lt;=30,"8-30 d","&gt;30 d"))),IF(AE411&lt;&gt;"",AE411,IF(Z411="NR","NR","")))</f>
        <v/>
      </c>
      <c r="AX411" s="9">
        <f>IF(ISNUMBER(AW411),IF(AW411&gt;450,"Yes","No"),IF(AW411="NR","NR",""))</f>
        <v/>
      </c>
      <c r="BJ411" s="9">
        <f>IF(BB411="","",IF(BB411="Non-viable","Non-viable",IF(BB411="Viable","Viable",IF(BB411="Partially non-viable",IF(OR(BD411="Total splenectomy",BD411="Partial splenectomy +/- splenopexy"),"Non-viable","Review"),IF(BB411="NR",IF(OR(BD411="Total splenectomy",BD411="Partial splenectomy +/- splenopexy"),"NR - removed, check reason","NR"),"Not applicable")))))</f>
        <v/>
      </c>
    </row>
    <row r="412">
      <c r="D412" s="8" t="n"/>
      <c r="E412" s="9">
        <f>IF(B412="","",IF(B412="OWN","Yes","No"))</f>
        <v/>
      </c>
      <c r="AF412" s="9">
        <f>IF(ISNUMBER(Z412),IF(Z412&lt;=2,"&lt;=2 d",IF(Z412&lt;=7,"3-7 d",IF(Z412&lt;=30,"8-30 d","&gt;30 d"))),IF(AE412&lt;&gt;"",AE412,IF(Z412="NR","NR","")))</f>
        <v/>
      </c>
      <c r="AX412" s="9">
        <f>IF(ISNUMBER(AW412),IF(AW412&gt;450,"Yes","No"),IF(AW412="NR","NR",""))</f>
        <v/>
      </c>
      <c r="BJ412" s="9">
        <f>IF(BB412="","",IF(BB412="Non-viable","Non-viable",IF(BB412="Viable","Viable",IF(BB412="Partially non-viable",IF(OR(BD412="Total splenectomy",BD412="Partial splenectomy +/- splenopexy"),"Non-viable","Review"),IF(BB412="NR",IF(OR(BD412="Total splenectomy",BD412="Partial splenectomy +/- splenopexy"),"NR - removed, check reason","NR"),"Not applicable")))))</f>
        <v/>
      </c>
    </row>
    <row r="413">
      <c r="D413" s="8" t="n"/>
      <c r="E413" s="9">
        <f>IF(B413="","",IF(B413="OWN","Yes","No"))</f>
        <v/>
      </c>
      <c r="AF413" s="9">
        <f>IF(ISNUMBER(Z413),IF(Z413&lt;=2,"&lt;=2 d",IF(Z413&lt;=7,"3-7 d",IF(Z413&lt;=30,"8-30 d","&gt;30 d"))),IF(AE413&lt;&gt;"",AE413,IF(Z413="NR","NR","")))</f>
        <v/>
      </c>
      <c r="AX413" s="9">
        <f>IF(ISNUMBER(AW413),IF(AW413&gt;450,"Yes","No"),IF(AW413="NR","NR",""))</f>
        <v/>
      </c>
      <c r="BJ413" s="9">
        <f>IF(BB413="","",IF(BB413="Non-viable","Non-viable",IF(BB413="Viable","Viable",IF(BB413="Partially non-viable",IF(OR(BD413="Total splenectomy",BD413="Partial splenectomy +/- splenopexy"),"Non-viable","Review"),IF(BB413="NR",IF(OR(BD413="Total splenectomy",BD413="Partial splenectomy +/- splenopexy"),"NR - removed, check reason","NR"),"Not applicable")))))</f>
        <v/>
      </c>
    </row>
    <row r="414">
      <c r="D414" s="8" t="n"/>
      <c r="E414" s="9">
        <f>IF(B414="","",IF(B414="OWN","Yes","No"))</f>
        <v/>
      </c>
      <c r="AF414" s="9">
        <f>IF(ISNUMBER(Z414),IF(Z414&lt;=2,"&lt;=2 d",IF(Z414&lt;=7,"3-7 d",IF(Z414&lt;=30,"8-30 d","&gt;30 d"))),IF(AE414&lt;&gt;"",AE414,IF(Z414="NR","NR","")))</f>
        <v/>
      </c>
      <c r="AX414" s="9">
        <f>IF(ISNUMBER(AW414),IF(AW414&gt;450,"Yes","No"),IF(AW414="NR","NR",""))</f>
        <v/>
      </c>
      <c r="BJ414" s="9">
        <f>IF(BB414="","",IF(BB414="Non-viable","Non-viable",IF(BB414="Viable","Viable",IF(BB414="Partially non-viable",IF(OR(BD414="Total splenectomy",BD414="Partial splenectomy +/- splenopexy"),"Non-viable","Review"),IF(BB414="NR",IF(OR(BD414="Total splenectomy",BD414="Partial splenectomy +/- splenopexy"),"NR - removed, check reason","NR"),"Not applicable")))))</f>
        <v/>
      </c>
    </row>
    <row r="415">
      <c r="D415" s="8" t="n"/>
      <c r="E415" s="9">
        <f>IF(B415="","",IF(B415="OWN","Yes","No"))</f>
        <v/>
      </c>
      <c r="AF415" s="9">
        <f>IF(ISNUMBER(Z415),IF(Z415&lt;=2,"&lt;=2 d",IF(Z415&lt;=7,"3-7 d",IF(Z415&lt;=30,"8-30 d","&gt;30 d"))),IF(AE415&lt;&gt;"",AE415,IF(Z415="NR","NR","")))</f>
        <v/>
      </c>
      <c r="AX415" s="9">
        <f>IF(ISNUMBER(AW415),IF(AW415&gt;450,"Yes","No"),IF(AW415="NR","NR",""))</f>
        <v/>
      </c>
      <c r="BJ415" s="9">
        <f>IF(BB415="","",IF(BB415="Non-viable","Non-viable",IF(BB415="Viable","Viable",IF(BB415="Partially non-viable",IF(OR(BD415="Total splenectomy",BD415="Partial splenectomy +/- splenopexy"),"Non-viable","Review"),IF(BB415="NR",IF(OR(BD415="Total splenectomy",BD415="Partial splenectomy +/- splenopexy"),"NR - removed, check reason","NR"),"Not applicable")))))</f>
        <v/>
      </c>
    </row>
    <row r="416">
      <c r="D416" s="8" t="n"/>
      <c r="E416" s="9">
        <f>IF(B416="","",IF(B416="OWN","Yes","No"))</f>
        <v/>
      </c>
      <c r="AF416" s="9">
        <f>IF(ISNUMBER(Z416),IF(Z416&lt;=2,"&lt;=2 d",IF(Z416&lt;=7,"3-7 d",IF(Z416&lt;=30,"8-30 d","&gt;30 d"))),IF(AE416&lt;&gt;"",AE416,IF(Z416="NR","NR","")))</f>
        <v/>
      </c>
      <c r="AX416" s="9">
        <f>IF(ISNUMBER(AW416),IF(AW416&gt;450,"Yes","No"),IF(AW416="NR","NR",""))</f>
        <v/>
      </c>
      <c r="BJ416" s="9">
        <f>IF(BB416="","",IF(BB416="Non-viable","Non-viable",IF(BB416="Viable","Viable",IF(BB416="Partially non-viable",IF(OR(BD416="Total splenectomy",BD416="Partial splenectomy +/- splenopexy"),"Non-viable","Review"),IF(BB416="NR",IF(OR(BD416="Total splenectomy",BD416="Partial splenectomy +/- splenopexy"),"NR - removed, check reason","NR"),"Not applicable")))))</f>
        <v/>
      </c>
    </row>
    <row r="417">
      <c r="D417" s="8" t="n"/>
      <c r="E417" s="9">
        <f>IF(B417="","",IF(B417="OWN","Yes","No"))</f>
        <v/>
      </c>
      <c r="AF417" s="9">
        <f>IF(ISNUMBER(Z417),IF(Z417&lt;=2,"&lt;=2 d",IF(Z417&lt;=7,"3-7 d",IF(Z417&lt;=30,"8-30 d","&gt;30 d"))),IF(AE417&lt;&gt;"",AE417,IF(Z417="NR","NR","")))</f>
        <v/>
      </c>
      <c r="AX417" s="9">
        <f>IF(ISNUMBER(AW417),IF(AW417&gt;450,"Yes","No"),IF(AW417="NR","NR",""))</f>
        <v/>
      </c>
      <c r="BJ417" s="9">
        <f>IF(BB417="","",IF(BB417="Non-viable","Non-viable",IF(BB417="Viable","Viable",IF(BB417="Partially non-viable",IF(OR(BD417="Total splenectomy",BD417="Partial splenectomy +/- splenopexy"),"Non-viable","Review"),IF(BB417="NR",IF(OR(BD417="Total splenectomy",BD417="Partial splenectomy +/- splenopexy"),"NR - removed, check reason","NR"),"Not applicable")))))</f>
        <v/>
      </c>
    </row>
    <row r="418">
      <c r="D418" s="8" t="n"/>
      <c r="E418" s="9">
        <f>IF(B418="","",IF(B418="OWN","Yes","No"))</f>
        <v/>
      </c>
      <c r="AF418" s="9">
        <f>IF(ISNUMBER(Z418),IF(Z418&lt;=2,"&lt;=2 d",IF(Z418&lt;=7,"3-7 d",IF(Z418&lt;=30,"8-30 d","&gt;30 d"))),IF(AE418&lt;&gt;"",AE418,IF(Z418="NR","NR","")))</f>
        <v/>
      </c>
      <c r="AX418" s="9">
        <f>IF(ISNUMBER(AW418),IF(AW418&gt;450,"Yes","No"),IF(AW418="NR","NR",""))</f>
        <v/>
      </c>
      <c r="BJ418" s="9">
        <f>IF(BB418="","",IF(BB418="Non-viable","Non-viable",IF(BB418="Viable","Viable",IF(BB418="Partially non-viable",IF(OR(BD418="Total splenectomy",BD418="Partial splenectomy +/- splenopexy"),"Non-viable","Review"),IF(BB418="NR",IF(OR(BD418="Total splenectomy",BD418="Partial splenectomy +/- splenopexy"),"NR - removed, check reason","NR"),"Not applicable")))))</f>
        <v/>
      </c>
    </row>
    <row r="419">
      <c r="D419" s="8" t="n"/>
      <c r="E419" s="9">
        <f>IF(B419="","",IF(B419="OWN","Yes","No"))</f>
        <v/>
      </c>
      <c r="AF419" s="9">
        <f>IF(ISNUMBER(Z419),IF(Z419&lt;=2,"&lt;=2 d",IF(Z419&lt;=7,"3-7 d",IF(Z419&lt;=30,"8-30 d","&gt;30 d"))),IF(AE419&lt;&gt;"",AE419,IF(Z419="NR","NR","")))</f>
        <v/>
      </c>
      <c r="AX419" s="9">
        <f>IF(ISNUMBER(AW419),IF(AW419&gt;450,"Yes","No"),IF(AW419="NR","NR",""))</f>
        <v/>
      </c>
      <c r="BJ419" s="9">
        <f>IF(BB419="","",IF(BB419="Non-viable","Non-viable",IF(BB419="Viable","Viable",IF(BB419="Partially non-viable",IF(OR(BD419="Total splenectomy",BD419="Partial splenectomy +/- splenopexy"),"Non-viable","Review"),IF(BB419="NR",IF(OR(BD419="Total splenectomy",BD419="Partial splenectomy +/- splenopexy"),"NR - removed, check reason","NR"),"Not applicable")))))</f>
        <v/>
      </c>
    </row>
    <row r="420">
      <c r="D420" s="8" t="n"/>
      <c r="E420" s="9">
        <f>IF(B420="","",IF(B420="OWN","Yes","No"))</f>
        <v/>
      </c>
      <c r="AF420" s="9">
        <f>IF(ISNUMBER(Z420),IF(Z420&lt;=2,"&lt;=2 d",IF(Z420&lt;=7,"3-7 d",IF(Z420&lt;=30,"8-30 d","&gt;30 d"))),IF(AE420&lt;&gt;"",AE420,IF(Z420="NR","NR","")))</f>
        <v/>
      </c>
      <c r="AX420" s="9">
        <f>IF(ISNUMBER(AW420),IF(AW420&gt;450,"Yes","No"),IF(AW420="NR","NR",""))</f>
        <v/>
      </c>
      <c r="BJ420" s="9">
        <f>IF(BB420="","",IF(BB420="Non-viable","Non-viable",IF(BB420="Viable","Viable",IF(BB420="Partially non-viable",IF(OR(BD420="Total splenectomy",BD420="Partial splenectomy +/- splenopexy"),"Non-viable","Review"),IF(BB420="NR",IF(OR(BD420="Total splenectomy",BD420="Partial splenectomy +/- splenopexy"),"NR - removed, check reason","NR"),"Not applicable")))))</f>
        <v/>
      </c>
    </row>
    <row r="421">
      <c r="D421" s="8" t="n"/>
      <c r="E421" s="9">
        <f>IF(B421="","",IF(B421="OWN","Yes","No"))</f>
        <v/>
      </c>
      <c r="AF421" s="9">
        <f>IF(ISNUMBER(Z421),IF(Z421&lt;=2,"&lt;=2 d",IF(Z421&lt;=7,"3-7 d",IF(Z421&lt;=30,"8-30 d","&gt;30 d"))),IF(AE421&lt;&gt;"",AE421,IF(Z421="NR","NR","")))</f>
        <v/>
      </c>
      <c r="AX421" s="9">
        <f>IF(ISNUMBER(AW421),IF(AW421&gt;450,"Yes","No"),IF(AW421="NR","NR",""))</f>
        <v/>
      </c>
      <c r="BJ421" s="9">
        <f>IF(BB421="","",IF(BB421="Non-viable","Non-viable",IF(BB421="Viable","Viable",IF(BB421="Partially non-viable",IF(OR(BD421="Total splenectomy",BD421="Partial splenectomy +/- splenopexy"),"Non-viable","Review"),IF(BB421="NR",IF(OR(BD421="Total splenectomy",BD421="Partial splenectomy +/- splenopexy"),"NR - removed, check reason","NR"),"Not applicable")))))</f>
        <v/>
      </c>
    </row>
    <row r="422">
      <c r="D422" s="8" t="n"/>
      <c r="E422" s="9">
        <f>IF(B422="","",IF(B422="OWN","Yes","No"))</f>
        <v/>
      </c>
      <c r="AF422" s="9">
        <f>IF(ISNUMBER(Z422),IF(Z422&lt;=2,"&lt;=2 d",IF(Z422&lt;=7,"3-7 d",IF(Z422&lt;=30,"8-30 d","&gt;30 d"))),IF(AE422&lt;&gt;"",AE422,IF(Z422="NR","NR","")))</f>
        <v/>
      </c>
      <c r="AX422" s="9">
        <f>IF(ISNUMBER(AW422),IF(AW422&gt;450,"Yes","No"),IF(AW422="NR","NR",""))</f>
        <v/>
      </c>
      <c r="BJ422" s="9">
        <f>IF(BB422="","",IF(BB422="Non-viable","Non-viable",IF(BB422="Viable","Viable",IF(BB422="Partially non-viable",IF(OR(BD422="Total splenectomy",BD422="Partial splenectomy +/- splenopexy"),"Non-viable","Review"),IF(BB422="NR",IF(OR(BD422="Total splenectomy",BD422="Partial splenectomy +/- splenopexy"),"NR - removed, check reason","NR"),"Not applicable")))))</f>
        <v/>
      </c>
    </row>
    <row r="423">
      <c r="D423" s="8" t="n"/>
      <c r="E423" s="9">
        <f>IF(B423="","",IF(B423="OWN","Yes","No"))</f>
        <v/>
      </c>
      <c r="AF423" s="9">
        <f>IF(ISNUMBER(Z423),IF(Z423&lt;=2,"&lt;=2 d",IF(Z423&lt;=7,"3-7 d",IF(Z423&lt;=30,"8-30 d","&gt;30 d"))),IF(AE423&lt;&gt;"",AE423,IF(Z423="NR","NR","")))</f>
        <v/>
      </c>
      <c r="AX423" s="9">
        <f>IF(ISNUMBER(AW423),IF(AW423&gt;450,"Yes","No"),IF(AW423="NR","NR",""))</f>
        <v/>
      </c>
      <c r="BJ423" s="9">
        <f>IF(BB423="","",IF(BB423="Non-viable","Non-viable",IF(BB423="Viable","Viable",IF(BB423="Partially non-viable",IF(OR(BD423="Total splenectomy",BD423="Partial splenectomy +/- splenopexy"),"Non-viable","Review"),IF(BB423="NR",IF(OR(BD423="Total splenectomy",BD423="Partial splenectomy +/- splenopexy"),"NR - removed, check reason","NR"),"Not applicable")))))</f>
        <v/>
      </c>
    </row>
    <row r="424">
      <c r="D424" s="8" t="n"/>
      <c r="E424" s="9">
        <f>IF(B424="","",IF(B424="OWN","Yes","No"))</f>
        <v/>
      </c>
      <c r="AF424" s="9">
        <f>IF(ISNUMBER(Z424),IF(Z424&lt;=2,"&lt;=2 d",IF(Z424&lt;=7,"3-7 d",IF(Z424&lt;=30,"8-30 d","&gt;30 d"))),IF(AE424&lt;&gt;"",AE424,IF(Z424="NR","NR","")))</f>
        <v/>
      </c>
      <c r="AX424" s="9">
        <f>IF(ISNUMBER(AW424),IF(AW424&gt;450,"Yes","No"),IF(AW424="NR","NR",""))</f>
        <v/>
      </c>
      <c r="BJ424" s="9">
        <f>IF(BB424="","",IF(BB424="Non-viable","Non-viable",IF(BB424="Viable","Viable",IF(BB424="Partially non-viable",IF(OR(BD424="Total splenectomy",BD424="Partial splenectomy +/- splenopexy"),"Non-viable","Review"),IF(BB424="NR",IF(OR(BD424="Total splenectomy",BD424="Partial splenectomy +/- splenopexy"),"NR - removed, check reason","NR"),"Not applicable")))))</f>
        <v/>
      </c>
    </row>
    <row r="425">
      <c r="D425" s="8" t="n"/>
      <c r="E425" s="9">
        <f>IF(B425="","",IF(B425="OWN","Yes","No"))</f>
        <v/>
      </c>
      <c r="AF425" s="9">
        <f>IF(ISNUMBER(Z425),IF(Z425&lt;=2,"&lt;=2 d",IF(Z425&lt;=7,"3-7 d",IF(Z425&lt;=30,"8-30 d","&gt;30 d"))),IF(AE425&lt;&gt;"",AE425,IF(Z425="NR","NR","")))</f>
        <v/>
      </c>
      <c r="AX425" s="9">
        <f>IF(ISNUMBER(AW425),IF(AW425&gt;450,"Yes","No"),IF(AW425="NR","NR",""))</f>
        <v/>
      </c>
      <c r="BJ425" s="9">
        <f>IF(BB425="","",IF(BB425="Non-viable","Non-viable",IF(BB425="Viable","Viable",IF(BB425="Partially non-viable",IF(OR(BD425="Total splenectomy",BD425="Partial splenectomy +/- splenopexy"),"Non-viable","Review"),IF(BB425="NR",IF(OR(BD425="Total splenectomy",BD425="Partial splenectomy +/- splenopexy"),"NR - removed, check reason","NR"),"Not applicable")))))</f>
        <v/>
      </c>
    </row>
    <row r="426">
      <c r="D426" s="8" t="n"/>
      <c r="E426" s="9">
        <f>IF(B426="","",IF(B426="OWN","Yes","No"))</f>
        <v/>
      </c>
      <c r="AF426" s="9">
        <f>IF(ISNUMBER(Z426),IF(Z426&lt;=2,"&lt;=2 d",IF(Z426&lt;=7,"3-7 d",IF(Z426&lt;=30,"8-30 d","&gt;30 d"))),IF(AE426&lt;&gt;"",AE426,IF(Z426="NR","NR","")))</f>
        <v/>
      </c>
      <c r="AX426" s="9">
        <f>IF(ISNUMBER(AW426),IF(AW426&gt;450,"Yes","No"),IF(AW426="NR","NR",""))</f>
        <v/>
      </c>
      <c r="BJ426" s="9">
        <f>IF(BB426="","",IF(BB426="Non-viable","Non-viable",IF(BB426="Viable","Viable",IF(BB426="Partially non-viable",IF(OR(BD426="Total splenectomy",BD426="Partial splenectomy +/- splenopexy"),"Non-viable","Review"),IF(BB426="NR",IF(OR(BD426="Total splenectomy",BD426="Partial splenectomy +/- splenopexy"),"NR - removed, check reason","NR"),"Not applicable")))))</f>
        <v/>
      </c>
    </row>
    <row r="427">
      <c r="D427" s="8" t="n"/>
      <c r="E427" s="9">
        <f>IF(B427="","",IF(B427="OWN","Yes","No"))</f>
        <v/>
      </c>
      <c r="AF427" s="9">
        <f>IF(ISNUMBER(Z427),IF(Z427&lt;=2,"&lt;=2 d",IF(Z427&lt;=7,"3-7 d",IF(Z427&lt;=30,"8-30 d","&gt;30 d"))),IF(AE427&lt;&gt;"",AE427,IF(Z427="NR","NR","")))</f>
        <v/>
      </c>
      <c r="AX427" s="9">
        <f>IF(ISNUMBER(AW427),IF(AW427&gt;450,"Yes","No"),IF(AW427="NR","NR",""))</f>
        <v/>
      </c>
      <c r="BJ427" s="9">
        <f>IF(BB427="","",IF(BB427="Non-viable","Non-viable",IF(BB427="Viable","Viable",IF(BB427="Partially non-viable",IF(OR(BD427="Total splenectomy",BD427="Partial splenectomy +/- splenopexy"),"Non-viable","Review"),IF(BB427="NR",IF(OR(BD427="Total splenectomy",BD427="Partial splenectomy +/- splenopexy"),"NR - removed, check reason","NR"),"Not applicable")))))</f>
        <v/>
      </c>
    </row>
    <row r="428">
      <c r="D428" s="8" t="n"/>
      <c r="E428" s="9">
        <f>IF(B428="","",IF(B428="OWN","Yes","No"))</f>
        <v/>
      </c>
      <c r="AF428" s="9">
        <f>IF(ISNUMBER(Z428),IF(Z428&lt;=2,"&lt;=2 d",IF(Z428&lt;=7,"3-7 d",IF(Z428&lt;=30,"8-30 d","&gt;30 d"))),IF(AE428&lt;&gt;"",AE428,IF(Z428="NR","NR","")))</f>
        <v/>
      </c>
      <c r="AX428" s="9">
        <f>IF(ISNUMBER(AW428),IF(AW428&gt;450,"Yes","No"),IF(AW428="NR","NR",""))</f>
        <v/>
      </c>
      <c r="BJ428" s="9">
        <f>IF(BB428="","",IF(BB428="Non-viable","Non-viable",IF(BB428="Viable","Viable",IF(BB428="Partially non-viable",IF(OR(BD428="Total splenectomy",BD428="Partial splenectomy +/- splenopexy"),"Non-viable","Review"),IF(BB428="NR",IF(OR(BD428="Total splenectomy",BD428="Partial splenectomy +/- splenopexy"),"NR - removed, check reason","NR"),"Not applicable")))))</f>
        <v/>
      </c>
    </row>
    <row r="429">
      <c r="D429" s="8" t="n"/>
      <c r="E429" s="9">
        <f>IF(B429="","",IF(B429="OWN","Yes","No"))</f>
        <v/>
      </c>
      <c r="AF429" s="9">
        <f>IF(ISNUMBER(Z429),IF(Z429&lt;=2,"&lt;=2 d",IF(Z429&lt;=7,"3-7 d",IF(Z429&lt;=30,"8-30 d","&gt;30 d"))),IF(AE429&lt;&gt;"",AE429,IF(Z429="NR","NR","")))</f>
        <v/>
      </c>
      <c r="AX429" s="9">
        <f>IF(ISNUMBER(AW429),IF(AW429&gt;450,"Yes","No"),IF(AW429="NR","NR",""))</f>
        <v/>
      </c>
      <c r="BJ429" s="9">
        <f>IF(BB429="","",IF(BB429="Non-viable","Non-viable",IF(BB429="Viable","Viable",IF(BB429="Partially non-viable",IF(OR(BD429="Total splenectomy",BD429="Partial splenectomy +/- splenopexy"),"Non-viable","Review"),IF(BB429="NR",IF(OR(BD429="Total splenectomy",BD429="Partial splenectomy +/- splenopexy"),"NR - removed, check reason","NR"),"Not applicable")))))</f>
        <v/>
      </c>
    </row>
    <row r="430">
      <c r="D430" s="8" t="n"/>
      <c r="E430" s="9">
        <f>IF(B430="","",IF(B430="OWN","Yes","No"))</f>
        <v/>
      </c>
      <c r="AF430" s="9">
        <f>IF(ISNUMBER(Z430),IF(Z430&lt;=2,"&lt;=2 d",IF(Z430&lt;=7,"3-7 d",IF(Z430&lt;=30,"8-30 d","&gt;30 d"))),IF(AE430&lt;&gt;"",AE430,IF(Z430="NR","NR","")))</f>
        <v/>
      </c>
      <c r="AX430" s="9">
        <f>IF(ISNUMBER(AW430),IF(AW430&gt;450,"Yes","No"),IF(AW430="NR","NR",""))</f>
        <v/>
      </c>
      <c r="BJ430" s="9">
        <f>IF(BB430="","",IF(BB430="Non-viable","Non-viable",IF(BB430="Viable","Viable",IF(BB430="Partially non-viable",IF(OR(BD430="Total splenectomy",BD430="Partial splenectomy +/- splenopexy"),"Non-viable","Review"),IF(BB430="NR",IF(OR(BD430="Total splenectomy",BD430="Partial splenectomy +/- splenopexy"),"NR - removed, check reason","NR"),"Not applicable")))))</f>
        <v/>
      </c>
    </row>
    <row r="431">
      <c r="D431" s="8" t="n"/>
      <c r="E431" s="9">
        <f>IF(B431="","",IF(B431="OWN","Yes","No"))</f>
        <v/>
      </c>
      <c r="AF431" s="9">
        <f>IF(ISNUMBER(Z431),IF(Z431&lt;=2,"&lt;=2 d",IF(Z431&lt;=7,"3-7 d",IF(Z431&lt;=30,"8-30 d","&gt;30 d"))),IF(AE431&lt;&gt;"",AE431,IF(Z431="NR","NR","")))</f>
        <v/>
      </c>
      <c r="AX431" s="9">
        <f>IF(ISNUMBER(AW431),IF(AW431&gt;450,"Yes","No"),IF(AW431="NR","NR",""))</f>
        <v/>
      </c>
      <c r="BJ431" s="9">
        <f>IF(BB431="","",IF(BB431="Non-viable","Non-viable",IF(BB431="Viable","Viable",IF(BB431="Partially non-viable",IF(OR(BD431="Total splenectomy",BD431="Partial splenectomy +/- splenopexy"),"Non-viable","Review"),IF(BB431="NR",IF(OR(BD431="Total splenectomy",BD431="Partial splenectomy +/- splenopexy"),"NR - removed, check reason","NR"),"Not applicable")))))</f>
        <v/>
      </c>
    </row>
    <row r="432">
      <c r="D432" s="8" t="n"/>
      <c r="E432" s="9">
        <f>IF(B432="","",IF(B432="OWN","Yes","No"))</f>
        <v/>
      </c>
      <c r="AF432" s="9">
        <f>IF(ISNUMBER(Z432),IF(Z432&lt;=2,"&lt;=2 d",IF(Z432&lt;=7,"3-7 d",IF(Z432&lt;=30,"8-30 d","&gt;30 d"))),IF(AE432&lt;&gt;"",AE432,IF(Z432="NR","NR","")))</f>
        <v/>
      </c>
      <c r="AX432" s="9">
        <f>IF(ISNUMBER(AW432),IF(AW432&gt;450,"Yes","No"),IF(AW432="NR","NR",""))</f>
        <v/>
      </c>
      <c r="BJ432" s="9">
        <f>IF(BB432="","",IF(BB432="Non-viable","Non-viable",IF(BB432="Viable","Viable",IF(BB432="Partially non-viable",IF(OR(BD432="Total splenectomy",BD432="Partial splenectomy +/- splenopexy"),"Non-viable","Review"),IF(BB432="NR",IF(OR(BD432="Total splenectomy",BD432="Partial splenectomy +/- splenopexy"),"NR - removed, check reason","NR"),"Not applicable")))))</f>
        <v/>
      </c>
    </row>
    <row r="433">
      <c r="D433" s="8" t="n"/>
      <c r="E433" s="9">
        <f>IF(B433="","",IF(B433="OWN","Yes","No"))</f>
        <v/>
      </c>
      <c r="AF433" s="9">
        <f>IF(ISNUMBER(Z433),IF(Z433&lt;=2,"&lt;=2 d",IF(Z433&lt;=7,"3-7 d",IF(Z433&lt;=30,"8-30 d","&gt;30 d"))),IF(AE433&lt;&gt;"",AE433,IF(Z433="NR","NR","")))</f>
        <v/>
      </c>
      <c r="AX433" s="9">
        <f>IF(ISNUMBER(AW433),IF(AW433&gt;450,"Yes","No"),IF(AW433="NR","NR",""))</f>
        <v/>
      </c>
      <c r="BJ433" s="9">
        <f>IF(BB433="","",IF(BB433="Non-viable","Non-viable",IF(BB433="Viable","Viable",IF(BB433="Partially non-viable",IF(OR(BD433="Total splenectomy",BD433="Partial splenectomy +/- splenopexy"),"Non-viable","Review"),IF(BB433="NR",IF(OR(BD433="Total splenectomy",BD433="Partial splenectomy +/- splenopexy"),"NR - removed, check reason","NR"),"Not applicable")))))</f>
        <v/>
      </c>
    </row>
    <row r="434">
      <c r="D434" s="8" t="n"/>
      <c r="E434" s="9">
        <f>IF(B434="","",IF(B434="OWN","Yes","No"))</f>
        <v/>
      </c>
      <c r="AF434" s="9">
        <f>IF(ISNUMBER(Z434),IF(Z434&lt;=2,"&lt;=2 d",IF(Z434&lt;=7,"3-7 d",IF(Z434&lt;=30,"8-30 d","&gt;30 d"))),IF(AE434&lt;&gt;"",AE434,IF(Z434="NR","NR","")))</f>
        <v/>
      </c>
      <c r="AX434" s="9">
        <f>IF(ISNUMBER(AW434),IF(AW434&gt;450,"Yes","No"),IF(AW434="NR","NR",""))</f>
        <v/>
      </c>
      <c r="BJ434" s="9">
        <f>IF(BB434="","",IF(BB434="Non-viable","Non-viable",IF(BB434="Viable","Viable",IF(BB434="Partially non-viable",IF(OR(BD434="Total splenectomy",BD434="Partial splenectomy +/- splenopexy"),"Non-viable","Review"),IF(BB434="NR",IF(OR(BD434="Total splenectomy",BD434="Partial splenectomy +/- splenopexy"),"NR - removed, check reason","NR"),"Not applicable")))))</f>
        <v/>
      </c>
    </row>
    <row r="435">
      <c r="D435" s="8" t="n"/>
      <c r="E435" s="9">
        <f>IF(B435="","",IF(B435="OWN","Yes","No"))</f>
        <v/>
      </c>
      <c r="AF435" s="9">
        <f>IF(ISNUMBER(Z435),IF(Z435&lt;=2,"&lt;=2 d",IF(Z435&lt;=7,"3-7 d",IF(Z435&lt;=30,"8-30 d","&gt;30 d"))),IF(AE435&lt;&gt;"",AE435,IF(Z435="NR","NR","")))</f>
        <v/>
      </c>
      <c r="AX435" s="9">
        <f>IF(ISNUMBER(AW435),IF(AW435&gt;450,"Yes","No"),IF(AW435="NR","NR",""))</f>
        <v/>
      </c>
      <c r="BJ435" s="9">
        <f>IF(BB435="","",IF(BB435="Non-viable","Non-viable",IF(BB435="Viable","Viable",IF(BB435="Partially non-viable",IF(OR(BD435="Total splenectomy",BD435="Partial splenectomy +/- splenopexy"),"Non-viable","Review"),IF(BB435="NR",IF(OR(BD435="Total splenectomy",BD435="Partial splenectomy +/- splenopexy"),"NR - removed, check reason","NR"),"Not applicable")))))</f>
        <v/>
      </c>
    </row>
    <row r="436">
      <c r="D436" s="8" t="n"/>
      <c r="E436" s="9">
        <f>IF(B436="","",IF(B436="OWN","Yes","No"))</f>
        <v/>
      </c>
      <c r="AF436" s="9">
        <f>IF(ISNUMBER(Z436),IF(Z436&lt;=2,"&lt;=2 d",IF(Z436&lt;=7,"3-7 d",IF(Z436&lt;=30,"8-30 d","&gt;30 d"))),IF(AE436&lt;&gt;"",AE436,IF(Z436="NR","NR","")))</f>
        <v/>
      </c>
      <c r="AX436" s="9">
        <f>IF(ISNUMBER(AW436),IF(AW436&gt;450,"Yes","No"),IF(AW436="NR","NR",""))</f>
        <v/>
      </c>
      <c r="BJ436" s="9">
        <f>IF(BB436="","",IF(BB436="Non-viable","Non-viable",IF(BB436="Viable","Viable",IF(BB436="Partially non-viable",IF(OR(BD436="Total splenectomy",BD436="Partial splenectomy +/- splenopexy"),"Non-viable","Review"),IF(BB436="NR",IF(OR(BD436="Total splenectomy",BD436="Partial splenectomy +/- splenopexy"),"NR - removed, check reason","NR"),"Not applicable")))))</f>
        <v/>
      </c>
    </row>
    <row r="437">
      <c r="D437" s="8" t="n"/>
      <c r="E437" s="9">
        <f>IF(B437="","",IF(B437="OWN","Yes","No"))</f>
        <v/>
      </c>
      <c r="AF437" s="9">
        <f>IF(ISNUMBER(Z437),IF(Z437&lt;=2,"&lt;=2 d",IF(Z437&lt;=7,"3-7 d",IF(Z437&lt;=30,"8-30 d","&gt;30 d"))),IF(AE437&lt;&gt;"",AE437,IF(Z437="NR","NR","")))</f>
        <v/>
      </c>
      <c r="AX437" s="9">
        <f>IF(ISNUMBER(AW437),IF(AW437&gt;450,"Yes","No"),IF(AW437="NR","NR",""))</f>
        <v/>
      </c>
      <c r="BJ437" s="9">
        <f>IF(BB437="","",IF(BB437="Non-viable","Non-viable",IF(BB437="Viable","Viable",IF(BB437="Partially non-viable",IF(OR(BD437="Total splenectomy",BD437="Partial splenectomy +/- splenopexy"),"Non-viable","Review"),IF(BB437="NR",IF(OR(BD437="Total splenectomy",BD437="Partial splenectomy +/- splenopexy"),"NR - removed, check reason","NR"),"Not applicable")))))</f>
        <v/>
      </c>
    </row>
    <row r="438">
      <c r="D438" s="8" t="n"/>
      <c r="E438" s="9">
        <f>IF(B438="","",IF(B438="OWN","Yes","No"))</f>
        <v/>
      </c>
      <c r="AF438" s="9">
        <f>IF(ISNUMBER(Z438),IF(Z438&lt;=2,"&lt;=2 d",IF(Z438&lt;=7,"3-7 d",IF(Z438&lt;=30,"8-30 d","&gt;30 d"))),IF(AE438&lt;&gt;"",AE438,IF(Z438="NR","NR","")))</f>
        <v/>
      </c>
      <c r="AX438" s="9">
        <f>IF(ISNUMBER(AW438),IF(AW438&gt;450,"Yes","No"),IF(AW438="NR","NR",""))</f>
        <v/>
      </c>
      <c r="BJ438" s="9">
        <f>IF(BB438="","",IF(BB438="Non-viable","Non-viable",IF(BB438="Viable","Viable",IF(BB438="Partially non-viable",IF(OR(BD438="Total splenectomy",BD438="Partial splenectomy +/- splenopexy"),"Non-viable","Review"),IF(BB438="NR",IF(OR(BD438="Total splenectomy",BD438="Partial splenectomy +/- splenopexy"),"NR - removed, check reason","NR"),"Not applicable")))))</f>
        <v/>
      </c>
    </row>
    <row r="439">
      <c r="D439" s="8" t="n"/>
      <c r="E439" s="9">
        <f>IF(B439="","",IF(B439="OWN","Yes","No"))</f>
        <v/>
      </c>
      <c r="AF439" s="9">
        <f>IF(ISNUMBER(Z439),IF(Z439&lt;=2,"&lt;=2 d",IF(Z439&lt;=7,"3-7 d",IF(Z439&lt;=30,"8-30 d","&gt;30 d"))),IF(AE439&lt;&gt;"",AE439,IF(Z439="NR","NR","")))</f>
        <v/>
      </c>
      <c r="AX439" s="9">
        <f>IF(ISNUMBER(AW439),IF(AW439&gt;450,"Yes","No"),IF(AW439="NR","NR",""))</f>
        <v/>
      </c>
      <c r="BJ439" s="9">
        <f>IF(BB439="","",IF(BB439="Non-viable","Non-viable",IF(BB439="Viable","Viable",IF(BB439="Partially non-viable",IF(OR(BD439="Total splenectomy",BD439="Partial splenectomy +/- splenopexy"),"Non-viable","Review"),IF(BB439="NR",IF(OR(BD439="Total splenectomy",BD439="Partial splenectomy +/- splenopexy"),"NR - removed, check reason","NR"),"Not applicable")))))</f>
        <v/>
      </c>
    </row>
    <row r="440">
      <c r="D440" s="8" t="n"/>
      <c r="E440" s="9">
        <f>IF(B440="","",IF(B440="OWN","Yes","No"))</f>
        <v/>
      </c>
      <c r="AF440" s="9">
        <f>IF(ISNUMBER(Z440),IF(Z440&lt;=2,"&lt;=2 d",IF(Z440&lt;=7,"3-7 d",IF(Z440&lt;=30,"8-30 d","&gt;30 d"))),IF(AE440&lt;&gt;"",AE440,IF(Z440="NR","NR","")))</f>
        <v/>
      </c>
      <c r="AX440" s="9">
        <f>IF(ISNUMBER(AW440),IF(AW440&gt;450,"Yes","No"),IF(AW440="NR","NR",""))</f>
        <v/>
      </c>
      <c r="BJ440" s="9">
        <f>IF(BB440="","",IF(BB440="Non-viable","Non-viable",IF(BB440="Viable","Viable",IF(BB440="Partially non-viable",IF(OR(BD440="Total splenectomy",BD440="Partial splenectomy +/- splenopexy"),"Non-viable","Review"),IF(BB440="NR",IF(OR(BD440="Total splenectomy",BD440="Partial splenectomy +/- splenopexy"),"NR - removed, check reason","NR"),"Not applicable")))))</f>
        <v/>
      </c>
    </row>
    <row r="441">
      <c r="D441" s="8" t="n"/>
      <c r="E441" s="9">
        <f>IF(B441="","",IF(B441="OWN","Yes","No"))</f>
        <v/>
      </c>
      <c r="AF441" s="9">
        <f>IF(ISNUMBER(Z441),IF(Z441&lt;=2,"&lt;=2 d",IF(Z441&lt;=7,"3-7 d",IF(Z441&lt;=30,"8-30 d","&gt;30 d"))),IF(AE441&lt;&gt;"",AE441,IF(Z441="NR","NR","")))</f>
        <v/>
      </c>
      <c r="AX441" s="9">
        <f>IF(ISNUMBER(AW441),IF(AW441&gt;450,"Yes","No"),IF(AW441="NR","NR",""))</f>
        <v/>
      </c>
      <c r="BJ441" s="9">
        <f>IF(BB441="","",IF(BB441="Non-viable","Non-viable",IF(BB441="Viable","Viable",IF(BB441="Partially non-viable",IF(OR(BD441="Total splenectomy",BD441="Partial splenectomy +/- splenopexy"),"Non-viable","Review"),IF(BB441="NR",IF(OR(BD441="Total splenectomy",BD441="Partial splenectomy +/- splenopexy"),"NR - removed, check reason","NR"),"Not applicable")))))</f>
        <v/>
      </c>
    </row>
    <row r="442">
      <c r="D442" s="8" t="n"/>
      <c r="E442" s="9">
        <f>IF(B442="","",IF(B442="OWN","Yes","No"))</f>
        <v/>
      </c>
      <c r="AF442" s="9">
        <f>IF(ISNUMBER(Z442),IF(Z442&lt;=2,"&lt;=2 d",IF(Z442&lt;=7,"3-7 d",IF(Z442&lt;=30,"8-30 d","&gt;30 d"))),IF(AE442&lt;&gt;"",AE442,IF(Z442="NR","NR","")))</f>
        <v/>
      </c>
      <c r="AX442" s="9">
        <f>IF(ISNUMBER(AW442),IF(AW442&gt;450,"Yes","No"),IF(AW442="NR","NR",""))</f>
        <v/>
      </c>
      <c r="BJ442" s="9">
        <f>IF(BB442="","",IF(BB442="Non-viable","Non-viable",IF(BB442="Viable","Viable",IF(BB442="Partially non-viable",IF(OR(BD442="Total splenectomy",BD442="Partial splenectomy +/- splenopexy"),"Non-viable","Review"),IF(BB442="NR",IF(OR(BD442="Total splenectomy",BD442="Partial splenectomy +/- splenopexy"),"NR - removed, check reason","NR"),"Not applicable")))))</f>
        <v/>
      </c>
    </row>
    <row r="443">
      <c r="D443" s="8" t="n"/>
      <c r="E443" s="9">
        <f>IF(B443="","",IF(B443="OWN","Yes","No"))</f>
        <v/>
      </c>
      <c r="AF443" s="9">
        <f>IF(ISNUMBER(Z443),IF(Z443&lt;=2,"&lt;=2 d",IF(Z443&lt;=7,"3-7 d",IF(Z443&lt;=30,"8-30 d","&gt;30 d"))),IF(AE443&lt;&gt;"",AE443,IF(Z443="NR","NR","")))</f>
        <v/>
      </c>
      <c r="AX443" s="9">
        <f>IF(ISNUMBER(AW443),IF(AW443&gt;450,"Yes","No"),IF(AW443="NR","NR",""))</f>
        <v/>
      </c>
      <c r="BJ443" s="9">
        <f>IF(BB443="","",IF(BB443="Non-viable","Non-viable",IF(BB443="Viable","Viable",IF(BB443="Partially non-viable",IF(OR(BD443="Total splenectomy",BD443="Partial splenectomy +/- splenopexy"),"Non-viable","Review"),IF(BB443="NR",IF(OR(BD443="Total splenectomy",BD443="Partial splenectomy +/- splenopexy"),"NR - removed, check reason","NR"),"Not applicable")))))</f>
        <v/>
      </c>
    </row>
    <row r="444">
      <c r="D444" s="8" t="n"/>
      <c r="E444" s="9">
        <f>IF(B444="","",IF(B444="OWN","Yes","No"))</f>
        <v/>
      </c>
      <c r="AF444" s="9">
        <f>IF(ISNUMBER(Z444),IF(Z444&lt;=2,"&lt;=2 d",IF(Z444&lt;=7,"3-7 d",IF(Z444&lt;=30,"8-30 d","&gt;30 d"))),IF(AE444&lt;&gt;"",AE444,IF(Z444="NR","NR","")))</f>
        <v/>
      </c>
      <c r="AX444" s="9">
        <f>IF(ISNUMBER(AW444),IF(AW444&gt;450,"Yes","No"),IF(AW444="NR","NR",""))</f>
        <v/>
      </c>
      <c r="BJ444" s="9">
        <f>IF(BB444="","",IF(BB444="Non-viable","Non-viable",IF(BB444="Viable","Viable",IF(BB444="Partially non-viable",IF(OR(BD444="Total splenectomy",BD444="Partial splenectomy +/- splenopexy"),"Non-viable","Review"),IF(BB444="NR",IF(OR(BD444="Total splenectomy",BD444="Partial splenectomy +/- splenopexy"),"NR - removed, check reason","NR"),"Not applicable")))))</f>
        <v/>
      </c>
    </row>
    <row r="445">
      <c r="D445" s="8" t="n"/>
      <c r="E445" s="9">
        <f>IF(B445="","",IF(B445="OWN","Yes","No"))</f>
        <v/>
      </c>
      <c r="AF445" s="9">
        <f>IF(ISNUMBER(Z445),IF(Z445&lt;=2,"&lt;=2 d",IF(Z445&lt;=7,"3-7 d",IF(Z445&lt;=30,"8-30 d","&gt;30 d"))),IF(AE445&lt;&gt;"",AE445,IF(Z445="NR","NR","")))</f>
        <v/>
      </c>
      <c r="AX445" s="9">
        <f>IF(ISNUMBER(AW445),IF(AW445&gt;450,"Yes","No"),IF(AW445="NR","NR",""))</f>
        <v/>
      </c>
      <c r="BJ445" s="9">
        <f>IF(BB445="","",IF(BB445="Non-viable","Non-viable",IF(BB445="Viable","Viable",IF(BB445="Partially non-viable",IF(OR(BD445="Total splenectomy",BD445="Partial splenectomy +/- splenopexy"),"Non-viable","Review"),IF(BB445="NR",IF(OR(BD445="Total splenectomy",BD445="Partial splenectomy +/- splenopexy"),"NR - removed, check reason","NR"),"Not applicable")))))</f>
        <v/>
      </c>
    </row>
    <row r="446">
      <c r="D446" s="8" t="n"/>
      <c r="E446" s="9">
        <f>IF(B446="","",IF(B446="OWN","Yes","No"))</f>
        <v/>
      </c>
      <c r="AF446" s="9">
        <f>IF(ISNUMBER(Z446),IF(Z446&lt;=2,"&lt;=2 d",IF(Z446&lt;=7,"3-7 d",IF(Z446&lt;=30,"8-30 d","&gt;30 d"))),IF(AE446&lt;&gt;"",AE446,IF(Z446="NR","NR","")))</f>
        <v/>
      </c>
      <c r="AX446" s="9">
        <f>IF(ISNUMBER(AW446),IF(AW446&gt;450,"Yes","No"),IF(AW446="NR","NR",""))</f>
        <v/>
      </c>
      <c r="BJ446" s="9">
        <f>IF(BB446="","",IF(BB446="Non-viable","Non-viable",IF(BB446="Viable","Viable",IF(BB446="Partially non-viable",IF(OR(BD446="Total splenectomy",BD446="Partial splenectomy +/- splenopexy"),"Non-viable","Review"),IF(BB446="NR",IF(OR(BD446="Total splenectomy",BD446="Partial splenectomy +/- splenopexy"),"NR - removed, check reason","NR"),"Not applicable")))))</f>
        <v/>
      </c>
    </row>
    <row r="447">
      <c r="D447" s="8" t="n"/>
      <c r="E447" s="9">
        <f>IF(B447="","",IF(B447="OWN","Yes","No"))</f>
        <v/>
      </c>
      <c r="AF447" s="9">
        <f>IF(ISNUMBER(Z447),IF(Z447&lt;=2,"&lt;=2 d",IF(Z447&lt;=7,"3-7 d",IF(Z447&lt;=30,"8-30 d","&gt;30 d"))),IF(AE447&lt;&gt;"",AE447,IF(Z447="NR","NR","")))</f>
        <v/>
      </c>
      <c r="AX447" s="9">
        <f>IF(ISNUMBER(AW447),IF(AW447&gt;450,"Yes","No"),IF(AW447="NR","NR",""))</f>
        <v/>
      </c>
      <c r="BJ447" s="9">
        <f>IF(BB447="","",IF(BB447="Non-viable","Non-viable",IF(BB447="Viable","Viable",IF(BB447="Partially non-viable",IF(OR(BD447="Total splenectomy",BD447="Partial splenectomy +/- splenopexy"),"Non-viable","Review"),IF(BB447="NR",IF(OR(BD447="Total splenectomy",BD447="Partial splenectomy +/- splenopexy"),"NR - removed, check reason","NR"),"Not applicable")))))</f>
        <v/>
      </c>
    </row>
    <row r="448">
      <c r="D448" s="8" t="n"/>
      <c r="E448" s="9">
        <f>IF(B448="","",IF(B448="OWN","Yes","No"))</f>
        <v/>
      </c>
      <c r="AF448" s="9">
        <f>IF(ISNUMBER(Z448),IF(Z448&lt;=2,"&lt;=2 d",IF(Z448&lt;=7,"3-7 d",IF(Z448&lt;=30,"8-30 d","&gt;30 d"))),IF(AE448&lt;&gt;"",AE448,IF(Z448="NR","NR","")))</f>
        <v/>
      </c>
      <c r="AX448" s="9">
        <f>IF(ISNUMBER(AW448),IF(AW448&gt;450,"Yes","No"),IF(AW448="NR","NR",""))</f>
        <v/>
      </c>
      <c r="BJ448" s="9">
        <f>IF(BB448="","",IF(BB448="Non-viable","Non-viable",IF(BB448="Viable","Viable",IF(BB448="Partially non-viable",IF(OR(BD448="Total splenectomy",BD448="Partial splenectomy +/- splenopexy"),"Non-viable","Review"),IF(BB448="NR",IF(OR(BD448="Total splenectomy",BD448="Partial splenectomy +/- splenopexy"),"NR - removed, check reason","NR"),"Not applicable")))))</f>
        <v/>
      </c>
    </row>
    <row r="449">
      <c r="D449" s="8" t="n"/>
      <c r="E449" s="9">
        <f>IF(B449="","",IF(B449="OWN","Yes","No"))</f>
        <v/>
      </c>
      <c r="AF449" s="9">
        <f>IF(ISNUMBER(Z449),IF(Z449&lt;=2,"&lt;=2 d",IF(Z449&lt;=7,"3-7 d",IF(Z449&lt;=30,"8-30 d","&gt;30 d"))),IF(AE449&lt;&gt;"",AE449,IF(Z449="NR","NR","")))</f>
        <v/>
      </c>
      <c r="AX449" s="9">
        <f>IF(ISNUMBER(AW449),IF(AW449&gt;450,"Yes","No"),IF(AW449="NR","NR",""))</f>
        <v/>
      </c>
      <c r="BJ449" s="9">
        <f>IF(BB449="","",IF(BB449="Non-viable","Non-viable",IF(BB449="Viable","Viable",IF(BB449="Partially non-viable",IF(OR(BD449="Total splenectomy",BD449="Partial splenectomy +/- splenopexy"),"Non-viable","Review"),IF(BB449="NR",IF(OR(BD449="Total splenectomy",BD449="Partial splenectomy +/- splenopexy"),"NR - removed, check reason","NR"),"Not applicable")))))</f>
        <v/>
      </c>
    </row>
    <row r="450">
      <c r="D450" s="8" t="n"/>
      <c r="E450" s="9">
        <f>IF(B450="","",IF(B450="OWN","Yes","No"))</f>
        <v/>
      </c>
      <c r="AF450" s="9">
        <f>IF(ISNUMBER(Z450),IF(Z450&lt;=2,"&lt;=2 d",IF(Z450&lt;=7,"3-7 d",IF(Z450&lt;=30,"8-30 d","&gt;30 d"))),IF(AE450&lt;&gt;"",AE450,IF(Z450="NR","NR","")))</f>
        <v/>
      </c>
      <c r="AX450" s="9">
        <f>IF(ISNUMBER(AW450),IF(AW450&gt;450,"Yes","No"),IF(AW450="NR","NR",""))</f>
        <v/>
      </c>
      <c r="BJ450" s="9">
        <f>IF(BB450="","",IF(BB450="Non-viable","Non-viable",IF(BB450="Viable","Viable",IF(BB450="Partially non-viable",IF(OR(BD450="Total splenectomy",BD450="Partial splenectomy +/- splenopexy"),"Non-viable","Review"),IF(BB450="NR",IF(OR(BD450="Total splenectomy",BD450="Partial splenectomy +/- splenopexy"),"NR - removed, check reason","NR"),"Not applicable")))))</f>
        <v/>
      </c>
    </row>
    <row r="451">
      <c r="D451" s="8" t="n"/>
      <c r="E451" s="9">
        <f>IF(B451="","",IF(B451="OWN","Yes","No"))</f>
        <v/>
      </c>
      <c r="AF451" s="9">
        <f>IF(ISNUMBER(Z451),IF(Z451&lt;=2,"&lt;=2 d",IF(Z451&lt;=7,"3-7 d",IF(Z451&lt;=30,"8-30 d","&gt;30 d"))),IF(AE451&lt;&gt;"",AE451,IF(Z451="NR","NR","")))</f>
        <v/>
      </c>
      <c r="AX451" s="9">
        <f>IF(ISNUMBER(AW451),IF(AW451&gt;450,"Yes","No"),IF(AW451="NR","NR",""))</f>
        <v/>
      </c>
      <c r="BJ451" s="9">
        <f>IF(BB451="","",IF(BB451="Non-viable","Non-viable",IF(BB451="Viable","Viable",IF(BB451="Partially non-viable",IF(OR(BD451="Total splenectomy",BD451="Partial splenectomy +/- splenopexy"),"Non-viable","Review"),IF(BB451="NR",IF(OR(BD451="Total splenectomy",BD451="Partial splenectomy +/- splenopexy"),"NR - removed, check reason","NR"),"Not applicable")))))</f>
        <v/>
      </c>
    </row>
    <row r="452">
      <c r="D452" s="8" t="n"/>
      <c r="E452" s="9">
        <f>IF(B452="","",IF(B452="OWN","Yes","No"))</f>
        <v/>
      </c>
      <c r="AF452" s="9">
        <f>IF(ISNUMBER(Z452),IF(Z452&lt;=2,"&lt;=2 d",IF(Z452&lt;=7,"3-7 d",IF(Z452&lt;=30,"8-30 d","&gt;30 d"))),IF(AE452&lt;&gt;"",AE452,IF(Z452="NR","NR","")))</f>
        <v/>
      </c>
      <c r="AX452" s="9">
        <f>IF(ISNUMBER(AW452),IF(AW452&gt;450,"Yes","No"),IF(AW452="NR","NR",""))</f>
        <v/>
      </c>
      <c r="BJ452" s="9">
        <f>IF(BB452="","",IF(BB452="Non-viable","Non-viable",IF(BB452="Viable","Viable",IF(BB452="Partially non-viable",IF(OR(BD452="Total splenectomy",BD452="Partial splenectomy +/- splenopexy"),"Non-viable","Review"),IF(BB452="NR",IF(OR(BD452="Total splenectomy",BD452="Partial splenectomy +/- splenopexy"),"NR - removed, check reason","NR"),"Not applicable")))))</f>
        <v/>
      </c>
    </row>
    <row r="453">
      <c r="D453" s="8" t="n"/>
      <c r="E453" s="9">
        <f>IF(B453="","",IF(B453="OWN","Yes","No"))</f>
        <v/>
      </c>
      <c r="AF453" s="9">
        <f>IF(ISNUMBER(Z453),IF(Z453&lt;=2,"&lt;=2 d",IF(Z453&lt;=7,"3-7 d",IF(Z453&lt;=30,"8-30 d","&gt;30 d"))),IF(AE453&lt;&gt;"",AE453,IF(Z453="NR","NR","")))</f>
        <v/>
      </c>
      <c r="AX453" s="9">
        <f>IF(ISNUMBER(AW453),IF(AW453&gt;450,"Yes","No"),IF(AW453="NR","NR",""))</f>
        <v/>
      </c>
      <c r="BJ453" s="9">
        <f>IF(BB453="","",IF(BB453="Non-viable","Non-viable",IF(BB453="Viable","Viable",IF(BB453="Partially non-viable",IF(OR(BD453="Total splenectomy",BD453="Partial splenectomy +/- splenopexy"),"Non-viable","Review"),IF(BB453="NR",IF(OR(BD453="Total splenectomy",BD453="Partial splenectomy +/- splenopexy"),"NR - removed, check reason","NR"),"Not applicable")))))</f>
        <v/>
      </c>
    </row>
    <row r="454">
      <c r="D454" s="8" t="n"/>
      <c r="E454" s="9">
        <f>IF(B454="","",IF(B454="OWN","Yes","No"))</f>
        <v/>
      </c>
      <c r="AF454" s="9">
        <f>IF(ISNUMBER(Z454),IF(Z454&lt;=2,"&lt;=2 d",IF(Z454&lt;=7,"3-7 d",IF(Z454&lt;=30,"8-30 d","&gt;30 d"))),IF(AE454&lt;&gt;"",AE454,IF(Z454="NR","NR","")))</f>
        <v/>
      </c>
      <c r="AX454" s="9">
        <f>IF(ISNUMBER(AW454),IF(AW454&gt;450,"Yes","No"),IF(AW454="NR","NR",""))</f>
        <v/>
      </c>
      <c r="BJ454" s="9">
        <f>IF(BB454="","",IF(BB454="Non-viable","Non-viable",IF(BB454="Viable","Viable",IF(BB454="Partially non-viable",IF(OR(BD454="Total splenectomy",BD454="Partial splenectomy +/- splenopexy"),"Non-viable","Review"),IF(BB454="NR",IF(OR(BD454="Total splenectomy",BD454="Partial splenectomy +/- splenopexy"),"NR - removed, check reason","NR"),"Not applicable")))))</f>
        <v/>
      </c>
    </row>
    <row r="455">
      <c r="D455" s="8" t="n"/>
      <c r="E455" s="9">
        <f>IF(B455="","",IF(B455="OWN","Yes","No"))</f>
        <v/>
      </c>
      <c r="AF455" s="9">
        <f>IF(ISNUMBER(Z455),IF(Z455&lt;=2,"&lt;=2 d",IF(Z455&lt;=7,"3-7 d",IF(Z455&lt;=30,"8-30 d","&gt;30 d"))),IF(AE455&lt;&gt;"",AE455,IF(Z455="NR","NR","")))</f>
        <v/>
      </c>
      <c r="AX455" s="9">
        <f>IF(ISNUMBER(AW455),IF(AW455&gt;450,"Yes","No"),IF(AW455="NR","NR",""))</f>
        <v/>
      </c>
      <c r="BJ455" s="9">
        <f>IF(BB455="","",IF(BB455="Non-viable","Non-viable",IF(BB455="Viable","Viable",IF(BB455="Partially non-viable",IF(OR(BD455="Total splenectomy",BD455="Partial splenectomy +/- splenopexy"),"Non-viable","Review"),IF(BB455="NR",IF(OR(BD455="Total splenectomy",BD455="Partial splenectomy +/- splenopexy"),"NR - removed, check reason","NR"),"Not applicable")))))</f>
        <v/>
      </c>
    </row>
    <row r="456">
      <c r="D456" s="8" t="n"/>
      <c r="E456" s="9">
        <f>IF(B456="","",IF(B456="OWN","Yes","No"))</f>
        <v/>
      </c>
      <c r="AF456" s="9">
        <f>IF(ISNUMBER(Z456),IF(Z456&lt;=2,"&lt;=2 d",IF(Z456&lt;=7,"3-7 d",IF(Z456&lt;=30,"8-30 d","&gt;30 d"))),IF(AE456&lt;&gt;"",AE456,IF(Z456="NR","NR","")))</f>
        <v/>
      </c>
      <c r="AX456" s="9">
        <f>IF(ISNUMBER(AW456),IF(AW456&gt;450,"Yes","No"),IF(AW456="NR","NR",""))</f>
        <v/>
      </c>
      <c r="BJ456" s="9">
        <f>IF(BB456="","",IF(BB456="Non-viable","Non-viable",IF(BB456="Viable","Viable",IF(BB456="Partially non-viable",IF(OR(BD456="Total splenectomy",BD456="Partial splenectomy +/- splenopexy"),"Non-viable","Review"),IF(BB456="NR",IF(OR(BD456="Total splenectomy",BD456="Partial splenectomy +/- splenopexy"),"NR - removed, check reason","NR"),"Not applicable")))))</f>
        <v/>
      </c>
    </row>
    <row r="457">
      <c r="D457" s="8" t="n"/>
      <c r="E457" s="9">
        <f>IF(B457="","",IF(B457="OWN","Yes","No"))</f>
        <v/>
      </c>
      <c r="AF457" s="9">
        <f>IF(ISNUMBER(Z457),IF(Z457&lt;=2,"&lt;=2 d",IF(Z457&lt;=7,"3-7 d",IF(Z457&lt;=30,"8-30 d","&gt;30 d"))),IF(AE457&lt;&gt;"",AE457,IF(Z457="NR","NR","")))</f>
        <v/>
      </c>
      <c r="AX457" s="9">
        <f>IF(ISNUMBER(AW457),IF(AW457&gt;450,"Yes","No"),IF(AW457="NR","NR",""))</f>
        <v/>
      </c>
      <c r="BJ457" s="9">
        <f>IF(BB457="","",IF(BB457="Non-viable","Non-viable",IF(BB457="Viable","Viable",IF(BB457="Partially non-viable",IF(OR(BD457="Total splenectomy",BD457="Partial splenectomy +/- splenopexy"),"Non-viable","Review"),IF(BB457="NR",IF(OR(BD457="Total splenectomy",BD457="Partial splenectomy +/- splenopexy"),"NR - removed, check reason","NR"),"Not applicable")))))</f>
        <v/>
      </c>
    </row>
    <row r="458">
      <c r="D458" s="8" t="n"/>
      <c r="E458" s="9">
        <f>IF(B458="","",IF(B458="OWN","Yes","No"))</f>
        <v/>
      </c>
      <c r="AF458" s="9">
        <f>IF(ISNUMBER(Z458),IF(Z458&lt;=2,"&lt;=2 d",IF(Z458&lt;=7,"3-7 d",IF(Z458&lt;=30,"8-30 d","&gt;30 d"))),IF(AE458&lt;&gt;"",AE458,IF(Z458="NR","NR","")))</f>
        <v/>
      </c>
      <c r="AX458" s="9">
        <f>IF(ISNUMBER(AW458),IF(AW458&gt;450,"Yes","No"),IF(AW458="NR","NR",""))</f>
        <v/>
      </c>
      <c r="BJ458" s="9">
        <f>IF(BB458="","",IF(BB458="Non-viable","Non-viable",IF(BB458="Viable","Viable",IF(BB458="Partially non-viable",IF(OR(BD458="Total splenectomy",BD458="Partial splenectomy +/- splenopexy"),"Non-viable","Review"),IF(BB458="NR",IF(OR(BD458="Total splenectomy",BD458="Partial splenectomy +/- splenopexy"),"NR - removed, check reason","NR"),"Not applicable")))))</f>
        <v/>
      </c>
    </row>
    <row r="459">
      <c r="D459" s="8" t="n"/>
      <c r="E459" s="9">
        <f>IF(B459="","",IF(B459="OWN","Yes","No"))</f>
        <v/>
      </c>
      <c r="AF459" s="9">
        <f>IF(ISNUMBER(Z459),IF(Z459&lt;=2,"&lt;=2 d",IF(Z459&lt;=7,"3-7 d",IF(Z459&lt;=30,"8-30 d","&gt;30 d"))),IF(AE459&lt;&gt;"",AE459,IF(Z459="NR","NR","")))</f>
        <v/>
      </c>
      <c r="AX459" s="9">
        <f>IF(ISNUMBER(AW459),IF(AW459&gt;450,"Yes","No"),IF(AW459="NR","NR",""))</f>
        <v/>
      </c>
      <c r="BJ459" s="9">
        <f>IF(BB459="","",IF(BB459="Non-viable","Non-viable",IF(BB459="Viable","Viable",IF(BB459="Partially non-viable",IF(OR(BD459="Total splenectomy",BD459="Partial splenectomy +/- splenopexy"),"Non-viable","Review"),IF(BB459="NR",IF(OR(BD459="Total splenectomy",BD459="Partial splenectomy +/- splenopexy"),"NR - removed, check reason","NR"),"Not applicable")))))</f>
        <v/>
      </c>
    </row>
    <row r="460">
      <c r="D460" s="8" t="n"/>
      <c r="E460" s="9">
        <f>IF(B460="","",IF(B460="OWN","Yes","No"))</f>
        <v/>
      </c>
      <c r="AF460" s="9">
        <f>IF(ISNUMBER(Z460),IF(Z460&lt;=2,"&lt;=2 d",IF(Z460&lt;=7,"3-7 d",IF(Z460&lt;=30,"8-30 d","&gt;30 d"))),IF(AE460&lt;&gt;"",AE460,IF(Z460="NR","NR","")))</f>
        <v/>
      </c>
      <c r="AX460" s="9">
        <f>IF(ISNUMBER(AW460),IF(AW460&gt;450,"Yes","No"),IF(AW460="NR","NR",""))</f>
        <v/>
      </c>
      <c r="BJ460" s="9">
        <f>IF(BB460="","",IF(BB460="Non-viable","Non-viable",IF(BB460="Viable","Viable",IF(BB460="Partially non-viable",IF(OR(BD460="Total splenectomy",BD460="Partial splenectomy +/- splenopexy"),"Non-viable","Review"),IF(BB460="NR",IF(OR(BD460="Total splenectomy",BD460="Partial splenectomy +/- splenopexy"),"NR - removed, check reason","NR"),"Not applicable")))))</f>
        <v/>
      </c>
    </row>
    <row r="461">
      <c r="D461" s="8" t="n"/>
      <c r="E461" s="9">
        <f>IF(B461="","",IF(B461="OWN","Yes","No"))</f>
        <v/>
      </c>
      <c r="AF461" s="9">
        <f>IF(ISNUMBER(Z461),IF(Z461&lt;=2,"&lt;=2 d",IF(Z461&lt;=7,"3-7 d",IF(Z461&lt;=30,"8-30 d","&gt;30 d"))),IF(AE461&lt;&gt;"",AE461,IF(Z461="NR","NR","")))</f>
        <v/>
      </c>
      <c r="AX461" s="9">
        <f>IF(ISNUMBER(AW461),IF(AW461&gt;450,"Yes","No"),IF(AW461="NR","NR",""))</f>
        <v/>
      </c>
      <c r="BJ461" s="9">
        <f>IF(BB461="","",IF(BB461="Non-viable","Non-viable",IF(BB461="Viable","Viable",IF(BB461="Partially non-viable",IF(OR(BD461="Total splenectomy",BD461="Partial splenectomy +/- splenopexy"),"Non-viable","Review"),IF(BB461="NR",IF(OR(BD461="Total splenectomy",BD461="Partial splenectomy +/- splenopexy"),"NR - removed, check reason","NR"),"Not applicable")))))</f>
        <v/>
      </c>
    </row>
    <row r="462">
      <c r="D462" s="8" t="n"/>
      <c r="E462" s="9">
        <f>IF(B462="","",IF(B462="OWN","Yes","No"))</f>
        <v/>
      </c>
      <c r="AF462" s="9">
        <f>IF(ISNUMBER(Z462),IF(Z462&lt;=2,"&lt;=2 d",IF(Z462&lt;=7,"3-7 d",IF(Z462&lt;=30,"8-30 d","&gt;30 d"))),IF(AE462&lt;&gt;"",AE462,IF(Z462="NR","NR","")))</f>
        <v/>
      </c>
      <c r="AX462" s="9">
        <f>IF(ISNUMBER(AW462),IF(AW462&gt;450,"Yes","No"),IF(AW462="NR","NR",""))</f>
        <v/>
      </c>
      <c r="BJ462" s="9">
        <f>IF(BB462="","",IF(BB462="Non-viable","Non-viable",IF(BB462="Viable","Viable",IF(BB462="Partially non-viable",IF(OR(BD462="Total splenectomy",BD462="Partial splenectomy +/- splenopexy"),"Non-viable","Review"),IF(BB462="NR",IF(OR(BD462="Total splenectomy",BD462="Partial splenectomy +/- splenopexy"),"NR - removed, check reason","NR"),"Not applicable")))))</f>
        <v/>
      </c>
    </row>
    <row r="463">
      <c r="D463" s="8" t="n"/>
      <c r="E463" s="9">
        <f>IF(B463="","",IF(B463="OWN","Yes","No"))</f>
        <v/>
      </c>
      <c r="AF463" s="9">
        <f>IF(ISNUMBER(Z463),IF(Z463&lt;=2,"&lt;=2 d",IF(Z463&lt;=7,"3-7 d",IF(Z463&lt;=30,"8-30 d","&gt;30 d"))),IF(AE463&lt;&gt;"",AE463,IF(Z463="NR","NR","")))</f>
        <v/>
      </c>
      <c r="AX463" s="9">
        <f>IF(ISNUMBER(AW463),IF(AW463&gt;450,"Yes","No"),IF(AW463="NR","NR",""))</f>
        <v/>
      </c>
      <c r="BJ463" s="9">
        <f>IF(BB463="","",IF(BB463="Non-viable","Non-viable",IF(BB463="Viable","Viable",IF(BB463="Partially non-viable",IF(OR(BD463="Total splenectomy",BD463="Partial splenectomy +/- splenopexy"),"Non-viable","Review"),IF(BB463="NR",IF(OR(BD463="Total splenectomy",BD463="Partial splenectomy +/- splenopexy"),"NR - removed, check reason","NR"),"Not applicable")))))</f>
        <v/>
      </c>
    </row>
    <row r="464">
      <c r="D464" s="8" t="n"/>
      <c r="E464" s="9">
        <f>IF(B464="","",IF(B464="OWN","Yes","No"))</f>
        <v/>
      </c>
      <c r="AF464" s="9">
        <f>IF(ISNUMBER(Z464),IF(Z464&lt;=2,"&lt;=2 d",IF(Z464&lt;=7,"3-7 d",IF(Z464&lt;=30,"8-30 d","&gt;30 d"))),IF(AE464&lt;&gt;"",AE464,IF(Z464="NR","NR","")))</f>
        <v/>
      </c>
      <c r="AX464" s="9">
        <f>IF(ISNUMBER(AW464),IF(AW464&gt;450,"Yes","No"),IF(AW464="NR","NR",""))</f>
        <v/>
      </c>
      <c r="BJ464" s="9">
        <f>IF(BB464="","",IF(BB464="Non-viable","Non-viable",IF(BB464="Viable","Viable",IF(BB464="Partially non-viable",IF(OR(BD464="Total splenectomy",BD464="Partial splenectomy +/- splenopexy"),"Non-viable","Review"),IF(BB464="NR",IF(OR(BD464="Total splenectomy",BD464="Partial splenectomy +/- splenopexy"),"NR - removed, check reason","NR"),"Not applicable")))))</f>
        <v/>
      </c>
    </row>
    <row r="465">
      <c r="D465" s="8" t="n"/>
      <c r="E465" s="9">
        <f>IF(B465="","",IF(B465="OWN","Yes","No"))</f>
        <v/>
      </c>
      <c r="AF465" s="9">
        <f>IF(ISNUMBER(Z465),IF(Z465&lt;=2,"&lt;=2 d",IF(Z465&lt;=7,"3-7 d",IF(Z465&lt;=30,"8-30 d","&gt;30 d"))),IF(AE465&lt;&gt;"",AE465,IF(Z465="NR","NR","")))</f>
        <v/>
      </c>
      <c r="AX465" s="9">
        <f>IF(ISNUMBER(AW465),IF(AW465&gt;450,"Yes","No"),IF(AW465="NR","NR",""))</f>
        <v/>
      </c>
      <c r="BJ465" s="9">
        <f>IF(BB465="","",IF(BB465="Non-viable","Non-viable",IF(BB465="Viable","Viable",IF(BB465="Partially non-viable",IF(OR(BD465="Total splenectomy",BD465="Partial splenectomy +/- splenopexy"),"Non-viable","Review"),IF(BB465="NR",IF(OR(BD465="Total splenectomy",BD465="Partial splenectomy +/- splenopexy"),"NR - removed, check reason","NR"),"Not applicable")))))</f>
        <v/>
      </c>
    </row>
    <row r="466">
      <c r="D466" s="8" t="n"/>
      <c r="E466" s="9">
        <f>IF(B466="","",IF(B466="OWN","Yes","No"))</f>
        <v/>
      </c>
      <c r="AF466" s="9">
        <f>IF(ISNUMBER(Z466),IF(Z466&lt;=2,"&lt;=2 d",IF(Z466&lt;=7,"3-7 d",IF(Z466&lt;=30,"8-30 d","&gt;30 d"))),IF(AE466&lt;&gt;"",AE466,IF(Z466="NR","NR","")))</f>
        <v/>
      </c>
      <c r="AX466" s="9">
        <f>IF(ISNUMBER(AW466),IF(AW466&gt;450,"Yes","No"),IF(AW466="NR","NR",""))</f>
        <v/>
      </c>
      <c r="BJ466" s="9">
        <f>IF(BB466="","",IF(BB466="Non-viable","Non-viable",IF(BB466="Viable","Viable",IF(BB466="Partially non-viable",IF(OR(BD466="Total splenectomy",BD466="Partial splenectomy +/- splenopexy"),"Non-viable","Review"),IF(BB466="NR",IF(OR(BD466="Total splenectomy",BD466="Partial splenectomy +/- splenopexy"),"NR - removed, check reason","NR"),"Not applicable")))))</f>
        <v/>
      </c>
    </row>
    <row r="467">
      <c r="D467" s="8" t="n"/>
      <c r="E467" s="9">
        <f>IF(B467="","",IF(B467="OWN","Yes","No"))</f>
        <v/>
      </c>
      <c r="AF467" s="9">
        <f>IF(ISNUMBER(Z467),IF(Z467&lt;=2,"&lt;=2 d",IF(Z467&lt;=7,"3-7 d",IF(Z467&lt;=30,"8-30 d","&gt;30 d"))),IF(AE467&lt;&gt;"",AE467,IF(Z467="NR","NR","")))</f>
        <v/>
      </c>
      <c r="AX467" s="9">
        <f>IF(ISNUMBER(AW467),IF(AW467&gt;450,"Yes","No"),IF(AW467="NR","NR",""))</f>
        <v/>
      </c>
      <c r="BJ467" s="9">
        <f>IF(BB467="","",IF(BB467="Non-viable","Non-viable",IF(BB467="Viable","Viable",IF(BB467="Partially non-viable",IF(OR(BD467="Total splenectomy",BD467="Partial splenectomy +/- splenopexy"),"Non-viable","Review"),IF(BB467="NR",IF(OR(BD467="Total splenectomy",BD467="Partial splenectomy +/- splenopexy"),"NR - removed, check reason","NR"),"Not applicable")))))</f>
        <v/>
      </c>
    </row>
    <row r="468">
      <c r="D468" s="8" t="n"/>
      <c r="E468" s="9">
        <f>IF(B468="","",IF(B468="OWN","Yes","No"))</f>
        <v/>
      </c>
      <c r="AF468" s="9">
        <f>IF(ISNUMBER(Z468),IF(Z468&lt;=2,"&lt;=2 d",IF(Z468&lt;=7,"3-7 d",IF(Z468&lt;=30,"8-30 d","&gt;30 d"))),IF(AE468&lt;&gt;"",AE468,IF(Z468="NR","NR","")))</f>
        <v/>
      </c>
      <c r="AX468" s="9">
        <f>IF(ISNUMBER(AW468),IF(AW468&gt;450,"Yes","No"),IF(AW468="NR","NR",""))</f>
        <v/>
      </c>
      <c r="BJ468" s="9">
        <f>IF(BB468="","",IF(BB468="Non-viable","Non-viable",IF(BB468="Viable","Viable",IF(BB468="Partially non-viable",IF(OR(BD468="Total splenectomy",BD468="Partial splenectomy +/- splenopexy"),"Non-viable","Review"),IF(BB468="NR",IF(OR(BD468="Total splenectomy",BD468="Partial splenectomy +/- splenopexy"),"NR - removed, check reason","NR"),"Not applicable")))))</f>
        <v/>
      </c>
    </row>
    <row r="469">
      <c r="D469" s="8" t="n"/>
      <c r="E469" s="9">
        <f>IF(B469="","",IF(B469="OWN","Yes","No"))</f>
        <v/>
      </c>
      <c r="AF469" s="9">
        <f>IF(ISNUMBER(Z469),IF(Z469&lt;=2,"&lt;=2 d",IF(Z469&lt;=7,"3-7 d",IF(Z469&lt;=30,"8-30 d","&gt;30 d"))),IF(AE469&lt;&gt;"",AE469,IF(Z469="NR","NR","")))</f>
        <v/>
      </c>
      <c r="AX469" s="9">
        <f>IF(ISNUMBER(AW469),IF(AW469&gt;450,"Yes","No"),IF(AW469="NR","NR",""))</f>
        <v/>
      </c>
      <c r="BJ469" s="9">
        <f>IF(BB469="","",IF(BB469="Non-viable","Non-viable",IF(BB469="Viable","Viable",IF(BB469="Partially non-viable",IF(OR(BD469="Total splenectomy",BD469="Partial splenectomy +/- splenopexy"),"Non-viable","Review"),IF(BB469="NR",IF(OR(BD469="Total splenectomy",BD469="Partial splenectomy +/- splenopexy"),"NR - removed, check reason","NR"),"Not applicable")))))</f>
        <v/>
      </c>
    </row>
    <row r="470">
      <c r="D470" s="8" t="n"/>
      <c r="E470" s="9">
        <f>IF(B470="","",IF(B470="OWN","Yes","No"))</f>
        <v/>
      </c>
      <c r="AF470" s="9">
        <f>IF(ISNUMBER(Z470),IF(Z470&lt;=2,"&lt;=2 d",IF(Z470&lt;=7,"3-7 d",IF(Z470&lt;=30,"8-30 d","&gt;30 d"))),IF(AE470&lt;&gt;"",AE470,IF(Z470="NR","NR","")))</f>
        <v/>
      </c>
      <c r="AX470" s="9">
        <f>IF(ISNUMBER(AW470),IF(AW470&gt;450,"Yes","No"),IF(AW470="NR","NR",""))</f>
        <v/>
      </c>
      <c r="BJ470" s="9">
        <f>IF(BB470="","",IF(BB470="Non-viable","Non-viable",IF(BB470="Viable","Viable",IF(BB470="Partially non-viable",IF(OR(BD470="Total splenectomy",BD470="Partial splenectomy +/- splenopexy"),"Non-viable","Review"),IF(BB470="NR",IF(OR(BD470="Total splenectomy",BD470="Partial splenectomy +/- splenopexy"),"NR - removed, check reason","NR"),"Not applicable")))))</f>
        <v/>
      </c>
    </row>
    <row r="471">
      <c r="D471" s="8" t="n"/>
      <c r="E471" s="9">
        <f>IF(B471="","",IF(B471="OWN","Yes","No"))</f>
        <v/>
      </c>
      <c r="AF471" s="9">
        <f>IF(ISNUMBER(Z471),IF(Z471&lt;=2,"&lt;=2 d",IF(Z471&lt;=7,"3-7 d",IF(Z471&lt;=30,"8-30 d","&gt;30 d"))),IF(AE471&lt;&gt;"",AE471,IF(Z471="NR","NR","")))</f>
        <v/>
      </c>
      <c r="AX471" s="9">
        <f>IF(ISNUMBER(AW471),IF(AW471&gt;450,"Yes","No"),IF(AW471="NR","NR",""))</f>
        <v/>
      </c>
      <c r="BJ471" s="9">
        <f>IF(BB471="","",IF(BB471="Non-viable","Non-viable",IF(BB471="Viable","Viable",IF(BB471="Partially non-viable",IF(OR(BD471="Total splenectomy",BD471="Partial splenectomy +/- splenopexy"),"Non-viable","Review"),IF(BB471="NR",IF(OR(BD471="Total splenectomy",BD471="Partial splenectomy +/- splenopexy"),"NR - removed, check reason","NR"),"Not applicable")))))</f>
        <v/>
      </c>
    </row>
    <row r="472">
      <c r="D472" s="8" t="n"/>
      <c r="E472" s="9">
        <f>IF(B472="","",IF(B472="OWN","Yes","No"))</f>
        <v/>
      </c>
      <c r="AF472" s="9">
        <f>IF(ISNUMBER(Z472),IF(Z472&lt;=2,"&lt;=2 d",IF(Z472&lt;=7,"3-7 d",IF(Z472&lt;=30,"8-30 d","&gt;30 d"))),IF(AE472&lt;&gt;"",AE472,IF(Z472="NR","NR","")))</f>
        <v/>
      </c>
      <c r="AX472" s="9">
        <f>IF(ISNUMBER(AW472),IF(AW472&gt;450,"Yes","No"),IF(AW472="NR","NR",""))</f>
        <v/>
      </c>
      <c r="BJ472" s="9">
        <f>IF(BB472="","",IF(BB472="Non-viable","Non-viable",IF(BB472="Viable","Viable",IF(BB472="Partially non-viable",IF(OR(BD472="Total splenectomy",BD472="Partial splenectomy +/- splenopexy"),"Non-viable","Review"),IF(BB472="NR",IF(OR(BD472="Total splenectomy",BD472="Partial splenectomy +/- splenopexy"),"NR - removed, check reason","NR"),"Not applicable")))))</f>
        <v/>
      </c>
    </row>
    <row r="473">
      <c r="D473" s="8" t="n"/>
      <c r="E473" s="9">
        <f>IF(B473="","",IF(B473="OWN","Yes","No"))</f>
        <v/>
      </c>
      <c r="AF473" s="9">
        <f>IF(ISNUMBER(Z473),IF(Z473&lt;=2,"&lt;=2 d",IF(Z473&lt;=7,"3-7 d",IF(Z473&lt;=30,"8-30 d","&gt;30 d"))),IF(AE473&lt;&gt;"",AE473,IF(Z473="NR","NR","")))</f>
        <v/>
      </c>
      <c r="AX473" s="9">
        <f>IF(ISNUMBER(AW473),IF(AW473&gt;450,"Yes","No"),IF(AW473="NR","NR",""))</f>
        <v/>
      </c>
      <c r="BJ473" s="9">
        <f>IF(BB473="","",IF(BB473="Non-viable","Non-viable",IF(BB473="Viable","Viable",IF(BB473="Partially non-viable",IF(OR(BD473="Total splenectomy",BD473="Partial splenectomy +/- splenopexy"),"Non-viable","Review"),IF(BB473="NR",IF(OR(BD473="Total splenectomy",BD473="Partial splenectomy +/- splenopexy"),"NR - removed, check reason","NR"),"Not applicable")))))</f>
        <v/>
      </c>
    </row>
    <row r="474">
      <c r="D474" s="8" t="n"/>
      <c r="E474" s="9">
        <f>IF(B474="","",IF(B474="OWN","Yes","No"))</f>
        <v/>
      </c>
      <c r="AF474" s="9">
        <f>IF(ISNUMBER(Z474),IF(Z474&lt;=2,"&lt;=2 d",IF(Z474&lt;=7,"3-7 d",IF(Z474&lt;=30,"8-30 d","&gt;30 d"))),IF(AE474&lt;&gt;"",AE474,IF(Z474="NR","NR","")))</f>
        <v/>
      </c>
      <c r="AX474" s="9">
        <f>IF(ISNUMBER(AW474),IF(AW474&gt;450,"Yes","No"),IF(AW474="NR","NR",""))</f>
        <v/>
      </c>
      <c r="BJ474" s="9">
        <f>IF(BB474="","",IF(BB474="Non-viable","Non-viable",IF(BB474="Viable","Viable",IF(BB474="Partially non-viable",IF(OR(BD474="Total splenectomy",BD474="Partial splenectomy +/- splenopexy"),"Non-viable","Review"),IF(BB474="NR",IF(OR(BD474="Total splenectomy",BD474="Partial splenectomy +/- splenopexy"),"NR - removed, check reason","NR"),"Not applicable")))))</f>
        <v/>
      </c>
    </row>
    <row r="475">
      <c r="D475" s="8" t="n"/>
      <c r="E475" s="9">
        <f>IF(B475="","",IF(B475="OWN","Yes","No"))</f>
        <v/>
      </c>
      <c r="AF475" s="9">
        <f>IF(ISNUMBER(Z475),IF(Z475&lt;=2,"&lt;=2 d",IF(Z475&lt;=7,"3-7 d",IF(Z475&lt;=30,"8-30 d","&gt;30 d"))),IF(AE475&lt;&gt;"",AE475,IF(Z475="NR","NR","")))</f>
        <v/>
      </c>
      <c r="AX475" s="9">
        <f>IF(ISNUMBER(AW475),IF(AW475&gt;450,"Yes","No"),IF(AW475="NR","NR",""))</f>
        <v/>
      </c>
      <c r="BJ475" s="9">
        <f>IF(BB475="","",IF(BB475="Non-viable","Non-viable",IF(BB475="Viable","Viable",IF(BB475="Partially non-viable",IF(OR(BD475="Total splenectomy",BD475="Partial splenectomy +/- splenopexy"),"Non-viable","Review"),IF(BB475="NR",IF(OR(BD475="Total splenectomy",BD475="Partial splenectomy +/- splenopexy"),"NR - removed, check reason","NR"),"Not applicable")))))</f>
        <v/>
      </c>
    </row>
    <row r="476">
      <c r="D476" s="8" t="n"/>
      <c r="E476" s="9">
        <f>IF(B476="","",IF(B476="OWN","Yes","No"))</f>
        <v/>
      </c>
      <c r="AF476" s="9">
        <f>IF(ISNUMBER(Z476),IF(Z476&lt;=2,"&lt;=2 d",IF(Z476&lt;=7,"3-7 d",IF(Z476&lt;=30,"8-30 d","&gt;30 d"))),IF(AE476&lt;&gt;"",AE476,IF(Z476="NR","NR","")))</f>
        <v/>
      </c>
      <c r="AX476" s="9">
        <f>IF(ISNUMBER(AW476),IF(AW476&gt;450,"Yes","No"),IF(AW476="NR","NR",""))</f>
        <v/>
      </c>
      <c r="BJ476" s="9">
        <f>IF(BB476="","",IF(BB476="Non-viable","Non-viable",IF(BB476="Viable","Viable",IF(BB476="Partially non-viable",IF(OR(BD476="Total splenectomy",BD476="Partial splenectomy +/- splenopexy"),"Non-viable","Review"),IF(BB476="NR",IF(OR(BD476="Total splenectomy",BD476="Partial splenectomy +/- splenopexy"),"NR - removed, check reason","NR"),"Not applicable")))))</f>
        <v/>
      </c>
    </row>
    <row r="477">
      <c r="D477" s="8" t="n"/>
      <c r="E477" s="9">
        <f>IF(B477="","",IF(B477="OWN","Yes","No"))</f>
        <v/>
      </c>
      <c r="AF477" s="9">
        <f>IF(ISNUMBER(Z477),IF(Z477&lt;=2,"&lt;=2 d",IF(Z477&lt;=7,"3-7 d",IF(Z477&lt;=30,"8-30 d","&gt;30 d"))),IF(AE477&lt;&gt;"",AE477,IF(Z477="NR","NR","")))</f>
        <v/>
      </c>
      <c r="AX477" s="9">
        <f>IF(ISNUMBER(AW477),IF(AW477&gt;450,"Yes","No"),IF(AW477="NR","NR",""))</f>
        <v/>
      </c>
      <c r="BJ477" s="9">
        <f>IF(BB477="","",IF(BB477="Non-viable","Non-viable",IF(BB477="Viable","Viable",IF(BB477="Partially non-viable",IF(OR(BD477="Total splenectomy",BD477="Partial splenectomy +/- splenopexy"),"Non-viable","Review"),IF(BB477="NR",IF(OR(BD477="Total splenectomy",BD477="Partial splenectomy +/- splenopexy"),"NR - removed, check reason","NR"),"Not applicable")))))</f>
        <v/>
      </c>
    </row>
    <row r="478">
      <c r="D478" s="8" t="n"/>
      <c r="E478" s="9">
        <f>IF(B478="","",IF(B478="OWN","Yes","No"))</f>
        <v/>
      </c>
      <c r="AF478" s="9">
        <f>IF(ISNUMBER(Z478),IF(Z478&lt;=2,"&lt;=2 d",IF(Z478&lt;=7,"3-7 d",IF(Z478&lt;=30,"8-30 d","&gt;30 d"))),IF(AE478&lt;&gt;"",AE478,IF(Z478="NR","NR","")))</f>
        <v/>
      </c>
      <c r="AX478" s="9">
        <f>IF(ISNUMBER(AW478),IF(AW478&gt;450,"Yes","No"),IF(AW478="NR","NR",""))</f>
        <v/>
      </c>
      <c r="BJ478" s="9">
        <f>IF(BB478="","",IF(BB478="Non-viable","Non-viable",IF(BB478="Viable","Viable",IF(BB478="Partially non-viable",IF(OR(BD478="Total splenectomy",BD478="Partial splenectomy +/- splenopexy"),"Non-viable","Review"),IF(BB478="NR",IF(OR(BD478="Total splenectomy",BD478="Partial splenectomy +/- splenopexy"),"NR - removed, check reason","NR"),"Not applicable")))))</f>
        <v/>
      </c>
    </row>
    <row r="479">
      <c r="D479" s="8" t="n"/>
      <c r="E479" s="9">
        <f>IF(B479="","",IF(B479="OWN","Yes","No"))</f>
        <v/>
      </c>
      <c r="AF479" s="9">
        <f>IF(ISNUMBER(Z479),IF(Z479&lt;=2,"&lt;=2 d",IF(Z479&lt;=7,"3-7 d",IF(Z479&lt;=30,"8-30 d","&gt;30 d"))),IF(AE479&lt;&gt;"",AE479,IF(Z479="NR","NR","")))</f>
        <v/>
      </c>
      <c r="AX479" s="9">
        <f>IF(ISNUMBER(AW479),IF(AW479&gt;450,"Yes","No"),IF(AW479="NR","NR",""))</f>
        <v/>
      </c>
      <c r="BJ479" s="9">
        <f>IF(BB479="","",IF(BB479="Non-viable","Non-viable",IF(BB479="Viable","Viable",IF(BB479="Partially non-viable",IF(OR(BD479="Total splenectomy",BD479="Partial splenectomy +/- splenopexy"),"Non-viable","Review"),IF(BB479="NR",IF(OR(BD479="Total splenectomy",BD479="Partial splenectomy +/- splenopexy"),"NR - removed, check reason","NR"),"Not applicable")))))</f>
        <v/>
      </c>
    </row>
    <row r="480">
      <c r="D480" s="8" t="n"/>
      <c r="E480" s="9">
        <f>IF(B480="","",IF(B480="OWN","Yes","No"))</f>
        <v/>
      </c>
      <c r="AF480" s="9">
        <f>IF(ISNUMBER(Z480),IF(Z480&lt;=2,"&lt;=2 d",IF(Z480&lt;=7,"3-7 d",IF(Z480&lt;=30,"8-30 d","&gt;30 d"))),IF(AE480&lt;&gt;"",AE480,IF(Z480="NR","NR","")))</f>
        <v/>
      </c>
      <c r="AX480" s="9">
        <f>IF(ISNUMBER(AW480),IF(AW480&gt;450,"Yes","No"),IF(AW480="NR","NR",""))</f>
        <v/>
      </c>
      <c r="BJ480" s="9">
        <f>IF(BB480="","",IF(BB480="Non-viable","Non-viable",IF(BB480="Viable","Viable",IF(BB480="Partially non-viable",IF(OR(BD480="Total splenectomy",BD480="Partial splenectomy +/- splenopexy"),"Non-viable","Review"),IF(BB480="NR",IF(OR(BD480="Total splenectomy",BD480="Partial splenectomy +/- splenopexy"),"NR - removed, check reason","NR"),"Not applicable")))))</f>
        <v/>
      </c>
    </row>
    <row r="481">
      <c r="D481" s="8" t="n"/>
      <c r="E481" s="9">
        <f>IF(B481="","",IF(B481="OWN","Yes","No"))</f>
        <v/>
      </c>
      <c r="AF481" s="9">
        <f>IF(ISNUMBER(Z481),IF(Z481&lt;=2,"&lt;=2 d",IF(Z481&lt;=7,"3-7 d",IF(Z481&lt;=30,"8-30 d","&gt;30 d"))),IF(AE481&lt;&gt;"",AE481,IF(Z481="NR","NR","")))</f>
        <v/>
      </c>
      <c r="AX481" s="9">
        <f>IF(ISNUMBER(AW481),IF(AW481&gt;450,"Yes","No"),IF(AW481="NR","NR",""))</f>
        <v/>
      </c>
      <c r="BJ481" s="9">
        <f>IF(BB481="","",IF(BB481="Non-viable","Non-viable",IF(BB481="Viable","Viable",IF(BB481="Partially non-viable",IF(OR(BD481="Total splenectomy",BD481="Partial splenectomy +/- splenopexy"),"Non-viable","Review"),IF(BB481="NR",IF(OR(BD481="Total splenectomy",BD481="Partial splenectomy +/- splenopexy"),"NR - removed, check reason","NR"),"Not applicable")))))</f>
        <v/>
      </c>
    </row>
    <row r="482">
      <c r="D482" s="8" t="n"/>
      <c r="E482" s="9">
        <f>IF(B482="","",IF(B482="OWN","Yes","No"))</f>
        <v/>
      </c>
      <c r="AF482" s="9">
        <f>IF(ISNUMBER(Z482),IF(Z482&lt;=2,"&lt;=2 d",IF(Z482&lt;=7,"3-7 d",IF(Z482&lt;=30,"8-30 d","&gt;30 d"))),IF(AE482&lt;&gt;"",AE482,IF(Z482="NR","NR","")))</f>
        <v/>
      </c>
      <c r="AX482" s="9">
        <f>IF(ISNUMBER(AW482),IF(AW482&gt;450,"Yes","No"),IF(AW482="NR","NR",""))</f>
        <v/>
      </c>
      <c r="BJ482" s="9">
        <f>IF(BB482="","",IF(BB482="Non-viable","Non-viable",IF(BB482="Viable","Viable",IF(BB482="Partially non-viable",IF(OR(BD482="Total splenectomy",BD482="Partial splenectomy +/- splenopexy"),"Non-viable","Review"),IF(BB482="NR",IF(OR(BD482="Total splenectomy",BD482="Partial splenectomy +/- splenopexy"),"NR - removed, check reason","NR"),"Not applicable")))))</f>
        <v/>
      </c>
    </row>
    <row r="483">
      <c r="D483" s="8" t="n"/>
      <c r="E483" s="9">
        <f>IF(B483="","",IF(B483="OWN","Yes","No"))</f>
        <v/>
      </c>
      <c r="AF483" s="9">
        <f>IF(ISNUMBER(Z483),IF(Z483&lt;=2,"&lt;=2 d",IF(Z483&lt;=7,"3-7 d",IF(Z483&lt;=30,"8-30 d","&gt;30 d"))),IF(AE483&lt;&gt;"",AE483,IF(Z483="NR","NR","")))</f>
        <v/>
      </c>
      <c r="AX483" s="9">
        <f>IF(ISNUMBER(AW483),IF(AW483&gt;450,"Yes","No"),IF(AW483="NR","NR",""))</f>
        <v/>
      </c>
      <c r="BJ483" s="9">
        <f>IF(BB483="","",IF(BB483="Non-viable","Non-viable",IF(BB483="Viable","Viable",IF(BB483="Partially non-viable",IF(OR(BD483="Total splenectomy",BD483="Partial splenectomy +/- splenopexy"),"Non-viable","Review"),IF(BB483="NR",IF(OR(BD483="Total splenectomy",BD483="Partial splenectomy +/- splenopexy"),"NR - removed, check reason","NR"),"Not applicable")))))</f>
        <v/>
      </c>
    </row>
    <row r="484">
      <c r="D484" s="8" t="n"/>
      <c r="E484" s="9">
        <f>IF(B484="","",IF(B484="OWN","Yes","No"))</f>
        <v/>
      </c>
      <c r="AF484" s="9">
        <f>IF(ISNUMBER(Z484),IF(Z484&lt;=2,"&lt;=2 d",IF(Z484&lt;=7,"3-7 d",IF(Z484&lt;=30,"8-30 d","&gt;30 d"))),IF(AE484&lt;&gt;"",AE484,IF(Z484="NR","NR","")))</f>
        <v/>
      </c>
      <c r="AX484" s="9">
        <f>IF(ISNUMBER(AW484),IF(AW484&gt;450,"Yes","No"),IF(AW484="NR","NR",""))</f>
        <v/>
      </c>
      <c r="BJ484" s="9">
        <f>IF(BB484="","",IF(BB484="Non-viable","Non-viable",IF(BB484="Viable","Viable",IF(BB484="Partially non-viable",IF(OR(BD484="Total splenectomy",BD484="Partial splenectomy +/- splenopexy"),"Non-viable","Review"),IF(BB484="NR",IF(OR(BD484="Total splenectomy",BD484="Partial splenectomy +/- splenopexy"),"NR - removed, check reason","NR"),"Not applicable")))))</f>
        <v/>
      </c>
    </row>
    <row r="485">
      <c r="D485" s="8" t="n"/>
      <c r="E485" s="9">
        <f>IF(B485="","",IF(B485="OWN","Yes","No"))</f>
        <v/>
      </c>
      <c r="AF485" s="9">
        <f>IF(ISNUMBER(Z485),IF(Z485&lt;=2,"&lt;=2 d",IF(Z485&lt;=7,"3-7 d",IF(Z485&lt;=30,"8-30 d","&gt;30 d"))),IF(AE485&lt;&gt;"",AE485,IF(Z485="NR","NR","")))</f>
        <v/>
      </c>
      <c r="AX485" s="9">
        <f>IF(ISNUMBER(AW485),IF(AW485&gt;450,"Yes","No"),IF(AW485="NR","NR",""))</f>
        <v/>
      </c>
      <c r="BJ485" s="9">
        <f>IF(BB485="","",IF(BB485="Non-viable","Non-viable",IF(BB485="Viable","Viable",IF(BB485="Partially non-viable",IF(OR(BD485="Total splenectomy",BD485="Partial splenectomy +/- splenopexy"),"Non-viable","Review"),IF(BB485="NR",IF(OR(BD485="Total splenectomy",BD485="Partial splenectomy +/- splenopexy"),"NR - removed, check reason","NR"),"Not applicable")))))</f>
        <v/>
      </c>
    </row>
    <row r="486">
      <c r="D486" s="8" t="n"/>
      <c r="E486" s="9">
        <f>IF(B486="","",IF(B486="OWN","Yes","No"))</f>
        <v/>
      </c>
      <c r="AF486" s="9">
        <f>IF(ISNUMBER(Z486),IF(Z486&lt;=2,"&lt;=2 d",IF(Z486&lt;=7,"3-7 d",IF(Z486&lt;=30,"8-30 d","&gt;30 d"))),IF(AE486&lt;&gt;"",AE486,IF(Z486="NR","NR","")))</f>
        <v/>
      </c>
      <c r="AX486" s="9">
        <f>IF(ISNUMBER(AW486),IF(AW486&gt;450,"Yes","No"),IF(AW486="NR","NR",""))</f>
        <v/>
      </c>
      <c r="BJ486" s="9">
        <f>IF(BB486="","",IF(BB486="Non-viable","Non-viable",IF(BB486="Viable","Viable",IF(BB486="Partially non-viable",IF(OR(BD486="Total splenectomy",BD486="Partial splenectomy +/- splenopexy"),"Non-viable","Review"),IF(BB486="NR",IF(OR(BD486="Total splenectomy",BD486="Partial splenectomy +/- splenopexy"),"NR - removed, check reason","NR"),"Not applicable")))))</f>
        <v/>
      </c>
    </row>
    <row r="487">
      <c r="D487" s="8" t="n"/>
      <c r="E487" s="9">
        <f>IF(B487="","",IF(B487="OWN","Yes","No"))</f>
        <v/>
      </c>
      <c r="AF487" s="9">
        <f>IF(ISNUMBER(Z487),IF(Z487&lt;=2,"&lt;=2 d",IF(Z487&lt;=7,"3-7 d",IF(Z487&lt;=30,"8-30 d","&gt;30 d"))),IF(AE487&lt;&gt;"",AE487,IF(Z487="NR","NR","")))</f>
        <v/>
      </c>
      <c r="AX487" s="9">
        <f>IF(ISNUMBER(AW487),IF(AW487&gt;450,"Yes","No"),IF(AW487="NR","NR",""))</f>
        <v/>
      </c>
      <c r="BJ487" s="9">
        <f>IF(BB487="","",IF(BB487="Non-viable","Non-viable",IF(BB487="Viable","Viable",IF(BB487="Partially non-viable",IF(OR(BD487="Total splenectomy",BD487="Partial splenectomy +/- splenopexy"),"Non-viable","Review"),IF(BB487="NR",IF(OR(BD487="Total splenectomy",BD487="Partial splenectomy +/- splenopexy"),"NR - removed, check reason","NR"),"Not applicable")))))</f>
        <v/>
      </c>
    </row>
    <row r="488">
      <c r="D488" s="8" t="n"/>
      <c r="E488" s="9">
        <f>IF(B488="","",IF(B488="OWN","Yes","No"))</f>
        <v/>
      </c>
      <c r="AF488" s="9">
        <f>IF(ISNUMBER(Z488),IF(Z488&lt;=2,"&lt;=2 d",IF(Z488&lt;=7,"3-7 d",IF(Z488&lt;=30,"8-30 d","&gt;30 d"))),IF(AE488&lt;&gt;"",AE488,IF(Z488="NR","NR","")))</f>
        <v/>
      </c>
      <c r="AX488" s="9">
        <f>IF(ISNUMBER(AW488),IF(AW488&gt;450,"Yes","No"),IF(AW488="NR","NR",""))</f>
        <v/>
      </c>
      <c r="BJ488" s="9">
        <f>IF(BB488="","",IF(BB488="Non-viable","Non-viable",IF(BB488="Viable","Viable",IF(BB488="Partially non-viable",IF(OR(BD488="Total splenectomy",BD488="Partial splenectomy +/- splenopexy"),"Non-viable","Review"),IF(BB488="NR",IF(OR(BD488="Total splenectomy",BD488="Partial splenectomy +/- splenopexy"),"NR - removed, check reason","NR"),"Not applicable")))))</f>
        <v/>
      </c>
    </row>
    <row r="489">
      <c r="D489" s="8" t="n"/>
      <c r="E489" s="9">
        <f>IF(B489="","",IF(B489="OWN","Yes","No"))</f>
        <v/>
      </c>
      <c r="AF489" s="9">
        <f>IF(ISNUMBER(Z489),IF(Z489&lt;=2,"&lt;=2 d",IF(Z489&lt;=7,"3-7 d",IF(Z489&lt;=30,"8-30 d","&gt;30 d"))),IF(AE489&lt;&gt;"",AE489,IF(Z489="NR","NR","")))</f>
        <v/>
      </c>
      <c r="AX489" s="9">
        <f>IF(ISNUMBER(AW489),IF(AW489&gt;450,"Yes","No"),IF(AW489="NR","NR",""))</f>
        <v/>
      </c>
      <c r="BJ489" s="9">
        <f>IF(BB489="","",IF(BB489="Non-viable","Non-viable",IF(BB489="Viable","Viable",IF(BB489="Partially non-viable",IF(OR(BD489="Total splenectomy",BD489="Partial splenectomy +/- splenopexy"),"Non-viable","Review"),IF(BB489="NR",IF(OR(BD489="Total splenectomy",BD489="Partial splenectomy +/- splenopexy"),"NR - removed, check reason","NR"),"Not applicable")))))</f>
        <v/>
      </c>
    </row>
    <row r="490">
      <c r="D490" s="8" t="n"/>
      <c r="E490" s="9">
        <f>IF(B490="","",IF(B490="OWN","Yes","No"))</f>
        <v/>
      </c>
      <c r="AF490" s="9">
        <f>IF(ISNUMBER(Z490),IF(Z490&lt;=2,"&lt;=2 d",IF(Z490&lt;=7,"3-7 d",IF(Z490&lt;=30,"8-30 d","&gt;30 d"))),IF(AE490&lt;&gt;"",AE490,IF(Z490="NR","NR","")))</f>
        <v/>
      </c>
      <c r="AX490" s="9">
        <f>IF(ISNUMBER(AW490),IF(AW490&gt;450,"Yes","No"),IF(AW490="NR","NR",""))</f>
        <v/>
      </c>
      <c r="BJ490" s="9">
        <f>IF(BB490="","",IF(BB490="Non-viable","Non-viable",IF(BB490="Viable","Viable",IF(BB490="Partially non-viable",IF(OR(BD490="Total splenectomy",BD490="Partial splenectomy +/- splenopexy"),"Non-viable","Review"),IF(BB490="NR",IF(OR(BD490="Total splenectomy",BD490="Partial splenectomy +/- splenopexy"),"NR - removed, check reason","NR"),"Not applicable")))))</f>
        <v/>
      </c>
    </row>
    <row r="491">
      <c r="D491" s="8" t="n"/>
      <c r="E491" s="9">
        <f>IF(B491="","",IF(B491="OWN","Yes","No"))</f>
        <v/>
      </c>
      <c r="AF491" s="9">
        <f>IF(ISNUMBER(Z491),IF(Z491&lt;=2,"&lt;=2 d",IF(Z491&lt;=7,"3-7 d",IF(Z491&lt;=30,"8-30 d","&gt;30 d"))),IF(AE491&lt;&gt;"",AE491,IF(Z491="NR","NR","")))</f>
        <v/>
      </c>
      <c r="AX491" s="9">
        <f>IF(ISNUMBER(AW491),IF(AW491&gt;450,"Yes","No"),IF(AW491="NR","NR",""))</f>
        <v/>
      </c>
      <c r="BJ491" s="9">
        <f>IF(BB491="","",IF(BB491="Non-viable","Non-viable",IF(BB491="Viable","Viable",IF(BB491="Partially non-viable",IF(OR(BD491="Total splenectomy",BD491="Partial splenectomy +/- splenopexy"),"Non-viable","Review"),IF(BB491="NR",IF(OR(BD491="Total splenectomy",BD491="Partial splenectomy +/- splenopexy"),"NR - removed, check reason","NR"),"Not applicable")))))</f>
        <v/>
      </c>
    </row>
    <row r="492">
      <c r="D492" s="8" t="n"/>
      <c r="E492" s="9">
        <f>IF(B492="","",IF(B492="OWN","Yes","No"))</f>
        <v/>
      </c>
      <c r="AF492" s="9">
        <f>IF(ISNUMBER(Z492),IF(Z492&lt;=2,"&lt;=2 d",IF(Z492&lt;=7,"3-7 d",IF(Z492&lt;=30,"8-30 d","&gt;30 d"))),IF(AE492&lt;&gt;"",AE492,IF(Z492="NR","NR","")))</f>
        <v/>
      </c>
      <c r="AX492" s="9">
        <f>IF(ISNUMBER(AW492),IF(AW492&gt;450,"Yes","No"),IF(AW492="NR","NR",""))</f>
        <v/>
      </c>
      <c r="BJ492" s="9">
        <f>IF(BB492="","",IF(BB492="Non-viable","Non-viable",IF(BB492="Viable","Viable",IF(BB492="Partially non-viable",IF(OR(BD492="Total splenectomy",BD492="Partial splenectomy +/- splenopexy"),"Non-viable","Review"),IF(BB492="NR",IF(OR(BD492="Total splenectomy",BD492="Partial splenectomy +/- splenopexy"),"NR - removed, check reason","NR"),"Not applicable")))))</f>
        <v/>
      </c>
    </row>
    <row r="493">
      <c r="D493" s="8" t="n"/>
      <c r="E493" s="9">
        <f>IF(B493="","",IF(B493="OWN","Yes","No"))</f>
        <v/>
      </c>
      <c r="AF493" s="9">
        <f>IF(ISNUMBER(Z493),IF(Z493&lt;=2,"&lt;=2 d",IF(Z493&lt;=7,"3-7 d",IF(Z493&lt;=30,"8-30 d","&gt;30 d"))),IF(AE493&lt;&gt;"",AE493,IF(Z493="NR","NR","")))</f>
        <v/>
      </c>
      <c r="AX493" s="9">
        <f>IF(ISNUMBER(AW493),IF(AW493&gt;450,"Yes","No"),IF(AW493="NR","NR",""))</f>
        <v/>
      </c>
      <c r="BJ493" s="9">
        <f>IF(BB493="","",IF(BB493="Non-viable","Non-viable",IF(BB493="Viable","Viable",IF(BB493="Partially non-viable",IF(OR(BD493="Total splenectomy",BD493="Partial splenectomy +/- splenopexy"),"Non-viable","Review"),IF(BB493="NR",IF(OR(BD493="Total splenectomy",BD493="Partial splenectomy +/- splenopexy"),"NR - removed, check reason","NR"),"Not applicable")))))</f>
        <v/>
      </c>
    </row>
    <row r="494">
      <c r="D494" s="8" t="n"/>
      <c r="E494" s="9">
        <f>IF(B494="","",IF(B494="OWN","Yes","No"))</f>
        <v/>
      </c>
      <c r="AF494" s="9">
        <f>IF(ISNUMBER(Z494),IF(Z494&lt;=2,"&lt;=2 d",IF(Z494&lt;=7,"3-7 d",IF(Z494&lt;=30,"8-30 d","&gt;30 d"))),IF(AE494&lt;&gt;"",AE494,IF(Z494="NR","NR","")))</f>
        <v/>
      </c>
      <c r="AX494" s="9">
        <f>IF(ISNUMBER(AW494),IF(AW494&gt;450,"Yes","No"),IF(AW494="NR","NR",""))</f>
        <v/>
      </c>
      <c r="BJ494" s="9">
        <f>IF(BB494="","",IF(BB494="Non-viable","Non-viable",IF(BB494="Viable","Viable",IF(BB494="Partially non-viable",IF(OR(BD494="Total splenectomy",BD494="Partial splenectomy +/- splenopexy"),"Non-viable","Review"),IF(BB494="NR",IF(OR(BD494="Total splenectomy",BD494="Partial splenectomy +/- splenopexy"),"NR - removed, check reason","NR"),"Not applicable")))))</f>
        <v/>
      </c>
    </row>
    <row r="495">
      <c r="D495" s="8" t="n"/>
      <c r="E495" s="9">
        <f>IF(B495="","",IF(B495="OWN","Yes","No"))</f>
        <v/>
      </c>
      <c r="AF495" s="9">
        <f>IF(ISNUMBER(Z495),IF(Z495&lt;=2,"&lt;=2 d",IF(Z495&lt;=7,"3-7 d",IF(Z495&lt;=30,"8-30 d","&gt;30 d"))),IF(AE495&lt;&gt;"",AE495,IF(Z495="NR","NR","")))</f>
        <v/>
      </c>
      <c r="AX495" s="9">
        <f>IF(ISNUMBER(AW495),IF(AW495&gt;450,"Yes","No"),IF(AW495="NR","NR",""))</f>
        <v/>
      </c>
      <c r="BJ495" s="9">
        <f>IF(BB495="","",IF(BB495="Non-viable","Non-viable",IF(BB495="Viable","Viable",IF(BB495="Partially non-viable",IF(OR(BD495="Total splenectomy",BD495="Partial splenectomy +/- splenopexy"),"Non-viable","Review"),IF(BB495="NR",IF(OR(BD495="Total splenectomy",BD495="Partial splenectomy +/- splenopexy"),"NR - removed, check reason","NR"),"Not applicable")))))</f>
        <v/>
      </c>
    </row>
    <row r="496">
      <c r="D496" s="8" t="n"/>
      <c r="E496" s="9">
        <f>IF(B496="","",IF(B496="OWN","Yes","No"))</f>
        <v/>
      </c>
      <c r="AF496" s="9">
        <f>IF(ISNUMBER(Z496),IF(Z496&lt;=2,"&lt;=2 d",IF(Z496&lt;=7,"3-7 d",IF(Z496&lt;=30,"8-30 d","&gt;30 d"))),IF(AE496&lt;&gt;"",AE496,IF(Z496="NR","NR","")))</f>
        <v/>
      </c>
      <c r="AX496" s="9">
        <f>IF(ISNUMBER(AW496),IF(AW496&gt;450,"Yes","No"),IF(AW496="NR","NR",""))</f>
        <v/>
      </c>
      <c r="BJ496" s="9">
        <f>IF(BB496="","",IF(BB496="Non-viable","Non-viable",IF(BB496="Viable","Viable",IF(BB496="Partially non-viable",IF(OR(BD496="Total splenectomy",BD496="Partial splenectomy +/- splenopexy"),"Non-viable","Review"),IF(BB496="NR",IF(OR(BD496="Total splenectomy",BD496="Partial splenectomy +/- splenopexy"),"NR - removed, check reason","NR"),"Not applicable")))))</f>
        <v/>
      </c>
    </row>
    <row r="497">
      <c r="D497" s="8" t="n"/>
      <c r="E497" s="9">
        <f>IF(B497="","",IF(B497="OWN","Yes","No"))</f>
        <v/>
      </c>
      <c r="AF497" s="9">
        <f>IF(ISNUMBER(Z497),IF(Z497&lt;=2,"&lt;=2 d",IF(Z497&lt;=7,"3-7 d",IF(Z497&lt;=30,"8-30 d","&gt;30 d"))),IF(AE497&lt;&gt;"",AE497,IF(Z497="NR","NR","")))</f>
        <v/>
      </c>
      <c r="AX497" s="9">
        <f>IF(ISNUMBER(AW497),IF(AW497&gt;450,"Yes","No"),IF(AW497="NR","NR",""))</f>
        <v/>
      </c>
      <c r="BJ497" s="9">
        <f>IF(BB497="","",IF(BB497="Non-viable","Non-viable",IF(BB497="Viable","Viable",IF(BB497="Partially non-viable",IF(OR(BD497="Total splenectomy",BD497="Partial splenectomy +/- splenopexy"),"Non-viable","Review"),IF(BB497="NR",IF(OR(BD497="Total splenectomy",BD497="Partial splenectomy +/- splenopexy"),"NR - removed, check reason","NR"),"Not applicable")))))</f>
        <v/>
      </c>
    </row>
    <row r="498">
      <c r="D498" s="8" t="n"/>
      <c r="E498" s="9">
        <f>IF(B498="","",IF(B498="OWN","Yes","No"))</f>
        <v/>
      </c>
      <c r="AF498" s="9">
        <f>IF(ISNUMBER(Z498),IF(Z498&lt;=2,"&lt;=2 d",IF(Z498&lt;=7,"3-7 d",IF(Z498&lt;=30,"8-30 d","&gt;30 d"))),IF(AE498&lt;&gt;"",AE498,IF(Z498="NR","NR","")))</f>
        <v/>
      </c>
      <c r="AX498" s="9">
        <f>IF(ISNUMBER(AW498),IF(AW498&gt;450,"Yes","No"),IF(AW498="NR","NR",""))</f>
        <v/>
      </c>
      <c r="BJ498" s="9">
        <f>IF(BB498="","",IF(BB498="Non-viable","Non-viable",IF(BB498="Viable","Viable",IF(BB498="Partially non-viable",IF(OR(BD498="Total splenectomy",BD498="Partial splenectomy +/- splenopexy"),"Non-viable","Review"),IF(BB498="NR",IF(OR(BD498="Total splenectomy",BD498="Partial splenectomy +/- splenopexy"),"NR - removed, check reason","NR"),"Not applicable")))))</f>
        <v/>
      </c>
    </row>
    <row r="499">
      <c r="D499" s="8" t="n"/>
      <c r="E499" s="9">
        <f>IF(B499="","",IF(B499="OWN","Yes","No"))</f>
        <v/>
      </c>
      <c r="AF499" s="9">
        <f>IF(ISNUMBER(Z499),IF(Z499&lt;=2,"&lt;=2 d",IF(Z499&lt;=7,"3-7 d",IF(Z499&lt;=30,"8-30 d","&gt;30 d"))),IF(AE499&lt;&gt;"",AE499,IF(Z499="NR","NR","")))</f>
        <v/>
      </c>
      <c r="AX499" s="9">
        <f>IF(ISNUMBER(AW499),IF(AW499&gt;450,"Yes","No"),IF(AW499="NR","NR",""))</f>
        <v/>
      </c>
      <c r="BJ499" s="9">
        <f>IF(BB499="","",IF(BB499="Non-viable","Non-viable",IF(BB499="Viable","Viable",IF(BB499="Partially non-viable",IF(OR(BD499="Total splenectomy",BD499="Partial splenectomy +/- splenopexy"),"Non-viable","Review"),IF(BB499="NR",IF(OR(BD499="Total splenectomy",BD499="Partial splenectomy +/- splenopexy"),"NR - removed, check reason","NR"),"Not applicable")))))</f>
        <v/>
      </c>
    </row>
    <row r="500">
      <c r="D500" s="8" t="n"/>
      <c r="E500" s="9">
        <f>IF(B500="","",IF(B500="OWN","Yes","No"))</f>
        <v/>
      </c>
      <c r="AF500" s="9">
        <f>IF(ISNUMBER(Z500),IF(Z500&lt;=2,"&lt;=2 d",IF(Z500&lt;=7,"3-7 d",IF(Z500&lt;=30,"8-30 d","&gt;30 d"))),IF(AE500&lt;&gt;"",AE500,IF(Z500="NR","NR","")))</f>
        <v/>
      </c>
      <c r="AX500" s="9">
        <f>IF(ISNUMBER(AW500),IF(AW500&gt;450,"Yes","No"),IF(AW500="NR","NR",""))</f>
        <v/>
      </c>
      <c r="BJ500" s="9">
        <f>IF(BB500="","",IF(BB500="Non-viable","Non-viable",IF(BB500="Viable","Viable",IF(BB500="Partially non-viable",IF(OR(BD500="Total splenectomy",BD500="Partial splenectomy +/- splenopexy"),"Non-viable","Review"),IF(BB500="NR",IF(OR(BD500="Total splenectomy",BD500="Partial splenectomy +/- splenopexy"),"NR - removed, check reason","NR"),"Not applicable")))))</f>
        <v/>
      </c>
    </row>
    <row r="501">
      <c r="D501" s="8" t="n"/>
      <c r="E501" s="9">
        <f>IF(B501="","",IF(B501="OWN","Yes","No"))</f>
        <v/>
      </c>
      <c r="AF501" s="9">
        <f>IF(ISNUMBER(Z501),IF(Z501&lt;=2,"&lt;=2 d",IF(Z501&lt;=7,"3-7 d",IF(Z501&lt;=30,"8-30 d","&gt;30 d"))),IF(AE501&lt;&gt;"",AE501,IF(Z501="NR","NR","")))</f>
        <v/>
      </c>
      <c r="AX501" s="9">
        <f>IF(ISNUMBER(AW501),IF(AW501&gt;450,"Yes","No"),IF(AW501="NR","NR",""))</f>
        <v/>
      </c>
      <c r="BJ501" s="9">
        <f>IF(BB501="","",IF(BB501="Non-viable","Non-viable",IF(BB501="Viable","Viable",IF(BB501="Partially non-viable",IF(OR(BD501="Total splenectomy",BD501="Partial splenectomy +/- splenopexy"),"Non-viable","Review"),IF(BB501="NR",IF(OR(BD501="Total splenectomy",BD501="Partial splenectomy +/- splenopexy"),"NR - removed, check reason","NR"),"Not applicable")))))</f>
        <v/>
      </c>
    </row>
    <row r="502">
      <c r="D502" s="8" t="n"/>
      <c r="E502" s="9">
        <f>IF(B502="","",IF(B502="OWN","Yes","No"))</f>
        <v/>
      </c>
      <c r="AF502" s="9">
        <f>IF(ISNUMBER(Z502),IF(Z502&lt;=2,"&lt;=2 d",IF(Z502&lt;=7,"3-7 d",IF(Z502&lt;=30,"8-30 d","&gt;30 d"))),IF(AE502&lt;&gt;"",AE502,IF(Z502="NR","NR","")))</f>
        <v/>
      </c>
      <c r="AX502" s="9">
        <f>IF(ISNUMBER(AW502),IF(AW502&gt;450,"Yes","No"),IF(AW502="NR","NR",""))</f>
        <v/>
      </c>
      <c r="BJ502" s="9">
        <f>IF(BB502="","",IF(BB502="Non-viable","Non-viable",IF(BB502="Viable","Viable",IF(BB502="Partially non-viable",IF(OR(BD502="Total splenectomy",BD502="Partial splenectomy +/- splenopexy"),"Non-viable","Review"),IF(BB502="NR",IF(OR(BD502="Total splenectomy",BD502="Partial splenectomy +/- splenopexy"),"NR - removed, check reason","NR"),"Not applicable")))))</f>
        <v/>
      </c>
    </row>
    <row r="503">
      <c r="D503" s="8" t="n"/>
      <c r="E503" s="9">
        <f>IF(B503="","",IF(B503="OWN","Yes","No"))</f>
        <v/>
      </c>
      <c r="AF503" s="9">
        <f>IF(ISNUMBER(Z503),IF(Z503&lt;=2,"&lt;=2 d",IF(Z503&lt;=7,"3-7 d",IF(Z503&lt;=30,"8-30 d","&gt;30 d"))),IF(AE503&lt;&gt;"",AE503,IF(Z503="NR","NR","")))</f>
        <v/>
      </c>
      <c r="AX503" s="9">
        <f>IF(ISNUMBER(AW503),IF(AW503&gt;450,"Yes","No"),IF(AW503="NR","NR",""))</f>
        <v/>
      </c>
      <c r="BJ503" s="9">
        <f>IF(BB503="","",IF(BB503="Non-viable","Non-viable",IF(BB503="Viable","Viable",IF(BB503="Partially non-viable",IF(OR(BD503="Total splenectomy",BD503="Partial splenectomy +/- splenopexy"),"Non-viable","Review"),IF(BB503="NR",IF(OR(BD503="Total splenectomy",BD503="Partial splenectomy +/- splenopexy"),"NR - removed, check reason","NR"),"Not applicable")))))</f>
        <v/>
      </c>
    </row>
    <row r="504">
      <c r="D504" s="8" t="n"/>
      <c r="E504" s="9">
        <f>IF(B504="","",IF(B504="OWN","Yes","No"))</f>
        <v/>
      </c>
      <c r="AF504" s="9">
        <f>IF(ISNUMBER(Z504),IF(Z504&lt;=2,"&lt;=2 d",IF(Z504&lt;=7,"3-7 d",IF(Z504&lt;=30,"8-30 d","&gt;30 d"))),IF(AE504&lt;&gt;"",AE504,IF(Z504="NR","NR","")))</f>
        <v/>
      </c>
      <c r="AX504" s="9">
        <f>IF(ISNUMBER(AW504),IF(AW504&gt;450,"Yes","No"),IF(AW504="NR","NR",""))</f>
        <v/>
      </c>
      <c r="BJ504" s="9">
        <f>IF(BB504="","",IF(BB504="Non-viable","Non-viable",IF(BB504="Viable","Viable",IF(BB504="Partially non-viable",IF(OR(BD504="Total splenectomy",BD504="Partial splenectomy +/- splenopexy"),"Non-viable","Review"),IF(BB504="NR",IF(OR(BD504="Total splenectomy",BD504="Partial splenectomy +/- splenopexy"),"NR - removed, check reason","NR"),"Not applicable")))))</f>
        <v/>
      </c>
    </row>
    <row r="505">
      <c r="D505" s="8" t="n"/>
      <c r="E505" s="9">
        <f>IF(B505="","",IF(B505="OWN","Yes","No"))</f>
        <v/>
      </c>
      <c r="AF505" s="9">
        <f>IF(ISNUMBER(Z505),IF(Z505&lt;=2,"&lt;=2 d",IF(Z505&lt;=7,"3-7 d",IF(Z505&lt;=30,"8-30 d","&gt;30 d"))),IF(AE505&lt;&gt;"",AE505,IF(Z505="NR","NR","")))</f>
        <v/>
      </c>
      <c r="AX505" s="9">
        <f>IF(ISNUMBER(AW505),IF(AW505&gt;450,"Yes","No"),IF(AW505="NR","NR",""))</f>
        <v/>
      </c>
      <c r="BJ505" s="9">
        <f>IF(BB505="","",IF(BB505="Non-viable","Non-viable",IF(BB505="Viable","Viable",IF(BB505="Partially non-viable",IF(OR(BD505="Total splenectomy",BD505="Partial splenectomy +/- splenopexy"),"Non-viable","Review"),IF(BB505="NR",IF(OR(BD505="Total splenectomy",BD505="Partial splenectomy +/- splenopexy"),"NR - removed, check reason","NR"),"Not applicable")))))</f>
        <v/>
      </c>
    </row>
    <row r="506">
      <c r="D506" s="8" t="n"/>
      <c r="E506" s="9">
        <f>IF(B506="","",IF(B506="OWN","Yes","No"))</f>
        <v/>
      </c>
      <c r="AF506" s="9">
        <f>IF(ISNUMBER(Z506),IF(Z506&lt;=2,"&lt;=2 d",IF(Z506&lt;=7,"3-7 d",IF(Z506&lt;=30,"8-30 d","&gt;30 d"))),IF(AE506&lt;&gt;"",AE506,IF(Z506="NR","NR","")))</f>
        <v/>
      </c>
      <c r="AX506" s="9">
        <f>IF(ISNUMBER(AW506),IF(AW506&gt;450,"Yes","No"),IF(AW506="NR","NR",""))</f>
        <v/>
      </c>
      <c r="BJ506" s="9">
        <f>IF(BB506="","",IF(BB506="Non-viable","Non-viable",IF(BB506="Viable","Viable",IF(BB506="Partially non-viable",IF(OR(BD506="Total splenectomy",BD506="Partial splenectomy +/- splenopexy"),"Non-viable","Review"),IF(BB506="NR",IF(OR(BD506="Total splenectomy",BD506="Partial splenectomy +/- splenopexy"),"NR - removed, check reason","NR"),"Not applicable")))))</f>
        <v/>
      </c>
    </row>
    <row r="507">
      <c r="D507" s="8" t="n"/>
      <c r="E507" s="9">
        <f>IF(B507="","",IF(B507="OWN","Yes","No"))</f>
        <v/>
      </c>
      <c r="AF507" s="9">
        <f>IF(ISNUMBER(Z507),IF(Z507&lt;=2,"&lt;=2 d",IF(Z507&lt;=7,"3-7 d",IF(Z507&lt;=30,"8-30 d","&gt;30 d"))),IF(AE507&lt;&gt;"",AE507,IF(Z507="NR","NR","")))</f>
        <v/>
      </c>
      <c r="AX507" s="9">
        <f>IF(ISNUMBER(AW507),IF(AW507&gt;450,"Yes","No"),IF(AW507="NR","NR",""))</f>
        <v/>
      </c>
      <c r="BJ507" s="9">
        <f>IF(BB507="","",IF(BB507="Non-viable","Non-viable",IF(BB507="Viable","Viable",IF(BB507="Partially non-viable",IF(OR(BD507="Total splenectomy",BD507="Partial splenectomy +/- splenopexy"),"Non-viable","Review"),IF(BB507="NR",IF(OR(BD507="Total splenectomy",BD507="Partial splenectomy +/- splenopexy"),"NR - removed, check reason","NR"),"Not applicable")))))</f>
        <v/>
      </c>
    </row>
    <row r="508">
      <c r="D508" s="8" t="n"/>
      <c r="E508" s="9">
        <f>IF(B508="","",IF(B508="OWN","Yes","No"))</f>
        <v/>
      </c>
      <c r="AF508" s="9">
        <f>IF(ISNUMBER(Z508),IF(Z508&lt;=2,"&lt;=2 d",IF(Z508&lt;=7,"3-7 d",IF(Z508&lt;=30,"8-30 d","&gt;30 d"))),IF(AE508&lt;&gt;"",AE508,IF(Z508="NR","NR","")))</f>
        <v/>
      </c>
      <c r="AX508" s="9">
        <f>IF(ISNUMBER(AW508),IF(AW508&gt;450,"Yes","No"),IF(AW508="NR","NR",""))</f>
        <v/>
      </c>
      <c r="BJ508" s="9">
        <f>IF(BB508="","",IF(BB508="Non-viable","Non-viable",IF(BB508="Viable","Viable",IF(BB508="Partially non-viable",IF(OR(BD508="Total splenectomy",BD508="Partial splenectomy +/- splenopexy"),"Non-viable","Review"),IF(BB508="NR",IF(OR(BD508="Total splenectomy",BD508="Partial splenectomy +/- splenopexy"),"NR - removed, check reason","NR"),"Not applicable")))))</f>
        <v/>
      </c>
    </row>
    <row r="509">
      <c r="D509" s="8" t="n"/>
      <c r="E509" s="9">
        <f>IF(B509="","",IF(B509="OWN","Yes","No"))</f>
        <v/>
      </c>
      <c r="AF509" s="9">
        <f>IF(ISNUMBER(Z509),IF(Z509&lt;=2,"&lt;=2 d",IF(Z509&lt;=7,"3-7 d",IF(Z509&lt;=30,"8-30 d","&gt;30 d"))),IF(AE509&lt;&gt;"",AE509,IF(Z509="NR","NR","")))</f>
        <v/>
      </c>
      <c r="AX509" s="9">
        <f>IF(ISNUMBER(AW509),IF(AW509&gt;450,"Yes","No"),IF(AW509="NR","NR",""))</f>
        <v/>
      </c>
      <c r="BJ509" s="9">
        <f>IF(BB509="","",IF(BB509="Non-viable","Non-viable",IF(BB509="Viable","Viable",IF(BB509="Partially non-viable",IF(OR(BD509="Total splenectomy",BD509="Partial splenectomy +/- splenopexy"),"Non-viable","Review"),IF(BB509="NR",IF(OR(BD509="Total splenectomy",BD509="Partial splenectomy +/- splenopexy"),"NR - removed, check reason","NR"),"Not applicable")))))</f>
        <v/>
      </c>
    </row>
    <row r="510">
      <c r="D510" s="8" t="n"/>
      <c r="E510" s="9">
        <f>IF(B510="","",IF(B510="OWN","Yes","No"))</f>
        <v/>
      </c>
      <c r="AF510" s="9">
        <f>IF(ISNUMBER(Z510),IF(Z510&lt;=2,"&lt;=2 d",IF(Z510&lt;=7,"3-7 d",IF(Z510&lt;=30,"8-30 d","&gt;30 d"))),IF(AE510&lt;&gt;"",AE510,IF(Z510="NR","NR","")))</f>
        <v/>
      </c>
      <c r="AX510" s="9">
        <f>IF(ISNUMBER(AW510),IF(AW510&gt;450,"Yes","No"),IF(AW510="NR","NR",""))</f>
        <v/>
      </c>
      <c r="BJ510" s="9">
        <f>IF(BB510="","",IF(BB510="Non-viable","Non-viable",IF(BB510="Viable","Viable",IF(BB510="Partially non-viable",IF(OR(BD510="Total splenectomy",BD510="Partial splenectomy +/- splenopexy"),"Non-viable","Review"),IF(BB510="NR",IF(OR(BD510="Total splenectomy",BD510="Partial splenectomy +/- splenopexy"),"NR - removed, check reason","NR"),"Not applicable")))))</f>
        <v/>
      </c>
    </row>
    <row r="511">
      <c r="D511" s="8" t="n"/>
      <c r="E511" s="9">
        <f>IF(B511="","",IF(B511="OWN","Yes","No"))</f>
        <v/>
      </c>
      <c r="AF511" s="9">
        <f>IF(ISNUMBER(Z511),IF(Z511&lt;=2,"&lt;=2 d",IF(Z511&lt;=7,"3-7 d",IF(Z511&lt;=30,"8-30 d","&gt;30 d"))),IF(AE511&lt;&gt;"",AE511,IF(Z511="NR","NR","")))</f>
        <v/>
      </c>
      <c r="AX511" s="9">
        <f>IF(ISNUMBER(AW511),IF(AW511&gt;450,"Yes","No"),IF(AW511="NR","NR",""))</f>
        <v/>
      </c>
      <c r="BJ511" s="9">
        <f>IF(BB511="","",IF(BB511="Non-viable","Non-viable",IF(BB511="Viable","Viable",IF(BB511="Partially non-viable",IF(OR(BD511="Total splenectomy",BD511="Partial splenectomy +/- splenopexy"),"Non-viable","Review"),IF(BB511="NR",IF(OR(BD511="Total splenectomy",BD511="Partial splenectomy +/- splenopexy"),"NR - removed, check reason","NR"),"Not applicable")))))</f>
        <v/>
      </c>
    </row>
    <row r="512">
      <c r="D512" s="8" t="n"/>
      <c r="E512" s="9">
        <f>IF(B512="","",IF(B512="OWN","Yes","No"))</f>
        <v/>
      </c>
      <c r="AF512" s="9">
        <f>IF(ISNUMBER(Z512),IF(Z512&lt;=2,"&lt;=2 d",IF(Z512&lt;=7,"3-7 d",IF(Z512&lt;=30,"8-30 d","&gt;30 d"))),IF(AE512&lt;&gt;"",AE512,IF(Z512="NR","NR","")))</f>
        <v/>
      </c>
      <c r="AX512" s="9">
        <f>IF(ISNUMBER(AW512),IF(AW512&gt;450,"Yes","No"),IF(AW512="NR","NR",""))</f>
        <v/>
      </c>
      <c r="BJ512" s="9">
        <f>IF(BB512="","",IF(BB512="Non-viable","Non-viable",IF(BB512="Viable","Viable",IF(BB512="Partially non-viable",IF(OR(BD512="Total splenectomy",BD512="Partial splenectomy +/- splenopexy"),"Non-viable","Review"),IF(BB512="NR",IF(OR(BD512="Total splenectomy",BD512="Partial splenectomy +/- splenopexy"),"NR - removed, check reason","NR"),"Not applicable")))))</f>
        <v/>
      </c>
    </row>
    <row r="513">
      <c r="D513" s="8" t="n"/>
      <c r="E513" s="9">
        <f>IF(B513="","",IF(B513="OWN","Yes","No"))</f>
        <v/>
      </c>
      <c r="AF513" s="9">
        <f>IF(ISNUMBER(Z513),IF(Z513&lt;=2,"&lt;=2 d",IF(Z513&lt;=7,"3-7 d",IF(Z513&lt;=30,"8-30 d","&gt;30 d"))),IF(AE513&lt;&gt;"",AE513,IF(Z513="NR","NR","")))</f>
        <v/>
      </c>
      <c r="AX513" s="9">
        <f>IF(ISNUMBER(AW513),IF(AW513&gt;450,"Yes","No"),IF(AW513="NR","NR",""))</f>
        <v/>
      </c>
      <c r="BJ513" s="9">
        <f>IF(BB513="","",IF(BB513="Non-viable","Non-viable",IF(BB513="Viable","Viable",IF(BB513="Partially non-viable",IF(OR(BD513="Total splenectomy",BD513="Partial splenectomy +/- splenopexy"),"Non-viable","Review"),IF(BB513="NR",IF(OR(BD513="Total splenectomy",BD513="Partial splenectomy +/- splenopexy"),"NR - removed, check reason","NR"),"Not applicable")))))</f>
        <v/>
      </c>
    </row>
    <row r="514">
      <c r="D514" s="8" t="n"/>
      <c r="E514" s="9">
        <f>IF(B514="","",IF(B514="OWN","Yes","No"))</f>
        <v/>
      </c>
      <c r="AF514" s="9">
        <f>IF(ISNUMBER(Z514),IF(Z514&lt;=2,"&lt;=2 d",IF(Z514&lt;=7,"3-7 d",IF(Z514&lt;=30,"8-30 d","&gt;30 d"))),IF(AE514&lt;&gt;"",AE514,IF(Z514="NR","NR","")))</f>
        <v/>
      </c>
      <c r="AX514" s="9">
        <f>IF(ISNUMBER(AW514),IF(AW514&gt;450,"Yes","No"),IF(AW514="NR","NR",""))</f>
        <v/>
      </c>
      <c r="BJ514" s="9">
        <f>IF(BB514="","",IF(BB514="Non-viable","Non-viable",IF(BB514="Viable","Viable",IF(BB514="Partially non-viable",IF(OR(BD514="Total splenectomy",BD514="Partial splenectomy +/- splenopexy"),"Non-viable","Review"),IF(BB514="NR",IF(OR(BD514="Total splenectomy",BD514="Partial splenectomy +/- splenopexy"),"NR - removed, check reason","NR"),"Not applicable")))))</f>
        <v/>
      </c>
    </row>
    <row r="515">
      <c r="D515" s="8" t="n"/>
      <c r="E515" s="9">
        <f>IF(B515="","",IF(B515="OWN","Yes","No"))</f>
        <v/>
      </c>
      <c r="AF515" s="9">
        <f>IF(ISNUMBER(Z515),IF(Z515&lt;=2,"&lt;=2 d",IF(Z515&lt;=7,"3-7 d",IF(Z515&lt;=30,"8-30 d","&gt;30 d"))),IF(AE515&lt;&gt;"",AE515,IF(Z515="NR","NR","")))</f>
        <v/>
      </c>
      <c r="AX515" s="9">
        <f>IF(ISNUMBER(AW515),IF(AW515&gt;450,"Yes","No"),IF(AW515="NR","NR",""))</f>
        <v/>
      </c>
      <c r="BJ515" s="9">
        <f>IF(BB515="","",IF(BB515="Non-viable","Non-viable",IF(BB515="Viable","Viable",IF(BB515="Partially non-viable",IF(OR(BD515="Total splenectomy",BD515="Partial splenectomy +/- splenopexy"),"Non-viable","Review"),IF(BB515="NR",IF(OR(BD515="Total splenectomy",BD515="Partial splenectomy +/- splenopexy"),"NR - removed, check reason","NR"),"Not applicable")))))</f>
        <v/>
      </c>
    </row>
    <row r="516">
      <c r="D516" s="8" t="n"/>
      <c r="E516" s="9">
        <f>IF(B516="","",IF(B516="OWN","Yes","No"))</f>
        <v/>
      </c>
      <c r="AF516" s="9">
        <f>IF(ISNUMBER(Z516),IF(Z516&lt;=2,"&lt;=2 d",IF(Z516&lt;=7,"3-7 d",IF(Z516&lt;=30,"8-30 d","&gt;30 d"))),IF(AE516&lt;&gt;"",AE516,IF(Z516="NR","NR","")))</f>
        <v/>
      </c>
      <c r="AX516" s="9">
        <f>IF(ISNUMBER(AW516),IF(AW516&gt;450,"Yes","No"),IF(AW516="NR","NR",""))</f>
        <v/>
      </c>
      <c r="BJ516" s="9">
        <f>IF(BB516="","",IF(BB516="Non-viable","Non-viable",IF(BB516="Viable","Viable",IF(BB516="Partially non-viable",IF(OR(BD516="Total splenectomy",BD516="Partial splenectomy +/- splenopexy"),"Non-viable","Review"),IF(BB516="NR",IF(OR(BD516="Total splenectomy",BD516="Partial splenectomy +/- splenopexy"),"NR - removed, check reason","NR"),"Not applicable")))))</f>
        <v/>
      </c>
    </row>
    <row r="517">
      <c r="D517" s="8" t="n"/>
      <c r="E517" s="9">
        <f>IF(B517="","",IF(B517="OWN","Yes","No"))</f>
        <v/>
      </c>
      <c r="AF517" s="9">
        <f>IF(ISNUMBER(Z517),IF(Z517&lt;=2,"&lt;=2 d",IF(Z517&lt;=7,"3-7 d",IF(Z517&lt;=30,"8-30 d","&gt;30 d"))),IF(AE517&lt;&gt;"",AE517,IF(Z517="NR","NR","")))</f>
        <v/>
      </c>
      <c r="AX517" s="9">
        <f>IF(ISNUMBER(AW517),IF(AW517&gt;450,"Yes","No"),IF(AW517="NR","NR",""))</f>
        <v/>
      </c>
      <c r="BJ517" s="9">
        <f>IF(BB517="","",IF(BB517="Non-viable","Non-viable",IF(BB517="Viable","Viable",IF(BB517="Partially non-viable",IF(OR(BD517="Total splenectomy",BD517="Partial splenectomy +/- splenopexy"),"Non-viable","Review"),IF(BB517="NR",IF(OR(BD517="Total splenectomy",BD517="Partial splenectomy +/- splenopexy"),"NR - removed, check reason","NR"),"Not applicable")))))</f>
        <v/>
      </c>
    </row>
    <row r="518">
      <c r="D518" s="8" t="n"/>
      <c r="E518" s="9">
        <f>IF(B518="","",IF(B518="OWN","Yes","No"))</f>
        <v/>
      </c>
      <c r="AF518" s="9">
        <f>IF(ISNUMBER(Z518),IF(Z518&lt;=2,"&lt;=2 d",IF(Z518&lt;=7,"3-7 d",IF(Z518&lt;=30,"8-30 d","&gt;30 d"))),IF(AE518&lt;&gt;"",AE518,IF(Z518="NR","NR","")))</f>
        <v/>
      </c>
      <c r="AX518" s="9">
        <f>IF(ISNUMBER(AW518),IF(AW518&gt;450,"Yes","No"),IF(AW518="NR","NR",""))</f>
        <v/>
      </c>
      <c r="BJ518" s="9">
        <f>IF(BB518="","",IF(BB518="Non-viable","Non-viable",IF(BB518="Viable","Viable",IF(BB518="Partially non-viable",IF(OR(BD518="Total splenectomy",BD518="Partial splenectomy +/- splenopexy"),"Non-viable","Review"),IF(BB518="NR",IF(OR(BD518="Total splenectomy",BD518="Partial splenectomy +/- splenopexy"),"NR - removed, check reason","NR"),"Not applicable")))))</f>
        <v/>
      </c>
    </row>
    <row r="519">
      <c r="D519" s="8" t="n"/>
      <c r="E519" s="9">
        <f>IF(B519="","",IF(B519="OWN","Yes","No"))</f>
        <v/>
      </c>
      <c r="AF519" s="9">
        <f>IF(ISNUMBER(Z519),IF(Z519&lt;=2,"&lt;=2 d",IF(Z519&lt;=7,"3-7 d",IF(Z519&lt;=30,"8-30 d","&gt;30 d"))),IF(AE519&lt;&gt;"",AE519,IF(Z519="NR","NR","")))</f>
        <v/>
      </c>
      <c r="AX519" s="9">
        <f>IF(ISNUMBER(AW519),IF(AW519&gt;450,"Yes","No"),IF(AW519="NR","NR",""))</f>
        <v/>
      </c>
      <c r="BJ519" s="9">
        <f>IF(BB519="","",IF(BB519="Non-viable","Non-viable",IF(BB519="Viable","Viable",IF(BB519="Partially non-viable",IF(OR(BD519="Total splenectomy",BD519="Partial splenectomy +/- splenopexy"),"Non-viable","Review"),IF(BB519="NR",IF(OR(BD519="Total splenectomy",BD519="Partial splenectomy +/- splenopexy"),"NR - removed, check reason","NR"),"Not applicable")))))</f>
        <v/>
      </c>
    </row>
    <row r="520">
      <c r="D520" s="8" t="n"/>
      <c r="E520" s="9">
        <f>IF(B520="","",IF(B520="OWN","Yes","No"))</f>
        <v/>
      </c>
      <c r="AF520" s="9">
        <f>IF(ISNUMBER(Z520),IF(Z520&lt;=2,"&lt;=2 d",IF(Z520&lt;=7,"3-7 d",IF(Z520&lt;=30,"8-30 d","&gt;30 d"))),IF(AE520&lt;&gt;"",AE520,IF(Z520="NR","NR","")))</f>
        <v/>
      </c>
      <c r="AX520" s="9">
        <f>IF(ISNUMBER(AW520),IF(AW520&gt;450,"Yes","No"),IF(AW520="NR","NR",""))</f>
        <v/>
      </c>
      <c r="BJ520" s="9">
        <f>IF(BB520="","",IF(BB520="Non-viable","Non-viable",IF(BB520="Viable","Viable",IF(BB520="Partially non-viable",IF(OR(BD520="Total splenectomy",BD520="Partial splenectomy +/- splenopexy"),"Non-viable","Review"),IF(BB520="NR",IF(OR(BD520="Total splenectomy",BD520="Partial splenectomy +/- splenopexy"),"NR - removed, check reason","NR"),"Not applicable")))))</f>
        <v/>
      </c>
    </row>
    <row r="521">
      <c r="D521" s="8" t="n"/>
      <c r="E521" s="9">
        <f>IF(B521="","",IF(B521="OWN","Yes","No"))</f>
        <v/>
      </c>
      <c r="AF521" s="9">
        <f>IF(ISNUMBER(Z521),IF(Z521&lt;=2,"&lt;=2 d",IF(Z521&lt;=7,"3-7 d",IF(Z521&lt;=30,"8-30 d","&gt;30 d"))),IF(AE521&lt;&gt;"",AE521,IF(Z521="NR","NR","")))</f>
        <v/>
      </c>
      <c r="AX521" s="9">
        <f>IF(ISNUMBER(AW521),IF(AW521&gt;450,"Yes","No"),IF(AW521="NR","NR",""))</f>
        <v/>
      </c>
      <c r="BJ521" s="9">
        <f>IF(BB521="","",IF(BB521="Non-viable","Non-viable",IF(BB521="Viable","Viable",IF(BB521="Partially non-viable",IF(OR(BD521="Total splenectomy",BD521="Partial splenectomy +/- splenopexy"),"Non-viable","Review"),IF(BB521="NR",IF(OR(BD521="Total splenectomy",BD521="Partial splenectomy +/- splenopexy"),"NR - removed, check reason","NR"),"Not applicable")))))</f>
        <v/>
      </c>
    </row>
    <row r="522">
      <c r="D522" s="8" t="n"/>
      <c r="E522" s="9">
        <f>IF(B522="","",IF(B522="OWN","Yes","No"))</f>
        <v/>
      </c>
      <c r="AF522" s="9">
        <f>IF(ISNUMBER(Z522),IF(Z522&lt;=2,"&lt;=2 d",IF(Z522&lt;=7,"3-7 d",IF(Z522&lt;=30,"8-30 d","&gt;30 d"))),IF(AE522&lt;&gt;"",AE522,IF(Z522="NR","NR","")))</f>
        <v/>
      </c>
      <c r="AX522" s="9">
        <f>IF(ISNUMBER(AW522),IF(AW522&gt;450,"Yes","No"),IF(AW522="NR","NR",""))</f>
        <v/>
      </c>
      <c r="BJ522" s="9">
        <f>IF(BB522="","",IF(BB522="Non-viable","Non-viable",IF(BB522="Viable","Viable",IF(BB522="Partially non-viable",IF(OR(BD522="Total splenectomy",BD522="Partial splenectomy +/- splenopexy"),"Non-viable","Review"),IF(BB522="NR",IF(OR(BD522="Total splenectomy",BD522="Partial splenectomy +/- splenopexy"),"NR - removed, check reason","NR"),"Not applicable")))))</f>
        <v/>
      </c>
    </row>
    <row r="523">
      <c r="D523" s="8" t="n"/>
      <c r="E523" s="9">
        <f>IF(B523="","",IF(B523="OWN","Yes","No"))</f>
        <v/>
      </c>
      <c r="AF523" s="9">
        <f>IF(ISNUMBER(Z523),IF(Z523&lt;=2,"&lt;=2 d",IF(Z523&lt;=7,"3-7 d",IF(Z523&lt;=30,"8-30 d","&gt;30 d"))),IF(AE523&lt;&gt;"",AE523,IF(Z523="NR","NR","")))</f>
        <v/>
      </c>
      <c r="AX523" s="9">
        <f>IF(ISNUMBER(AW523),IF(AW523&gt;450,"Yes","No"),IF(AW523="NR","NR",""))</f>
        <v/>
      </c>
      <c r="BJ523" s="9">
        <f>IF(BB523="","",IF(BB523="Non-viable","Non-viable",IF(BB523="Viable","Viable",IF(BB523="Partially non-viable",IF(OR(BD523="Total splenectomy",BD523="Partial splenectomy +/- splenopexy"),"Non-viable","Review"),IF(BB523="NR",IF(OR(BD523="Total splenectomy",BD523="Partial splenectomy +/- splenopexy"),"NR - removed, check reason","NR"),"Not applicable")))))</f>
        <v/>
      </c>
    </row>
    <row r="524">
      <c r="D524" s="8" t="n"/>
      <c r="E524" s="9">
        <f>IF(B524="","",IF(B524="OWN","Yes","No"))</f>
        <v/>
      </c>
      <c r="AF524" s="9">
        <f>IF(ISNUMBER(Z524),IF(Z524&lt;=2,"&lt;=2 d",IF(Z524&lt;=7,"3-7 d",IF(Z524&lt;=30,"8-30 d","&gt;30 d"))),IF(AE524&lt;&gt;"",AE524,IF(Z524="NR","NR","")))</f>
        <v/>
      </c>
      <c r="AX524" s="9">
        <f>IF(ISNUMBER(AW524),IF(AW524&gt;450,"Yes","No"),IF(AW524="NR","NR",""))</f>
        <v/>
      </c>
      <c r="BJ524" s="9">
        <f>IF(BB524="","",IF(BB524="Non-viable","Non-viable",IF(BB524="Viable","Viable",IF(BB524="Partially non-viable",IF(OR(BD524="Total splenectomy",BD524="Partial splenectomy +/- splenopexy"),"Non-viable","Review"),IF(BB524="NR",IF(OR(BD524="Total splenectomy",BD524="Partial splenectomy +/- splenopexy"),"NR - removed, check reason","NR"),"Not applicable")))))</f>
        <v/>
      </c>
    </row>
    <row r="525">
      <c r="D525" s="8" t="n"/>
      <c r="E525" s="9">
        <f>IF(B525="","",IF(B525="OWN","Yes","No"))</f>
        <v/>
      </c>
      <c r="AF525" s="9">
        <f>IF(ISNUMBER(Z525),IF(Z525&lt;=2,"&lt;=2 d",IF(Z525&lt;=7,"3-7 d",IF(Z525&lt;=30,"8-30 d","&gt;30 d"))),IF(AE525&lt;&gt;"",AE525,IF(Z525="NR","NR","")))</f>
        <v/>
      </c>
      <c r="AX525" s="9">
        <f>IF(ISNUMBER(AW525),IF(AW525&gt;450,"Yes","No"),IF(AW525="NR","NR",""))</f>
        <v/>
      </c>
      <c r="BJ525" s="9">
        <f>IF(BB525="","",IF(BB525="Non-viable","Non-viable",IF(BB525="Viable","Viable",IF(BB525="Partially non-viable",IF(OR(BD525="Total splenectomy",BD525="Partial splenectomy +/- splenopexy"),"Non-viable","Review"),IF(BB525="NR",IF(OR(BD525="Total splenectomy",BD525="Partial splenectomy +/- splenopexy"),"NR - removed, check reason","NR"),"Not applicable")))))</f>
        <v/>
      </c>
    </row>
    <row r="526">
      <c r="D526" s="8" t="n"/>
      <c r="E526" s="9">
        <f>IF(B526="","",IF(B526="OWN","Yes","No"))</f>
        <v/>
      </c>
      <c r="AF526" s="9">
        <f>IF(ISNUMBER(Z526),IF(Z526&lt;=2,"&lt;=2 d",IF(Z526&lt;=7,"3-7 d",IF(Z526&lt;=30,"8-30 d","&gt;30 d"))),IF(AE526&lt;&gt;"",AE526,IF(Z526="NR","NR","")))</f>
        <v/>
      </c>
      <c r="AX526" s="9">
        <f>IF(ISNUMBER(AW526),IF(AW526&gt;450,"Yes","No"),IF(AW526="NR","NR",""))</f>
        <v/>
      </c>
      <c r="BJ526" s="9">
        <f>IF(BB526="","",IF(BB526="Non-viable","Non-viable",IF(BB526="Viable","Viable",IF(BB526="Partially non-viable",IF(OR(BD526="Total splenectomy",BD526="Partial splenectomy +/- splenopexy"),"Non-viable","Review"),IF(BB526="NR",IF(OR(BD526="Total splenectomy",BD526="Partial splenectomy +/- splenopexy"),"NR - removed, check reason","NR"),"Not applicable")))))</f>
        <v/>
      </c>
    </row>
    <row r="527">
      <c r="D527" s="8" t="n"/>
      <c r="E527" s="9">
        <f>IF(B527="","",IF(B527="OWN","Yes","No"))</f>
        <v/>
      </c>
      <c r="AF527" s="9">
        <f>IF(ISNUMBER(Z527),IF(Z527&lt;=2,"&lt;=2 d",IF(Z527&lt;=7,"3-7 d",IF(Z527&lt;=30,"8-30 d","&gt;30 d"))),IF(AE527&lt;&gt;"",AE527,IF(Z527="NR","NR","")))</f>
        <v/>
      </c>
      <c r="AX527" s="9">
        <f>IF(ISNUMBER(AW527),IF(AW527&gt;450,"Yes","No"),IF(AW527="NR","NR",""))</f>
        <v/>
      </c>
      <c r="BJ527" s="9">
        <f>IF(BB527="","",IF(BB527="Non-viable","Non-viable",IF(BB527="Viable","Viable",IF(BB527="Partially non-viable",IF(OR(BD527="Total splenectomy",BD527="Partial splenectomy +/- splenopexy"),"Non-viable","Review"),IF(BB527="NR",IF(OR(BD527="Total splenectomy",BD527="Partial splenectomy +/- splenopexy"),"NR - removed, check reason","NR"),"Not applicable")))))</f>
        <v/>
      </c>
    </row>
    <row r="528">
      <c r="D528" s="8" t="n"/>
      <c r="E528" s="9">
        <f>IF(B528="","",IF(B528="OWN","Yes","No"))</f>
        <v/>
      </c>
      <c r="AF528" s="9">
        <f>IF(ISNUMBER(Z528),IF(Z528&lt;=2,"&lt;=2 d",IF(Z528&lt;=7,"3-7 d",IF(Z528&lt;=30,"8-30 d","&gt;30 d"))),IF(AE528&lt;&gt;"",AE528,IF(Z528="NR","NR","")))</f>
        <v/>
      </c>
      <c r="AX528" s="9">
        <f>IF(ISNUMBER(AW528),IF(AW528&gt;450,"Yes","No"),IF(AW528="NR","NR",""))</f>
        <v/>
      </c>
      <c r="BJ528" s="9">
        <f>IF(BB528="","",IF(BB528="Non-viable","Non-viable",IF(BB528="Viable","Viable",IF(BB528="Partially non-viable",IF(OR(BD528="Total splenectomy",BD528="Partial splenectomy +/- splenopexy"),"Non-viable","Review"),IF(BB528="NR",IF(OR(BD528="Total splenectomy",BD528="Partial splenectomy +/- splenopexy"),"NR - removed, check reason","NR"),"Not applicable")))))</f>
        <v/>
      </c>
    </row>
    <row r="529">
      <c r="D529" s="8" t="n"/>
      <c r="E529" s="9">
        <f>IF(B529="","",IF(B529="OWN","Yes","No"))</f>
        <v/>
      </c>
      <c r="AF529" s="9">
        <f>IF(ISNUMBER(Z529),IF(Z529&lt;=2,"&lt;=2 d",IF(Z529&lt;=7,"3-7 d",IF(Z529&lt;=30,"8-30 d","&gt;30 d"))),IF(AE529&lt;&gt;"",AE529,IF(Z529="NR","NR","")))</f>
        <v/>
      </c>
      <c r="AX529" s="9">
        <f>IF(ISNUMBER(AW529),IF(AW529&gt;450,"Yes","No"),IF(AW529="NR","NR",""))</f>
        <v/>
      </c>
      <c r="BJ529" s="9">
        <f>IF(BB529="","",IF(BB529="Non-viable","Non-viable",IF(BB529="Viable","Viable",IF(BB529="Partially non-viable",IF(OR(BD529="Total splenectomy",BD529="Partial splenectomy +/- splenopexy"),"Non-viable","Review"),IF(BB529="NR",IF(OR(BD529="Total splenectomy",BD529="Partial splenectomy +/- splenopexy"),"NR - removed, check reason","NR"),"Not applicable")))))</f>
        <v/>
      </c>
    </row>
    <row r="530">
      <c r="D530" s="8" t="n"/>
      <c r="E530" s="9">
        <f>IF(B530="","",IF(B530="OWN","Yes","No"))</f>
        <v/>
      </c>
      <c r="AF530" s="9">
        <f>IF(ISNUMBER(Z530),IF(Z530&lt;=2,"&lt;=2 d",IF(Z530&lt;=7,"3-7 d",IF(Z530&lt;=30,"8-30 d","&gt;30 d"))),IF(AE530&lt;&gt;"",AE530,IF(Z530="NR","NR","")))</f>
        <v/>
      </c>
      <c r="AX530" s="9">
        <f>IF(ISNUMBER(AW530),IF(AW530&gt;450,"Yes","No"),IF(AW530="NR","NR",""))</f>
        <v/>
      </c>
      <c r="BJ530" s="9">
        <f>IF(BB530="","",IF(BB530="Non-viable","Non-viable",IF(BB530="Viable","Viable",IF(BB530="Partially non-viable",IF(OR(BD530="Total splenectomy",BD530="Partial splenectomy +/- splenopexy"),"Non-viable","Review"),IF(BB530="NR",IF(OR(BD530="Total splenectomy",BD530="Partial splenectomy +/- splenopexy"),"NR - removed, check reason","NR"),"Not applicable")))))</f>
        <v/>
      </c>
    </row>
    <row r="531">
      <c r="D531" s="8" t="n"/>
      <c r="E531" s="9">
        <f>IF(B531="","",IF(B531="OWN","Yes","No"))</f>
        <v/>
      </c>
      <c r="AF531" s="9">
        <f>IF(ISNUMBER(Z531),IF(Z531&lt;=2,"&lt;=2 d",IF(Z531&lt;=7,"3-7 d",IF(Z531&lt;=30,"8-30 d","&gt;30 d"))),IF(AE531&lt;&gt;"",AE531,IF(Z531="NR","NR","")))</f>
        <v/>
      </c>
      <c r="AX531" s="9">
        <f>IF(ISNUMBER(AW531),IF(AW531&gt;450,"Yes","No"),IF(AW531="NR","NR",""))</f>
        <v/>
      </c>
      <c r="BJ531" s="9">
        <f>IF(BB531="","",IF(BB531="Non-viable","Non-viable",IF(BB531="Viable","Viable",IF(BB531="Partially non-viable",IF(OR(BD531="Total splenectomy",BD531="Partial splenectomy +/- splenopexy"),"Non-viable","Review"),IF(BB531="NR",IF(OR(BD531="Total splenectomy",BD531="Partial splenectomy +/- splenopexy"),"NR - removed, check reason","NR"),"Not applicable")))))</f>
        <v/>
      </c>
    </row>
    <row r="532">
      <c r="D532" s="8" t="n"/>
      <c r="E532" s="9">
        <f>IF(B532="","",IF(B532="OWN","Yes","No"))</f>
        <v/>
      </c>
      <c r="AF532" s="9">
        <f>IF(ISNUMBER(Z532),IF(Z532&lt;=2,"&lt;=2 d",IF(Z532&lt;=7,"3-7 d",IF(Z532&lt;=30,"8-30 d","&gt;30 d"))),IF(AE532&lt;&gt;"",AE532,IF(Z532="NR","NR","")))</f>
        <v/>
      </c>
      <c r="AX532" s="9">
        <f>IF(ISNUMBER(AW532),IF(AW532&gt;450,"Yes","No"),IF(AW532="NR","NR",""))</f>
        <v/>
      </c>
      <c r="BJ532" s="9">
        <f>IF(BB532="","",IF(BB532="Non-viable","Non-viable",IF(BB532="Viable","Viable",IF(BB532="Partially non-viable",IF(OR(BD532="Total splenectomy",BD532="Partial splenectomy +/- splenopexy"),"Non-viable","Review"),IF(BB532="NR",IF(OR(BD532="Total splenectomy",BD532="Partial splenectomy +/- splenopexy"),"NR - removed, check reason","NR"),"Not applicable")))))</f>
        <v/>
      </c>
    </row>
    <row r="533">
      <c r="D533" s="8" t="n"/>
      <c r="E533" s="9">
        <f>IF(B533="","",IF(B533="OWN","Yes","No"))</f>
        <v/>
      </c>
      <c r="AF533" s="9">
        <f>IF(ISNUMBER(Z533),IF(Z533&lt;=2,"&lt;=2 d",IF(Z533&lt;=7,"3-7 d",IF(Z533&lt;=30,"8-30 d","&gt;30 d"))),IF(AE533&lt;&gt;"",AE533,IF(Z533="NR","NR","")))</f>
        <v/>
      </c>
      <c r="AX533" s="9">
        <f>IF(ISNUMBER(AW533),IF(AW533&gt;450,"Yes","No"),IF(AW533="NR","NR",""))</f>
        <v/>
      </c>
      <c r="BJ533" s="9">
        <f>IF(BB533="","",IF(BB533="Non-viable","Non-viable",IF(BB533="Viable","Viable",IF(BB533="Partially non-viable",IF(OR(BD533="Total splenectomy",BD533="Partial splenectomy +/- splenopexy"),"Non-viable","Review"),IF(BB533="NR",IF(OR(BD533="Total splenectomy",BD533="Partial splenectomy +/- splenopexy"),"NR - removed, check reason","NR"),"Not applicable")))))</f>
        <v/>
      </c>
    </row>
    <row r="534">
      <c r="D534" s="8" t="n"/>
      <c r="E534" s="9">
        <f>IF(B534="","",IF(B534="OWN","Yes","No"))</f>
        <v/>
      </c>
      <c r="AF534" s="9">
        <f>IF(ISNUMBER(Z534),IF(Z534&lt;=2,"&lt;=2 d",IF(Z534&lt;=7,"3-7 d",IF(Z534&lt;=30,"8-30 d","&gt;30 d"))),IF(AE534&lt;&gt;"",AE534,IF(Z534="NR","NR","")))</f>
        <v/>
      </c>
      <c r="AX534" s="9">
        <f>IF(ISNUMBER(AW534),IF(AW534&gt;450,"Yes","No"),IF(AW534="NR","NR",""))</f>
        <v/>
      </c>
      <c r="BJ534" s="9">
        <f>IF(BB534="","",IF(BB534="Non-viable","Non-viable",IF(BB534="Viable","Viable",IF(BB534="Partially non-viable",IF(OR(BD534="Total splenectomy",BD534="Partial splenectomy +/- splenopexy"),"Non-viable","Review"),IF(BB534="NR",IF(OR(BD534="Total splenectomy",BD534="Partial splenectomy +/- splenopexy"),"NR - removed, check reason","NR"),"Not applicable")))))</f>
        <v/>
      </c>
    </row>
    <row r="535">
      <c r="D535" s="8" t="n"/>
      <c r="E535" s="9">
        <f>IF(B535="","",IF(B535="OWN","Yes","No"))</f>
        <v/>
      </c>
      <c r="AF535" s="9">
        <f>IF(ISNUMBER(Z535),IF(Z535&lt;=2,"&lt;=2 d",IF(Z535&lt;=7,"3-7 d",IF(Z535&lt;=30,"8-30 d","&gt;30 d"))),IF(AE535&lt;&gt;"",AE535,IF(Z535="NR","NR","")))</f>
        <v/>
      </c>
      <c r="AX535" s="9">
        <f>IF(ISNUMBER(AW535),IF(AW535&gt;450,"Yes","No"),IF(AW535="NR","NR",""))</f>
        <v/>
      </c>
      <c r="BJ535" s="9">
        <f>IF(BB535="","",IF(BB535="Non-viable","Non-viable",IF(BB535="Viable","Viable",IF(BB535="Partially non-viable",IF(OR(BD535="Total splenectomy",BD535="Partial splenectomy +/- splenopexy"),"Non-viable","Review"),IF(BB535="NR",IF(OR(BD535="Total splenectomy",BD535="Partial splenectomy +/- splenopexy"),"NR - removed, check reason","NR"),"Not applicable")))))</f>
        <v/>
      </c>
    </row>
    <row r="536">
      <c r="D536" s="8" t="n"/>
      <c r="E536" s="9">
        <f>IF(B536="","",IF(B536="OWN","Yes","No"))</f>
        <v/>
      </c>
      <c r="AF536" s="9">
        <f>IF(ISNUMBER(Z536),IF(Z536&lt;=2,"&lt;=2 d",IF(Z536&lt;=7,"3-7 d",IF(Z536&lt;=30,"8-30 d","&gt;30 d"))),IF(AE536&lt;&gt;"",AE536,IF(Z536="NR","NR","")))</f>
        <v/>
      </c>
      <c r="AX536" s="9">
        <f>IF(ISNUMBER(AW536),IF(AW536&gt;450,"Yes","No"),IF(AW536="NR","NR",""))</f>
        <v/>
      </c>
      <c r="BJ536" s="9">
        <f>IF(BB536="","",IF(BB536="Non-viable","Non-viable",IF(BB536="Viable","Viable",IF(BB536="Partially non-viable",IF(OR(BD536="Total splenectomy",BD536="Partial splenectomy +/- splenopexy"),"Non-viable","Review"),IF(BB536="NR",IF(OR(BD536="Total splenectomy",BD536="Partial splenectomy +/- splenopexy"),"NR - removed, check reason","NR"),"Not applicable")))))</f>
        <v/>
      </c>
    </row>
    <row r="537">
      <c r="D537" s="8" t="n"/>
      <c r="E537" s="9">
        <f>IF(B537="","",IF(B537="OWN","Yes","No"))</f>
        <v/>
      </c>
      <c r="AF537" s="9">
        <f>IF(ISNUMBER(Z537),IF(Z537&lt;=2,"&lt;=2 d",IF(Z537&lt;=7,"3-7 d",IF(Z537&lt;=30,"8-30 d","&gt;30 d"))),IF(AE537&lt;&gt;"",AE537,IF(Z537="NR","NR","")))</f>
        <v/>
      </c>
      <c r="AX537" s="9">
        <f>IF(ISNUMBER(AW537),IF(AW537&gt;450,"Yes","No"),IF(AW537="NR","NR",""))</f>
        <v/>
      </c>
      <c r="BJ537" s="9">
        <f>IF(BB537="","",IF(BB537="Non-viable","Non-viable",IF(BB537="Viable","Viable",IF(BB537="Partially non-viable",IF(OR(BD537="Total splenectomy",BD537="Partial splenectomy +/- splenopexy"),"Non-viable","Review"),IF(BB537="NR",IF(OR(BD537="Total splenectomy",BD537="Partial splenectomy +/- splenopexy"),"NR - removed, check reason","NR"),"Not applicable")))))</f>
        <v/>
      </c>
    </row>
    <row r="538">
      <c r="D538" s="8" t="n"/>
      <c r="E538" s="9">
        <f>IF(B538="","",IF(B538="OWN","Yes","No"))</f>
        <v/>
      </c>
      <c r="AF538" s="9">
        <f>IF(ISNUMBER(Z538),IF(Z538&lt;=2,"&lt;=2 d",IF(Z538&lt;=7,"3-7 d",IF(Z538&lt;=30,"8-30 d","&gt;30 d"))),IF(AE538&lt;&gt;"",AE538,IF(Z538="NR","NR","")))</f>
        <v/>
      </c>
      <c r="AX538" s="9">
        <f>IF(ISNUMBER(AW538),IF(AW538&gt;450,"Yes","No"),IF(AW538="NR","NR",""))</f>
        <v/>
      </c>
      <c r="BJ538" s="9">
        <f>IF(BB538="","",IF(BB538="Non-viable","Non-viable",IF(BB538="Viable","Viable",IF(BB538="Partially non-viable",IF(OR(BD538="Total splenectomy",BD538="Partial splenectomy +/- splenopexy"),"Non-viable","Review"),IF(BB538="NR",IF(OR(BD538="Total splenectomy",BD538="Partial splenectomy +/- splenopexy"),"NR - removed, check reason","NR"),"Not applicable")))))</f>
        <v/>
      </c>
    </row>
    <row r="539">
      <c r="D539" s="8" t="n"/>
      <c r="E539" s="9">
        <f>IF(B539="","",IF(B539="OWN","Yes","No"))</f>
        <v/>
      </c>
      <c r="AF539" s="9">
        <f>IF(ISNUMBER(Z539),IF(Z539&lt;=2,"&lt;=2 d",IF(Z539&lt;=7,"3-7 d",IF(Z539&lt;=30,"8-30 d","&gt;30 d"))),IF(AE539&lt;&gt;"",AE539,IF(Z539="NR","NR","")))</f>
        <v/>
      </c>
      <c r="AX539" s="9">
        <f>IF(ISNUMBER(AW539),IF(AW539&gt;450,"Yes","No"),IF(AW539="NR","NR",""))</f>
        <v/>
      </c>
      <c r="BJ539" s="9">
        <f>IF(BB539="","",IF(BB539="Non-viable","Non-viable",IF(BB539="Viable","Viable",IF(BB539="Partially non-viable",IF(OR(BD539="Total splenectomy",BD539="Partial splenectomy +/- splenopexy"),"Non-viable","Review"),IF(BB539="NR",IF(OR(BD539="Total splenectomy",BD539="Partial splenectomy +/- splenopexy"),"NR - removed, check reason","NR"),"Not applicable")))))</f>
        <v/>
      </c>
    </row>
    <row r="540">
      <c r="D540" s="8" t="n"/>
      <c r="E540" s="9">
        <f>IF(B540="","",IF(B540="OWN","Yes","No"))</f>
        <v/>
      </c>
      <c r="AF540" s="9">
        <f>IF(ISNUMBER(Z540),IF(Z540&lt;=2,"&lt;=2 d",IF(Z540&lt;=7,"3-7 d",IF(Z540&lt;=30,"8-30 d","&gt;30 d"))),IF(AE540&lt;&gt;"",AE540,IF(Z540="NR","NR","")))</f>
        <v/>
      </c>
      <c r="AX540" s="9">
        <f>IF(ISNUMBER(AW540),IF(AW540&gt;450,"Yes","No"),IF(AW540="NR","NR",""))</f>
        <v/>
      </c>
      <c r="BJ540" s="9">
        <f>IF(BB540="","",IF(BB540="Non-viable","Non-viable",IF(BB540="Viable","Viable",IF(BB540="Partially non-viable",IF(OR(BD540="Total splenectomy",BD540="Partial splenectomy +/- splenopexy"),"Non-viable","Review"),IF(BB540="NR",IF(OR(BD540="Total splenectomy",BD540="Partial splenectomy +/- splenopexy"),"NR - removed, check reason","NR"),"Not applicable")))))</f>
        <v/>
      </c>
    </row>
    <row r="541">
      <c r="D541" s="8" t="n"/>
      <c r="E541" s="9">
        <f>IF(B541="","",IF(B541="OWN","Yes","No"))</f>
        <v/>
      </c>
      <c r="AF541" s="9">
        <f>IF(ISNUMBER(Z541),IF(Z541&lt;=2,"&lt;=2 d",IF(Z541&lt;=7,"3-7 d",IF(Z541&lt;=30,"8-30 d","&gt;30 d"))),IF(AE541&lt;&gt;"",AE541,IF(Z541="NR","NR","")))</f>
        <v/>
      </c>
      <c r="AX541" s="9">
        <f>IF(ISNUMBER(AW541),IF(AW541&gt;450,"Yes","No"),IF(AW541="NR","NR",""))</f>
        <v/>
      </c>
      <c r="BJ541" s="9">
        <f>IF(BB541="","",IF(BB541="Non-viable","Non-viable",IF(BB541="Viable","Viable",IF(BB541="Partially non-viable",IF(OR(BD541="Total splenectomy",BD541="Partial splenectomy +/- splenopexy"),"Non-viable","Review"),IF(BB541="NR",IF(OR(BD541="Total splenectomy",BD541="Partial splenectomy +/- splenopexy"),"NR - removed, check reason","NR"),"Not applicable")))))</f>
        <v/>
      </c>
    </row>
    <row r="542">
      <c r="D542" s="8" t="n"/>
      <c r="E542" s="9">
        <f>IF(B542="","",IF(B542="OWN","Yes","No"))</f>
        <v/>
      </c>
      <c r="AF542" s="9">
        <f>IF(ISNUMBER(Z542),IF(Z542&lt;=2,"&lt;=2 d",IF(Z542&lt;=7,"3-7 d",IF(Z542&lt;=30,"8-30 d","&gt;30 d"))),IF(AE542&lt;&gt;"",AE542,IF(Z542="NR","NR","")))</f>
        <v/>
      </c>
      <c r="AX542" s="9">
        <f>IF(ISNUMBER(AW542),IF(AW542&gt;450,"Yes","No"),IF(AW542="NR","NR",""))</f>
        <v/>
      </c>
      <c r="BJ542" s="9">
        <f>IF(BB542="","",IF(BB542="Non-viable","Non-viable",IF(BB542="Viable","Viable",IF(BB542="Partially non-viable",IF(OR(BD542="Total splenectomy",BD542="Partial splenectomy +/- splenopexy"),"Non-viable","Review"),IF(BB542="NR",IF(OR(BD542="Total splenectomy",BD542="Partial splenectomy +/- splenopexy"),"NR - removed, check reason","NR"),"Not applicable")))))</f>
        <v/>
      </c>
    </row>
    <row r="543">
      <c r="D543" s="8" t="n"/>
      <c r="E543" s="9">
        <f>IF(B543="","",IF(B543="OWN","Yes","No"))</f>
        <v/>
      </c>
      <c r="AF543" s="9">
        <f>IF(ISNUMBER(Z543),IF(Z543&lt;=2,"&lt;=2 d",IF(Z543&lt;=7,"3-7 d",IF(Z543&lt;=30,"8-30 d","&gt;30 d"))),IF(AE543&lt;&gt;"",AE543,IF(Z543="NR","NR","")))</f>
        <v/>
      </c>
      <c r="AX543" s="9">
        <f>IF(ISNUMBER(AW543),IF(AW543&gt;450,"Yes","No"),IF(AW543="NR","NR",""))</f>
        <v/>
      </c>
      <c r="BJ543" s="9">
        <f>IF(BB543="","",IF(BB543="Non-viable","Non-viable",IF(BB543="Viable","Viable",IF(BB543="Partially non-viable",IF(OR(BD543="Total splenectomy",BD543="Partial splenectomy +/- splenopexy"),"Non-viable","Review"),IF(BB543="NR",IF(OR(BD543="Total splenectomy",BD543="Partial splenectomy +/- splenopexy"),"NR - removed, check reason","NR"),"Not applicable")))))</f>
        <v/>
      </c>
    </row>
    <row r="544">
      <c r="D544" s="8" t="n"/>
      <c r="E544" s="9">
        <f>IF(B544="","",IF(B544="OWN","Yes","No"))</f>
        <v/>
      </c>
      <c r="AF544" s="9">
        <f>IF(ISNUMBER(Z544),IF(Z544&lt;=2,"&lt;=2 d",IF(Z544&lt;=7,"3-7 d",IF(Z544&lt;=30,"8-30 d","&gt;30 d"))),IF(AE544&lt;&gt;"",AE544,IF(Z544="NR","NR","")))</f>
        <v/>
      </c>
      <c r="AX544" s="9">
        <f>IF(ISNUMBER(AW544),IF(AW544&gt;450,"Yes","No"),IF(AW544="NR","NR",""))</f>
        <v/>
      </c>
      <c r="BJ544" s="9">
        <f>IF(BB544="","",IF(BB544="Non-viable","Non-viable",IF(BB544="Viable","Viable",IF(BB544="Partially non-viable",IF(OR(BD544="Total splenectomy",BD544="Partial splenectomy +/- splenopexy"),"Non-viable","Review"),IF(BB544="NR",IF(OR(BD544="Total splenectomy",BD544="Partial splenectomy +/- splenopexy"),"NR - removed, check reason","NR"),"Not applicable")))))</f>
        <v/>
      </c>
    </row>
    <row r="545">
      <c r="D545" s="8" t="n"/>
      <c r="E545" s="9">
        <f>IF(B545="","",IF(B545="OWN","Yes","No"))</f>
        <v/>
      </c>
      <c r="AF545" s="9">
        <f>IF(ISNUMBER(Z545),IF(Z545&lt;=2,"&lt;=2 d",IF(Z545&lt;=7,"3-7 d",IF(Z545&lt;=30,"8-30 d","&gt;30 d"))),IF(AE545&lt;&gt;"",AE545,IF(Z545="NR","NR","")))</f>
        <v/>
      </c>
      <c r="AX545" s="9">
        <f>IF(ISNUMBER(AW545),IF(AW545&gt;450,"Yes","No"),IF(AW545="NR","NR",""))</f>
        <v/>
      </c>
      <c r="BJ545" s="9">
        <f>IF(BB545="","",IF(BB545="Non-viable","Non-viable",IF(BB545="Viable","Viable",IF(BB545="Partially non-viable",IF(OR(BD545="Total splenectomy",BD545="Partial splenectomy +/- splenopexy"),"Non-viable","Review"),IF(BB545="NR",IF(OR(BD545="Total splenectomy",BD545="Partial splenectomy +/- splenopexy"),"NR - removed, check reason","NR"),"Not applicable")))))</f>
        <v/>
      </c>
    </row>
    <row r="546">
      <c r="D546" s="8" t="n"/>
      <c r="E546" s="9">
        <f>IF(B546="","",IF(B546="OWN","Yes","No"))</f>
        <v/>
      </c>
      <c r="AF546" s="9">
        <f>IF(ISNUMBER(Z546),IF(Z546&lt;=2,"&lt;=2 d",IF(Z546&lt;=7,"3-7 d",IF(Z546&lt;=30,"8-30 d","&gt;30 d"))),IF(AE546&lt;&gt;"",AE546,IF(Z546="NR","NR","")))</f>
        <v/>
      </c>
      <c r="AX546" s="9">
        <f>IF(ISNUMBER(AW546),IF(AW546&gt;450,"Yes","No"),IF(AW546="NR","NR",""))</f>
        <v/>
      </c>
      <c r="BJ546" s="9">
        <f>IF(BB546="","",IF(BB546="Non-viable","Non-viable",IF(BB546="Viable","Viable",IF(BB546="Partially non-viable",IF(OR(BD546="Total splenectomy",BD546="Partial splenectomy +/- splenopexy"),"Non-viable","Review"),IF(BB546="NR",IF(OR(BD546="Total splenectomy",BD546="Partial splenectomy +/- splenopexy"),"NR - removed, check reason","NR"),"Not applicable")))))</f>
        <v/>
      </c>
    </row>
    <row r="547">
      <c r="D547" s="8" t="n"/>
      <c r="E547" s="9">
        <f>IF(B547="","",IF(B547="OWN","Yes","No"))</f>
        <v/>
      </c>
      <c r="AF547" s="9">
        <f>IF(ISNUMBER(Z547),IF(Z547&lt;=2,"&lt;=2 d",IF(Z547&lt;=7,"3-7 d",IF(Z547&lt;=30,"8-30 d","&gt;30 d"))),IF(AE547&lt;&gt;"",AE547,IF(Z547="NR","NR","")))</f>
        <v/>
      </c>
      <c r="AX547" s="9">
        <f>IF(ISNUMBER(AW547),IF(AW547&gt;450,"Yes","No"),IF(AW547="NR","NR",""))</f>
        <v/>
      </c>
      <c r="BJ547" s="9">
        <f>IF(BB547="","",IF(BB547="Non-viable","Non-viable",IF(BB547="Viable","Viable",IF(BB547="Partially non-viable",IF(OR(BD547="Total splenectomy",BD547="Partial splenectomy +/- splenopexy"),"Non-viable","Review"),IF(BB547="NR",IF(OR(BD547="Total splenectomy",BD547="Partial splenectomy +/- splenopexy"),"NR - removed, check reason","NR"),"Not applicable")))))</f>
        <v/>
      </c>
    </row>
    <row r="548">
      <c r="D548" s="8" t="n"/>
      <c r="E548" s="9">
        <f>IF(B548="","",IF(B548="OWN","Yes","No"))</f>
        <v/>
      </c>
      <c r="AF548" s="9">
        <f>IF(ISNUMBER(Z548),IF(Z548&lt;=2,"&lt;=2 d",IF(Z548&lt;=7,"3-7 d",IF(Z548&lt;=30,"8-30 d","&gt;30 d"))),IF(AE548&lt;&gt;"",AE548,IF(Z548="NR","NR","")))</f>
        <v/>
      </c>
      <c r="AX548" s="9">
        <f>IF(ISNUMBER(AW548),IF(AW548&gt;450,"Yes","No"),IF(AW548="NR","NR",""))</f>
        <v/>
      </c>
      <c r="BJ548" s="9">
        <f>IF(BB548="","",IF(BB548="Non-viable","Non-viable",IF(BB548="Viable","Viable",IF(BB548="Partially non-viable",IF(OR(BD548="Total splenectomy",BD548="Partial splenectomy +/- splenopexy"),"Non-viable","Review"),IF(BB548="NR",IF(OR(BD548="Total splenectomy",BD548="Partial splenectomy +/- splenopexy"),"NR - removed, check reason","NR"),"Not applicable")))))</f>
        <v/>
      </c>
    </row>
    <row r="549">
      <c r="D549" s="8" t="n"/>
      <c r="E549" s="9">
        <f>IF(B549="","",IF(B549="OWN","Yes","No"))</f>
        <v/>
      </c>
      <c r="AF549" s="9">
        <f>IF(ISNUMBER(Z549),IF(Z549&lt;=2,"&lt;=2 d",IF(Z549&lt;=7,"3-7 d",IF(Z549&lt;=30,"8-30 d","&gt;30 d"))),IF(AE549&lt;&gt;"",AE549,IF(Z549="NR","NR","")))</f>
        <v/>
      </c>
      <c r="AX549" s="9">
        <f>IF(ISNUMBER(AW549),IF(AW549&gt;450,"Yes","No"),IF(AW549="NR","NR",""))</f>
        <v/>
      </c>
      <c r="BJ549" s="9">
        <f>IF(BB549="","",IF(BB549="Non-viable","Non-viable",IF(BB549="Viable","Viable",IF(BB549="Partially non-viable",IF(OR(BD549="Total splenectomy",BD549="Partial splenectomy +/- splenopexy"),"Non-viable","Review"),IF(BB549="NR",IF(OR(BD549="Total splenectomy",BD549="Partial splenectomy +/- splenopexy"),"NR - removed, check reason","NR"),"Not applicable")))))</f>
        <v/>
      </c>
    </row>
    <row r="550">
      <c r="D550" s="8" t="n"/>
      <c r="E550" s="9">
        <f>IF(B550="","",IF(B550="OWN","Yes","No"))</f>
        <v/>
      </c>
      <c r="AF550" s="9">
        <f>IF(ISNUMBER(Z550),IF(Z550&lt;=2,"&lt;=2 d",IF(Z550&lt;=7,"3-7 d",IF(Z550&lt;=30,"8-30 d","&gt;30 d"))),IF(AE550&lt;&gt;"",AE550,IF(Z550="NR","NR","")))</f>
        <v/>
      </c>
      <c r="AX550" s="9">
        <f>IF(ISNUMBER(AW550),IF(AW550&gt;450,"Yes","No"),IF(AW550="NR","NR",""))</f>
        <v/>
      </c>
      <c r="BJ550" s="9">
        <f>IF(BB550="","",IF(BB550="Non-viable","Non-viable",IF(BB550="Viable","Viable",IF(BB550="Partially non-viable",IF(OR(BD550="Total splenectomy",BD550="Partial splenectomy +/- splenopexy"),"Non-viable","Review"),IF(BB550="NR",IF(OR(BD550="Total splenectomy",BD550="Partial splenectomy +/- splenopexy"),"NR - removed, check reason","NR"),"Not applicable")))))</f>
        <v/>
      </c>
    </row>
    <row r="551">
      <c r="D551" s="8" t="n"/>
      <c r="E551" s="9">
        <f>IF(B551="","",IF(B551="OWN","Yes","No"))</f>
        <v/>
      </c>
      <c r="AF551" s="9">
        <f>IF(ISNUMBER(Z551),IF(Z551&lt;=2,"&lt;=2 d",IF(Z551&lt;=7,"3-7 d",IF(Z551&lt;=30,"8-30 d","&gt;30 d"))),IF(AE551&lt;&gt;"",AE551,IF(Z551="NR","NR","")))</f>
        <v/>
      </c>
      <c r="AX551" s="9">
        <f>IF(ISNUMBER(AW551),IF(AW551&gt;450,"Yes","No"),IF(AW551="NR","NR",""))</f>
        <v/>
      </c>
      <c r="BJ551" s="9">
        <f>IF(BB551="","",IF(BB551="Non-viable","Non-viable",IF(BB551="Viable","Viable",IF(BB551="Partially non-viable",IF(OR(BD551="Total splenectomy",BD551="Partial splenectomy +/- splenopexy"),"Non-viable","Review"),IF(BB551="NR",IF(OR(BD551="Total splenectomy",BD551="Partial splenectomy +/- splenopexy"),"NR - removed, check reason","NR"),"Not applicable")))))</f>
        <v/>
      </c>
    </row>
    <row r="552">
      <c r="D552" s="8" t="n"/>
      <c r="E552" s="9">
        <f>IF(B552="","",IF(B552="OWN","Yes","No"))</f>
        <v/>
      </c>
      <c r="AF552" s="9">
        <f>IF(ISNUMBER(Z552),IF(Z552&lt;=2,"&lt;=2 d",IF(Z552&lt;=7,"3-7 d",IF(Z552&lt;=30,"8-30 d","&gt;30 d"))),IF(AE552&lt;&gt;"",AE552,IF(Z552="NR","NR","")))</f>
        <v/>
      </c>
      <c r="AX552" s="9">
        <f>IF(ISNUMBER(AW552),IF(AW552&gt;450,"Yes","No"),IF(AW552="NR","NR",""))</f>
        <v/>
      </c>
      <c r="BJ552" s="9">
        <f>IF(BB552="","",IF(BB552="Non-viable","Non-viable",IF(BB552="Viable","Viable",IF(BB552="Partially non-viable",IF(OR(BD552="Total splenectomy",BD552="Partial splenectomy +/- splenopexy"),"Non-viable","Review"),IF(BB552="NR",IF(OR(BD552="Total splenectomy",BD552="Partial splenectomy +/- splenopexy"),"NR - removed, check reason","NR"),"Not applicable")))))</f>
        <v/>
      </c>
    </row>
    <row r="553">
      <c r="D553" s="8" t="n"/>
      <c r="E553" s="9">
        <f>IF(B553="","",IF(B553="OWN","Yes","No"))</f>
        <v/>
      </c>
      <c r="AF553" s="9">
        <f>IF(ISNUMBER(Z553),IF(Z553&lt;=2,"&lt;=2 d",IF(Z553&lt;=7,"3-7 d",IF(Z553&lt;=30,"8-30 d","&gt;30 d"))),IF(AE553&lt;&gt;"",AE553,IF(Z553="NR","NR","")))</f>
        <v/>
      </c>
      <c r="AX553" s="9">
        <f>IF(ISNUMBER(AW553),IF(AW553&gt;450,"Yes","No"),IF(AW553="NR","NR",""))</f>
        <v/>
      </c>
      <c r="BJ553" s="9">
        <f>IF(BB553="","",IF(BB553="Non-viable","Non-viable",IF(BB553="Viable","Viable",IF(BB553="Partially non-viable",IF(OR(BD553="Total splenectomy",BD553="Partial splenectomy +/- splenopexy"),"Non-viable","Review"),IF(BB553="NR",IF(OR(BD553="Total splenectomy",BD553="Partial splenectomy +/- splenopexy"),"NR - removed, check reason","NR"),"Not applicable")))))</f>
        <v/>
      </c>
    </row>
    <row r="554">
      <c r="D554" s="8" t="n"/>
      <c r="E554" s="9">
        <f>IF(B554="","",IF(B554="OWN","Yes","No"))</f>
        <v/>
      </c>
      <c r="AF554" s="9">
        <f>IF(ISNUMBER(Z554),IF(Z554&lt;=2,"&lt;=2 d",IF(Z554&lt;=7,"3-7 d",IF(Z554&lt;=30,"8-30 d","&gt;30 d"))),IF(AE554&lt;&gt;"",AE554,IF(Z554="NR","NR","")))</f>
        <v/>
      </c>
      <c r="AX554" s="9">
        <f>IF(ISNUMBER(AW554),IF(AW554&gt;450,"Yes","No"),IF(AW554="NR","NR",""))</f>
        <v/>
      </c>
      <c r="BJ554" s="9">
        <f>IF(BB554="","",IF(BB554="Non-viable","Non-viable",IF(BB554="Viable","Viable",IF(BB554="Partially non-viable",IF(OR(BD554="Total splenectomy",BD554="Partial splenectomy +/- splenopexy"),"Non-viable","Review"),IF(BB554="NR",IF(OR(BD554="Total splenectomy",BD554="Partial splenectomy +/- splenopexy"),"NR - removed, check reason","NR"),"Not applicable")))))</f>
        <v/>
      </c>
    </row>
    <row r="555">
      <c r="D555" s="8" t="n"/>
      <c r="E555" s="9">
        <f>IF(B555="","",IF(B555="OWN","Yes","No"))</f>
        <v/>
      </c>
      <c r="AF555" s="9">
        <f>IF(ISNUMBER(Z555),IF(Z555&lt;=2,"&lt;=2 d",IF(Z555&lt;=7,"3-7 d",IF(Z555&lt;=30,"8-30 d","&gt;30 d"))),IF(AE555&lt;&gt;"",AE555,IF(Z555="NR","NR","")))</f>
        <v/>
      </c>
      <c r="AX555" s="9">
        <f>IF(ISNUMBER(AW555),IF(AW555&gt;450,"Yes","No"),IF(AW555="NR","NR",""))</f>
        <v/>
      </c>
      <c r="BJ555" s="9">
        <f>IF(BB555="","",IF(BB555="Non-viable","Non-viable",IF(BB555="Viable","Viable",IF(BB555="Partially non-viable",IF(OR(BD555="Total splenectomy",BD555="Partial splenectomy +/- splenopexy"),"Non-viable","Review"),IF(BB555="NR",IF(OR(BD555="Total splenectomy",BD555="Partial splenectomy +/- splenopexy"),"NR - removed, check reason","NR"),"Not applicable")))))</f>
        <v/>
      </c>
    </row>
    <row r="556">
      <c r="D556" s="8" t="n"/>
      <c r="E556" s="9">
        <f>IF(B556="","",IF(B556="OWN","Yes","No"))</f>
        <v/>
      </c>
      <c r="AF556" s="9">
        <f>IF(ISNUMBER(Z556),IF(Z556&lt;=2,"&lt;=2 d",IF(Z556&lt;=7,"3-7 d",IF(Z556&lt;=30,"8-30 d","&gt;30 d"))),IF(AE556&lt;&gt;"",AE556,IF(Z556="NR","NR","")))</f>
        <v/>
      </c>
      <c r="AX556" s="9">
        <f>IF(ISNUMBER(AW556),IF(AW556&gt;450,"Yes","No"),IF(AW556="NR","NR",""))</f>
        <v/>
      </c>
      <c r="BJ556" s="9">
        <f>IF(BB556="","",IF(BB556="Non-viable","Non-viable",IF(BB556="Viable","Viable",IF(BB556="Partially non-viable",IF(OR(BD556="Total splenectomy",BD556="Partial splenectomy +/- splenopexy"),"Non-viable","Review"),IF(BB556="NR",IF(OR(BD556="Total splenectomy",BD556="Partial splenectomy +/- splenopexy"),"NR - removed, check reason","NR"),"Not applicable")))))</f>
        <v/>
      </c>
    </row>
    <row r="557">
      <c r="D557" s="8" t="n"/>
      <c r="E557" s="9">
        <f>IF(B557="","",IF(B557="OWN","Yes","No"))</f>
        <v/>
      </c>
      <c r="AF557" s="9">
        <f>IF(ISNUMBER(Z557),IF(Z557&lt;=2,"&lt;=2 d",IF(Z557&lt;=7,"3-7 d",IF(Z557&lt;=30,"8-30 d","&gt;30 d"))),IF(AE557&lt;&gt;"",AE557,IF(Z557="NR","NR","")))</f>
        <v/>
      </c>
      <c r="AX557" s="9">
        <f>IF(ISNUMBER(AW557),IF(AW557&gt;450,"Yes","No"),IF(AW557="NR","NR",""))</f>
        <v/>
      </c>
      <c r="BJ557" s="9">
        <f>IF(BB557="","",IF(BB557="Non-viable","Non-viable",IF(BB557="Viable","Viable",IF(BB557="Partially non-viable",IF(OR(BD557="Total splenectomy",BD557="Partial splenectomy +/- splenopexy"),"Non-viable","Review"),IF(BB557="NR",IF(OR(BD557="Total splenectomy",BD557="Partial splenectomy +/- splenopexy"),"NR - removed, check reason","NR"),"Not applicable")))))</f>
        <v/>
      </c>
    </row>
    <row r="558">
      <c r="D558" s="8" t="n"/>
      <c r="E558" s="9">
        <f>IF(B558="","",IF(B558="OWN","Yes","No"))</f>
        <v/>
      </c>
      <c r="AF558" s="9">
        <f>IF(ISNUMBER(Z558),IF(Z558&lt;=2,"&lt;=2 d",IF(Z558&lt;=7,"3-7 d",IF(Z558&lt;=30,"8-30 d","&gt;30 d"))),IF(AE558&lt;&gt;"",AE558,IF(Z558="NR","NR","")))</f>
        <v/>
      </c>
      <c r="AX558" s="9">
        <f>IF(ISNUMBER(AW558),IF(AW558&gt;450,"Yes","No"),IF(AW558="NR","NR",""))</f>
        <v/>
      </c>
      <c r="BJ558" s="9">
        <f>IF(BB558="","",IF(BB558="Non-viable","Non-viable",IF(BB558="Viable","Viable",IF(BB558="Partially non-viable",IF(OR(BD558="Total splenectomy",BD558="Partial splenectomy +/- splenopexy"),"Non-viable","Review"),IF(BB558="NR",IF(OR(BD558="Total splenectomy",BD558="Partial splenectomy +/- splenopexy"),"NR - removed, check reason","NR"),"Not applicable")))))</f>
        <v/>
      </c>
    </row>
    <row r="559">
      <c r="D559" s="8" t="n"/>
      <c r="E559" s="9">
        <f>IF(B559="","",IF(B559="OWN","Yes","No"))</f>
        <v/>
      </c>
      <c r="AF559" s="9">
        <f>IF(ISNUMBER(Z559),IF(Z559&lt;=2,"&lt;=2 d",IF(Z559&lt;=7,"3-7 d",IF(Z559&lt;=30,"8-30 d","&gt;30 d"))),IF(AE559&lt;&gt;"",AE559,IF(Z559="NR","NR","")))</f>
        <v/>
      </c>
      <c r="AX559" s="9">
        <f>IF(ISNUMBER(AW559),IF(AW559&gt;450,"Yes","No"),IF(AW559="NR","NR",""))</f>
        <v/>
      </c>
      <c r="BJ559" s="9">
        <f>IF(BB559="","",IF(BB559="Non-viable","Non-viable",IF(BB559="Viable","Viable",IF(BB559="Partially non-viable",IF(OR(BD559="Total splenectomy",BD559="Partial splenectomy +/- splenopexy"),"Non-viable","Review"),IF(BB559="NR",IF(OR(BD559="Total splenectomy",BD559="Partial splenectomy +/- splenopexy"),"NR - removed, check reason","NR"),"Not applicable")))))</f>
        <v/>
      </c>
    </row>
    <row r="560">
      <c r="D560" s="8" t="n"/>
      <c r="E560" s="9">
        <f>IF(B560="","",IF(B560="OWN","Yes","No"))</f>
        <v/>
      </c>
      <c r="AF560" s="9">
        <f>IF(ISNUMBER(Z560),IF(Z560&lt;=2,"&lt;=2 d",IF(Z560&lt;=7,"3-7 d",IF(Z560&lt;=30,"8-30 d","&gt;30 d"))),IF(AE560&lt;&gt;"",AE560,IF(Z560="NR","NR","")))</f>
        <v/>
      </c>
      <c r="AX560" s="9">
        <f>IF(ISNUMBER(AW560),IF(AW560&gt;450,"Yes","No"),IF(AW560="NR","NR",""))</f>
        <v/>
      </c>
      <c r="BJ560" s="9">
        <f>IF(BB560="","",IF(BB560="Non-viable","Non-viable",IF(BB560="Viable","Viable",IF(BB560="Partially non-viable",IF(OR(BD560="Total splenectomy",BD560="Partial splenectomy +/- splenopexy"),"Non-viable","Review"),IF(BB560="NR",IF(OR(BD560="Total splenectomy",BD560="Partial splenectomy +/- splenopexy"),"NR - removed, check reason","NR"),"Not applicable")))))</f>
        <v/>
      </c>
    </row>
    <row r="561">
      <c r="D561" s="8" t="n"/>
      <c r="E561" s="9">
        <f>IF(B561="","",IF(B561="OWN","Yes","No"))</f>
        <v/>
      </c>
      <c r="AF561" s="9">
        <f>IF(ISNUMBER(Z561),IF(Z561&lt;=2,"&lt;=2 d",IF(Z561&lt;=7,"3-7 d",IF(Z561&lt;=30,"8-30 d","&gt;30 d"))),IF(AE561&lt;&gt;"",AE561,IF(Z561="NR","NR","")))</f>
        <v/>
      </c>
      <c r="AX561" s="9">
        <f>IF(ISNUMBER(AW561),IF(AW561&gt;450,"Yes","No"),IF(AW561="NR","NR",""))</f>
        <v/>
      </c>
      <c r="BJ561" s="9">
        <f>IF(BB561="","",IF(BB561="Non-viable","Non-viable",IF(BB561="Viable","Viable",IF(BB561="Partially non-viable",IF(OR(BD561="Total splenectomy",BD561="Partial splenectomy +/- splenopexy"),"Non-viable","Review"),IF(BB561="NR",IF(OR(BD561="Total splenectomy",BD561="Partial splenectomy +/- splenopexy"),"NR - removed, check reason","NR"),"Not applicable")))))</f>
        <v/>
      </c>
    </row>
    <row r="562">
      <c r="D562" s="8" t="n"/>
      <c r="E562" s="9">
        <f>IF(B562="","",IF(B562="OWN","Yes","No"))</f>
        <v/>
      </c>
      <c r="AF562" s="9">
        <f>IF(ISNUMBER(Z562),IF(Z562&lt;=2,"&lt;=2 d",IF(Z562&lt;=7,"3-7 d",IF(Z562&lt;=30,"8-30 d","&gt;30 d"))),IF(AE562&lt;&gt;"",AE562,IF(Z562="NR","NR","")))</f>
        <v/>
      </c>
      <c r="AX562" s="9">
        <f>IF(ISNUMBER(AW562),IF(AW562&gt;450,"Yes","No"),IF(AW562="NR","NR",""))</f>
        <v/>
      </c>
      <c r="BJ562" s="9">
        <f>IF(BB562="","",IF(BB562="Non-viable","Non-viable",IF(BB562="Viable","Viable",IF(BB562="Partially non-viable",IF(OR(BD562="Total splenectomy",BD562="Partial splenectomy +/- splenopexy"),"Non-viable","Review"),IF(BB562="NR",IF(OR(BD562="Total splenectomy",BD562="Partial splenectomy +/- splenopexy"),"NR - removed, check reason","NR"),"Not applicable")))))</f>
        <v/>
      </c>
    </row>
    <row r="563">
      <c r="D563" s="8" t="n"/>
      <c r="E563" s="9">
        <f>IF(B563="","",IF(B563="OWN","Yes","No"))</f>
        <v/>
      </c>
      <c r="AF563" s="9">
        <f>IF(ISNUMBER(Z563),IF(Z563&lt;=2,"&lt;=2 d",IF(Z563&lt;=7,"3-7 d",IF(Z563&lt;=30,"8-30 d","&gt;30 d"))),IF(AE563&lt;&gt;"",AE563,IF(Z563="NR","NR","")))</f>
        <v/>
      </c>
      <c r="AX563" s="9">
        <f>IF(ISNUMBER(AW563),IF(AW563&gt;450,"Yes","No"),IF(AW563="NR","NR",""))</f>
        <v/>
      </c>
      <c r="BJ563" s="9">
        <f>IF(BB563="","",IF(BB563="Non-viable","Non-viable",IF(BB563="Viable","Viable",IF(BB563="Partially non-viable",IF(OR(BD563="Total splenectomy",BD563="Partial splenectomy +/- splenopexy"),"Non-viable","Review"),IF(BB563="NR",IF(OR(BD563="Total splenectomy",BD563="Partial splenectomy +/- splenopexy"),"NR - removed, check reason","NR"),"Not applicable")))))</f>
        <v/>
      </c>
    </row>
    <row r="564">
      <c r="D564" s="8" t="n"/>
      <c r="E564" s="9">
        <f>IF(B564="","",IF(B564="OWN","Yes","No"))</f>
        <v/>
      </c>
      <c r="AF564" s="9">
        <f>IF(ISNUMBER(Z564),IF(Z564&lt;=2,"&lt;=2 d",IF(Z564&lt;=7,"3-7 d",IF(Z564&lt;=30,"8-30 d","&gt;30 d"))),IF(AE564&lt;&gt;"",AE564,IF(Z564="NR","NR","")))</f>
        <v/>
      </c>
      <c r="AX564" s="9">
        <f>IF(ISNUMBER(AW564),IF(AW564&gt;450,"Yes","No"),IF(AW564="NR","NR",""))</f>
        <v/>
      </c>
      <c r="BJ564" s="9">
        <f>IF(BB564="","",IF(BB564="Non-viable","Non-viable",IF(BB564="Viable","Viable",IF(BB564="Partially non-viable",IF(OR(BD564="Total splenectomy",BD564="Partial splenectomy +/- splenopexy"),"Non-viable","Review"),IF(BB564="NR",IF(OR(BD564="Total splenectomy",BD564="Partial splenectomy +/- splenopexy"),"NR - removed, check reason","NR"),"Not applicable")))))</f>
        <v/>
      </c>
    </row>
    <row r="565">
      <c r="D565" s="8" t="n"/>
      <c r="E565" s="9">
        <f>IF(B565="","",IF(B565="OWN","Yes","No"))</f>
        <v/>
      </c>
      <c r="AF565" s="9">
        <f>IF(ISNUMBER(Z565),IF(Z565&lt;=2,"&lt;=2 d",IF(Z565&lt;=7,"3-7 d",IF(Z565&lt;=30,"8-30 d","&gt;30 d"))),IF(AE565&lt;&gt;"",AE565,IF(Z565="NR","NR","")))</f>
        <v/>
      </c>
      <c r="AX565" s="9">
        <f>IF(ISNUMBER(AW565),IF(AW565&gt;450,"Yes","No"),IF(AW565="NR","NR",""))</f>
        <v/>
      </c>
      <c r="BJ565" s="9">
        <f>IF(BB565="","",IF(BB565="Non-viable","Non-viable",IF(BB565="Viable","Viable",IF(BB565="Partially non-viable",IF(OR(BD565="Total splenectomy",BD565="Partial splenectomy +/- splenopexy"),"Non-viable","Review"),IF(BB565="NR",IF(OR(BD565="Total splenectomy",BD565="Partial splenectomy +/- splenopexy"),"NR - removed, check reason","NR"),"Not applicable")))))</f>
        <v/>
      </c>
    </row>
    <row r="566">
      <c r="D566" s="8" t="n"/>
      <c r="E566" s="9">
        <f>IF(B566="","",IF(B566="OWN","Yes","No"))</f>
        <v/>
      </c>
      <c r="AF566" s="9">
        <f>IF(ISNUMBER(Z566),IF(Z566&lt;=2,"&lt;=2 d",IF(Z566&lt;=7,"3-7 d",IF(Z566&lt;=30,"8-30 d","&gt;30 d"))),IF(AE566&lt;&gt;"",AE566,IF(Z566="NR","NR","")))</f>
        <v/>
      </c>
      <c r="AX566" s="9">
        <f>IF(ISNUMBER(AW566),IF(AW566&gt;450,"Yes","No"),IF(AW566="NR","NR",""))</f>
        <v/>
      </c>
      <c r="BJ566" s="9">
        <f>IF(BB566="","",IF(BB566="Non-viable","Non-viable",IF(BB566="Viable","Viable",IF(BB566="Partially non-viable",IF(OR(BD566="Total splenectomy",BD566="Partial splenectomy +/- splenopexy"),"Non-viable","Review"),IF(BB566="NR",IF(OR(BD566="Total splenectomy",BD566="Partial splenectomy +/- splenopexy"),"NR - removed, check reason","NR"),"Not applicable")))))</f>
        <v/>
      </c>
    </row>
    <row r="567">
      <c r="D567" s="8" t="n"/>
      <c r="E567" s="9">
        <f>IF(B567="","",IF(B567="OWN","Yes","No"))</f>
        <v/>
      </c>
      <c r="AF567" s="9">
        <f>IF(ISNUMBER(Z567),IF(Z567&lt;=2,"&lt;=2 d",IF(Z567&lt;=7,"3-7 d",IF(Z567&lt;=30,"8-30 d","&gt;30 d"))),IF(AE567&lt;&gt;"",AE567,IF(Z567="NR","NR","")))</f>
        <v/>
      </c>
      <c r="AX567" s="9">
        <f>IF(ISNUMBER(AW567),IF(AW567&gt;450,"Yes","No"),IF(AW567="NR","NR",""))</f>
        <v/>
      </c>
      <c r="BJ567" s="9">
        <f>IF(BB567="","",IF(BB567="Non-viable","Non-viable",IF(BB567="Viable","Viable",IF(BB567="Partially non-viable",IF(OR(BD567="Total splenectomy",BD567="Partial splenectomy +/- splenopexy"),"Non-viable","Review"),IF(BB567="NR",IF(OR(BD567="Total splenectomy",BD567="Partial splenectomy +/- splenopexy"),"NR - removed, check reason","NR"),"Not applicable")))))</f>
        <v/>
      </c>
    </row>
    <row r="568">
      <c r="D568" s="8" t="n"/>
      <c r="E568" s="9">
        <f>IF(B568="","",IF(B568="OWN","Yes","No"))</f>
        <v/>
      </c>
      <c r="AF568" s="9">
        <f>IF(ISNUMBER(Z568),IF(Z568&lt;=2,"&lt;=2 d",IF(Z568&lt;=7,"3-7 d",IF(Z568&lt;=30,"8-30 d","&gt;30 d"))),IF(AE568&lt;&gt;"",AE568,IF(Z568="NR","NR","")))</f>
        <v/>
      </c>
      <c r="AX568" s="9">
        <f>IF(ISNUMBER(AW568),IF(AW568&gt;450,"Yes","No"),IF(AW568="NR","NR",""))</f>
        <v/>
      </c>
      <c r="BJ568" s="9">
        <f>IF(BB568="","",IF(BB568="Non-viable","Non-viable",IF(BB568="Viable","Viable",IF(BB568="Partially non-viable",IF(OR(BD568="Total splenectomy",BD568="Partial splenectomy +/- splenopexy"),"Non-viable","Review"),IF(BB568="NR",IF(OR(BD568="Total splenectomy",BD568="Partial splenectomy +/- splenopexy"),"NR - removed, check reason","NR"),"Not applicable")))))</f>
        <v/>
      </c>
    </row>
    <row r="569">
      <c r="D569" s="8" t="n"/>
      <c r="E569" s="9">
        <f>IF(B569="","",IF(B569="OWN","Yes","No"))</f>
        <v/>
      </c>
      <c r="AF569" s="9">
        <f>IF(ISNUMBER(Z569),IF(Z569&lt;=2,"&lt;=2 d",IF(Z569&lt;=7,"3-7 d",IF(Z569&lt;=30,"8-30 d","&gt;30 d"))),IF(AE569&lt;&gt;"",AE569,IF(Z569="NR","NR","")))</f>
        <v/>
      </c>
      <c r="AX569" s="9">
        <f>IF(ISNUMBER(AW569),IF(AW569&gt;450,"Yes","No"),IF(AW569="NR","NR",""))</f>
        <v/>
      </c>
      <c r="BJ569" s="9">
        <f>IF(BB569="","",IF(BB569="Non-viable","Non-viable",IF(BB569="Viable","Viable",IF(BB569="Partially non-viable",IF(OR(BD569="Total splenectomy",BD569="Partial splenectomy +/- splenopexy"),"Non-viable","Review"),IF(BB569="NR",IF(OR(BD569="Total splenectomy",BD569="Partial splenectomy +/- splenopexy"),"NR - removed, check reason","NR"),"Not applicable")))))</f>
        <v/>
      </c>
    </row>
    <row r="570">
      <c r="D570" s="8" t="n"/>
      <c r="E570" s="9">
        <f>IF(B570="","",IF(B570="OWN","Yes","No"))</f>
        <v/>
      </c>
      <c r="AF570" s="9">
        <f>IF(ISNUMBER(Z570),IF(Z570&lt;=2,"&lt;=2 d",IF(Z570&lt;=7,"3-7 d",IF(Z570&lt;=30,"8-30 d","&gt;30 d"))),IF(AE570&lt;&gt;"",AE570,IF(Z570="NR","NR","")))</f>
        <v/>
      </c>
      <c r="AX570" s="9">
        <f>IF(ISNUMBER(AW570),IF(AW570&gt;450,"Yes","No"),IF(AW570="NR","NR",""))</f>
        <v/>
      </c>
      <c r="BJ570" s="9">
        <f>IF(BB570="","",IF(BB570="Non-viable","Non-viable",IF(BB570="Viable","Viable",IF(BB570="Partially non-viable",IF(OR(BD570="Total splenectomy",BD570="Partial splenectomy +/- splenopexy"),"Non-viable","Review"),IF(BB570="NR",IF(OR(BD570="Total splenectomy",BD570="Partial splenectomy +/- splenopexy"),"NR - removed, check reason","NR"),"Not applicable")))))</f>
        <v/>
      </c>
    </row>
    <row r="571">
      <c r="D571" s="8" t="n"/>
      <c r="E571" s="9">
        <f>IF(B571="","",IF(B571="OWN","Yes","No"))</f>
        <v/>
      </c>
      <c r="AF571" s="9">
        <f>IF(ISNUMBER(Z571),IF(Z571&lt;=2,"&lt;=2 d",IF(Z571&lt;=7,"3-7 d",IF(Z571&lt;=30,"8-30 d","&gt;30 d"))),IF(AE571&lt;&gt;"",AE571,IF(Z571="NR","NR","")))</f>
        <v/>
      </c>
      <c r="AX571" s="9">
        <f>IF(ISNUMBER(AW571),IF(AW571&gt;450,"Yes","No"),IF(AW571="NR","NR",""))</f>
        <v/>
      </c>
      <c r="BJ571" s="9">
        <f>IF(BB571="","",IF(BB571="Non-viable","Non-viable",IF(BB571="Viable","Viable",IF(BB571="Partially non-viable",IF(OR(BD571="Total splenectomy",BD571="Partial splenectomy +/- splenopexy"),"Non-viable","Review"),IF(BB571="NR",IF(OR(BD571="Total splenectomy",BD571="Partial splenectomy +/- splenopexy"),"NR - removed, check reason","NR"),"Not applicable")))))</f>
        <v/>
      </c>
    </row>
    <row r="572">
      <c r="D572" s="8" t="n"/>
      <c r="E572" s="9">
        <f>IF(B572="","",IF(B572="OWN","Yes","No"))</f>
        <v/>
      </c>
      <c r="AF572" s="9">
        <f>IF(ISNUMBER(Z572),IF(Z572&lt;=2,"&lt;=2 d",IF(Z572&lt;=7,"3-7 d",IF(Z572&lt;=30,"8-30 d","&gt;30 d"))),IF(AE572&lt;&gt;"",AE572,IF(Z572="NR","NR","")))</f>
        <v/>
      </c>
      <c r="AX572" s="9">
        <f>IF(ISNUMBER(AW572),IF(AW572&gt;450,"Yes","No"),IF(AW572="NR","NR",""))</f>
        <v/>
      </c>
      <c r="BJ572" s="9">
        <f>IF(BB572="","",IF(BB572="Non-viable","Non-viable",IF(BB572="Viable","Viable",IF(BB572="Partially non-viable",IF(OR(BD572="Total splenectomy",BD572="Partial splenectomy +/- splenopexy"),"Non-viable","Review"),IF(BB572="NR",IF(OR(BD572="Total splenectomy",BD572="Partial splenectomy +/- splenopexy"),"NR - removed, check reason","NR"),"Not applicable")))))</f>
        <v/>
      </c>
    </row>
    <row r="573">
      <c r="D573" s="8" t="n"/>
      <c r="E573" s="9">
        <f>IF(B573="","",IF(B573="OWN","Yes","No"))</f>
        <v/>
      </c>
      <c r="AF573" s="9">
        <f>IF(ISNUMBER(Z573),IF(Z573&lt;=2,"&lt;=2 d",IF(Z573&lt;=7,"3-7 d",IF(Z573&lt;=30,"8-30 d","&gt;30 d"))),IF(AE573&lt;&gt;"",AE573,IF(Z573="NR","NR","")))</f>
        <v/>
      </c>
      <c r="AX573" s="9">
        <f>IF(ISNUMBER(AW573),IF(AW573&gt;450,"Yes","No"),IF(AW573="NR","NR",""))</f>
        <v/>
      </c>
      <c r="BJ573" s="9">
        <f>IF(BB573="","",IF(BB573="Non-viable","Non-viable",IF(BB573="Viable","Viable",IF(BB573="Partially non-viable",IF(OR(BD573="Total splenectomy",BD573="Partial splenectomy +/- splenopexy"),"Non-viable","Review"),IF(BB573="NR",IF(OR(BD573="Total splenectomy",BD573="Partial splenectomy +/- splenopexy"),"NR - removed, check reason","NR"),"Not applicable")))))</f>
        <v/>
      </c>
    </row>
    <row r="574">
      <c r="D574" s="8" t="n"/>
      <c r="E574" s="9">
        <f>IF(B574="","",IF(B574="OWN","Yes","No"))</f>
        <v/>
      </c>
      <c r="AF574" s="9">
        <f>IF(ISNUMBER(Z574),IF(Z574&lt;=2,"&lt;=2 d",IF(Z574&lt;=7,"3-7 d",IF(Z574&lt;=30,"8-30 d","&gt;30 d"))),IF(AE574&lt;&gt;"",AE574,IF(Z574="NR","NR","")))</f>
        <v/>
      </c>
      <c r="AX574" s="9">
        <f>IF(ISNUMBER(AW574),IF(AW574&gt;450,"Yes","No"),IF(AW574="NR","NR",""))</f>
        <v/>
      </c>
      <c r="BJ574" s="9">
        <f>IF(BB574="","",IF(BB574="Non-viable","Non-viable",IF(BB574="Viable","Viable",IF(BB574="Partially non-viable",IF(OR(BD574="Total splenectomy",BD574="Partial splenectomy +/- splenopexy"),"Non-viable","Review"),IF(BB574="NR",IF(OR(BD574="Total splenectomy",BD574="Partial splenectomy +/- splenopexy"),"NR - removed, check reason","NR"),"Not applicable")))))</f>
        <v/>
      </c>
    </row>
    <row r="575">
      <c r="D575" s="8" t="n"/>
      <c r="E575" s="9">
        <f>IF(B575="","",IF(B575="OWN","Yes","No"))</f>
        <v/>
      </c>
      <c r="AF575" s="9">
        <f>IF(ISNUMBER(Z575),IF(Z575&lt;=2,"&lt;=2 d",IF(Z575&lt;=7,"3-7 d",IF(Z575&lt;=30,"8-30 d","&gt;30 d"))),IF(AE575&lt;&gt;"",AE575,IF(Z575="NR","NR","")))</f>
        <v/>
      </c>
      <c r="AX575" s="9">
        <f>IF(ISNUMBER(AW575),IF(AW575&gt;450,"Yes","No"),IF(AW575="NR","NR",""))</f>
        <v/>
      </c>
      <c r="BJ575" s="9">
        <f>IF(BB575="","",IF(BB575="Non-viable","Non-viable",IF(BB575="Viable","Viable",IF(BB575="Partially non-viable",IF(OR(BD575="Total splenectomy",BD575="Partial splenectomy +/- splenopexy"),"Non-viable","Review"),IF(BB575="NR",IF(OR(BD575="Total splenectomy",BD575="Partial splenectomy +/- splenopexy"),"NR - removed, check reason","NR"),"Not applicable")))))</f>
        <v/>
      </c>
    </row>
    <row r="576">
      <c r="D576" s="8" t="n"/>
      <c r="E576" s="9">
        <f>IF(B576="","",IF(B576="OWN","Yes","No"))</f>
        <v/>
      </c>
      <c r="AF576" s="9">
        <f>IF(ISNUMBER(Z576),IF(Z576&lt;=2,"&lt;=2 d",IF(Z576&lt;=7,"3-7 d",IF(Z576&lt;=30,"8-30 d","&gt;30 d"))),IF(AE576&lt;&gt;"",AE576,IF(Z576="NR","NR","")))</f>
        <v/>
      </c>
      <c r="AX576" s="9">
        <f>IF(ISNUMBER(AW576),IF(AW576&gt;450,"Yes","No"),IF(AW576="NR","NR",""))</f>
        <v/>
      </c>
      <c r="BJ576" s="9">
        <f>IF(BB576="","",IF(BB576="Non-viable","Non-viable",IF(BB576="Viable","Viable",IF(BB576="Partially non-viable",IF(OR(BD576="Total splenectomy",BD576="Partial splenectomy +/- splenopexy"),"Non-viable","Review"),IF(BB576="NR",IF(OR(BD576="Total splenectomy",BD576="Partial splenectomy +/- splenopexy"),"NR - removed, check reason","NR"),"Not applicable")))))</f>
        <v/>
      </c>
    </row>
    <row r="577">
      <c r="D577" s="8" t="n"/>
      <c r="E577" s="9">
        <f>IF(B577="","",IF(B577="OWN","Yes","No"))</f>
        <v/>
      </c>
      <c r="AF577" s="9">
        <f>IF(ISNUMBER(Z577),IF(Z577&lt;=2,"&lt;=2 d",IF(Z577&lt;=7,"3-7 d",IF(Z577&lt;=30,"8-30 d","&gt;30 d"))),IF(AE577&lt;&gt;"",AE577,IF(Z577="NR","NR","")))</f>
        <v/>
      </c>
      <c r="AX577" s="9">
        <f>IF(ISNUMBER(AW577),IF(AW577&gt;450,"Yes","No"),IF(AW577="NR","NR",""))</f>
        <v/>
      </c>
      <c r="BJ577" s="9">
        <f>IF(BB577="","",IF(BB577="Non-viable","Non-viable",IF(BB577="Viable","Viable",IF(BB577="Partially non-viable",IF(OR(BD577="Total splenectomy",BD577="Partial splenectomy +/- splenopexy"),"Non-viable","Review"),IF(BB577="NR",IF(OR(BD577="Total splenectomy",BD577="Partial splenectomy +/- splenopexy"),"NR - removed, check reason","NR"),"Not applicable")))))</f>
        <v/>
      </c>
    </row>
    <row r="578">
      <c r="D578" s="8" t="n"/>
      <c r="E578" s="9">
        <f>IF(B578="","",IF(B578="OWN","Yes","No"))</f>
        <v/>
      </c>
      <c r="AF578" s="9">
        <f>IF(ISNUMBER(Z578),IF(Z578&lt;=2,"&lt;=2 d",IF(Z578&lt;=7,"3-7 d",IF(Z578&lt;=30,"8-30 d","&gt;30 d"))),IF(AE578&lt;&gt;"",AE578,IF(Z578="NR","NR","")))</f>
        <v/>
      </c>
      <c r="AX578" s="9">
        <f>IF(ISNUMBER(AW578),IF(AW578&gt;450,"Yes","No"),IF(AW578="NR","NR",""))</f>
        <v/>
      </c>
      <c r="BJ578" s="9">
        <f>IF(BB578="","",IF(BB578="Non-viable","Non-viable",IF(BB578="Viable","Viable",IF(BB578="Partially non-viable",IF(OR(BD578="Total splenectomy",BD578="Partial splenectomy +/- splenopexy"),"Non-viable","Review"),IF(BB578="NR",IF(OR(BD578="Total splenectomy",BD578="Partial splenectomy +/- splenopexy"),"NR - removed, check reason","NR"),"Not applicable")))))</f>
        <v/>
      </c>
    </row>
    <row r="579">
      <c r="D579" s="8" t="n"/>
      <c r="E579" s="9">
        <f>IF(B579="","",IF(B579="OWN","Yes","No"))</f>
        <v/>
      </c>
      <c r="AF579" s="9">
        <f>IF(ISNUMBER(Z579),IF(Z579&lt;=2,"&lt;=2 d",IF(Z579&lt;=7,"3-7 d",IF(Z579&lt;=30,"8-30 d","&gt;30 d"))),IF(AE579&lt;&gt;"",AE579,IF(Z579="NR","NR","")))</f>
        <v/>
      </c>
      <c r="AX579" s="9">
        <f>IF(ISNUMBER(AW579),IF(AW579&gt;450,"Yes","No"),IF(AW579="NR","NR",""))</f>
        <v/>
      </c>
      <c r="BJ579" s="9">
        <f>IF(BB579="","",IF(BB579="Non-viable","Non-viable",IF(BB579="Viable","Viable",IF(BB579="Partially non-viable",IF(OR(BD579="Total splenectomy",BD579="Partial splenectomy +/- splenopexy"),"Non-viable","Review"),IF(BB579="NR",IF(OR(BD579="Total splenectomy",BD579="Partial splenectomy +/- splenopexy"),"NR - removed, check reason","NR"),"Not applicable")))))</f>
        <v/>
      </c>
    </row>
    <row r="580">
      <c r="D580" s="8" t="n"/>
      <c r="E580" s="9">
        <f>IF(B580="","",IF(B580="OWN","Yes","No"))</f>
        <v/>
      </c>
      <c r="AF580" s="9">
        <f>IF(ISNUMBER(Z580),IF(Z580&lt;=2,"&lt;=2 d",IF(Z580&lt;=7,"3-7 d",IF(Z580&lt;=30,"8-30 d","&gt;30 d"))),IF(AE580&lt;&gt;"",AE580,IF(Z580="NR","NR","")))</f>
        <v/>
      </c>
      <c r="AX580" s="9">
        <f>IF(ISNUMBER(AW580),IF(AW580&gt;450,"Yes","No"),IF(AW580="NR","NR",""))</f>
        <v/>
      </c>
      <c r="BJ580" s="9">
        <f>IF(BB580="","",IF(BB580="Non-viable","Non-viable",IF(BB580="Viable","Viable",IF(BB580="Partially non-viable",IF(OR(BD580="Total splenectomy",BD580="Partial splenectomy +/- splenopexy"),"Non-viable","Review"),IF(BB580="NR",IF(OR(BD580="Total splenectomy",BD580="Partial splenectomy +/- splenopexy"),"NR - removed, check reason","NR"),"Not applicable")))))</f>
        <v/>
      </c>
    </row>
    <row r="581">
      <c r="D581" s="8" t="n"/>
      <c r="E581" s="9">
        <f>IF(B581="","",IF(B581="OWN","Yes","No"))</f>
        <v/>
      </c>
      <c r="AF581" s="9">
        <f>IF(ISNUMBER(Z581),IF(Z581&lt;=2,"&lt;=2 d",IF(Z581&lt;=7,"3-7 d",IF(Z581&lt;=30,"8-30 d","&gt;30 d"))),IF(AE581&lt;&gt;"",AE581,IF(Z581="NR","NR","")))</f>
        <v/>
      </c>
      <c r="AX581" s="9">
        <f>IF(ISNUMBER(AW581),IF(AW581&gt;450,"Yes","No"),IF(AW581="NR","NR",""))</f>
        <v/>
      </c>
      <c r="BJ581" s="9">
        <f>IF(BB581="","",IF(BB581="Non-viable","Non-viable",IF(BB581="Viable","Viable",IF(BB581="Partially non-viable",IF(OR(BD581="Total splenectomy",BD581="Partial splenectomy +/- splenopexy"),"Non-viable","Review"),IF(BB581="NR",IF(OR(BD581="Total splenectomy",BD581="Partial splenectomy +/- splenopexy"),"NR - removed, check reason","NR"),"Not applicable")))))</f>
        <v/>
      </c>
    </row>
    <row r="582">
      <c r="D582" s="8" t="n"/>
      <c r="E582" s="9">
        <f>IF(B582="","",IF(B582="OWN","Yes","No"))</f>
        <v/>
      </c>
      <c r="AF582" s="9">
        <f>IF(ISNUMBER(Z582),IF(Z582&lt;=2,"&lt;=2 d",IF(Z582&lt;=7,"3-7 d",IF(Z582&lt;=30,"8-30 d","&gt;30 d"))),IF(AE582&lt;&gt;"",AE582,IF(Z582="NR","NR","")))</f>
        <v/>
      </c>
      <c r="AX582" s="9">
        <f>IF(ISNUMBER(AW582),IF(AW582&gt;450,"Yes","No"),IF(AW582="NR","NR",""))</f>
        <v/>
      </c>
      <c r="BJ582" s="9">
        <f>IF(BB582="","",IF(BB582="Non-viable","Non-viable",IF(BB582="Viable","Viable",IF(BB582="Partially non-viable",IF(OR(BD582="Total splenectomy",BD582="Partial splenectomy +/- splenopexy"),"Non-viable","Review"),IF(BB582="NR",IF(OR(BD582="Total splenectomy",BD582="Partial splenectomy +/- splenopexy"),"NR - removed, check reason","NR"),"Not applicable")))))</f>
        <v/>
      </c>
    </row>
    <row r="583">
      <c r="D583" s="8" t="n"/>
      <c r="E583" s="9">
        <f>IF(B583="","",IF(B583="OWN","Yes","No"))</f>
        <v/>
      </c>
      <c r="AF583" s="9">
        <f>IF(ISNUMBER(Z583),IF(Z583&lt;=2,"&lt;=2 d",IF(Z583&lt;=7,"3-7 d",IF(Z583&lt;=30,"8-30 d","&gt;30 d"))),IF(AE583&lt;&gt;"",AE583,IF(Z583="NR","NR","")))</f>
        <v/>
      </c>
      <c r="AX583" s="9">
        <f>IF(ISNUMBER(AW583),IF(AW583&gt;450,"Yes","No"),IF(AW583="NR","NR",""))</f>
        <v/>
      </c>
      <c r="BJ583" s="9">
        <f>IF(BB583="","",IF(BB583="Non-viable","Non-viable",IF(BB583="Viable","Viable",IF(BB583="Partially non-viable",IF(OR(BD583="Total splenectomy",BD583="Partial splenectomy +/- splenopexy"),"Non-viable","Review"),IF(BB583="NR",IF(OR(BD583="Total splenectomy",BD583="Partial splenectomy +/- splenopexy"),"NR - removed, check reason","NR"),"Not applicable")))))</f>
        <v/>
      </c>
    </row>
    <row r="584">
      <c r="D584" s="8" t="n"/>
      <c r="E584" s="9">
        <f>IF(B584="","",IF(B584="OWN","Yes","No"))</f>
        <v/>
      </c>
      <c r="AF584" s="9">
        <f>IF(ISNUMBER(Z584),IF(Z584&lt;=2,"&lt;=2 d",IF(Z584&lt;=7,"3-7 d",IF(Z584&lt;=30,"8-30 d","&gt;30 d"))),IF(AE584&lt;&gt;"",AE584,IF(Z584="NR","NR","")))</f>
        <v/>
      </c>
      <c r="AX584" s="9">
        <f>IF(ISNUMBER(AW584),IF(AW584&gt;450,"Yes","No"),IF(AW584="NR","NR",""))</f>
        <v/>
      </c>
      <c r="BJ584" s="9">
        <f>IF(BB584="","",IF(BB584="Non-viable","Non-viable",IF(BB584="Viable","Viable",IF(BB584="Partially non-viable",IF(OR(BD584="Total splenectomy",BD584="Partial splenectomy +/- splenopexy"),"Non-viable","Review"),IF(BB584="NR",IF(OR(BD584="Total splenectomy",BD584="Partial splenectomy +/- splenopexy"),"NR - removed, check reason","NR"),"Not applicable")))))</f>
        <v/>
      </c>
    </row>
    <row r="585">
      <c r="D585" s="8" t="n"/>
      <c r="E585" s="9">
        <f>IF(B585="","",IF(B585="OWN","Yes","No"))</f>
        <v/>
      </c>
      <c r="AF585" s="9">
        <f>IF(ISNUMBER(Z585),IF(Z585&lt;=2,"&lt;=2 d",IF(Z585&lt;=7,"3-7 d",IF(Z585&lt;=30,"8-30 d","&gt;30 d"))),IF(AE585&lt;&gt;"",AE585,IF(Z585="NR","NR","")))</f>
        <v/>
      </c>
      <c r="AX585" s="9">
        <f>IF(ISNUMBER(AW585),IF(AW585&gt;450,"Yes","No"),IF(AW585="NR","NR",""))</f>
        <v/>
      </c>
      <c r="BJ585" s="9">
        <f>IF(BB585="","",IF(BB585="Non-viable","Non-viable",IF(BB585="Viable","Viable",IF(BB585="Partially non-viable",IF(OR(BD585="Total splenectomy",BD585="Partial splenectomy +/- splenopexy"),"Non-viable","Review"),IF(BB585="NR",IF(OR(BD585="Total splenectomy",BD585="Partial splenectomy +/- splenopexy"),"NR - removed, check reason","NR"),"Not applicable")))))</f>
        <v/>
      </c>
    </row>
    <row r="586">
      <c r="D586" s="8" t="n"/>
      <c r="E586" s="9">
        <f>IF(B586="","",IF(B586="OWN","Yes","No"))</f>
        <v/>
      </c>
      <c r="AF586" s="9">
        <f>IF(ISNUMBER(Z586),IF(Z586&lt;=2,"&lt;=2 d",IF(Z586&lt;=7,"3-7 d",IF(Z586&lt;=30,"8-30 d","&gt;30 d"))),IF(AE586&lt;&gt;"",AE586,IF(Z586="NR","NR","")))</f>
        <v/>
      </c>
      <c r="AX586" s="9">
        <f>IF(ISNUMBER(AW586),IF(AW586&gt;450,"Yes","No"),IF(AW586="NR","NR",""))</f>
        <v/>
      </c>
      <c r="BJ586" s="9">
        <f>IF(BB586="","",IF(BB586="Non-viable","Non-viable",IF(BB586="Viable","Viable",IF(BB586="Partially non-viable",IF(OR(BD586="Total splenectomy",BD586="Partial splenectomy +/- splenopexy"),"Non-viable","Review"),IF(BB586="NR",IF(OR(BD586="Total splenectomy",BD586="Partial splenectomy +/- splenopexy"),"NR - removed, check reason","NR"),"Not applicable")))))</f>
        <v/>
      </c>
    </row>
    <row r="587">
      <c r="D587" s="8" t="n"/>
      <c r="E587" s="9">
        <f>IF(B587="","",IF(B587="OWN","Yes","No"))</f>
        <v/>
      </c>
      <c r="AF587" s="9">
        <f>IF(ISNUMBER(Z587),IF(Z587&lt;=2,"&lt;=2 d",IF(Z587&lt;=7,"3-7 d",IF(Z587&lt;=30,"8-30 d","&gt;30 d"))),IF(AE587&lt;&gt;"",AE587,IF(Z587="NR","NR","")))</f>
        <v/>
      </c>
      <c r="AX587" s="9">
        <f>IF(ISNUMBER(AW587),IF(AW587&gt;450,"Yes","No"),IF(AW587="NR","NR",""))</f>
        <v/>
      </c>
      <c r="BJ587" s="9">
        <f>IF(BB587="","",IF(BB587="Non-viable","Non-viable",IF(BB587="Viable","Viable",IF(BB587="Partially non-viable",IF(OR(BD587="Total splenectomy",BD587="Partial splenectomy +/- splenopexy"),"Non-viable","Review"),IF(BB587="NR",IF(OR(BD587="Total splenectomy",BD587="Partial splenectomy +/- splenopexy"),"NR - removed, check reason","NR"),"Not applicable")))))</f>
        <v/>
      </c>
    </row>
    <row r="588">
      <c r="D588" s="8" t="n"/>
      <c r="E588" s="9">
        <f>IF(B588="","",IF(B588="OWN","Yes","No"))</f>
        <v/>
      </c>
      <c r="AF588" s="9">
        <f>IF(ISNUMBER(Z588),IF(Z588&lt;=2,"&lt;=2 d",IF(Z588&lt;=7,"3-7 d",IF(Z588&lt;=30,"8-30 d","&gt;30 d"))),IF(AE588&lt;&gt;"",AE588,IF(Z588="NR","NR","")))</f>
        <v/>
      </c>
      <c r="AX588" s="9">
        <f>IF(ISNUMBER(AW588),IF(AW588&gt;450,"Yes","No"),IF(AW588="NR","NR",""))</f>
        <v/>
      </c>
      <c r="BJ588" s="9">
        <f>IF(BB588="","",IF(BB588="Non-viable","Non-viable",IF(BB588="Viable","Viable",IF(BB588="Partially non-viable",IF(OR(BD588="Total splenectomy",BD588="Partial splenectomy +/- splenopexy"),"Non-viable","Review"),IF(BB588="NR",IF(OR(BD588="Total splenectomy",BD588="Partial splenectomy +/- splenopexy"),"NR - removed, check reason","NR"),"Not applicable")))))</f>
        <v/>
      </c>
    </row>
    <row r="589">
      <c r="D589" s="8" t="n"/>
      <c r="E589" s="9">
        <f>IF(B589="","",IF(B589="OWN","Yes","No"))</f>
        <v/>
      </c>
      <c r="AF589" s="9">
        <f>IF(ISNUMBER(Z589),IF(Z589&lt;=2,"&lt;=2 d",IF(Z589&lt;=7,"3-7 d",IF(Z589&lt;=30,"8-30 d","&gt;30 d"))),IF(AE589&lt;&gt;"",AE589,IF(Z589="NR","NR","")))</f>
        <v/>
      </c>
      <c r="AX589" s="9">
        <f>IF(ISNUMBER(AW589),IF(AW589&gt;450,"Yes","No"),IF(AW589="NR","NR",""))</f>
        <v/>
      </c>
      <c r="BJ589" s="9">
        <f>IF(BB589="","",IF(BB589="Non-viable","Non-viable",IF(BB589="Viable","Viable",IF(BB589="Partially non-viable",IF(OR(BD589="Total splenectomy",BD589="Partial splenectomy +/- splenopexy"),"Non-viable","Review"),IF(BB589="NR",IF(OR(BD589="Total splenectomy",BD589="Partial splenectomy +/- splenopexy"),"NR - removed, check reason","NR"),"Not applicable")))))</f>
        <v/>
      </c>
    </row>
    <row r="590">
      <c r="D590" s="8" t="n"/>
      <c r="E590" s="9">
        <f>IF(B590="","",IF(B590="OWN","Yes","No"))</f>
        <v/>
      </c>
      <c r="AF590" s="9">
        <f>IF(ISNUMBER(Z590),IF(Z590&lt;=2,"&lt;=2 d",IF(Z590&lt;=7,"3-7 d",IF(Z590&lt;=30,"8-30 d","&gt;30 d"))),IF(AE590&lt;&gt;"",AE590,IF(Z590="NR","NR","")))</f>
        <v/>
      </c>
      <c r="AX590" s="9">
        <f>IF(ISNUMBER(AW590),IF(AW590&gt;450,"Yes","No"),IF(AW590="NR","NR",""))</f>
        <v/>
      </c>
      <c r="BJ590" s="9">
        <f>IF(BB590="","",IF(BB590="Non-viable","Non-viable",IF(BB590="Viable","Viable",IF(BB590="Partially non-viable",IF(OR(BD590="Total splenectomy",BD590="Partial splenectomy +/- splenopexy"),"Non-viable","Review"),IF(BB590="NR",IF(OR(BD590="Total splenectomy",BD590="Partial splenectomy +/- splenopexy"),"NR - removed, check reason","NR"),"Not applicable")))))</f>
        <v/>
      </c>
    </row>
    <row r="591">
      <c r="D591" s="8" t="n"/>
      <c r="E591" s="9">
        <f>IF(B591="","",IF(B591="OWN","Yes","No"))</f>
        <v/>
      </c>
      <c r="AF591" s="9">
        <f>IF(ISNUMBER(Z591),IF(Z591&lt;=2,"&lt;=2 d",IF(Z591&lt;=7,"3-7 d",IF(Z591&lt;=30,"8-30 d","&gt;30 d"))),IF(AE591&lt;&gt;"",AE591,IF(Z591="NR","NR","")))</f>
        <v/>
      </c>
      <c r="AX591" s="9">
        <f>IF(ISNUMBER(AW591),IF(AW591&gt;450,"Yes","No"),IF(AW591="NR","NR",""))</f>
        <v/>
      </c>
      <c r="BJ591" s="9">
        <f>IF(BB591="","",IF(BB591="Non-viable","Non-viable",IF(BB591="Viable","Viable",IF(BB591="Partially non-viable",IF(OR(BD591="Total splenectomy",BD591="Partial splenectomy +/- splenopexy"),"Non-viable","Review"),IF(BB591="NR",IF(OR(BD591="Total splenectomy",BD591="Partial splenectomy +/- splenopexy"),"NR - removed, check reason","NR"),"Not applicable")))))</f>
        <v/>
      </c>
    </row>
    <row r="592">
      <c r="D592" s="8" t="n"/>
      <c r="E592" s="9">
        <f>IF(B592="","",IF(B592="OWN","Yes","No"))</f>
        <v/>
      </c>
      <c r="AF592" s="9">
        <f>IF(ISNUMBER(Z592),IF(Z592&lt;=2,"&lt;=2 d",IF(Z592&lt;=7,"3-7 d",IF(Z592&lt;=30,"8-30 d","&gt;30 d"))),IF(AE592&lt;&gt;"",AE592,IF(Z592="NR","NR","")))</f>
        <v/>
      </c>
      <c r="AX592" s="9">
        <f>IF(ISNUMBER(AW592),IF(AW592&gt;450,"Yes","No"),IF(AW592="NR","NR",""))</f>
        <v/>
      </c>
      <c r="BJ592" s="9">
        <f>IF(BB592="","",IF(BB592="Non-viable","Non-viable",IF(BB592="Viable","Viable",IF(BB592="Partially non-viable",IF(OR(BD592="Total splenectomy",BD592="Partial splenectomy +/- splenopexy"),"Non-viable","Review"),IF(BB592="NR",IF(OR(BD592="Total splenectomy",BD592="Partial splenectomy +/- splenopexy"),"NR - removed, check reason","NR"),"Not applicable")))))</f>
        <v/>
      </c>
    </row>
    <row r="593">
      <c r="D593" s="8" t="n"/>
      <c r="E593" s="9">
        <f>IF(B593="","",IF(B593="OWN","Yes","No"))</f>
        <v/>
      </c>
      <c r="AF593" s="9">
        <f>IF(ISNUMBER(Z593),IF(Z593&lt;=2,"&lt;=2 d",IF(Z593&lt;=7,"3-7 d",IF(Z593&lt;=30,"8-30 d","&gt;30 d"))),IF(AE593&lt;&gt;"",AE593,IF(Z593="NR","NR","")))</f>
        <v/>
      </c>
      <c r="AX593" s="9">
        <f>IF(ISNUMBER(AW593),IF(AW593&gt;450,"Yes","No"),IF(AW593="NR","NR",""))</f>
        <v/>
      </c>
      <c r="BJ593" s="9">
        <f>IF(BB593="","",IF(BB593="Non-viable","Non-viable",IF(BB593="Viable","Viable",IF(BB593="Partially non-viable",IF(OR(BD593="Total splenectomy",BD593="Partial splenectomy +/- splenopexy"),"Non-viable","Review"),IF(BB593="NR",IF(OR(BD593="Total splenectomy",BD593="Partial splenectomy +/- splenopexy"),"NR - removed, check reason","NR"),"Not applicable")))))</f>
        <v/>
      </c>
    </row>
    <row r="594">
      <c r="D594" s="8" t="n"/>
      <c r="E594" s="9">
        <f>IF(B594="","",IF(B594="OWN","Yes","No"))</f>
        <v/>
      </c>
      <c r="AF594" s="9">
        <f>IF(ISNUMBER(Z594),IF(Z594&lt;=2,"&lt;=2 d",IF(Z594&lt;=7,"3-7 d",IF(Z594&lt;=30,"8-30 d","&gt;30 d"))),IF(AE594&lt;&gt;"",AE594,IF(Z594="NR","NR","")))</f>
        <v/>
      </c>
      <c r="AX594" s="9">
        <f>IF(ISNUMBER(AW594),IF(AW594&gt;450,"Yes","No"),IF(AW594="NR","NR",""))</f>
        <v/>
      </c>
      <c r="BJ594" s="9">
        <f>IF(BB594="","",IF(BB594="Non-viable","Non-viable",IF(BB594="Viable","Viable",IF(BB594="Partially non-viable",IF(OR(BD594="Total splenectomy",BD594="Partial splenectomy +/- splenopexy"),"Non-viable","Review"),IF(BB594="NR",IF(OR(BD594="Total splenectomy",BD594="Partial splenectomy +/- splenopexy"),"NR - removed, check reason","NR"),"Not applicable")))))</f>
        <v/>
      </c>
    </row>
    <row r="595">
      <c r="D595" s="8" t="n"/>
      <c r="E595" s="9">
        <f>IF(B595="","",IF(B595="OWN","Yes","No"))</f>
        <v/>
      </c>
      <c r="AF595" s="9">
        <f>IF(ISNUMBER(Z595),IF(Z595&lt;=2,"&lt;=2 d",IF(Z595&lt;=7,"3-7 d",IF(Z595&lt;=30,"8-30 d","&gt;30 d"))),IF(AE595&lt;&gt;"",AE595,IF(Z595="NR","NR","")))</f>
        <v/>
      </c>
      <c r="AX595" s="9">
        <f>IF(ISNUMBER(AW595),IF(AW595&gt;450,"Yes","No"),IF(AW595="NR","NR",""))</f>
        <v/>
      </c>
      <c r="BJ595" s="9">
        <f>IF(BB595="","",IF(BB595="Non-viable","Non-viable",IF(BB595="Viable","Viable",IF(BB595="Partially non-viable",IF(OR(BD595="Total splenectomy",BD595="Partial splenectomy +/- splenopexy"),"Non-viable","Review"),IF(BB595="NR",IF(OR(BD595="Total splenectomy",BD595="Partial splenectomy +/- splenopexy"),"NR - removed, check reason","NR"),"Not applicable")))))</f>
        <v/>
      </c>
    </row>
    <row r="596">
      <c r="D596" s="8" t="n"/>
      <c r="E596" s="9">
        <f>IF(B596="","",IF(B596="OWN","Yes","No"))</f>
        <v/>
      </c>
      <c r="AF596" s="9">
        <f>IF(ISNUMBER(Z596),IF(Z596&lt;=2,"&lt;=2 d",IF(Z596&lt;=7,"3-7 d",IF(Z596&lt;=30,"8-30 d","&gt;30 d"))),IF(AE596&lt;&gt;"",AE596,IF(Z596="NR","NR","")))</f>
        <v/>
      </c>
      <c r="AX596" s="9">
        <f>IF(ISNUMBER(AW596),IF(AW596&gt;450,"Yes","No"),IF(AW596="NR","NR",""))</f>
        <v/>
      </c>
      <c r="BJ596" s="9">
        <f>IF(BB596="","",IF(BB596="Non-viable","Non-viable",IF(BB596="Viable","Viable",IF(BB596="Partially non-viable",IF(OR(BD596="Total splenectomy",BD596="Partial splenectomy +/- splenopexy"),"Non-viable","Review"),IF(BB596="NR",IF(OR(BD596="Total splenectomy",BD596="Partial splenectomy +/- splenopexy"),"NR - removed, check reason","NR"),"Not applicable")))))</f>
        <v/>
      </c>
    </row>
    <row r="597">
      <c r="D597" s="8" t="n"/>
      <c r="E597" s="9">
        <f>IF(B597="","",IF(B597="OWN","Yes","No"))</f>
        <v/>
      </c>
      <c r="AF597" s="9">
        <f>IF(ISNUMBER(Z597),IF(Z597&lt;=2,"&lt;=2 d",IF(Z597&lt;=7,"3-7 d",IF(Z597&lt;=30,"8-30 d","&gt;30 d"))),IF(AE597&lt;&gt;"",AE597,IF(Z597="NR","NR","")))</f>
        <v/>
      </c>
      <c r="AX597" s="9">
        <f>IF(ISNUMBER(AW597),IF(AW597&gt;450,"Yes","No"),IF(AW597="NR","NR",""))</f>
        <v/>
      </c>
      <c r="BJ597" s="9">
        <f>IF(BB597="","",IF(BB597="Non-viable","Non-viable",IF(BB597="Viable","Viable",IF(BB597="Partially non-viable",IF(OR(BD597="Total splenectomy",BD597="Partial splenectomy +/- splenopexy"),"Non-viable","Review"),IF(BB597="NR",IF(OR(BD597="Total splenectomy",BD597="Partial splenectomy +/- splenopexy"),"NR - removed, check reason","NR"),"Not applicable")))))</f>
        <v/>
      </c>
    </row>
    <row r="598">
      <c r="D598" s="8" t="n"/>
      <c r="E598" s="9">
        <f>IF(B598="","",IF(B598="OWN","Yes","No"))</f>
        <v/>
      </c>
      <c r="AF598" s="9">
        <f>IF(ISNUMBER(Z598),IF(Z598&lt;=2,"&lt;=2 d",IF(Z598&lt;=7,"3-7 d",IF(Z598&lt;=30,"8-30 d","&gt;30 d"))),IF(AE598&lt;&gt;"",AE598,IF(Z598="NR","NR","")))</f>
        <v/>
      </c>
      <c r="AX598" s="9">
        <f>IF(ISNUMBER(AW598),IF(AW598&gt;450,"Yes","No"),IF(AW598="NR","NR",""))</f>
        <v/>
      </c>
      <c r="BJ598" s="9">
        <f>IF(BB598="","",IF(BB598="Non-viable","Non-viable",IF(BB598="Viable","Viable",IF(BB598="Partially non-viable",IF(OR(BD598="Total splenectomy",BD598="Partial splenectomy +/- splenopexy"),"Non-viable","Review"),IF(BB598="NR",IF(OR(BD598="Total splenectomy",BD598="Partial splenectomy +/- splenopexy"),"NR - removed, check reason","NR"),"Not applicable")))))</f>
        <v/>
      </c>
    </row>
    <row r="599">
      <c r="D599" s="8" t="n"/>
      <c r="E599" s="9">
        <f>IF(B599="","",IF(B599="OWN","Yes","No"))</f>
        <v/>
      </c>
      <c r="AF599" s="9">
        <f>IF(ISNUMBER(Z599),IF(Z599&lt;=2,"&lt;=2 d",IF(Z599&lt;=7,"3-7 d",IF(Z599&lt;=30,"8-30 d","&gt;30 d"))),IF(AE599&lt;&gt;"",AE599,IF(Z599="NR","NR","")))</f>
        <v/>
      </c>
      <c r="AX599" s="9">
        <f>IF(ISNUMBER(AW599),IF(AW599&gt;450,"Yes","No"),IF(AW599="NR","NR",""))</f>
        <v/>
      </c>
      <c r="BJ599" s="9">
        <f>IF(BB599="","",IF(BB599="Non-viable","Non-viable",IF(BB599="Viable","Viable",IF(BB599="Partially non-viable",IF(OR(BD599="Total splenectomy",BD599="Partial splenectomy +/- splenopexy"),"Non-viable","Review"),IF(BB599="NR",IF(OR(BD599="Total splenectomy",BD599="Partial splenectomy +/- splenopexy"),"NR - removed, check reason","NR"),"Not applicable")))))</f>
        <v/>
      </c>
    </row>
    <row r="600">
      <c r="D600" s="8" t="n"/>
      <c r="E600" s="9">
        <f>IF(B600="","",IF(B600="OWN","Yes","No"))</f>
        <v/>
      </c>
      <c r="AF600" s="9">
        <f>IF(ISNUMBER(Z600),IF(Z600&lt;=2,"&lt;=2 d",IF(Z600&lt;=7,"3-7 d",IF(Z600&lt;=30,"8-30 d","&gt;30 d"))),IF(AE600&lt;&gt;"",AE600,IF(Z600="NR","NR","")))</f>
        <v/>
      </c>
      <c r="AX600" s="9">
        <f>IF(ISNUMBER(AW600),IF(AW600&gt;450,"Yes","No"),IF(AW600="NR","NR",""))</f>
        <v/>
      </c>
      <c r="BJ600" s="9">
        <f>IF(BB600="","",IF(BB600="Non-viable","Non-viable",IF(BB600="Viable","Viable",IF(BB600="Partially non-viable",IF(OR(BD600="Total splenectomy",BD600="Partial splenectomy +/- splenopexy"),"Non-viable","Review"),IF(BB600="NR",IF(OR(BD600="Total splenectomy",BD600="Partial splenectomy +/- splenopexy"),"NR - removed, check reason","NR"),"Not applicable")))))</f>
        <v/>
      </c>
    </row>
    <row r="601">
      <c r="D601" s="8" t="n"/>
      <c r="E601" s="9">
        <f>IF(B601="","",IF(B601="OWN","Yes","No"))</f>
        <v/>
      </c>
      <c r="AF601" s="9">
        <f>IF(ISNUMBER(Z601),IF(Z601&lt;=2,"&lt;=2 d",IF(Z601&lt;=7,"3-7 d",IF(Z601&lt;=30,"8-30 d","&gt;30 d"))),IF(AE601&lt;&gt;"",AE601,IF(Z601="NR","NR","")))</f>
        <v/>
      </c>
      <c r="AX601" s="9">
        <f>IF(ISNUMBER(AW601),IF(AW601&gt;450,"Yes","No"),IF(AW601="NR","NR",""))</f>
        <v/>
      </c>
      <c r="BJ601" s="9">
        <f>IF(BB601="","",IF(BB601="Non-viable","Non-viable",IF(BB601="Viable","Viable",IF(BB601="Partially non-viable",IF(OR(BD601="Total splenectomy",BD601="Partial splenectomy +/- splenopexy"),"Non-viable","Review"),IF(BB601="NR",IF(OR(BD601="Total splenectomy",BD601="Partial splenectomy +/- splenopexy"),"NR - removed, check reason","NR"),"Not applicable")))))</f>
        <v/>
      </c>
    </row>
    <row r="602">
      <c r="D602" s="8" t="n"/>
      <c r="E602" s="9">
        <f>IF(B602="","",IF(B602="OWN","Yes","No"))</f>
        <v/>
      </c>
      <c r="AF602" s="9">
        <f>IF(ISNUMBER(Z602),IF(Z602&lt;=2,"&lt;=2 d",IF(Z602&lt;=7,"3-7 d",IF(Z602&lt;=30,"8-30 d","&gt;30 d"))),IF(AE602&lt;&gt;"",AE602,IF(Z602="NR","NR","")))</f>
        <v/>
      </c>
      <c r="AX602" s="9">
        <f>IF(ISNUMBER(AW602),IF(AW602&gt;450,"Yes","No"),IF(AW602="NR","NR",""))</f>
        <v/>
      </c>
      <c r="BJ602" s="9">
        <f>IF(BB602="","",IF(BB602="Non-viable","Non-viable",IF(BB602="Viable","Viable",IF(BB602="Partially non-viable",IF(OR(BD602="Total splenectomy",BD602="Partial splenectomy +/- splenopexy"),"Non-viable","Review"),IF(BB602="NR",IF(OR(BD602="Total splenectomy",BD602="Partial splenectomy +/- splenopexy"),"NR - removed, check reason","NR"),"Not applicable")))))</f>
        <v/>
      </c>
    </row>
    <row r="603">
      <c r="D603" s="8" t="n"/>
      <c r="E603" s="9">
        <f>IF(B603="","",IF(B603="OWN","Yes","No"))</f>
        <v/>
      </c>
      <c r="AF603" s="9">
        <f>IF(ISNUMBER(Z603),IF(Z603&lt;=2,"&lt;=2 d",IF(Z603&lt;=7,"3-7 d",IF(Z603&lt;=30,"8-30 d","&gt;30 d"))),IF(AE603&lt;&gt;"",AE603,IF(Z603="NR","NR","")))</f>
        <v/>
      </c>
      <c r="AX603" s="9">
        <f>IF(ISNUMBER(AW603),IF(AW603&gt;450,"Yes","No"),IF(AW603="NR","NR",""))</f>
        <v/>
      </c>
      <c r="BJ603" s="9">
        <f>IF(BB603="","",IF(BB603="Non-viable","Non-viable",IF(BB603="Viable","Viable",IF(BB603="Partially non-viable",IF(OR(BD603="Total splenectomy",BD603="Partial splenectomy +/- splenopexy"),"Non-viable","Review"),IF(BB603="NR",IF(OR(BD603="Total splenectomy",BD603="Partial splenectomy +/- splenopexy"),"NR - removed, check reason","NR"),"Not applicable")))))</f>
        <v/>
      </c>
    </row>
    <row r="604">
      <c r="D604" s="8" t="n"/>
      <c r="E604" s="9">
        <f>IF(B604="","",IF(B604="OWN","Yes","No"))</f>
        <v/>
      </c>
      <c r="AF604" s="9">
        <f>IF(ISNUMBER(Z604),IF(Z604&lt;=2,"&lt;=2 d",IF(Z604&lt;=7,"3-7 d",IF(Z604&lt;=30,"8-30 d","&gt;30 d"))),IF(AE604&lt;&gt;"",AE604,IF(Z604="NR","NR","")))</f>
        <v/>
      </c>
      <c r="AX604" s="9">
        <f>IF(ISNUMBER(AW604),IF(AW604&gt;450,"Yes","No"),IF(AW604="NR","NR",""))</f>
        <v/>
      </c>
      <c r="BJ604" s="9">
        <f>IF(BB604="","",IF(BB604="Non-viable","Non-viable",IF(BB604="Viable","Viable",IF(BB604="Partially non-viable",IF(OR(BD604="Total splenectomy",BD604="Partial splenectomy +/- splenopexy"),"Non-viable","Review"),IF(BB604="NR",IF(OR(BD604="Total splenectomy",BD604="Partial splenectomy +/- splenopexy"),"NR - removed, check reason","NR"),"Not applicable")))))</f>
        <v/>
      </c>
    </row>
    <row r="605">
      <c r="D605" s="8" t="n"/>
      <c r="E605" s="9">
        <f>IF(B605="","",IF(B605="OWN","Yes","No"))</f>
        <v/>
      </c>
      <c r="AF605" s="9">
        <f>IF(ISNUMBER(Z605),IF(Z605&lt;=2,"&lt;=2 d",IF(Z605&lt;=7,"3-7 d",IF(Z605&lt;=30,"8-30 d","&gt;30 d"))),IF(AE605&lt;&gt;"",AE605,IF(Z605="NR","NR","")))</f>
        <v/>
      </c>
      <c r="AX605" s="9">
        <f>IF(ISNUMBER(AW605),IF(AW605&gt;450,"Yes","No"),IF(AW605="NR","NR",""))</f>
        <v/>
      </c>
      <c r="BJ605" s="9">
        <f>IF(BB605="","",IF(BB605="Non-viable","Non-viable",IF(BB605="Viable","Viable",IF(BB605="Partially non-viable",IF(OR(BD605="Total splenectomy",BD605="Partial splenectomy +/- splenopexy"),"Non-viable","Review"),IF(BB605="NR",IF(OR(BD605="Total splenectomy",BD605="Partial splenectomy +/- splenopexy"),"NR - removed, check reason","NR"),"Not applicable")))))</f>
        <v/>
      </c>
    </row>
    <row r="606">
      <c r="D606" s="8" t="n"/>
      <c r="E606" s="9">
        <f>IF(B606="","",IF(B606="OWN","Yes","No"))</f>
        <v/>
      </c>
      <c r="AF606" s="9">
        <f>IF(ISNUMBER(Z606),IF(Z606&lt;=2,"&lt;=2 d",IF(Z606&lt;=7,"3-7 d",IF(Z606&lt;=30,"8-30 d","&gt;30 d"))),IF(AE606&lt;&gt;"",AE606,IF(Z606="NR","NR","")))</f>
        <v/>
      </c>
      <c r="AX606" s="9">
        <f>IF(ISNUMBER(AW606),IF(AW606&gt;450,"Yes","No"),IF(AW606="NR","NR",""))</f>
        <v/>
      </c>
      <c r="BJ606" s="9">
        <f>IF(BB606="","",IF(BB606="Non-viable","Non-viable",IF(BB606="Viable","Viable",IF(BB606="Partially non-viable",IF(OR(BD606="Total splenectomy",BD606="Partial splenectomy +/- splenopexy"),"Non-viable","Review"),IF(BB606="NR",IF(OR(BD606="Total splenectomy",BD606="Partial splenectomy +/- splenopexy"),"NR - removed, check reason","NR"),"Not applicable")))))</f>
        <v/>
      </c>
    </row>
    <row r="607">
      <c r="D607" s="8" t="n"/>
      <c r="E607" s="9">
        <f>IF(B607="","",IF(B607="OWN","Yes","No"))</f>
        <v/>
      </c>
      <c r="AF607" s="9">
        <f>IF(ISNUMBER(Z607),IF(Z607&lt;=2,"&lt;=2 d",IF(Z607&lt;=7,"3-7 d",IF(Z607&lt;=30,"8-30 d","&gt;30 d"))),IF(AE607&lt;&gt;"",AE607,IF(Z607="NR","NR","")))</f>
        <v/>
      </c>
      <c r="AX607" s="9">
        <f>IF(ISNUMBER(AW607),IF(AW607&gt;450,"Yes","No"),IF(AW607="NR","NR",""))</f>
        <v/>
      </c>
      <c r="BJ607" s="9">
        <f>IF(BB607="","",IF(BB607="Non-viable","Non-viable",IF(BB607="Viable","Viable",IF(BB607="Partially non-viable",IF(OR(BD607="Total splenectomy",BD607="Partial splenectomy +/- splenopexy"),"Non-viable","Review"),IF(BB607="NR",IF(OR(BD607="Total splenectomy",BD607="Partial splenectomy +/- splenopexy"),"NR - removed, check reason","NR"),"Not applicable")))))</f>
        <v/>
      </c>
    </row>
    <row r="608">
      <c r="D608" s="8" t="n"/>
      <c r="E608" s="9">
        <f>IF(B608="","",IF(B608="OWN","Yes","No"))</f>
        <v/>
      </c>
      <c r="AF608" s="9">
        <f>IF(ISNUMBER(Z608),IF(Z608&lt;=2,"&lt;=2 d",IF(Z608&lt;=7,"3-7 d",IF(Z608&lt;=30,"8-30 d","&gt;30 d"))),IF(AE608&lt;&gt;"",AE608,IF(Z608="NR","NR","")))</f>
        <v/>
      </c>
      <c r="AX608" s="9">
        <f>IF(ISNUMBER(AW608),IF(AW608&gt;450,"Yes","No"),IF(AW608="NR","NR",""))</f>
        <v/>
      </c>
      <c r="BJ608" s="9">
        <f>IF(BB608="","",IF(BB608="Non-viable","Non-viable",IF(BB608="Viable","Viable",IF(BB608="Partially non-viable",IF(OR(BD608="Total splenectomy",BD608="Partial splenectomy +/- splenopexy"),"Non-viable","Review"),IF(BB608="NR",IF(OR(BD608="Total splenectomy",BD608="Partial splenectomy +/- splenopexy"),"NR - removed, check reason","NR"),"Not applicable")))))</f>
        <v/>
      </c>
    </row>
    <row r="609">
      <c r="D609" s="8" t="n"/>
      <c r="E609" s="9">
        <f>IF(B609="","",IF(B609="OWN","Yes","No"))</f>
        <v/>
      </c>
      <c r="AF609" s="9">
        <f>IF(ISNUMBER(Z609),IF(Z609&lt;=2,"&lt;=2 d",IF(Z609&lt;=7,"3-7 d",IF(Z609&lt;=30,"8-30 d","&gt;30 d"))),IF(AE609&lt;&gt;"",AE609,IF(Z609="NR","NR","")))</f>
        <v/>
      </c>
      <c r="AX609" s="9">
        <f>IF(ISNUMBER(AW609),IF(AW609&gt;450,"Yes","No"),IF(AW609="NR","NR",""))</f>
        <v/>
      </c>
      <c r="BJ609" s="9">
        <f>IF(BB609="","",IF(BB609="Non-viable","Non-viable",IF(BB609="Viable","Viable",IF(BB609="Partially non-viable",IF(OR(BD609="Total splenectomy",BD609="Partial splenectomy +/- splenopexy"),"Non-viable","Review"),IF(BB609="NR",IF(OR(BD609="Total splenectomy",BD609="Partial splenectomy +/- splenopexy"),"NR - removed, check reason","NR"),"Not applicable")))))</f>
        <v/>
      </c>
    </row>
    <row r="610">
      <c r="D610" s="8" t="n"/>
      <c r="E610" s="9">
        <f>IF(B610="","",IF(B610="OWN","Yes","No"))</f>
        <v/>
      </c>
      <c r="AF610" s="9">
        <f>IF(ISNUMBER(Z610),IF(Z610&lt;=2,"&lt;=2 d",IF(Z610&lt;=7,"3-7 d",IF(Z610&lt;=30,"8-30 d","&gt;30 d"))),IF(AE610&lt;&gt;"",AE610,IF(Z610="NR","NR","")))</f>
        <v/>
      </c>
      <c r="AX610" s="9">
        <f>IF(ISNUMBER(AW610),IF(AW610&gt;450,"Yes","No"),IF(AW610="NR","NR",""))</f>
        <v/>
      </c>
      <c r="BJ610" s="9">
        <f>IF(BB610="","",IF(BB610="Non-viable","Non-viable",IF(BB610="Viable","Viable",IF(BB610="Partially non-viable",IF(OR(BD610="Total splenectomy",BD610="Partial splenectomy +/- splenopexy"),"Non-viable","Review"),IF(BB610="NR",IF(OR(BD610="Total splenectomy",BD610="Partial splenectomy +/- splenopexy"),"NR - removed, check reason","NR"),"Not applicable")))))</f>
        <v/>
      </c>
    </row>
    <row r="611">
      <c r="D611" s="8" t="n"/>
      <c r="E611" s="9">
        <f>IF(B611="","",IF(B611="OWN","Yes","No"))</f>
        <v/>
      </c>
      <c r="AF611" s="9">
        <f>IF(ISNUMBER(Z611),IF(Z611&lt;=2,"&lt;=2 d",IF(Z611&lt;=7,"3-7 d",IF(Z611&lt;=30,"8-30 d","&gt;30 d"))),IF(AE611&lt;&gt;"",AE611,IF(Z611="NR","NR","")))</f>
        <v/>
      </c>
      <c r="AX611" s="9">
        <f>IF(ISNUMBER(AW611),IF(AW611&gt;450,"Yes","No"),IF(AW611="NR","NR",""))</f>
        <v/>
      </c>
      <c r="BJ611" s="9">
        <f>IF(BB611="","",IF(BB611="Non-viable","Non-viable",IF(BB611="Viable","Viable",IF(BB611="Partially non-viable",IF(OR(BD611="Total splenectomy",BD611="Partial splenectomy +/- splenopexy"),"Non-viable","Review"),IF(BB611="NR",IF(OR(BD611="Total splenectomy",BD611="Partial splenectomy +/- splenopexy"),"NR - removed, check reason","NR"),"Not applicable")))))</f>
        <v/>
      </c>
    </row>
    <row r="612">
      <c r="D612" s="8" t="n"/>
      <c r="E612" s="9">
        <f>IF(B612="","",IF(B612="OWN","Yes","No"))</f>
        <v/>
      </c>
      <c r="AF612" s="9">
        <f>IF(ISNUMBER(Z612),IF(Z612&lt;=2,"&lt;=2 d",IF(Z612&lt;=7,"3-7 d",IF(Z612&lt;=30,"8-30 d","&gt;30 d"))),IF(AE612&lt;&gt;"",AE612,IF(Z612="NR","NR","")))</f>
        <v/>
      </c>
      <c r="AX612" s="9">
        <f>IF(ISNUMBER(AW612),IF(AW612&gt;450,"Yes","No"),IF(AW612="NR","NR",""))</f>
        <v/>
      </c>
      <c r="BJ612" s="9">
        <f>IF(BB612="","",IF(BB612="Non-viable","Non-viable",IF(BB612="Viable","Viable",IF(BB612="Partially non-viable",IF(OR(BD612="Total splenectomy",BD612="Partial splenectomy +/- splenopexy"),"Non-viable","Review"),IF(BB612="NR",IF(OR(BD612="Total splenectomy",BD612="Partial splenectomy +/- splenopexy"),"NR - removed, check reason","NR"),"Not applicable")))))</f>
        <v/>
      </c>
    </row>
    <row r="613">
      <c r="D613" s="8" t="n"/>
      <c r="E613" s="9">
        <f>IF(B613="","",IF(B613="OWN","Yes","No"))</f>
        <v/>
      </c>
      <c r="AF613" s="9">
        <f>IF(ISNUMBER(Z613),IF(Z613&lt;=2,"&lt;=2 d",IF(Z613&lt;=7,"3-7 d",IF(Z613&lt;=30,"8-30 d","&gt;30 d"))),IF(AE613&lt;&gt;"",AE613,IF(Z613="NR","NR","")))</f>
        <v/>
      </c>
      <c r="AX613" s="9">
        <f>IF(ISNUMBER(AW613),IF(AW613&gt;450,"Yes","No"),IF(AW613="NR","NR",""))</f>
        <v/>
      </c>
      <c r="BJ613" s="9">
        <f>IF(BB613="","",IF(BB613="Non-viable","Non-viable",IF(BB613="Viable","Viable",IF(BB613="Partially non-viable",IF(OR(BD613="Total splenectomy",BD613="Partial splenectomy +/- splenopexy"),"Non-viable","Review"),IF(BB613="NR",IF(OR(BD613="Total splenectomy",BD613="Partial splenectomy +/- splenopexy"),"NR - removed, check reason","NR"),"Not applicable")))))</f>
        <v/>
      </c>
    </row>
    <row r="614">
      <c r="D614" s="8" t="n"/>
      <c r="E614" s="9">
        <f>IF(B614="","",IF(B614="OWN","Yes","No"))</f>
        <v/>
      </c>
      <c r="AF614" s="9">
        <f>IF(ISNUMBER(Z614),IF(Z614&lt;=2,"&lt;=2 d",IF(Z614&lt;=7,"3-7 d",IF(Z614&lt;=30,"8-30 d","&gt;30 d"))),IF(AE614&lt;&gt;"",AE614,IF(Z614="NR","NR","")))</f>
        <v/>
      </c>
      <c r="AX614" s="9">
        <f>IF(ISNUMBER(AW614),IF(AW614&gt;450,"Yes","No"),IF(AW614="NR","NR",""))</f>
        <v/>
      </c>
      <c r="BJ614" s="9">
        <f>IF(BB614="","",IF(BB614="Non-viable","Non-viable",IF(BB614="Viable","Viable",IF(BB614="Partially non-viable",IF(OR(BD614="Total splenectomy",BD614="Partial splenectomy +/- splenopexy"),"Non-viable","Review"),IF(BB614="NR",IF(OR(BD614="Total splenectomy",BD614="Partial splenectomy +/- splenopexy"),"NR - removed, check reason","NR"),"Not applicable")))))</f>
        <v/>
      </c>
    </row>
    <row r="615">
      <c r="D615" s="8" t="n"/>
      <c r="E615" s="9">
        <f>IF(B615="","",IF(B615="OWN","Yes","No"))</f>
        <v/>
      </c>
      <c r="AF615" s="9">
        <f>IF(ISNUMBER(Z615),IF(Z615&lt;=2,"&lt;=2 d",IF(Z615&lt;=7,"3-7 d",IF(Z615&lt;=30,"8-30 d","&gt;30 d"))),IF(AE615&lt;&gt;"",AE615,IF(Z615="NR","NR","")))</f>
        <v/>
      </c>
      <c r="AX615" s="9">
        <f>IF(ISNUMBER(AW615),IF(AW615&gt;450,"Yes","No"),IF(AW615="NR","NR",""))</f>
        <v/>
      </c>
      <c r="BJ615" s="9">
        <f>IF(BB615="","",IF(BB615="Non-viable","Non-viable",IF(BB615="Viable","Viable",IF(BB615="Partially non-viable",IF(OR(BD615="Total splenectomy",BD615="Partial splenectomy +/- splenopexy"),"Non-viable","Review"),IF(BB615="NR",IF(OR(BD615="Total splenectomy",BD615="Partial splenectomy +/- splenopexy"),"NR - removed, check reason","NR"),"Not applicable")))))</f>
        <v/>
      </c>
    </row>
    <row r="616">
      <c r="D616" s="8" t="n"/>
      <c r="E616" s="9">
        <f>IF(B616="","",IF(B616="OWN","Yes","No"))</f>
        <v/>
      </c>
      <c r="AF616" s="9">
        <f>IF(ISNUMBER(Z616),IF(Z616&lt;=2,"&lt;=2 d",IF(Z616&lt;=7,"3-7 d",IF(Z616&lt;=30,"8-30 d","&gt;30 d"))),IF(AE616&lt;&gt;"",AE616,IF(Z616="NR","NR","")))</f>
        <v/>
      </c>
      <c r="AX616" s="9">
        <f>IF(ISNUMBER(AW616),IF(AW616&gt;450,"Yes","No"),IF(AW616="NR","NR",""))</f>
        <v/>
      </c>
      <c r="BJ616" s="9">
        <f>IF(BB616="","",IF(BB616="Non-viable","Non-viable",IF(BB616="Viable","Viable",IF(BB616="Partially non-viable",IF(OR(BD616="Total splenectomy",BD616="Partial splenectomy +/- splenopexy"),"Non-viable","Review"),IF(BB616="NR",IF(OR(BD616="Total splenectomy",BD616="Partial splenectomy +/- splenopexy"),"NR - removed, check reason","NR"),"Not applicable")))))</f>
        <v/>
      </c>
    </row>
    <row r="617">
      <c r="D617" s="8" t="n"/>
      <c r="E617" s="9">
        <f>IF(B617="","",IF(B617="OWN","Yes","No"))</f>
        <v/>
      </c>
      <c r="AF617" s="9">
        <f>IF(ISNUMBER(Z617),IF(Z617&lt;=2,"&lt;=2 d",IF(Z617&lt;=7,"3-7 d",IF(Z617&lt;=30,"8-30 d","&gt;30 d"))),IF(AE617&lt;&gt;"",AE617,IF(Z617="NR","NR","")))</f>
        <v/>
      </c>
      <c r="AX617" s="9">
        <f>IF(ISNUMBER(AW617),IF(AW617&gt;450,"Yes","No"),IF(AW617="NR","NR",""))</f>
        <v/>
      </c>
      <c r="BJ617" s="9">
        <f>IF(BB617="","",IF(BB617="Non-viable","Non-viable",IF(BB617="Viable","Viable",IF(BB617="Partially non-viable",IF(OR(BD617="Total splenectomy",BD617="Partial splenectomy +/- splenopexy"),"Non-viable","Review"),IF(BB617="NR",IF(OR(BD617="Total splenectomy",BD617="Partial splenectomy +/- splenopexy"),"NR - removed, check reason","NR"),"Not applicable")))))</f>
        <v/>
      </c>
    </row>
    <row r="618">
      <c r="D618" s="8" t="n"/>
      <c r="E618" s="9">
        <f>IF(B618="","",IF(B618="OWN","Yes","No"))</f>
        <v/>
      </c>
      <c r="AF618" s="9">
        <f>IF(ISNUMBER(Z618),IF(Z618&lt;=2,"&lt;=2 d",IF(Z618&lt;=7,"3-7 d",IF(Z618&lt;=30,"8-30 d","&gt;30 d"))),IF(AE618&lt;&gt;"",AE618,IF(Z618="NR","NR","")))</f>
        <v/>
      </c>
      <c r="AX618" s="9">
        <f>IF(ISNUMBER(AW618),IF(AW618&gt;450,"Yes","No"),IF(AW618="NR","NR",""))</f>
        <v/>
      </c>
      <c r="BJ618" s="9">
        <f>IF(BB618="","",IF(BB618="Non-viable","Non-viable",IF(BB618="Viable","Viable",IF(BB618="Partially non-viable",IF(OR(BD618="Total splenectomy",BD618="Partial splenectomy +/- splenopexy"),"Non-viable","Review"),IF(BB618="NR",IF(OR(BD618="Total splenectomy",BD618="Partial splenectomy +/- splenopexy"),"NR - removed, check reason","NR"),"Not applicable")))))</f>
        <v/>
      </c>
    </row>
    <row r="619">
      <c r="D619" s="8" t="n"/>
      <c r="E619" s="9">
        <f>IF(B619="","",IF(B619="OWN","Yes","No"))</f>
        <v/>
      </c>
      <c r="AF619" s="9">
        <f>IF(ISNUMBER(Z619),IF(Z619&lt;=2,"&lt;=2 d",IF(Z619&lt;=7,"3-7 d",IF(Z619&lt;=30,"8-30 d","&gt;30 d"))),IF(AE619&lt;&gt;"",AE619,IF(Z619="NR","NR","")))</f>
        <v/>
      </c>
      <c r="AX619" s="9">
        <f>IF(ISNUMBER(AW619),IF(AW619&gt;450,"Yes","No"),IF(AW619="NR","NR",""))</f>
        <v/>
      </c>
      <c r="BJ619" s="9">
        <f>IF(BB619="","",IF(BB619="Non-viable","Non-viable",IF(BB619="Viable","Viable",IF(BB619="Partially non-viable",IF(OR(BD619="Total splenectomy",BD619="Partial splenectomy +/- splenopexy"),"Non-viable","Review"),IF(BB619="NR",IF(OR(BD619="Total splenectomy",BD619="Partial splenectomy +/- splenopexy"),"NR - removed, check reason","NR"),"Not applicable")))))</f>
        <v/>
      </c>
    </row>
    <row r="620">
      <c r="D620" s="8" t="n"/>
      <c r="E620" s="9">
        <f>IF(B620="","",IF(B620="OWN","Yes","No"))</f>
        <v/>
      </c>
      <c r="AF620" s="9">
        <f>IF(ISNUMBER(Z620),IF(Z620&lt;=2,"&lt;=2 d",IF(Z620&lt;=7,"3-7 d",IF(Z620&lt;=30,"8-30 d","&gt;30 d"))),IF(AE620&lt;&gt;"",AE620,IF(Z620="NR","NR","")))</f>
        <v/>
      </c>
      <c r="AX620" s="9">
        <f>IF(ISNUMBER(AW620),IF(AW620&gt;450,"Yes","No"),IF(AW620="NR","NR",""))</f>
        <v/>
      </c>
      <c r="BJ620" s="9">
        <f>IF(BB620="","",IF(BB620="Non-viable","Non-viable",IF(BB620="Viable","Viable",IF(BB620="Partially non-viable",IF(OR(BD620="Total splenectomy",BD620="Partial splenectomy +/- splenopexy"),"Non-viable","Review"),IF(BB620="NR",IF(OR(BD620="Total splenectomy",BD620="Partial splenectomy +/- splenopexy"),"NR - removed, check reason","NR"),"Not applicable")))))</f>
        <v/>
      </c>
    </row>
    <row r="621">
      <c r="D621" s="8" t="n"/>
      <c r="E621" s="9">
        <f>IF(B621="","",IF(B621="OWN","Yes","No"))</f>
        <v/>
      </c>
      <c r="AF621" s="9">
        <f>IF(ISNUMBER(Z621),IF(Z621&lt;=2,"&lt;=2 d",IF(Z621&lt;=7,"3-7 d",IF(Z621&lt;=30,"8-30 d","&gt;30 d"))),IF(AE621&lt;&gt;"",AE621,IF(Z621="NR","NR","")))</f>
        <v/>
      </c>
      <c r="AX621" s="9">
        <f>IF(ISNUMBER(AW621),IF(AW621&gt;450,"Yes","No"),IF(AW621="NR","NR",""))</f>
        <v/>
      </c>
      <c r="BJ621" s="9">
        <f>IF(BB621="","",IF(BB621="Non-viable","Non-viable",IF(BB621="Viable","Viable",IF(BB621="Partially non-viable",IF(OR(BD621="Total splenectomy",BD621="Partial splenectomy +/- splenopexy"),"Non-viable","Review"),IF(BB621="NR",IF(OR(BD621="Total splenectomy",BD621="Partial splenectomy +/- splenopexy"),"NR - removed, check reason","NR"),"Not applicable")))))</f>
        <v/>
      </c>
    </row>
    <row r="622">
      <c r="D622" s="8" t="n"/>
      <c r="E622" s="9">
        <f>IF(B622="","",IF(B622="OWN","Yes","No"))</f>
        <v/>
      </c>
      <c r="AF622" s="9">
        <f>IF(ISNUMBER(Z622),IF(Z622&lt;=2,"&lt;=2 d",IF(Z622&lt;=7,"3-7 d",IF(Z622&lt;=30,"8-30 d","&gt;30 d"))),IF(AE622&lt;&gt;"",AE622,IF(Z622="NR","NR","")))</f>
        <v/>
      </c>
      <c r="AX622" s="9">
        <f>IF(ISNUMBER(AW622),IF(AW622&gt;450,"Yes","No"),IF(AW622="NR","NR",""))</f>
        <v/>
      </c>
      <c r="BJ622" s="9">
        <f>IF(BB622="","",IF(BB622="Non-viable","Non-viable",IF(BB622="Viable","Viable",IF(BB622="Partially non-viable",IF(OR(BD622="Total splenectomy",BD622="Partial splenectomy +/- splenopexy"),"Non-viable","Review"),IF(BB622="NR",IF(OR(BD622="Total splenectomy",BD622="Partial splenectomy +/- splenopexy"),"NR - removed, check reason","NR"),"Not applicable")))))</f>
        <v/>
      </c>
    </row>
    <row r="623">
      <c r="D623" s="8" t="n"/>
      <c r="E623" s="9">
        <f>IF(B623="","",IF(B623="OWN","Yes","No"))</f>
        <v/>
      </c>
      <c r="AF623" s="9">
        <f>IF(ISNUMBER(Z623),IF(Z623&lt;=2,"&lt;=2 d",IF(Z623&lt;=7,"3-7 d",IF(Z623&lt;=30,"8-30 d","&gt;30 d"))),IF(AE623&lt;&gt;"",AE623,IF(Z623="NR","NR","")))</f>
        <v/>
      </c>
      <c r="AX623" s="9">
        <f>IF(ISNUMBER(AW623),IF(AW623&gt;450,"Yes","No"),IF(AW623="NR","NR",""))</f>
        <v/>
      </c>
      <c r="BJ623" s="9">
        <f>IF(BB623="","",IF(BB623="Non-viable","Non-viable",IF(BB623="Viable","Viable",IF(BB623="Partially non-viable",IF(OR(BD623="Total splenectomy",BD623="Partial splenectomy +/- splenopexy"),"Non-viable","Review"),IF(BB623="NR",IF(OR(BD623="Total splenectomy",BD623="Partial splenectomy +/- splenopexy"),"NR - removed, check reason","NR"),"Not applicable")))))</f>
        <v/>
      </c>
    </row>
    <row r="624">
      <c r="D624" s="8" t="n"/>
      <c r="E624" s="9">
        <f>IF(B624="","",IF(B624="OWN","Yes","No"))</f>
        <v/>
      </c>
      <c r="AF624" s="9">
        <f>IF(ISNUMBER(Z624),IF(Z624&lt;=2,"&lt;=2 d",IF(Z624&lt;=7,"3-7 d",IF(Z624&lt;=30,"8-30 d","&gt;30 d"))),IF(AE624&lt;&gt;"",AE624,IF(Z624="NR","NR","")))</f>
        <v/>
      </c>
      <c r="AX624" s="9">
        <f>IF(ISNUMBER(AW624),IF(AW624&gt;450,"Yes","No"),IF(AW624="NR","NR",""))</f>
        <v/>
      </c>
      <c r="BJ624" s="9">
        <f>IF(BB624="","",IF(BB624="Non-viable","Non-viable",IF(BB624="Viable","Viable",IF(BB624="Partially non-viable",IF(OR(BD624="Total splenectomy",BD624="Partial splenectomy +/- splenopexy"),"Non-viable","Review"),IF(BB624="NR",IF(OR(BD624="Total splenectomy",BD624="Partial splenectomy +/- splenopexy"),"NR - removed, check reason","NR"),"Not applicable")))))</f>
        <v/>
      </c>
    </row>
    <row r="625">
      <c r="D625" s="8" t="n"/>
      <c r="E625" s="9">
        <f>IF(B625="","",IF(B625="OWN","Yes","No"))</f>
        <v/>
      </c>
      <c r="AF625" s="9">
        <f>IF(ISNUMBER(Z625),IF(Z625&lt;=2,"&lt;=2 d",IF(Z625&lt;=7,"3-7 d",IF(Z625&lt;=30,"8-30 d","&gt;30 d"))),IF(AE625&lt;&gt;"",AE625,IF(Z625="NR","NR","")))</f>
        <v/>
      </c>
      <c r="AX625" s="9">
        <f>IF(ISNUMBER(AW625),IF(AW625&gt;450,"Yes","No"),IF(AW625="NR","NR",""))</f>
        <v/>
      </c>
      <c r="BJ625" s="9">
        <f>IF(BB625="","",IF(BB625="Non-viable","Non-viable",IF(BB625="Viable","Viable",IF(BB625="Partially non-viable",IF(OR(BD625="Total splenectomy",BD625="Partial splenectomy +/- splenopexy"),"Non-viable","Review"),IF(BB625="NR",IF(OR(BD625="Total splenectomy",BD625="Partial splenectomy +/- splenopexy"),"NR - removed, check reason","NR"),"Not applicable")))))</f>
        <v/>
      </c>
    </row>
    <row r="626">
      <c r="D626" s="8" t="n"/>
      <c r="E626" s="9">
        <f>IF(B626="","",IF(B626="OWN","Yes","No"))</f>
        <v/>
      </c>
      <c r="AF626" s="9">
        <f>IF(ISNUMBER(Z626),IF(Z626&lt;=2,"&lt;=2 d",IF(Z626&lt;=7,"3-7 d",IF(Z626&lt;=30,"8-30 d","&gt;30 d"))),IF(AE626&lt;&gt;"",AE626,IF(Z626="NR","NR","")))</f>
        <v/>
      </c>
      <c r="AX626" s="9">
        <f>IF(ISNUMBER(AW626),IF(AW626&gt;450,"Yes","No"),IF(AW626="NR","NR",""))</f>
        <v/>
      </c>
      <c r="BJ626" s="9">
        <f>IF(BB626="","",IF(BB626="Non-viable","Non-viable",IF(BB626="Viable","Viable",IF(BB626="Partially non-viable",IF(OR(BD626="Total splenectomy",BD626="Partial splenectomy +/- splenopexy"),"Non-viable","Review"),IF(BB626="NR",IF(OR(BD626="Total splenectomy",BD626="Partial splenectomy +/- splenopexy"),"NR - removed, check reason","NR"),"Not applicable")))))</f>
        <v/>
      </c>
    </row>
    <row r="627">
      <c r="D627" s="8" t="n"/>
      <c r="E627" s="9">
        <f>IF(B627="","",IF(B627="OWN","Yes","No"))</f>
        <v/>
      </c>
      <c r="AF627" s="9">
        <f>IF(ISNUMBER(Z627),IF(Z627&lt;=2,"&lt;=2 d",IF(Z627&lt;=7,"3-7 d",IF(Z627&lt;=30,"8-30 d","&gt;30 d"))),IF(AE627&lt;&gt;"",AE627,IF(Z627="NR","NR","")))</f>
        <v/>
      </c>
      <c r="AX627" s="9">
        <f>IF(ISNUMBER(AW627),IF(AW627&gt;450,"Yes","No"),IF(AW627="NR","NR",""))</f>
        <v/>
      </c>
      <c r="BJ627" s="9">
        <f>IF(BB627="","",IF(BB627="Non-viable","Non-viable",IF(BB627="Viable","Viable",IF(BB627="Partially non-viable",IF(OR(BD627="Total splenectomy",BD627="Partial splenectomy +/- splenopexy"),"Non-viable","Review"),IF(BB627="NR",IF(OR(BD627="Total splenectomy",BD627="Partial splenectomy +/- splenopexy"),"NR - removed, check reason","NR"),"Not applicable")))))</f>
        <v/>
      </c>
    </row>
    <row r="628">
      <c r="D628" s="8" t="n"/>
      <c r="E628" s="9">
        <f>IF(B628="","",IF(B628="OWN","Yes","No"))</f>
        <v/>
      </c>
      <c r="AF628" s="9">
        <f>IF(ISNUMBER(Z628),IF(Z628&lt;=2,"&lt;=2 d",IF(Z628&lt;=7,"3-7 d",IF(Z628&lt;=30,"8-30 d","&gt;30 d"))),IF(AE628&lt;&gt;"",AE628,IF(Z628="NR","NR","")))</f>
        <v/>
      </c>
      <c r="AX628" s="9">
        <f>IF(ISNUMBER(AW628),IF(AW628&gt;450,"Yes","No"),IF(AW628="NR","NR",""))</f>
        <v/>
      </c>
      <c r="BJ628" s="9">
        <f>IF(BB628="","",IF(BB628="Non-viable","Non-viable",IF(BB628="Viable","Viable",IF(BB628="Partially non-viable",IF(OR(BD628="Total splenectomy",BD628="Partial splenectomy +/- splenopexy"),"Non-viable","Review"),IF(BB628="NR",IF(OR(BD628="Total splenectomy",BD628="Partial splenectomy +/- splenopexy"),"NR - removed, check reason","NR"),"Not applicable")))))</f>
        <v/>
      </c>
    </row>
    <row r="629">
      <c r="D629" s="8" t="n"/>
      <c r="E629" s="9">
        <f>IF(B629="","",IF(B629="OWN","Yes","No"))</f>
        <v/>
      </c>
      <c r="AF629" s="9">
        <f>IF(ISNUMBER(Z629),IF(Z629&lt;=2,"&lt;=2 d",IF(Z629&lt;=7,"3-7 d",IF(Z629&lt;=30,"8-30 d","&gt;30 d"))),IF(AE629&lt;&gt;"",AE629,IF(Z629="NR","NR","")))</f>
        <v/>
      </c>
      <c r="AX629" s="9">
        <f>IF(ISNUMBER(AW629),IF(AW629&gt;450,"Yes","No"),IF(AW629="NR","NR",""))</f>
        <v/>
      </c>
      <c r="BJ629" s="9">
        <f>IF(BB629="","",IF(BB629="Non-viable","Non-viable",IF(BB629="Viable","Viable",IF(BB629="Partially non-viable",IF(OR(BD629="Total splenectomy",BD629="Partial splenectomy +/- splenopexy"),"Non-viable","Review"),IF(BB629="NR",IF(OR(BD629="Total splenectomy",BD629="Partial splenectomy +/- splenopexy"),"NR - removed, check reason","NR"),"Not applicable")))))</f>
        <v/>
      </c>
    </row>
    <row r="630">
      <c r="D630" s="8" t="n"/>
      <c r="E630" s="9">
        <f>IF(B630="","",IF(B630="OWN","Yes","No"))</f>
        <v/>
      </c>
      <c r="AF630" s="9">
        <f>IF(ISNUMBER(Z630),IF(Z630&lt;=2,"&lt;=2 d",IF(Z630&lt;=7,"3-7 d",IF(Z630&lt;=30,"8-30 d","&gt;30 d"))),IF(AE630&lt;&gt;"",AE630,IF(Z630="NR","NR","")))</f>
        <v/>
      </c>
      <c r="AX630" s="9">
        <f>IF(ISNUMBER(AW630),IF(AW630&gt;450,"Yes","No"),IF(AW630="NR","NR",""))</f>
        <v/>
      </c>
      <c r="BJ630" s="9">
        <f>IF(BB630="","",IF(BB630="Non-viable","Non-viable",IF(BB630="Viable","Viable",IF(BB630="Partially non-viable",IF(OR(BD630="Total splenectomy",BD630="Partial splenectomy +/- splenopexy"),"Non-viable","Review"),IF(BB630="NR",IF(OR(BD630="Total splenectomy",BD630="Partial splenectomy +/- splenopexy"),"NR - removed, check reason","NR"),"Not applicable")))))</f>
        <v/>
      </c>
    </row>
    <row r="631">
      <c r="D631" s="8" t="n"/>
      <c r="E631" s="9">
        <f>IF(B631="","",IF(B631="OWN","Yes","No"))</f>
        <v/>
      </c>
      <c r="AF631" s="9">
        <f>IF(ISNUMBER(Z631),IF(Z631&lt;=2,"&lt;=2 d",IF(Z631&lt;=7,"3-7 d",IF(Z631&lt;=30,"8-30 d","&gt;30 d"))),IF(AE631&lt;&gt;"",AE631,IF(Z631="NR","NR","")))</f>
        <v/>
      </c>
      <c r="AX631" s="9">
        <f>IF(ISNUMBER(AW631),IF(AW631&gt;450,"Yes","No"),IF(AW631="NR","NR",""))</f>
        <v/>
      </c>
      <c r="BJ631" s="9">
        <f>IF(BB631="","",IF(BB631="Non-viable","Non-viable",IF(BB631="Viable","Viable",IF(BB631="Partially non-viable",IF(OR(BD631="Total splenectomy",BD631="Partial splenectomy +/- splenopexy"),"Non-viable","Review"),IF(BB631="NR",IF(OR(BD631="Total splenectomy",BD631="Partial splenectomy +/- splenopexy"),"NR - removed, check reason","NR"),"Not applicable")))))</f>
        <v/>
      </c>
    </row>
    <row r="632">
      <c r="D632" s="8" t="n"/>
      <c r="E632" s="9">
        <f>IF(B632="","",IF(B632="OWN","Yes","No"))</f>
        <v/>
      </c>
      <c r="AF632" s="9">
        <f>IF(ISNUMBER(Z632),IF(Z632&lt;=2,"&lt;=2 d",IF(Z632&lt;=7,"3-7 d",IF(Z632&lt;=30,"8-30 d","&gt;30 d"))),IF(AE632&lt;&gt;"",AE632,IF(Z632="NR","NR","")))</f>
        <v/>
      </c>
      <c r="AX632" s="9">
        <f>IF(ISNUMBER(AW632),IF(AW632&gt;450,"Yes","No"),IF(AW632="NR","NR",""))</f>
        <v/>
      </c>
      <c r="BJ632" s="9">
        <f>IF(BB632="","",IF(BB632="Non-viable","Non-viable",IF(BB632="Viable","Viable",IF(BB632="Partially non-viable",IF(OR(BD632="Total splenectomy",BD632="Partial splenectomy +/- splenopexy"),"Non-viable","Review"),IF(BB632="NR",IF(OR(BD632="Total splenectomy",BD632="Partial splenectomy +/- splenopexy"),"NR - removed, check reason","NR"),"Not applicable")))))</f>
        <v/>
      </c>
    </row>
    <row r="633">
      <c r="D633" s="8" t="n"/>
      <c r="E633" s="9">
        <f>IF(B633="","",IF(B633="OWN","Yes","No"))</f>
        <v/>
      </c>
      <c r="AF633" s="9">
        <f>IF(ISNUMBER(Z633),IF(Z633&lt;=2,"&lt;=2 d",IF(Z633&lt;=7,"3-7 d",IF(Z633&lt;=30,"8-30 d","&gt;30 d"))),IF(AE633&lt;&gt;"",AE633,IF(Z633="NR","NR","")))</f>
        <v/>
      </c>
      <c r="AX633" s="9">
        <f>IF(ISNUMBER(AW633),IF(AW633&gt;450,"Yes","No"),IF(AW633="NR","NR",""))</f>
        <v/>
      </c>
      <c r="BJ633" s="9">
        <f>IF(BB633="","",IF(BB633="Non-viable","Non-viable",IF(BB633="Viable","Viable",IF(BB633="Partially non-viable",IF(OR(BD633="Total splenectomy",BD633="Partial splenectomy +/- splenopexy"),"Non-viable","Review"),IF(BB633="NR",IF(OR(BD633="Total splenectomy",BD633="Partial splenectomy +/- splenopexy"),"NR - removed, check reason","NR"),"Not applicable")))))</f>
        <v/>
      </c>
    </row>
    <row r="634">
      <c r="D634" s="8" t="n"/>
      <c r="E634" s="9">
        <f>IF(B634="","",IF(B634="OWN","Yes","No"))</f>
        <v/>
      </c>
      <c r="AF634" s="9">
        <f>IF(ISNUMBER(Z634),IF(Z634&lt;=2,"&lt;=2 d",IF(Z634&lt;=7,"3-7 d",IF(Z634&lt;=30,"8-30 d","&gt;30 d"))),IF(AE634&lt;&gt;"",AE634,IF(Z634="NR","NR","")))</f>
        <v/>
      </c>
      <c r="AX634" s="9">
        <f>IF(ISNUMBER(AW634),IF(AW634&gt;450,"Yes","No"),IF(AW634="NR","NR",""))</f>
        <v/>
      </c>
      <c r="BJ634" s="9">
        <f>IF(BB634="","",IF(BB634="Non-viable","Non-viable",IF(BB634="Viable","Viable",IF(BB634="Partially non-viable",IF(OR(BD634="Total splenectomy",BD634="Partial splenectomy +/- splenopexy"),"Non-viable","Review"),IF(BB634="NR",IF(OR(BD634="Total splenectomy",BD634="Partial splenectomy +/- splenopexy"),"NR - removed, check reason","NR"),"Not applicable")))))</f>
        <v/>
      </c>
    </row>
    <row r="635">
      <c r="D635" s="8" t="n"/>
      <c r="E635" s="9">
        <f>IF(B635="","",IF(B635="OWN","Yes","No"))</f>
        <v/>
      </c>
      <c r="AF635" s="9">
        <f>IF(ISNUMBER(Z635),IF(Z635&lt;=2,"&lt;=2 d",IF(Z635&lt;=7,"3-7 d",IF(Z635&lt;=30,"8-30 d","&gt;30 d"))),IF(AE635&lt;&gt;"",AE635,IF(Z635="NR","NR","")))</f>
        <v/>
      </c>
      <c r="AX635" s="9">
        <f>IF(ISNUMBER(AW635),IF(AW635&gt;450,"Yes","No"),IF(AW635="NR","NR",""))</f>
        <v/>
      </c>
      <c r="BJ635" s="9">
        <f>IF(BB635="","",IF(BB635="Non-viable","Non-viable",IF(BB635="Viable","Viable",IF(BB635="Partially non-viable",IF(OR(BD635="Total splenectomy",BD635="Partial splenectomy +/- splenopexy"),"Non-viable","Review"),IF(BB635="NR",IF(OR(BD635="Total splenectomy",BD635="Partial splenectomy +/- splenopexy"),"NR - removed, check reason","NR"),"Not applicable")))))</f>
        <v/>
      </c>
    </row>
    <row r="636">
      <c r="D636" s="8" t="n"/>
      <c r="E636" s="9">
        <f>IF(B636="","",IF(B636="OWN","Yes","No"))</f>
        <v/>
      </c>
      <c r="AF636" s="9">
        <f>IF(ISNUMBER(Z636),IF(Z636&lt;=2,"&lt;=2 d",IF(Z636&lt;=7,"3-7 d",IF(Z636&lt;=30,"8-30 d","&gt;30 d"))),IF(AE636&lt;&gt;"",AE636,IF(Z636="NR","NR","")))</f>
        <v/>
      </c>
      <c r="AX636" s="9">
        <f>IF(ISNUMBER(AW636),IF(AW636&gt;450,"Yes","No"),IF(AW636="NR","NR",""))</f>
        <v/>
      </c>
      <c r="BJ636" s="9">
        <f>IF(BB636="","",IF(BB636="Non-viable","Non-viable",IF(BB636="Viable","Viable",IF(BB636="Partially non-viable",IF(OR(BD636="Total splenectomy",BD636="Partial splenectomy +/- splenopexy"),"Non-viable","Review"),IF(BB636="NR",IF(OR(BD636="Total splenectomy",BD636="Partial splenectomy +/- splenopexy"),"NR - removed, check reason","NR"),"Not applicable")))))</f>
        <v/>
      </c>
    </row>
    <row r="637">
      <c r="D637" s="8" t="n"/>
      <c r="E637" s="9">
        <f>IF(B637="","",IF(B637="OWN","Yes","No"))</f>
        <v/>
      </c>
      <c r="AF637" s="9">
        <f>IF(ISNUMBER(Z637),IF(Z637&lt;=2,"&lt;=2 d",IF(Z637&lt;=7,"3-7 d",IF(Z637&lt;=30,"8-30 d","&gt;30 d"))),IF(AE637&lt;&gt;"",AE637,IF(Z637="NR","NR","")))</f>
        <v/>
      </c>
      <c r="AX637" s="9">
        <f>IF(ISNUMBER(AW637),IF(AW637&gt;450,"Yes","No"),IF(AW637="NR","NR",""))</f>
        <v/>
      </c>
      <c r="BJ637" s="9">
        <f>IF(BB637="","",IF(BB637="Non-viable","Non-viable",IF(BB637="Viable","Viable",IF(BB637="Partially non-viable",IF(OR(BD637="Total splenectomy",BD637="Partial splenectomy +/- splenopexy"),"Non-viable","Review"),IF(BB637="NR",IF(OR(BD637="Total splenectomy",BD637="Partial splenectomy +/- splenopexy"),"NR - removed, check reason","NR"),"Not applicable")))))</f>
        <v/>
      </c>
    </row>
    <row r="638">
      <c r="D638" s="8" t="n"/>
      <c r="E638" s="9">
        <f>IF(B638="","",IF(B638="OWN","Yes","No"))</f>
        <v/>
      </c>
      <c r="AF638" s="9">
        <f>IF(ISNUMBER(Z638),IF(Z638&lt;=2,"&lt;=2 d",IF(Z638&lt;=7,"3-7 d",IF(Z638&lt;=30,"8-30 d","&gt;30 d"))),IF(AE638&lt;&gt;"",AE638,IF(Z638="NR","NR","")))</f>
        <v/>
      </c>
      <c r="AX638" s="9">
        <f>IF(ISNUMBER(AW638),IF(AW638&gt;450,"Yes","No"),IF(AW638="NR","NR",""))</f>
        <v/>
      </c>
      <c r="BJ638" s="9">
        <f>IF(BB638="","",IF(BB638="Non-viable","Non-viable",IF(BB638="Viable","Viable",IF(BB638="Partially non-viable",IF(OR(BD638="Total splenectomy",BD638="Partial splenectomy +/- splenopexy"),"Non-viable","Review"),IF(BB638="NR",IF(OR(BD638="Total splenectomy",BD638="Partial splenectomy +/- splenopexy"),"NR - removed, check reason","NR"),"Not applicable")))))</f>
        <v/>
      </c>
    </row>
    <row r="639">
      <c r="D639" s="8" t="n"/>
      <c r="E639" s="9">
        <f>IF(B639="","",IF(B639="OWN","Yes","No"))</f>
        <v/>
      </c>
      <c r="AF639" s="9">
        <f>IF(ISNUMBER(Z639),IF(Z639&lt;=2,"&lt;=2 d",IF(Z639&lt;=7,"3-7 d",IF(Z639&lt;=30,"8-30 d","&gt;30 d"))),IF(AE639&lt;&gt;"",AE639,IF(Z639="NR","NR","")))</f>
        <v/>
      </c>
      <c r="AX639" s="9">
        <f>IF(ISNUMBER(AW639),IF(AW639&gt;450,"Yes","No"),IF(AW639="NR","NR",""))</f>
        <v/>
      </c>
      <c r="BJ639" s="9">
        <f>IF(BB639="","",IF(BB639="Non-viable","Non-viable",IF(BB639="Viable","Viable",IF(BB639="Partially non-viable",IF(OR(BD639="Total splenectomy",BD639="Partial splenectomy +/- splenopexy"),"Non-viable","Review"),IF(BB639="NR",IF(OR(BD639="Total splenectomy",BD639="Partial splenectomy +/- splenopexy"),"NR - removed, check reason","NR"),"Not applicable")))))</f>
        <v/>
      </c>
    </row>
    <row r="640">
      <c r="D640" s="8" t="n"/>
      <c r="E640" s="9">
        <f>IF(B640="","",IF(B640="OWN","Yes","No"))</f>
        <v/>
      </c>
      <c r="AF640" s="9">
        <f>IF(ISNUMBER(Z640),IF(Z640&lt;=2,"&lt;=2 d",IF(Z640&lt;=7,"3-7 d",IF(Z640&lt;=30,"8-30 d","&gt;30 d"))),IF(AE640&lt;&gt;"",AE640,IF(Z640="NR","NR","")))</f>
        <v/>
      </c>
      <c r="AX640" s="9">
        <f>IF(ISNUMBER(AW640),IF(AW640&gt;450,"Yes","No"),IF(AW640="NR","NR",""))</f>
        <v/>
      </c>
      <c r="BJ640" s="9">
        <f>IF(BB640="","",IF(BB640="Non-viable","Non-viable",IF(BB640="Viable","Viable",IF(BB640="Partially non-viable",IF(OR(BD640="Total splenectomy",BD640="Partial splenectomy +/- splenopexy"),"Non-viable","Review"),IF(BB640="NR",IF(OR(BD640="Total splenectomy",BD640="Partial splenectomy +/- splenopexy"),"NR - removed, check reason","NR"),"Not applicable")))))</f>
        <v/>
      </c>
    </row>
    <row r="641">
      <c r="D641" s="8" t="n"/>
      <c r="E641" s="9">
        <f>IF(B641="","",IF(B641="OWN","Yes","No"))</f>
        <v/>
      </c>
      <c r="AF641" s="9">
        <f>IF(ISNUMBER(Z641),IF(Z641&lt;=2,"&lt;=2 d",IF(Z641&lt;=7,"3-7 d",IF(Z641&lt;=30,"8-30 d","&gt;30 d"))),IF(AE641&lt;&gt;"",AE641,IF(Z641="NR","NR","")))</f>
        <v/>
      </c>
      <c r="AX641" s="9">
        <f>IF(ISNUMBER(AW641),IF(AW641&gt;450,"Yes","No"),IF(AW641="NR","NR",""))</f>
        <v/>
      </c>
      <c r="BJ641" s="9">
        <f>IF(BB641="","",IF(BB641="Non-viable","Non-viable",IF(BB641="Viable","Viable",IF(BB641="Partially non-viable",IF(OR(BD641="Total splenectomy",BD641="Partial splenectomy +/- splenopexy"),"Non-viable","Review"),IF(BB641="NR",IF(OR(BD641="Total splenectomy",BD641="Partial splenectomy +/- splenopexy"),"NR - removed, check reason","NR"),"Not applicable")))))</f>
        <v/>
      </c>
    </row>
    <row r="642">
      <c r="D642" s="8" t="n"/>
      <c r="E642" s="9">
        <f>IF(B642="","",IF(B642="OWN","Yes","No"))</f>
        <v/>
      </c>
      <c r="AF642" s="9">
        <f>IF(ISNUMBER(Z642),IF(Z642&lt;=2,"&lt;=2 d",IF(Z642&lt;=7,"3-7 d",IF(Z642&lt;=30,"8-30 d","&gt;30 d"))),IF(AE642&lt;&gt;"",AE642,IF(Z642="NR","NR","")))</f>
        <v/>
      </c>
      <c r="AX642" s="9">
        <f>IF(ISNUMBER(AW642),IF(AW642&gt;450,"Yes","No"),IF(AW642="NR","NR",""))</f>
        <v/>
      </c>
      <c r="BJ642" s="9">
        <f>IF(BB642="","",IF(BB642="Non-viable","Non-viable",IF(BB642="Viable","Viable",IF(BB642="Partially non-viable",IF(OR(BD642="Total splenectomy",BD642="Partial splenectomy +/- splenopexy"),"Non-viable","Review"),IF(BB642="NR",IF(OR(BD642="Total splenectomy",BD642="Partial splenectomy +/- splenopexy"),"NR - removed, check reason","NR"),"Not applicable")))))</f>
        <v/>
      </c>
    </row>
    <row r="643">
      <c r="D643" s="8" t="n"/>
      <c r="E643" s="9">
        <f>IF(B643="","",IF(B643="OWN","Yes","No"))</f>
        <v/>
      </c>
      <c r="AF643" s="9">
        <f>IF(ISNUMBER(Z643),IF(Z643&lt;=2,"&lt;=2 d",IF(Z643&lt;=7,"3-7 d",IF(Z643&lt;=30,"8-30 d","&gt;30 d"))),IF(AE643&lt;&gt;"",AE643,IF(Z643="NR","NR","")))</f>
        <v/>
      </c>
      <c r="AX643" s="9">
        <f>IF(ISNUMBER(AW643),IF(AW643&gt;450,"Yes","No"),IF(AW643="NR","NR",""))</f>
        <v/>
      </c>
      <c r="BJ643" s="9">
        <f>IF(BB643="","",IF(BB643="Non-viable","Non-viable",IF(BB643="Viable","Viable",IF(BB643="Partially non-viable",IF(OR(BD643="Total splenectomy",BD643="Partial splenectomy +/- splenopexy"),"Non-viable","Review"),IF(BB643="NR",IF(OR(BD643="Total splenectomy",BD643="Partial splenectomy +/- splenopexy"),"NR - removed, check reason","NR"),"Not applicable")))))</f>
        <v/>
      </c>
    </row>
    <row r="644">
      <c r="D644" s="8" t="n"/>
      <c r="E644" s="9">
        <f>IF(B644="","",IF(B644="OWN","Yes","No"))</f>
        <v/>
      </c>
      <c r="AF644" s="9">
        <f>IF(ISNUMBER(Z644),IF(Z644&lt;=2,"&lt;=2 d",IF(Z644&lt;=7,"3-7 d",IF(Z644&lt;=30,"8-30 d","&gt;30 d"))),IF(AE644&lt;&gt;"",AE644,IF(Z644="NR","NR","")))</f>
        <v/>
      </c>
      <c r="AX644" s="9">
        <f>IF(ISNUMBER(AW644),IF(AW644&gt;450,"Yes","No"),IF(AW644="NR","NR",""))</f>
        <v/>
      </c>
      <c r="BJ644" s="9">
        <f>IF(BB644="","",IF(BB644="Non-viable","Non-viable",IF(BB644="Viable","Viable",IF(BB644="Partially non-viable",IF(OR(BD644="Total splenectomy",BD644="Partial splenectomy +/- splenopexy"),"Non-viable","Review"),IF(BB644="NR",IF(OR(BD644="Total splenectomy",BD644="Partial splenectomy +/- splenopexy"),"NR - removed, check reason","NR"),"Not applicable")))))</f>
        <v/>
      </c>
    </row>
    <row r="645">
      <c r="D645" s="8" t="n"/>
      <c r="E645" s="9">
        <f>IF(B645="","",IF(B645="OWN","Yes","No"))</f>
        <v/>
      </c>
      <c r="AF645" s="9">
        <f>IF(ISNUMBER(Z645),IF(Z645&lt;=2,"&lt;=2 d",IF(Z645&lt;=7,"3-7 d",IF(Z645&lt;=30,"8-30 d","&gt;30 d"))),IF(AE645&lt;&gt;"",AE645,IF(Z645="NR","NR","")))</f>
        <v/>
      </c>
      <c r="AX645" s="9">
        <f>IF(ISNUMBER(AW645),IF(AW645&gt;450,"Yes","No"),IF(AW645="NR","NR",""))</f>
        <v/>
      </c>
      <c r="BJ645" s="9">
        <f>IF(BB645="","",IF(BB645="Non-viable","Non-viable",IF(BB645="Viable","Viable",IF(BB645="Partially non-viable",IF(OR(BD645="Total splenectomy",BD645="Partial splenectomy +/- splenopexy"),"Non-viable","Review"),IF(BB645="NR",IF(OR(BD645="Total splenectomy",BD645="Partial splenectomy +/- splenopexy"),"NR - removed, check reason","NR"),"Not applicable")))))</f>
        <v/>
      </c>
    </row>
    <row r="646">
      <c r="D646" s="8" t="n"/>
      <c r="E646" s="9">
        <f>IF(B646="","",IF(B646="OWN","Yes","No"))</f>
        <v/>
      </c>
      <c r="AF646" s="9">
        <f>IF(ISNUMBER(Z646),IF(Z646&lt;=2,"&lt;=2 d",IF(Z646&lt;=7,"3-7 d",IF(Z646&lt;=30,"8-30 d","&gt;30 d"))),IF(AE646&lt;&gt;"",AE646,IF(Z646="NR","NR","")))</f>
        <v/>
      </c>
      <c r="AX646" s="9">
        <f>IF(ISNUMBER(AW646),IF(AW646&gt;450,"Yes","No"),IF(AW646="NR","NR",""))</f>
        <v/>
      </c>
      <c r="BJ646" s="9">
        <f>IF(BB646="","",IF(BB646="Non-viable","Non-viable",IF(BB646="Viable","Viable",IF(BB646="Partially non-viable",IF(OR(BD646="Total splenectomy",BD646="Partial splenectomy +/- splenopexy"),"Non-viable","Review"),IF(BB646="NR",IF(OR(BD646="Total splenectomy",BD646="Partial splenectomy +/- splenopexy"),"NR - removed, check reason","NR"),"Not applicable")))))</f>
        <v/>
      </c>
    </row>
    <row r="647">
      <c r="D647" s="8" t="n"/>
      <c r="E647" s="9">
        <f>IF(B647="","",IF(B647="OWN","Yes","No"))</f>
        <v/>
      </c>
      <c r="AF647" s="9">
        <f>IF(ISNUMBER(Z647),IF(Z647&lt;=2,"&lt;=2 d",IF(Z647&lt;=7,"3-7 d",IF(Z647&lt;=30,"8-30 d","&gt;30 d"))),IF(AE647&lt;&gt;"",AE647,IF(Z647="NR","NR","")))</f>
        <v/>
      </c>
      <c r="AX647" s="9">
        <f>IF(ISNUMBER(AW647),IF(AW647&gt;450,"Yes","No"),IF(AW647="NR","NR",""))</f>
        <v/>
      </c>
      <c r="BJ647" s="9">
        <f>IF(BB647="","",IF(BB647="Non-viable","Non-viable",IF(BB647="Viable","Viable",IF(BB647="Partially non-viable",IF(OR(BD647="Total splenectomy",BD647="Partial splenectomy +/- splenopexy"),"Non-viable","Review"),IF(BB647="NR",IF(OR(BD647="Total splenectomy",BD647="Partial splenectomy +/- splenopexy"),"NR - removed, check reason","NR"),"Not applicable")))))</f>
        <v/>
      </c>
    </row>
    <row r="648">
      <c r="D648" s="8" t="n"/>
      <c r="E648" s="9">
        <f>IF(B648="","",IF(B648="OWN","Yes","No"))</f>
        <v/>
      </c>
      <c r="AF648" s="9">
        <f>IF(ISNUMBER(Z648),IF(Z648&lt;=2,"&lt;=2 d",IF(Z648&lt;=7,"3-7 d",IF(Z648&lt;=30,"8-30 d","&gt;30 d"))),IF(AE648&lt;&gt;"",AE648,IF(Z648="NR","NR","")))</f>
        <v/>
      </c>
      <c r="AX648" s="9">
        <f>IF(ISNUMBER(AW648),IF(AW648&gt;450,"Yes","No"),IF(AW648="NR","NR",""))</f>
        <v/>
      </c>
      <c r="BJ648" s="9">
        <f>IF(BB648="","",IF(BB648="Non-viable","Non-viable",IF(BB648="Viable","Viable",IF(BB648="Partially non-viable",IF(OR(BD648="Total splenectomy",BD648="Partial splenectomy +/- splenopexy"),"Non-viable","Review"),IF(BB648="NR",IF(OR(BD648="Total splenectomy",BD648="Partial splenectomy +/- splenopexy"),"NR - removed, check reason","NR"),"Not applicable")))))</f>
        <v/>
      </c>
    </row>
    <row r="649">
      <c r="D649" s="8" t="n"/>
      <c r="E649" s="9">
        <f>IF(B649="","",IF(B649="OWN","Yes","No"))</f>
        <v/>
      </c>
      <c r="AF649" s="9">
        <f>IF(ISNUMBER(Z649),IF(Z649&lt;=2,"&lt;=2 d",IF(Z649&lt;=7,"3-7 d",IF(Z649&lt;=30,"8-30 d","&gt;30 d"))),IF(AE649&lt;&gt;"",AE649,IF(Z649="NR","NR","")))</f>
        <v/>
      </c>
      <c r="AX649" s="9">
        <f>IF(ISNUMBER(AW649),IF(AW649&gt;450,"Yes","No"),IF(AW649="NR","NR",""))</f>
        <v/>
      </c>
      <c r="BJ649" s="9">
        <f>IF(BB649="","",IF(BB649="Non-viable","Non-viable",IF(BB649="Viable","Viable",IF(BB649="Partially non-viable",IF(OR(BD649="Total splenectomy",BD649="Partial splenectomy +/- splenopexy"),"Non-viable","Review"),IF(BB649="NR",IF(OR(BD649="Total splenectomy",BD649="Partial splenectomy +/- splenopexy"),"NR - removed, check reason","NR"),"Not applicable")))))</f>
        <v/>
      </c>
    </row>
    <row r="650">
      <c r="D650" s="8" t="n"/>
      <c r="E650" s="9">
        <f>IF(B650="","",IF(B650="OWN","Yes","No"))</f>
        <v/>
      </c>
      <c r="AF650" s="9">
        <f>IF(ISNUMBER(Z650),IF(Z650&lt;=2,"&lt;=2 d",IF(Z650&lt;=7,"3-7 d",IF(Z650&lt;=30,"8-30 d","&gt;30 d"))),IF(AE650&lt;&gt;"",AE650,IF(Z650="NR","NR","")))</f>
        <v/>
      </c>
      <c r="AX650" s="9">
        <f>IF(ISNUMBER(AW650),IF(AW650&gt;450,"Yes","No"),IF(AW650="NR","NR",""))</f>
        <v/>
      </c>
      <c r="BJ650" s="9">
        <f>IF(BB650="","",IF(BB650="Non-viable","Non-viable",IF(BB650="Viable","Viable",IF(BB650="Partially non-viable",IF(OR(BD650="Total splenectomy",BD650="Partial splenectomy +/- splenopexy"),"Non-viable","Review"),IF(BB650="NR",IF(OR(BD650="Total splenectomy",BD650="Partial splenectomy +/- splenopexy"),"NR - removed, check reason","NR"),"Not applicable")))))</f>
        <v/>
      </c>
    </row>
    <row r="651">
      <c r="D651" s="8" t="n"/>
      <c r="E651" s="9">
        <f>IF(B651="","",IF(B651="OWN","Yes","No"))</f>
        <v/>
      </c>
      <c r="AF651" s="9">
        <f>IF(ISNUMBER(Z651),IF(Z651&lt;=2,"&lt;=2 d",IF(Z651&lt;=7,"3-7 d",IF(Z651&lt;=30,"8-30 d","&gt;30 d"))),IF(AE651&lt;&gt;"",AE651,IF(Z651="NR","NR","")))</f>
        <v/>
      </c>
      <c r="AX651" s="9">
        <f>IF(ISNUMBER(AW651),IF(AW651&gt;450,"Yes","No"),IF(AW651="NR","NR",""))</f>
        <v/>
      </c>
      <c r="BJ651" s="9">
        <f>IF(BB651="","",IF(BB651="Non-viable","Non-viable",IF(BB651="Viable","Viable",IF(BB651="Partially non-viable",IF(OR(BD651="Total splenectomy",BD651="Partial splenectomy +/- splenopexy"),"Non-viable","Review"),IF(BB651="NR",IF(OR(BD651="Total splenectomy",BD651="Partial splenectomy +/- splenopexy"),"NR - removed, check reason","NR"),"Not applicable")))))</f>
        <v/>
      </c>
    </row>
    <row r="652">
      <c r="D652" s="8" t="n"/>
      <c r="E652" s="9">
        <f>IF(B652="","",IF(B652="OWN","Yes","No"))</f>
        <v/>
      </c>
      <c r="AF652" s="9">
        <f>IF(ISNUMBER(Z652),IF(Z652&lt;=2,"&lt;=2 d",IF(Z652&lt;=7,"3-7 d",IF(Z652&lt;=30,"8-30 d","&gt;30 d"))),IF(AE652&lt;&gt;"",AE652,IF(Z652="NR","NR","")))</f>
        <v/>
      </c>
      <c r="AX652" s="9">
        <f>IF(ISNUMBER(AW652),IF(AW652&gt;450,"Yes","No"),IF(AW652="NR","NR",""))</f>
        <v/>
      </c>
      <c r="BJ652" s="9">
        <f>IF(BB652="","",IF(BB652="Non-viable","Non-viable",IF(BB652="Viable","Viable",IF(BB652="Partially non-viable",IF(OR(BD652="Total splenectomy",BD652="Partial splenectomy +/- splenopexy"),"Non-viable","Review"),IF(BB652="NR",IF(OR(BD652="Total splenectomy",BD652="Partial splenectomy +/- splenopexy"),"NR - removed, check reason","NR"),"Not applicable")))))</f>
        <v/>
      </c>
    </row>
    <row r="653">
      <c r="D653" s="8" t="n"/>
      <c r="E653" s="9">
        <f>IF(B653="","",IF(B653="OWN","Yes","No"))</f>
        <v/>
      </c>
      <c r="AF653" s="9">
        <f>IF(ISNUMBER(Z653),IF(Z653&lt;=2,"&lt;=2 d",IF(Z653&lt;=7,"3-7 d",IF(Z653&lt;=30,"8-30 d","&gt;30 d"))),IF(AE653&lt;&gt;"",AE653,IF(Z653="NR","NR","")))</f>
        <v/>
      </c>
      <c r="AX653" s="9">
        <f>IF(ISNUMBER(AW653),IF(AW653&gt;450,"Yes","No"),IF(AW653="NR","NR",""))</f>
        <v/>
      </c>
      <c r="BJ653" s="9">
        <f>IF(BB653="","",IF(BB653="Non-viable","Non-viable",IF(BB653="Viable","Viable",IF(BB653="Partially non-viable",IF(OR(BD653="Total splenectomy",BD653="Partial splenectomy +/- splenopexy"),"Non-viable","Review"),IF(BB653="NR",IF(OR(BD653="Total splenectomy",BD653="Partial splenectomy +/- splenopexy"),"NR - removed, check reason","NR"),"Not applicable")))))</f>
        <v/>
      </c>
    </row>
    <row r="654">
      <c r="D654" s="8" t="n"/>
      <c r="E654" s="9">
        <f>IF(B654="","",IF(B654="OWN","Yes","No"))</f>
        <v/>
      </c>
      <c r="AF654" s="9">
        <f>IF(ISNUMBER(Z654),IF(Z654&lt;=2,"&lt;=2 d",IF(Z654&lt;=7,"3-7 d",IF(Z654&lt;=30,"8-30 d","&gt;30 d"))),IF(AE654&lt;&gt;"",AE654,IF(Z654="NR","NR","")))</f>
        <v/>
      </c>
      <c r="AX654" s="9">
        <f>IF(ISNUMBER(AW654),IF(AW654&gt;450,"Yes","No"),IF(AW654="NR","NR",""))</f>
        <v/>
      </c>
      <c r="BJ654" s="9">
        <f>IF(BB654="","",IF(BB654="Non-viable","Non-viable",IF(BB654="Viable","Viable",IF(BB654="Partially non-viable",IF(OR(BD654="Total splenectomy",BD654="Partial splenectomy +/- splenopexy"),"Non-viable","Review"),IF(BB654="NR",IF(OR(BD654="Total splenectomy",BD654="Partial splenectomy +/- splenopexy"),"NR - removed, check reason","NR"),"Not applicable")))))</f>
        <v/>
      </c>
    </row>
    <row r="655">
      <c r="D655" s="8" t="n"/>
      <c r="E655" s="9">
        <f>IF(B655="","",IF(B655="OWN","Yes","No"))</f>
        <v/>
      </c>
      <c r="AF655" s="9">
        <f>IF(ISNUMBER(Z655),IF(Z655&lt;=2,"&lt;=2 d",IF(Z655&lt;=7,"3-7 d",IF(Z655&lt;=30,"8-30 d","&gt;30 d"))),IF(AE655&lt;&gt;"",AE655,IF(Z655="NR","NR","")))</f>
        <v/>
      </c>
      <c r="AX655" s="9">
        <f>IF(ISNUMBER(AW655),IF(AW655&gt;450,"Yes","No"),IF(AW655="NR","NR",""))</f>
        <v/>
      </c>
      <c r="BJ655" s="9">
        <f>IF(BB655="","",IF(BB655="Non-viable","Non-viable",IF(BB655="Viable","Viable",IF(BB655="Partially non-viable",IF(OR(BD655="Total splenectomy",BD655="Partial splenectomy +/- splenopexy"),"Non-viable","Review"),IF(BB655="NR",IF(OR(BD655="Total splenectomy",BD655="Partial splenectomy +/- splenopexy"),"NR - removed, check reason","NR"),"Not applicable")))))</f>
        <v/>
      </c>
    </row>
    <row r="656">
      <c r="D656" s="8" t="n"/>
      <c r="E656" s="9">
        <f>IF(B656="","",IF(B656="OWN","Yes","No"))</f>
        <v/>
      </c>
      <c r="AF656" s="9">
        <f>IF(ISNUMBER(Z656),IF(Z656&lt;=2,"&lt;=2 d",IF(Z656&lt;=7,"3-7 d",IF(Z656&lt;=30,"8-30 d","&gt;30 d"))),IF(AE656&lt;&gt;"",AE656,IF(Z656="NR","NR","")))</f>
        <v/>
      </c>
      <c r="AX656" s="9">
        <f>IF(ISNUMBER(AW656),IF(AW656&gt;450,"Yes","No"),IF(AW656="NR","NR",""))</f>
        <v/>
      </c>
      <c r="BJ656" s="9">
        <f>IF(BB656="","",IF(BB656="Non-viable","Non-viable",IF(BB656="Viable","Viable",IF(BB656="Partially non-viable",IF(OR(BD656="Total splenectomy",BD656="Partial splenectomy +/- splenopexy"),"Non-viable","Review"),IF(BB656="NR",IF(OR(BD656="Total splenectomy",BD656="Partial splenectomy +/- splenopexy"),"NR - removed, check reason","NR"),"Not applicable")))))</f>
        <v/>
      </c>
    </row>
    <row r="657">
      <c r="D657" s="8" t="n"/>
      <c r="E657" s="9">
        <f>IF(B657="","",IF(B657="OWN","Yes","No"))</f>
        <v/>
      </c>
      <c r="AF657" s="9">
        <f>IF(ISNUMBER(Z657),IF(Z657&lt;=2,"&lt;=2 d",IF(Z657&lt;=7,"3-7 d",IF(Z657&lt;=30,"8-30 d","&gt;30 d"))),IF(AE657&lt;&gt;"",AE657,IF(Z657="NR","NR","")))</f>
        <v/>
      </c>
      <c r="AX657" s="9">
        <f>IF(ISNUMBER(AW657),IF(AW657&gt;450,"Yes","No"),IF(AW657="NR","NR",""))</f>
        <v/>
      </c>
      <c r="BJ657" s="9">
        <f>IF(BB657="","",IF(BB657="Non-viable","Non-viable",IF(BB657="Viable","Viable",IF(BB657="Partially non-viable",IF(OR(BD657="Total splenectomy",BD657="Partial splenectomy +/- splenopexy"),"Non-viable","Review"),IF(BB657="NR",IF(OR(BD657="Total splenectomy",BD657="Partial splenectomy +/- splenopexy"),"NR - removed, check reason","NR"),"Not applicable")))))</f>
        <v/>
      </c>
    </row>
    <row r="658">
      <c r="D658" s="8" t="n"/>
      <c r="E658" s="9">
        <f>IF(B658="","",IF(B658="OWN","Yes","No"))</f>
        <v/>
      </c>
      <c r="AF658" s="9">
        <f>IF(ISNUMBER(Z658),IF(Z658&lt;=2,"&lt;=2 d",IF(Z658&lt;=7,"3-7 d",IF(Z658&lt;=30,"8-30 d","&gt;30 d"))),IF(AE658&lt;&gt;"",AE658,IF(Z658="NR","NR","")))</f>
        <v/>
      </c>
      <c r="AX658" s="9">
        <f>IF(ISNUMBER(AW658),IF(AW658&gt;450,"Yes","No"),IF(AW658="NR","NR",""))</f>
        <v/>
      </c>
      <c r="BJ658" s="9">
        <f>IF(BB658="","",IF(BB658="Non-viable","Non-viable",IF(BB658="Viable","Viable",IF(BB658="Partially non-viable",IF(OR(BD658="Total splenectomy",BD658="Partial splenectomy +/- splenopexy"),"Non-viable","Review"),IF(BB658="NR",IF(OR(BD658="Total splenectomy",BD658="Partial splenectomy +/- splenopexy"),"NR - removed, check reason","NR"),"Not applicable")))))</f>
        <v/>
      </c>
    </row>
    <row r="659">
      <c r="D659" s="8" t="n"/>
      <c r="E659" s="9">
        <f>IF(B659="","",IF(B659="OWN","Yes","No"))</f>
        <v/>
      </c>
      <c r="AF659" s="9">
        <f>IF(ISNUMBER(Z659),IF(Z659&lt;=2,"&lt;=2 d",IF(Z659&lt;=7,"3-7 d",IF(Z659&lt;=30,"8-30 d","&gt;30 d"))),IF(AE659&lt;&gt;"",AE659,IF(Z659="NR","NR","")))</f>
        <v/>
      </c>
      <c r="AX659" s="9">
        <f>IF(ISNUMBER(AW659),IF(AW659&gt;450,"Yes","No"),IF(AW659="NR","NR",""))</f>
        <v/>
      </c>
      <c r="BJ659" s="9">
        <f>IF(BB659="","",IF(BB659="Non-viable","Non-viable",IF(BB659="Viable","Viable",IF(BB659="Partially non-viable",IF(OR(BD659="Total splenectomy",BD659="Partial splenectomy +/- splenopexy"),"Non-viable","Review"),IF(BB659="NR",IF(OR(BD659="Total splenectomy",BD659="Partial splenectomy +/- splenopexy"),"NR - removed, check reason","NR"),"Not applicable")))))</f>
        <v/>
      </c>
    </row>
    <row r="660">
      <c r="D660" s="8" t="n"/>
      <c r="E660" s="9">
        <f>IF(B660="","",IF(B660="OWN","Yes","No"))</f>
        <v/>
      </c>
      <c r="AF660" s="9">
        <f>IF(ISNUMBER(Z660),IF(Z660&lt;=2,"&lt;=2 d",IF(Z660&lt;=7,"3-7 d",IF(Z660&lt;=30,"8-30 d","&gt;30 d"))),IF(AE660&lt;&gt;"",AE660,IF(Z660="NR","NR","")))</f>
        <v/>
      </c>
      <c r="AX660" s="9">
        <f>IF(ISNUMBER(AW660),IF(AW660&gt;450,"Yes","No"),IF(AW660="NR","NR",""))</f>
        <v/>
      </c>
      <c r="BJ660" s="9">
        <f>IF(BB660="","",IF(BB660="Non-viable","Non-viable",IF(BB660="Viable","Viable",IF(BB660="Partially non-viable",IF(OR(BD660="Total splenectomy",BD660="Partial splenectomy +/- splenopexy"),"Non-viable","Review"),IF(BB660="NR",IF(OR(BD660="Total splenectomy",BD660="Partial splenectomy +/- splenopexy"),"NR - removed, check reason","NR"),"Not applicable")))))</f>
        <v/>
      </c>
    </row>
    <row r="661">
      <c r="D661" s="8" t="n"/>
      <c r="E661" s="9">
        <f>IF(B661="","",IF(B661="OWN","Yes","No"))</f>
        <v/>
      </c>
      <c r="AF661" s="9">
        <f>IF(ISNUMBER(Z661),IF(Z661&lt;=2,"&lt;=2 d",IF(Z661&lt;=7,"3-7 d",IF(Z661&lt;=30,"8-30 d","&gt;30 d"))),IF(AE661&lt;&gt;"",AE661,IF(Z661="NR","NR","")))</f>
        <v/>
      </c>
      <c r="AX661" s="9">
        <f>IF(ISNUMBER(AW661),IF(AW661&gt;450,"Yes","No"),IF(AW661="NR","NR",""))</f>
        <v/>
      </c>
      <c r="BJ661" s="9">
        <f>IF(BB661="","",IF(BB661="Non-viable","Non-viable",IF(BB661="Viable","Viable",IF(BB661="Partially non-viable",IF(OR(BD661="Total splenectomy",BD661="Partial splenectomy +/- splenopexy"),"Non-viable","Review"),IF(BB661="NR",IF(OR(BD661="Total splenectomy",BD661="Partial splenectomy +/- splenopexy"),"NR - removed, check reason","NR"),"Not applicable")))))</f>
        <v/>
      </c>
    </row>
    <row r="662">
      <c r="D662" s="8" t="n"/>
      <c r="E662" s="9">
        <f>IF(B662="","",IF(B662="OWN","Yes","No"))</f>
        <v/>
      </c>
      <c r="AF662" s="9">
        <f>IF(ISNUMBER(Z662),IF(Z662&lt;=2,"&lt;=2 d",IF(Z662&lt;=7,"3-7 d",IF(Z662&lt;=30,"8-30 d","&gt;30 d"))),IF(AE662&lt;&gt;"",AE662,IF(Z662="NR","NR","")))</f>
        <v/>
      </c>
      <c r="AX662" s="9">
        <f>IF(ISNUMBER(AW662),IF(AW662&gt;450,"Yes","No"),IF(AW662="NR","NR",""))</f>
        <v/>
      </c>
      <c r="BJ662" s="9">
        <f>IF(BB662="","",IF(BB662="Non-viable","Non-viable",IF(BB662="Viable","Viable",IF(BB662="Partially non-viable",IF(OR(BD662="Total splenectomy",BD662="Partial splenectomy +/- splenopexy"),"Non-viable","Review"),IF(BB662="NR",IF(OR(BD662="Total splenectomy",BD662="Partial splenectomy +/- splenopexy"),"NR - removed, check reason","NR"),"Not applicable")))))</f>
        <v/>
      </c>
    </row>
    <row r="663">
      <c r="D663" s="8" t="n"/>
      <c r="E663" s="9">
        <f>IF(B663="","",IF(B663="OWN","Yes","No"))</f>
        <v/>
      </c>
      <c r="AF663" s="9">
        <f>IF(ISNUMBER(Z663),IF(Z663&lt;=2,"&lt;=2 d",IF(Z663&lt;=7,"3-7 d",IF(Z663&lt;=30,"8-30 d","&gt;30 d"))),IF(AE663&lt;&gt;"",AE663,IF(Z663="NR","NR","")))</f>
        <v/>
      </c>
      <c r="AX663" s="9">
        <f>IF(ISNUMBER(AW663),IF(AW663&gt;450,"Yes","No"),IF(AW663="NR","NR",""))</f>
        <v/>
      </c>
      <c r="BJ663" s="9">
        <f>IF(BB663="","",IF(BB663="Non-viable","Non-viable",IF(BB663="Viable","Viable",IF(BB663="Partially non-viable",IF(OR(BD663="Total splenectomy",BD663="Partial splenectomy +/- splenopexy"),"Non-viable","Review"),IF(BB663="NR",IF(OR(BD663="Total splenectomy",BD663="Partial splenectomy +/- splenopexy"),"NR - removed, check reason","NR"),"Not applicable")))))</f>
        <v/>
      </c>
    </row>
    <row r="664">
      <c r="D664" s="8" t="n"/>
      <c r="E664" s="9">
        <f>IF(B664="","",IF(B664="OWN","Yes","No"))</f>
        <v/>
      </c>
      <c r="AF664" s="9">
        <f>IF(ISNUMBER(Z664),IF(Z664&lt;=2,"&lt;=2 d",IF(Z664&lt;=7,"3-7 d",IF(Z664&lt;=30,"8-30 d","&gt;30 d"))),IF(AE664&lt;&gt;"",AE664,IF(Z664="NR","NR","")))</f>
        <v/>
      </c>
      <c r="AX664" s="9">
        <f>IF(ISNUMBER(AW664),IF(AW664&gt;450,"Yes","No"),IF(AW664="NR","NR",""))</f>
        <v/>
      </c>
      <c r="BJ664" s="9">
        <f>IF(BB664="","",IF(BB664="Non-viable","Non-viable",IF(BB664="Viable","Viable",IF(BB664="Partially non-viable",IF(OR(BD664="Total splenectomy",BD664="Partial splenectomy +/- splenopexy"),"Non-viable","Review"),IF(BB664="NR",IF(OR(BD664="Total splenectomy",BD664="Partial splenectomy +/- splenopexy"),"NR - removed, check reason","NR"),"Not applicable")))))</f>
        <v/>
      </c>
    </row>
    <row r="665">
      <c r="D665" s="8" t="n"/>
      <c r="E665" s="9">
        <f>IF(B665="","",IF(B665="OWN","Yes","No"))</f>
        <v/>
      </c>
      <c r="AF665" s="9">
        <f>IF(ISNUMBER(Z665),IF(Z665&lt;=2,"&lt;=2 d",IF(Z665&lt;=7,"3-7 d",IF(Z665&lt;=30,"8-30 d","&gt;30 d"))),IF(AE665&lt;&gt;"",AE665,IF(Z665="NR","NR","")))</f>
        <v/>
      </c>
      <c r="AX665" s="9">
        <f>IF(ISNUMBER(AW665),IF(AW665&gt;450,"Yes","No"),IF(AW665="NR","NR",""))</f>
        <v/>
      </c>
      <c r="BJ665" s="9">
        <f>IF(BB665="","",IF(BB665="Non-viable","Non-viable",IF(BB665="Viable","Viable",IF(BB665="Partially non-viable",IF(OR(BD665="Total splenectomy",BD665="Partial splenectomy +/- splenopexy"),"Non-viable","Review"),IF(BB665="NR",IF(OR(BD665="Total splenectomy",BD665="Partial splenectomy +/- splenopexy"),"NR - removed, check reason","NR"),"Not applicable")))))</f>
        <v/>
      </c>
    </row>
    <row r="666">
      <c r="D666" s="8" t="n"/>
      <c r="E666" s="9">
        <f>IF(B666="","",IF(B666="OWN","Yes","No"))</f>
        <v/>
      </c>
      <c r="AF666" s="9">
        <f>IF(ISNUMBER(Z666),IF(Z666&lt;=2,"&lt;=2 d",IF(Z666&lt;=7,"3-7 d",IF(Z666&lt;=30,"8-30 d","&gt;30 d"))),IF(AE666&lt;&gt;"",AE666,IF(Z666="NR","NR","")))</f>
        <v/>
      </c>
      <c r="AX666" s="9">
        <f>IF(ISNUMBER(AW666),IF(AW666&gt;450,"Yes","No"),IF(AW666="NR","NR",""))</f>
        <v/>
      </c>
      <c r="BJ666" s="9">
        <f>IF(BB666="","",IF(BB666="Non-viable","Non-viable",IF(BB666="Viable","Viable",IF(BB666="Partially non-viable",IF(OR(BD666="Total splenectomy",BD666="Partial splenectomy +/- splenopexy"),"Non-viable","Review"),IF(BB666="NR",IF(OR(BD666="Total splenectomy",BD666="Partial splenectomy +/- splenopexy"),"NR - removed, check reason","NR"),"Not applicable")))))</f>
        <v/>
      </c>
    </row>
    <row r="667">
      <c r="D667" s="8" t="n"/>
      <c r="E667" s="9">
        <f>IF(B667="","",IF(B667="OWN","Yes","No"))</f>
        <v/>
      </c>
      <c r="AF667" s="9">
        <f>IF(ISNUMBER(Z667),IF(Z667&lt;=2,"&lt;=2 d",IF(Z667&lt;=7,"3-7 d",IF(Z667&lt;=30,"8-30 d","&gt;30 d"))),IF(AE667&lt;&gt;"",AE667,IF(Z667="NR","NR","")))</f>
        <v/>
      </c>
      <c r="AX667" s="9">
        <f>IF(ISNUMBER(AW667),IF(AW667&gt;450,"Yes","No"),IF(AW667="NR","NR",""))</f>
        <v/>
      </c>
      <c r="BJ667" s="9">
        <f>IF(BB667="","",IF(BB667="Non-viable","Non-viable",IF(BB667="Viable","Viable",IF(BB667="Partially non-viable",IF(OR(BD667="Total splenectomy",BD667="Partial splenectomy +/- splenopexy"),"Non-viable","Review"),IF(BB667="NR",IF(OR(BD667="Total splenectomy",BD667="Partial splenectomy +/- splenopexy"),"NR - removed, check reason","NR"),"Not applicable")))))</f>
        <v/>
      </c>
    </row>
    <row r="668">
      <c r="D668" s="8" t="n"/>
      <c r="E668" s="9">
        <f>IF(B668="","",IF(B668="OWN","Yes","No"))</f>
        <v/>
      </c>
      <c r="AF668" s="9">
        <f>IF(ISNUMBER(Z668),IF(Z668&lt;=2,"&lt;=2 d",IF(Z668&lt;=7,"3-7 d",IF(Z668&lt;=30,"8-30 d","&gt;30 d"))),IF(AE668&lt;&gt;"",AE668,IF(Z668="NR","NR","")))</f>
        <v/>
      </c>
      <c r="AX668" s="9">
        <f>IF(ISNUMBER(AW668),IF(AW668&gt;450,"Yes","No"),IF(AW668="NR","NR",""))</f>
        <v/>
      </c>
      <c r="BJ668" s="9">
        <f>IF(BB668="","",IF(BB668="Non-viable","Non-viable",IF(BB668="Viable","Viable",IF(BB668="Partially non-viable",IF(OR(BD668="Total splenectomy",BD668="Partial splenectomy +/- splenopexy"),"Non-viable","Review"),IF(BB668="NR",IF(OR(BD668="Total splenectomy",BD668="Partial splenectomy +/- splenopexy"),"NR - removed, check reason","NR"),"Not applicable")))))</f>
        <v/>
      </c>
    </row>
    <row r="669">
      <c r="D669" s="8" t="n"/>
      <c r="E669" s="9">
        <f>IF(B669="","",IF(B669="OWN","Yes","No"))</f>
        <v/>
      </c>
      <c r="AF669" s="9">
        <f>IF(ISNUMBER(Z669),IF(Z669&lt;=2,"&lt;=2 d",IF(Z669&lt;=7,"3-7 d",IF(Z669&lt;=30,"8-30 d","&gt;30 d"))),IF(AE669&lt;&gt;"",AE669,IF(Z669="NR","NR","")))</f>
        <v/>
      </c>
      <c r="AX669" s="9">
        <f>IF(ISNUMBER(AW669),IF(AW669&gt;450,"Yes","No"),IF(AW669="NR","NR",""))</f>
        <v/>
      </c>
      <c r="BJ669" s="9">
        <f>IF(BB669="","",IF(BB669="Non-viable","Non-viable",IF(BB669="Viable","Viable",IF(BB669="Partially non-viable",IF(OR(BD669="Total splenectomy",BD669="Partial splenectomy +/- splenopexy"),"Non-viable","Review"),IF(BB669="NR",IF(OR(BD669="Total splenectomy",BD669="Partial splenectomy +/- splenopexy"),"NR - removed, check reason","NR"),"Not applicable")))))</f>
        <v/>
      </c>
    </row>
    <row r="670">
      <c r="D670" s="8" t="n"/>
      <c r="E670" s="9">
        <f>IF(B670="","",IF(B670="OWN","Yes","No"))</f>
        <v/>
      </c>
      <c r="AF670" s="9">
        <f>IF(ISNUMBER(Z670),IF(Z670&lt;=2,"&lt;=2 d",IF(Z670&lt;=7,"3-7 d",IF(Z670&lt;=30,"8-30 d","&gt;30 d"))),IF(AE670&lt;&gt;"",AE670,IF(Z670="NR","NR","")))</f>
        <v/>
      </c>
      <c r="AX670" s="9">
        <f>IF(ISNUMBER(AW670),IF(AW670&gt;450,"Yes","No"),IF(AW670="NR","NR",""))</f>
        <v/>
      </c>
      <c r="BJ670" s="9">
        <f>IF(BB670="","",IF(BB670="Non-viable","Non-viable",IF(BB670="Viable","Viable",IF(BB670="Partially non-viable",IF(OR(BD670="Total splenectomy",BD670="Partial splenectomy +/- splenopexy"),"Non-viable","Review"),IF(BB670="NR",IF(OR(BD670="Total splenectomy",BD670="Partial splenectomy +/- splenopexy"),"NR - removed, check reason","NR"),"Not applicable")))))</f>
        <v/>
      </c>
    </row>
    <row r="671">
      <c r="D671" s="8" t="n"/>
      <c r="E671" s="9">
        <f>IF(B671="","",IF(B671="OWN","Yes","No"))</f>
        <v/>
      </c>
      <c r="AF671" s="9">
        <f>IF(ISNUMBER(Z671),IF(Z671&lt;=2,"&lt;=2 d",IF(Z671&lt;=7,"3-7 d",IF(Z671&lt;=30,"8-30 d","&gt;30 d"))),IF(AE671&lt;&gt;"",AE671,IF(Z671="NR","NR","")))</f>
        <v/>
      </c>
      <c r="AX671" s="9">
        <f>IF(ISNUMBER(AW671),IF(AW671&gt;450,"Yes","No"),IF(AW671="NR","NR",""))</f>
        <v/>
      </c>
      <c r="BJ671" s="9">
        <f>IF(BB671="","",IF(BB671="Non-viable","Non-viable",IF(BB671="Viable","Viable",IF(BB671="Partially non-viable",IF(OR(BD671="Total splenectomy",BD671="Partial splenectomy +/- splenopexy"),"Non-viable","Review"),IF(BB671="NR",IF(OR(BD671="Total splenectomy",BD671="Partial splenectomy +/- splenopexy"),"NR - removed, check reason","NR"),"Not applicable")))))</f>
        <v/>
      </c>
    </row>
    <row r="672">
      <c r="D672" s="8" t="n"/>
      <c r="E672" s="9">
        <f>IF(B672="","",IF(B672="OWN","Yes","No"))</f>
        <v/>
      </c>
      <c r="AF672" s="9">
        <f>IF(ISNUMBER(Z672),IF(Z672&lt;=2,"&lt;=2 d",IF(Z672&lt;=7,"3-7 d",IF(Z672&lt;=30,"8-30 d","&gt;30 d"))),IF(AE672&lt;&gt;"",AE672,IF(Z672="NR","NR","")))</f>
        <v/>
      </c>
      <c r="AX672" s="9">
        <f>IF(ISNUMBER(AW672),IF(AW672&gt;450,"Yes","No"),IF(AW672="NR","NR",""))</f>
        <v/>
      </c>
      <c r="BJ672" s="9">
        <f>IF(BB672="","",IF(BB672="Non-viable","Non-viable",IF(BB672="Viable","Viable",IF(BB672="Partially non-viable",IF(OR(BD672="Total splenectomy",BD672="Partial splenectomy +/- splenopexy"),"Non-viable","Review"),IF(BB672="NR",IF(OR(BD672="Total splenectomy",BD672="Partial splenectomy +/- splenopexy"),"NR - removed, check reason","NR"),"Not applicable")))))</f>
        <v/>
      </c>
    </row>
    <row r="673">
      <c r="D673" s="8" t="n"/>
      <c r="E673" s="9">
        <f>IF(B673="","",IF(B673="OWN","Yes","No"))</f>
        <v/>
      </c>
      <c r="AF673" s="9">
        <f>IF(ISNUMBER(Z673),IF(Z673&lt;=2,"&lt;=2 d",IF(Z673&lt;=7,"3-7 d",IF(Z673&lt;=30,"8-30 d","&gt;30 d"))),IF(AE673&lt;&gt;"",AE673,IF(Z673="NR","NR","")))</f>
        <v/>
      </c>
      <c r="AX673" s="9">
        <f>IF(ISNUMBER(AW673),IF(AW673&gt;450,"Yes","No"),IF(AW673="NR","NR",""))</f>
        <v/>
      </c>
      <c r="BJ673" s="9">
        <f>IF(BB673="","",IF(BB673="Non-viable","Non-viable",IF(BB673="Viable","Viable",IF(BB673="Partially non-viable",IF(OR(BD673="Total splenectomy",BD673="Partial splenectomy +/- splenopexy"),"Non-viable","Review"),IF(BB673="NR",IF(OR(BD673="Total splenectomy",BD673="Partial splenectomy +/- splenopexy"),"NR - removed, check reason","NR"),"Not applicable")))))</f>
        <v/>
      </c>
    </row>
    <row r="674">
      <c r="D674" s="8" t="n"/>
      <c r="E674" s="9">
        <f>IF(B674="","",IF(B674="OWN","Yes","No"))</f>
        <v/>
      </c>
      <c r="AF674" s="9">
        <f>IF(ISNUMBER(Z674),IF(Z674&lt;=2,"&lt;=2 d",IF(Z674&lt;=7,"3-7 d",IF(Z674&lt;=30,"8-30 d","&gt;30 d"))),IF(AE674&lt;&gt;"",AE674,IF(Z674="NR","NR","")))</f>
        <v/>
      </c>
      <c r="AX674" s="9">
        <f>IF(ISNUMBER(AW674),IF(AW674&gt;450,"Yes","No"),IF(AW674="NR","NR",""))</f>
        <v/>
      </c>
      <c r="BJ674" s="9">
        <f>IF(BB674="","",IF(BB674="Non-viable","Non-viable",IF(BB674="Viable","Viable",IF(BB674="Partially non-viable",IF(OR(BD674="Total splenectomy",BD674="Partial splenectomy +/- splenopexy"),"Non-viable","Review"),IF(BB674="NR",IF(OR(BD674="Total splenectomy",BD674="Partial splenectomy +/- splenopexy"),"NR - removed, check reason","NR"),"Not applicable")))))</f>
        <v/>
      </c>
    </row>
    <row r="675">
      <c r="D675" s="8" t="n"/>
      <c r="E675" s="9">
        <f>IF(B675="","",IF(B675="OWN","Yes","No"))</f>
        <v/>
      </c>
      <c r="AF675" s="9">
        <f>IF(ISNUMBER(Z675),IF(Z675&lt;=2,"&lt;=2 d",IF(Z675&lt;=7,"3-7 d",IF(Z675&lt;=30,"8-30 d","&gt;30 d"))),IF(AE675&lt;&gt;"",AE675,IF(Z675="NR","NR","")))</f>
        <v/>
      </c>
      <c r="AX675" s="9">
        <f>IF(ISNUMBER(AW675),IF(AW675&gt;450,"Yes","No"),IF(AW675="NR","NR",""))</f>
        <v/>
      </c>
      <c r="BJ675" s="9">
        <f>IF(BB675="","",IF(BB675="Non-viable","Non-viable",IF(BB675="Viable","Viable",IF(BB675="Partially non-viable",IF(OR(BD675="Total splenectomy",BD675="Partial splenectomy +/- splenopexy"),"Non-viable","Review"),IF(BB675="NR",IF(OR(BD675="Total splenectomy",BD675="Partial splenectomy +/- splenopexy"),"NR - removed, check reason","NR"),"Not applicable")))))</f>
        <v/>
      </c>
    </row>
    <row r="676">
      <c r="D676" s="8" t="n"/>
      <c r="E676" s="9">
        <f>IF(B676="","",IF(B676="OWN","Yes","No"))</f>
        <v/>
      </c>
      <c r="AF676" s="9">
        <f>IF(ISNUMBER(Z676),IF(Z676&lt;=2,"&lt;=2 d",IF(Z676&lt;=7,"3-7 d",IF(Z676&lt;=30,"8-30 d","&gt;30 d"))),IF(AE676&lt;&gt;"",AE676,IF(Z676="NR","NR","")))</f>
        <v/>
      </c>
      <c r="AX676" s="9">
        <f>IF(ISNUMBER(AW676),IF(AW676&gt;450,"Yes","No"),IF(AW676="NR","NR",""))</f>
        <v/>
      </c>
      <c r="BJ676" s="9">
        <f>IF(BB676="","",IF(BB676="Non-viable","Non-viable",IF(BB676="Viable","Viable",IF(BB676="Partially non-viable",IF(OR(BD676="Total splenectomy",BD676="Partial splenectomy +/- splenopexy"),"Non-viable","Review"),IF(BB676="NR",IF(OR(BD676="Total splenectomy",BD676="Partial splenectomy +/- splenopexy"),"NR - removed, check reason","NR"),"Not applicable")))))</f>
        <v/>
      </c>
    </row>
    <row r="677">
      <c r="D677" s="8" t="n"/>
      <c r="E677" s="9">
        <f>IF(B677="","",IF(B677="OWN","Yes","No"))</f>
        <v/>
      </c>
      <c r="AF677" s="9">
        <f>IF(ISNUMBER(Z677),IF(Z677&lt;=2,"&lt;=2 d",IF(Z677&lt;=7,"3-7 d",IF(Z677&lt;=30,"8-30 d","&gt;30 d"))),IF(AE677&lt;&gt;"",AE677,IF(Z677="NR","NR","")))</f>
        <v/>
      </c>
      <c r="AX677" s="9">
        <f>IF(ISNUMBER(AW677),IF(AW677&gt;450,"Yes","No"),IF(AW677="NR","NR",""))</f>
        <v/>
      </c>
      <c r="BJ677" s="9">
        <f>IF(BB677="","",IF(BB677="Non-viable","Non-viable",IF(BB677="Viable","Viable",IF(BB677="Partially non-viable",IF(OR(BD677="Total splenectomy",BD677="Partial splenectomy +/- splenopexy"),"Non-viable","Review"),IF(BB677="NR",IF(OR(BD677="Total splenectomy",BD677="Partial splenectomy +/- splenopexy"),"NR - removed, check reason","NR"),"Not applicable")))))</f>
        <v/>
      </c>
    </row>
    <row r="678">
      <c r="D678" s="8" t="n"/>
      <c r="E678" s="9">
        <f>IF(B678="","",IF(B678="OWN","Yes","No"))</f>
        <v/>
      </c>
      <c r="AF678" s="9">
        <f>IF(ISNUMBER(Z678),IF(Z678&lt;=2,"&lt;=2 d",IF(Z678&lt;=7,"3-7 d",IF(Z678&lt;=30,"8-30 d","&gt;30 d"))),IF(AE678&lt;&gt;"",AE678,IF(Z678="NR","NR","")))</f>
        <v/>
      </c>
      <c r="AX678" s="9">
        <f>IF(ISNUMBER(AW678),IF(AW678&gt;450,"Yes","No"),IF(AW678="NR","NR",""))</f>
        <v/>
      </c>
      <c r="BJ678" s="9">
        <f>IF(BB678="","",IF(BB678="Non-viable","Non-viable",IF(BB678="Viable","Viable",IF(BB678="Partially non-viable",IF(OR(BD678="Total splenectomy",BD678="Partial splenectomy +/- splenopexy"),"Non-viable","Review"),IF(BB678="NR",IF(OR(BD678="Total splenectomy",BD678="Partial splenectomy +/- splenopexy"),"NR - removed, check reason","NR"),"Not applicable")))))</f>
        <v/>
      </c>
    </row>
    <row r="679">
      <c r="D679" s="8" t="n"/>
      <c r="E679" s="9">
        <f>IF(B679="","",IF(B679="OWN","Yes","No"))</f>
        <v/>
      </c>
      <c r="AF679" s="9">
        <f>IF(ISNUMBER(Z679),IF(Z679&lt;=2,"&lt;=2 d",IF(Z679&lt;=7,"3-7 d",IF(Z679&lt;=30,"8-30 d","&gt;30 d"))),IF(AE679&lt;&gt;"",AE679,IF(Z679="NR","NR","")))</f>
        <v/>
      </c>
      <c r="AX679" s="9">
        <f>IF(ISNUMBER(AW679),IF(AW679&gt;450,"Yes","No"),IF(AW679="NR","NR",""))</f>
        <v/>
      </c>
      <c r="BJ679" s="9">
        <f>IF(BB679="","",IF(BB679="Non-viable","Non-viable",IF(BB679="Viable","Viable",IF(BB679="Partially non-viable",IF(OR(BD679="Total splenectomy",BD679="Partial splenectomy +/- splenopexy"),"Non-viable","Review"),IF(BB679="NR",IF(OR(BD679="Total splenectomy",BD679="Partial splenectomy +/- splenopexy"),"NR - removed, check reason","NR"),"Not applicable")))))</f>
        <v/>
      </c>
    </row>
    <row r="680">
      <c r="D680" s="8" t="n"/>
      <c r="E680" s="9">
        <f>IF(B680="","",IF(B680="OWN","Yes","No"))</f>
        <v/>
      </c>
      <c r="AF680" s="9">
        <f>IF(ISNUMBER(Z680),IF(Z680&lt;=2,"&lt;=2 d",IF(Z680&lt;=7,"3-7 d",IF(Z680&lt;=30,"8-30 d","&gt;30 d"))),IF(AE680&lt;&gt;"",AE680,IF(Z680="NR","NR","")))</f>
        <v/>
      </c>
      <c r="AX680" s="9">
        <f>IF(ISNUMBER(AW680),IF(AW680&gt;450,"Yes","No"),IF(AW680="NR","NR",""))</f>
        <v/>
      </c>
      <c r="BJ680" s="9">
        <f>IF(BB680="","",IF(BB680="Non-viable","Non-viable",IF(BB680="Viable","Viable",IF(BB680="Partially non-viable",IF(OR(BD680="Total splenectomy",BD680="Partial splenectomy +/- splenopexy"),"Non-viable","Review"),IF(BB680="NR",IF(OR(BD680="Total splenectomy",BD680="Partial splenectomy +/- splenopexy"),"NR - removed, check reason","NR"),"Not applicable")))))</f>
        <v/>
      </c>
    </row>
    <row r="681">
      <c r="D681" s="8" t="n"/>
      <c r="E681" s="9">
        <f>IF(B681="","",IF(B681="OWN","Yes","No"))</f>
        <v/>
      </c>
      <c r="AF681" s="9">
        <f>IF(ISNUMBER(Z681),IF(Z681&lt;=2,"&lt;=2 d",IF(Z681&lt;=7,"3-7 d",IF(Z681&lt;=30,"8-30 d","&gt;30 d"))),IF(AE681&lt;&gt;"",AE681,IF(Z681="NR","NR","")))</f>
        <v/>
      </c>
      <c r="AX681" s="9">
        <f>IF(ISNUMBER(AW681),IF(AW681&gt;450,"Yes","No"),IF(AW681="NR","NR",""))</f>
        <v/>
      </c>
      <c r="BJ681" s="9">
        <f>IF(BB681="","",IF(BB681="Non-viable","Non-viable",IF(BB681="Viable","Viable",IF(BB681="Partially non-viable",IF(OR(BD681="Total splenectomy",BD681="Partial splenectomy +/- splenopexy"),"Non-viable","Review"),IF(BB681="NR",IF(OR(BD681="Total splenectomy",BD681="Partial splenectomy +/- splenopexy"),"NR - removed, check reason","NR"),"Not applicable")))))</f>
        <v/>
      </c>
    </row>
    <row r="682">
      <c r="D682" s="8" t="n"/>
      <c r="E682" s="9">
        <f>IF(B682="","",IF(B682="OWN","Yes","No"))</f>
        <v/>
      </c>
      <c r="AF682" s="9">
        <f>IF(ISNUMBER(Z682),IF(Z682&lt;=2,"&lt;=2 d",IF(Z682&lt;=7,"3-7 d",IF(Z682&lt;=30,"8-30 d","&gt;30 d"))),IF(AE682&lt;&gt;"",AE682,IF(Z682="NR","NR","")))</f>
        <v/>
      </c>
      <c r="AX682" s="9">
        <f>IF(ISNUMBER(AW682),IF(AW682&gt;450,"Yes","No"),IF(AW682="NR","NR",""))</f>
        <v/>
      </c>
      <c r="BJ682" s="9">
        <f>IF(BB682="","",IF(BB682="Non-viable","Non-viable",IF(BB682="Viable","Viable",IF(BB682="Partially non-viable",IF(OR(BD682="Total splenectomy",BD682="Partial splenectomy +/- splenopexy"),"Non-viable","Review"),IF(BB682="NR",IF(OR(BD682="Total splenectomy",BD682="Partial splenectomy +/- splenopexy"),"NR - removed, check reason","NR"),"Not applicable")))))</f>
        <v/>
      </c>
    </row>
    <row r="683">
      <c r="D683" s="8" t="n"/>
      <c r="E683" s="9">
        <f>IF(B683="","",IF(B683="OWN","Yes","No"))</f>
        <v/>
      </c>
      <c r="AF683" s="9">
        <f>IF(ISNUMBER(Z683),IF(Z683&lt;=2,"&lt;=2 d",IF(Z683&lt;=7,"3-7 d",IF(Z683&lt;=30,"8-30 d","&gt;30 d"))),IF(AE683&lt;&gt;"",AE683,IF(Z683="NR","NR","")))</f>
        <v/>
      </c>
      <c r="AX683" s="9">
        <f>IF(ISNUMBER(AW683),IF(AW683&gt;450,"Yes","No"),IF(AW683="NR","NR",""))</f>
        <v/>
      </c>
      <c r="BJ683" s="9">
        <f>IF(BB683="","",IF(BB683="Non-viable","Non-viable",IF(BB683="Viable","Viable",IF(BB683="Partially non-viable",IF(OR(BD683="Total splenectomy",BD683="Partial splenectomy +/- splenopexy"),"Non-viable","Review"),IF(BB683="NR",IF(OR(BD683="Total splenectomy",BD683="Partial splenectomy +/- splenopexy"),"NR - removed, check reason","NR"),"Not applicable")))))</f>
        <v/>
      </c>
    </row>
    <row r="684">
      <c r="D684" s="8" t="n"/>
      <c r="E684" s="9">
        <f>IF(B684="","",IF(B684="OWN","Yes","No"))</f>
        <v/>
      </c>
      <c r="AF684" s="9">
        <f>IF(ISNUMBER(Z684),IF(Z684&lt;=2,"&lt;=2 d",IF(Z684&lt;=7,"3-7 d",IF(Z684&lt;=30,"8-30 d","&gt;30 d"))),IF(AE684&lt;&gt;"",AE684,IF(Z684="NR","NR","")))</f>
        <v/>
      </c>
      <c r="AX684" s="9">
        <f>IF(ISNUMBER(AW684),IF(AW684&gt;450,"Yes","No"),IF(AW684="NR","NR",""))</f>
        <v/>
      </c>
      <c r="BJ684" s="9">
        <f>IF(BB684="","",IF(BB684="Non-viable","Non-viable",IF(BB684="Viable","Viable",IF(BB684="Partially non-viable",IF(OR(BD684="Total splenectomy",BD684="Partial splenectomy +/- splenopexy"),"Non-viable","Review"),IF(BB684="NR",IF(OR(BD684="Total splenectomy",BD684="Partial splenectomy +/- splenopexy"),"NR - removed, check reason","NR"),"Not applicable")))))</f>
        <v/>
      </c>
    </row>
    <row r="685">
      <c r="D685" s="8" t="n"/>
      <c r="E685" s="9">
        <f>IF(B685="","",IF(B685="OWN","Yes","No"))</f>
        <v/>
      </c>
      <c r="AF685" s="9">
        <f>IF(ISNUMBER(Z685),IF(Z685&lt;=2,"&lt;=2 d",IF(Z685&lt;=7,"3-7 d",IF(Z685&lt;=30,"8-30 d","&gt;30 d"))),IF(AE685&lt;&gt;"",AE685,IF(Z685="NR","NR","")))</f>
        <v/>
      </c>
      <c r="AX685" s="9">
        <f>IF(ISNUMBER(AW685),IF(AW685&gt;450,"Yes","No"),IF(AW685="NR","NR",""))</f>
        <v/>
      </c>
      <c r="BJ685" s="9">
        <f>IF(BB685="","",IF(BB685="Non-viable","Non-viable",IF(BB685="Viable","Viable",IF(BB685="Partially non-viable",IF(OR(BD685="Total splenectomy",BD685="Partial splenectomy +/- splenopexy"),"Non-viable","Review"),IF(BB685="NR",IF(OR(BD685="Total splenectomy",BD685="Partial splenectomy +/- splenopexy"),"NR - removed, check reason","NR"),"Not applicable")))))</f>
        <v/>
      </c>
    </row>
    <row r="686">
      <c r="D686" s="8" t="n"/>
      <c r="E686" s="9">
        <f>IF(B686="","",IF(B686="OWN","Yes","No"))</f>
        <v/>
      </c>
      <c r="AF686" s="9">
        <f>IF(ISNUMBER(Z686),IF(Z686&lt;=2,"&lt;=2 d",IF(Z686&lt;=7,"3-7 d",IF(Z686&lt;=30,"8-30 d","&gt;30 d"))),IF(AE686&lt;&gt;"",AE686,IF(Z686="NR","NR","")))</f>
        <v/>
      </c>
      <c r="AX686" s="9">
        <f>IF(ISNUMBER(AW686),IF(AW686&gt;450,"Yes","No"),IF(AW686="NR","NR",""))</f>
        <v/>
      </c>
      <c r="BJ686" s="9">
        <f>IF(BB686="","",IF(BB686="Non-viable","Non-viable",IF(BB686="Viable","Viable",IF(BB686="Partially non-viable",IF(OR(BD686="Total splenectomy",BD686="Partial splenectomy +/- splenopexy"),"Non-viable","Review"),IF(BB686="NR",IF(OR(BD686="Total splenectomy",BD686="Partial splenectomy +/- splenopexy"),"NR - removed, check reason","NR"),"Not applicable")))))</f>
        <v/>
      </c>
    </row>
    <row r="687">
      <c r="D687" s="8" t="n"/>
      <c r="E687" s="9">
        <f>IF(B687="","",IF(B687="OWN","Yes","No"))</f>
        <v/>
      </c>
      <c r="AF687" s="9">
        <f>IF(ISNUMBER(Z687),IF(Z687&lt;=2,"&lt;=2 d",IF(Z687&lt;=7,"3-7 d",IF(Z687&lt;=30,"8-30 d","&gt;30 d"))),IF(AE687&lt;&gt;"",AE687,IF(Z687="NR","NR","")))</f>
        <v/>
      </c>
      <c r="AX687" s="9">
        <f>IF(ISNUMBER(AW687),IF(AW687&gt;450,"Yes","No"),IF(AW687="NR","NR",""))</f>
        <v/>
      </c>
      <c r="BJ687" s="9">
        <f>IF(BB687="","",IF(BB687="Non-viable","Non-viable",IF(BB687="Viable","Viable",IF(BB687="Partially non-viable",IF(OR(BD687="Total splenectomy",BD687="Partial splenectomy +/- splenopexy"),"Non-viable","Review"),IF(BB687="NR",IF(OR(BD687="Total splenectomy",BD687="Partial splenectomy +/- splenopexy"),"NR - removed, check reason","NR"),"Not applicable")))))</f>
        <v/>
      </c>
    </row>
    <row r="688">
      <c r="D688" s="8" t="n"/>
      <c r="E688" s="9">
        <f>IF(B688="","",IF(B688="OWN","Yes","No"))</f>
        <v/>
      </c>
      <c r="AF688" s="9">
        <f>IF(ISNUMBER(Z688),IF(Z688&lt;=2,"&lt;=2 d",IF(Z688&lt;=7,"3-7 d",IF(Z688&lt;=30,"8-30 d","&gt;30 d"))),IF(AE688&lt;&gt;"",AE688,IF(Z688="NR","NR","")))</f>
        <v/>
      </c>
      <c r="AX688" s="9">
        <f>IF(ISNUMBER(AW688),IF(AW688&gt;450,"Yes","No"),IF(AW688="NR","NR",""))</f>
        <v/>
      </c>
      <c r="BJ688" s="9">
        <f>IF(BB688="","",IF(BB688="Non-viable","Non-viable",IF(BB688="Viable","Viable",IF(BB688="Partially non-viable",IF(OR(BD688="Total splenectomy",BD688="Partial splenectomy +/- splenopexy"),"Non-viable","Review"),IF(BB688="NR",IF(OR(BD688="Total splenectomy",BD688="Partial splenectomy +/- splenopexy"),"NR - removed, check reason","NR"),"Not applicable")))))</f>
        <v/>
      </c>
    </row>
    <row r="689">
      <c r="D689" s="8" t="n"/>
      <c r="E689" s="9">
        <f>IF(B689="","",IF(B689="OWN","Yes","No"))</f>
        <v/>
      </c>
      <c r="AF689" s="9">
        <f>IF(ISNUMBER(Z689),IF(Z689&lt;=2,"&lt;=2 d",IF(Z689&lt;=7,"3-7 d",IF(Z689&lt;=30,"8-30 d","&gt;30 d"))),IF(AE689&lt;&gt;"",AE689,IF(Z689="NR","NR","")))</f>
        <v/>
      </c>
      <c r="AX689" s="9">
        <f>IF(ISNUMBER(AW689),IF(AW689&gt;450,"Yes","No"),IF(AW689="NR","NR",""))</f>
        <v/>
      </c>
      <c r="BJ689" s="9">
        <f>IF(BB689="","",IF(BB689="Non-viable","Non-viable",IF(BB689="Viable","Viable",IF(BB689="Partially non-viable",IF(OR(BD689="Total splenectomy",BD689="Partial splenectomy +/- splenopexy"),"Non-viable","Review"),IF(BB689="NR",IF(OR(BD689="Total splenectomy",BD689="Partial splenectomy +/- splenopexy"),"NR - removed, check reason","NR"),"Not applicable")))))</f>
        <v/>
      </c>
    </row>
    <row r="690">
      <c r="D690" s="8" t="n"/>
      <c r="E690" s="9">
        <f>IF(B690="","",IF(B690="OWN","Yes","No"))</f>
        <v/>
      </c>
      <c r="AF690" s="9">
        <f>IF(ISNUMBER(Z690),IF(Z690&lt;=2,"&lt;=2 d",IF(Z690&lt;=7,"3-7 d",IF(Z690&lt;=30,"8-30 d","&gt;30 d"))),IF(AE690&lt;&gt;"",AE690,IF(Z690="NR","NR","")))</f>
        <v/>
      </c>
      <c r="AX690" s="9">
        <f>IF(ISNUMBER(AW690),IF(AW690&gt;450,"Yes","No"),IF(AW690="NR","NR",""))</f>
        <v/>
      </c>
      <c r="BJ690" s="9">
        <f>IF(BB690="","",IF(BB690="Non-viable","Non-viable",IF(BB690="Viable","Viable",IF(BB690="Partially non-viable",IF(OR(BD690="Total splenectomy",BD690="Partial splenectomy +/- splenopexy"),"Non-viable","Review"),IF(BB690="NR",IF(OR(BD690="Total splenectomy",BD690="Partial splenectomy +/- splenopexy"),"NR - removed, check reason","NR"),"Not applicable")))))</f>
        <v/>
      </c>
    </row>
    <row r="691">
      <c r="D691" s="8" t="n"/>
      <c r="E691" s="9">
        <f>IF(B691="","",IF(B691="OWN","Yes","No"))</f>
        <v/>
      </c>
      <c r="AF691" s="9">
        <f>IF(ISNUMBER(Z691),IF(Z691&lt;=2,"&lt;=2 d",IF(Z691&lt;=7,"3-7 d",IF(Z691&lt;=30,"8-30 d","&gt;30 d"))),IF(AE691&lt;&gt;"",AE691,IF(Z691="NR","NR","")))</f>
        <v/>
      </c>
      <c r="AX691" s="9">
        <f>IF(ISNUMBER(AW691),IF(AW691&gt;450,"Yes","No"),IF(AW691="NR","NR",""))</f>
        <v/>
      </c>
      <c r="BJ691" s="9">
        <f>IF(BB691="","",IF(BB691="Non-viable","Non-viable",IF(BB691="Viable","Viable",IF(BB691="Partially non-viable",IF(OR(BD691="Total splenectomy",BD691="Partial splenectomy +/- splenopexy"),"Non-viable","Review"),IF(BB691="NR",IF(OR(BD691="Total splenectomy",BD691="Partial splenectomy +/- splenopexy"),"NR - removed, check reason","NR"),"Not applicable")))))</f>
        <v/>
      </c>
    </row>
    <row r="692">
      <c r="D692" s="8" t="n"/>
      <c r="E692" s="9">
        <f>IF(B692="","",IF(B692="OWN","Yes","No"))</f>
        <v/>
      </c>
      <c r="AF692" s="9">
        <f>IF(ISNUMBER(Z692),IF(Z692&lt;=2,"&lt;=2 d",IF(Z692&lt;=7,"3-7 d",IF(Z692&lt;=30,"8-30 d","&gt;30 d"))),IF(AE692&lt;&gt;"",AE692,IF(Z692="NR","NR","")))</f>
        <v/>
      </c>
      <c r="AX692" s="9">
        <f>IF(ISNUMBER(AW692),IF(AW692&gt;450,"Yes","No"),IF(AW692="NR","NR",""))</f>
        <v/>
      </c>
      <c r="BJ692" s="9">
        <f>IF(BB692="","",IF(BB692="Non-viable","Non-viable",IF(BB692="Viable","Viable",IF(BB692="Partially non-viable",IF(OR(BD692="Total splenectomy",BD692="Partial splenectomy +/- splenopexy"),"Non-viable","Review"),IF(BB692="NR",IF(OR(BD692="Total splenectomy",BD692="Partial splenectomy +/- splenopexy"),"NR - removed, check reason","NR"),"Not applicable")))))</f>
        <v/>
      </c>
    </row>
    <row r="693">
      <c r="D693" s="8" t="n"/>
      <c r="E693" s="9">
        <f>IF(B693="","",IF(B693="OWN","Yes","No"))</f>
        <v/>
      </c>
      <c r="AF693" s="9">
        <f>IF(ISNUMBER(Z693),IF(Z693&lt;=2,"&lt;=2 d",IF(Z693&lt;=7,"3-7 d",IF(Z693&lt;=30,"8-30 d","&gt;30 d"))),IF(AE693&lt;&gt;"",AE693,IF(Z693="NR","NR","")))</f>
        <v/>
      </c>
      <c r="AX693" s="9">
        <f>IF(ISNUMBER(AW693),IF(AW693&gt;450,"Yes","No"),IF(AW693="NR","NR",""))</f>
        <v/>
      </c>
      <c r="BJ693" s="9">
        <f>IF(BB693="","",IF(BB693="Non-viable","Non-viable",IF(BB693="Viable","Viable",IF(BB693="Partially non-viable",IF(OR(BD693="Total splenectomy",BD693="Partial splenectomy +/- splenopexy"),"Non-viable","Review"),IF(BB693="NR",IF(OR(BD693="Total splenectomy",BD693="Partial splenectomy +/- splenopexy"),"NR - removed, check reason","NR"),"Not applicable")))))</f>
        <v/>
      </c>
    </row>
    <row r="694">
      <c r="D694" s="8" t="n"/>
      <c r="E694" s="9">
        <f>IF(B694="","",IF(B694="OWN","Yes","No"))</f>
        <v/>
      </c>
      <c r="AF694" s="9">
        <f>IF(ISNUMBER(Z694),IF(Z694&lt;=2,"&lt;=2 d",IF(Z694&lt;=7,"3-7 d",IF(Z694&lt;=30,"8-30 d","&gt;30 d"))),IF(AE694&lt;&gt;"",AE694,IF(Z694="NR","NR","")))</f>
        <v/>
      </c>
      <c r="AX694" s="9">
        <f>IF(ISNUMBER(AW694),IF(AW694&gt;450,"Yes","No"),IF(AW694="NR","NR",""))</f>
        <v/>
      </c>
      <c r="BJ694" s="9">
        <f>IF(BB694="","",IF(BB694="Non-viable","Non-viable",IF(BB694="Viable","Viable",IF(BB694="Partially non-viable",IF(OR(BD694="Total splenectomy",BD694="Partial splenectomy +/- splenopexy"),"Non-viable","Review"),IF(BB694="NR",IF(OR(BD694="Total splenectomy",BD694="Partial splenectomy +/- splenopexy"),"NR - removed, check reason","NR"),"Not applicable")))))</f>
        <v/>
      </c>
    </row>
    <row r="695">
      <c r="D695" s="8" t="n"/>
      <c r="E695" s="9">
        <f>IF(B695="","",IF(B695="OWN","Yes","No"))</f>
        <v/>
      </c>
      <c r="AF695" s="9">
        <f>IF(ISNUMBER(Z695),IF(Z695&lt;=2,"&lt;=2 d",IF(Z695&lt;=7,"3-7 d",IF(Z695&lt;=30,"8-30 d","&gt;30 d"))),IF(AE695&lt;&gt;"",AE695,IF(Z695="NR","NR","")))</f>
        <v/>
      </c>
      <c r="AX695" s="9">
        <f>IF(ISNUMBER(AW695),IF(AW695&gt;450,"Yes","No"),IF(AW695="NR","NR",""))</f>
        <v/>
      </c>
      <c r="BJ695" s="9">
        <f>IF(BB695="","",IF(BB695="Non-viable","Non-viable",IF(BB695="Viable","Viable",IF(BB695="Partially non-viable",IF(OR(BD695="Total splenectomy",BD695="Partial splenectomy +/- splenopexy"),"Non-viable","Review"),IF(BB695="NR",IF(OR(BD695="Total splenectomy",BD695="Partial splenectomy +/- splenopexy"),"NR - removed, check reason","NR"),"Not applicable")))))</f>
        <v/>
      </c>
    </row>
    <row r="696">
      <c r="D696" s="8" t="n"/>
      <c r="E696" s="9">
        <f>IF(B696="","",IF(B696="OWN","Yes","No"))</f>
        <v/>
      </c>
      <c r="AF696" s="9">
        <f>IF(ISNUMBER(Z696),IF(Z696&lt;=2,"&lt;=2 d",IF(Z696&lt;=7,"3-7 d",IF(Z696&lt;=30,"8-30 d","&gt;30 d"))),IF(AE696&lt;&gt;"",AE696,IF(Z696="NR","NR","")))</f>
        <v/>
      </c>
      <c r="AX696" s="9">
        <f>IF(ISNUMBER(AW696),IF(AW696&gt;450,"Yes","No"),IF(AW696="NR","NR",""))</f>
        <v/>
      </c>
      <c r="BJ696" s="9">
        <f>IF(BB696="","",IF(BB696="Non-viable","Non-viable",IF(BB696="Viable","Viable",IF(BB696="Partially non-viable",IF(OR(BD696="Total splenectomy",BD696="Partial splenectomy +/- splenopexy"),"Non-viable","Review"),IF(BB696="NR",IF(OR(BD696="Total splenectomy",BD696="Partial splenectomy +/- splenopexy"),"NR - removed, check reason","NR"),"Not applicable")))))</f>
        <v/>
      </c>
    </row>
    <row r="697">
      <c r="D697" s="8" t="n"/>
      <c r="E697" s="9">
        <f>IF(B697="","",IF(B697="OWN","Yes","No"))</f>
        <v/>
      </c>
      <c r="AF697" s="9">
        <f>IF(ISNUMBER(Z697),IF(Z697&lt;=2,"&lt;=2 d",IF(Z697&lt;=7,"3-7 d",IF(Z697&lt;=30,"8-30 d","&gt;30 d"))),IF(AE697&lt;&gt;"",AE697,IF(Z697="NR","NR","")))</f>
        <v/>
      </c>
      <c r="AX697" s="9">
        <f>IF(ISNUMBER(AW697),IF(AW697&gt;450,"Yes","No"),IF(AW697="NR","NR",""))</f>
        <v/>
      </c>
      <c r="BJ697" s="9">
        <f>IF(BB697="","",IF(BB697="Non-viable","Non-viable",IF(BB697="Viable","Viable",IF(BB697="Partially non-viable",IF(OR(BD697="Total splenectomy",BD697="Partial splenectomy +/- splenopexy"),"Non-viable","Review"),IF(BB697="NR",IF(OR(BD697="Total splenectomy",BD697="Partial splenectomy +/- splenopexy"),"NR - removed, check reason","NR"),"Not applicable")))))</f>
        <v/>
      </c>
    </row>
    <row r="698">
      <c r="D698" s="8" t="n"/>
      <c r="E698" s="9">
        <f>IF(B698="","",IF(B698="OWN","Yes","No"))</f>
        <v/>
      </c>
      <c r="AF698" s="9">
        <f>IF(ISNUMBER(Z698),IF(Z698&lt;=2,"&lt;=2 d",IF(Z698&lt;=7,"3-7 d",IF(Z698&lt;=30,"8-30 d","&gt;30 d"))),IF(AE698&lt;&gt;"",AE698,IF(Z698="NR","NR","")))</f>
        <v/>
      </c>
      <c r="AX698" s="9">
        <f>IF(ISNUMBER(AW698),IF(AW698&gt;450,"Yes","No"),IF(AW698="NR","NR",""))</f>
        <v/>
      </c>
      <c r="BJ698" s="9">
        <f>IF(BB698="","",IF(BB698="Non-viable","Non-viable",IF(BB698="Viable","Viable",IF(BB698="Partially non-viable",IF(OR(BD698="Total splenectomy",BD698="Partial splenectomy +/- splenopexy"),"Non-viable","Review"),IF(BB698="NR",IF(OR(BD698="Total splenectomy",BD698="Partial splenectomy +/- splenopexy"),"NR - removed, check reason","NR"),"Not applicable")))))</f>
        <v/>
      </c>
    </row>
    <row r="699">
      <c r="D699" s="8" t="n"/>
      <c r="E699" s="9">
        <f>IF(B699="","",IF(B699="OWN","Yes","No"))</f>
        <v/>
      </c>
      <c r="AF699" s="9">
        <f>IF(ISNUMBER(Z699),IF(Z699&lt;=2,"&lt;=2 d",IF(Z699&lt;=7,"3-7 d",IF(Z699&lt;=30,"8-30 d","&gt;30 d"))),IF(AE699&lt;&gt;"",AE699,IF(Z699="NR","NR","")))</f>
        <v/>
      </c>
      <c r="AX699" s="9">
        <f>IF(ISNUMBER(AW699),IF(AW699&gt;450,"Yes","No"),IF(AW699="NR","NR",""))</f>
        <v/>
      </c>
      <c r="BJ699" s="9">
        <f>IF(BB699="","",IF(BB699="Non-viable","Non-viable",IF(BB699="Viable","Viable",IF(BB699="Partially non-viable",IF(OR(BD699="Total splenectomy",BD699="Partial splenectomy +/- splenopexy"),"Non-viable","Review"),IF(BB699="NR",IF(OR(BD699="Total splenectomy",BD699="Partial splenectomy +/- splenopexy"),"NR - removed, check reason","NR"),"Not applicable")))))</f>
        <v/>
      </c>
    </row>
    <row r="700">
      <c r="D700" s="8" t="n"/>
      <c r="E700" s="9">
        <f>IF(B700="","",IF(B700="OWN","Yes","No"))</f>
        <v/>
      </c>
      <c r="AF700" s="9">
        <f>IF(ISNUMBER(Z700),IF(Z700&lt;=2,"&lt;=2 d",IF(Z700&lt;=7,"3-7 d",IF(Z700&lt;=30,"8-30 d","&gt;30 d"))),IF(AE700&lt;&gt;"",AE700,IF(Z700="NR","NR","")))</f>
        <v/>
      </c>
      <c r="AX700" s="9">
        <f>IF(ISNUMBER(AW700),IF(AW700&gt;450,"Yes","No"),IF(AW700="NR","NR",""))</f>
        <v/>
      </c>
      <c r="BJ700" s="9">
        <f>IF(BB700="","",IF(BB700="Non-viable","Non-viable",IF(BB700="Viable","Viable",IF(BB700="Partially non-viable",IF(OR(BD700="Total splenectomy",BD700="Partial splenectomy +/- splenopexy"),"Non-viable","Review"),IF(BB700="NR",IF(OR(BD700="Total splenectomy",BD700="Partial splenectomy +/- splenopexy"),"NR - removed, check reason","NR"),"Not applicable")))))</f>
        <v/>
      </c>
    </row>
    <row r="701">
      <c r="D701" s="8" t="n"/>
      <c r="E701" s="9">
        <f>IF(B701="","",IF(B701="OWN","Yes","No"))</f>
        <v/>
      </c>
      <c r="AF701" s="9">
        <f>IF(ISNUMBER(Z701),IF(Z701&lt;=2,"&lt;=2 d",IF(Z701&lt;=7,"3-7 d",IF(Z701&lt;=30,"8-30 d","&gt;30 d"))),IF(AE701&lt;&gt;"",AE701,IF(Z701="NR","NR","")))</f>
        <v/>
      </c>
      <c r="AX701" s="9">
        <f>IF(ISNUMBER(AW701),IF(AW701&gt;450,"Yes","No"),IF(AW701="NR","NR",""))</f>
        <v/>
      </c>
      <c r="BJ701" s="9">
        <f>IF(BB701="","",IF(BB701="Non-viable","Non-viable",IF(BB701="Viable","Viable",IF(BB701="Partially non-viable",IF(OR(BD701="Total splenectomy",BD701="Partial splenectomy +/- splenopexy"),"Non-viable","Review"),IF(BB701="NR",IF(OR(BD701="Total splenectomy",BD701="Partial splenectomy +/- splenopexy"),"NR - removed, check reason","NR"),"Not applicable")))))</f>
        <v/>
      </c>
    </row>
    <row r="702">
      <c r="D702" s="8" t="n"/>
      <c r="E702" s="9">
        <f>IF(B702="","",IF(B702="OWN","Yes","No"))</f>
        <v/>
      </c>
      <c r="AF702" s="9">
        <f>IF(ISNUMBER(Z702),IF(Z702&lt;=2,"&lt;=2 d",IF(Z702&lt;=7,"3-7 d",IF(Z702&lt;=30,"8-30 d","&gt;30 d"))),IF(AE702&lt;&gt;"",AE702,IF(Z702="NR","NR","")))</f>
        <v/>
      </c>
      <c r="AX702" s="9">
        <f>IF(ISNUMBER(AW702),IF(AW702&gt;450,"Yes","No"),IF(AW702="NR","NR",""))</f>
        <v/>
      </c>
      <c r="BJ702" s="9">
        <f>IF(BB702="","",IF(BB702="Non-viable","Non-viable",IF(BB702="Viable","Viable",IF(BB702="Partially non-viable",IF(OR(BD702="Total splenectomy",BD702="Partial splenectomy +/- splenopexy"),"Non-viable","Review"),IF(BB702="NR",IF(OR(BD702="Total splenectomy",BD702="Partial splenectomy +/- splenopexy"),"NR - removed, check reason","NR"),"Not applicable")))))</f>
        <v/>
      </c>
    </row>
    <row r="703">
      <c r="D703" s="8" t="n"/>
      <c r="E703" s="9">
        <f>IF(B703="","",IF(B703="OWN","Yes","No"))</f>
        <v/>
      </c>
      <c r="AF703" s="9">
        <f>IF(ISNUMBER(Z703),IF(Z703&lt;=2,"&lt;=2 d",IF(Z703&lt;=7,"3-7 d",IF(Z703&lt;=30,"8-30 d","&gt;30 d"))),IF(AE703&lt;&gt;"",AE703,IF(Z703="NR","NR","")))</f>
        <v/>
      </c>
      <c r="AX703" s="9">
        <f>IF(ISNUMBER(AW703),IF(AW703&gt;450,"Yes","No"),IF(AW703="NR","NR",""))</f>
        <v/>
      </c>
      <c r="BJ703" s="9">
        <f>IF(BB703="","",IF(BB703="Non-viable","Non-viable",IF(BB703="Viable","Viable",IF(BB703="Partially non-viable",IF(OR(BD703="Total splenectomy",BD703="Partial splenectomy +/- splenopexy"),"Non-viable","Review"),IF(BB703="NR",IF(OR(BD703="Total splenectomy",BD703="Partial splenectomy +/- splenopexy"),"NR - removed, check reason","NR"),"Not applicable")))))</f>
        <v/>
      </c>
    </row>
    <row r="704">
      <c r="D704" s="8" t="n"/>
      <c r="E704" s="9">
        <f>IF(B704="","",IF(B704="OWN","Yes","No"))</f>
        <v/>
      </c>
      <c r="AF704" s="9">
        <f>IF(ISNUMBER(Z704),IF(Z704&lt;=2,"&lt;=2 d",IF(Z704&lt;=7,"3-7 d",IF(Z704&lt;=30,"8-30 d","&gt;30 d"))),IF(AE704&lt;&gt;"",AE704,IF(Z704="NR","NR","")))</f>
        <v/>
      </c>
      <c r="AX704" s="9">
        <f>IF(ISNUMBER(AW704),IF(AW704&gt;450,"Yes","No"),IF(AW704="NR","NR",""))</f>
        <v/>
      </c>
      <c r="BJ704" s="9">
        <f>IF(BB704="","",IF(BB704="Non-viable","Non-viable",IF(BB704="Viable","Viable",IF(BB704="Partially non-viable",IF(OR(BD704="Total splenectomy",BD704="Partial splenectomy +/- splenopexy"),"Non-viable","Review"),IF(BB704="NR",IF(OR(BD704="Total splenectomy",BD704="Partial splenectomy +/- splenopexy"),"NR - removed, check reason","NR"),"Not applicable")))))</f>
        <v/>
      </c>
    </row>
    <row r="705">
      <c r="D705" s="8" t="n"/>
      <c r="E705" s="9">
        <f>IF(B705="","",IF(B705="OWN","Yes","No"))</f>
        <v/>
      </c>
      <c r="AF705" s="9">
        <f>IF(ISNUMBER(Z705),IF(Z705&lt;=2,"&lt;=2 d",IF(Z705&lt;=7,"3-7 d",IF(Z705&lt;=30,"8-30 d","&gt;30 d"))),IF(AE705&lt;&gt;"",AE705,IF(Z705="NR","NR","")))</f>
        <v/>
      </c>
      <c r="AX705" s="9">
        <f>IF(ISNUMBER(AW705),IF(AW705&gt;450,"Yes","No"),IF(AW705="NR","NR",""))</f>
        <v/>
      </c>
      <c r="BJ705" s="9">
        <f>IF(BB705="","",IF(BB705="Non-viable","Non-viable",IF(BB705="Viable","Viable",IF(BB705="Partially non-viable",IF(OR(BD705="Total splenectomy",BD705="Partial splenectomy +/- splenopexy"),"Non-viable","Review"),IF(BB705="NR",IF(OR(BD705="Total splenectomy",BD705="Partial splenectomy +/- splenopexy"),"NR - removed, check reason","NR"),"Not applicable")))))</f>
        <v/>
      </c>
    </row>
    <row r="706">
      <c r="D706" s="8" t="n"/>
      <c r="E706" s="9">
        <f>IF(B706="","",IF(B706="OWN","Yes","No"))</f>
        <v/>
      </c>
      <c r="AF706" s="9">
        <f>IF(ISNUMBER(Z706),IF(Z706&lt;=2,"&lt;=2 d",IF(Z706&lt;=7,"3-7 d",IF(Z706&lt;=30,"8-30 d","&gt;30 d"))),IF(AE706&lt;&gt;"",AE706,IF(Z706="NR","NR","")))</f>
        <v/>
      </c>
      <c r="AX706" s="9">
        <f>IF(ISNUMBER(AW706),IF(AW706&gt;450,"Yes","No"),IF(AW706="NR","NR",""))</f>
        <v/>
      </c>
      <c r="BJ706" s="9">
        <f>IF(BB706="","",IF(BB706="Non-viable","Non-viable",IF(BB706="Viable","Viable",IF(BB706="Partially non-viable",IF(OR(BD706="Total splenectomy",BD706="Partial splenectomy +/- splenopexy"),"Non-viable","Review"),IF(BB706="NR",IF(OR(BD706="Total splenectomy",BD706="Partial splenectomy +/- splenopexy"),"NR - removed, check reason","NR"),"Not applicable")))))</f>
        <v/>
      </c>
    </row>
    <row r="707">
      <c r="D707" s="8" t="n"/>
      <c r="E707" s="9">
        <f>IF(B707="","",IF(B707="OWN","Yes","No"))</f>
        <v/>
      </c>
      <c r="AF707" s="9">
        <f>IF(ISNUMBER(Z707),IF(Z707&lt;=2,"&lt;=2 d",IF(Z707&lt;=7,"3-7 d",IF(Z707&lt;=30,"8-30 d","&gt;30 d"))),IF(AE707&lt;&gt;"",AE707,IF(Z707="NR","NR","")))</f>
        <v/>
      </c>
      <c r="AX707" s="9">
        <f>IF(ISNUMBER(AW707),IF(AW707&gt;450,"Yes","No"),IF(AW707="NR","NR",""))</f>
        <v/>
      </c>
      <c r="BJ707" s="9">
        <f>IF(BB707="","",IF(BB707="Non-viable","Non-viable",IF(BB707="Viable","Viable",IF(BB707="Partially non-viable",IF(OR(BD707="Total splenectomy",BD707="Partial splenectomy +/- splenopexy"),"Non-viable","Review"),IF(BB707="NR",IF(OR(BD707="Total splenectomy",BD707="Partial splenectomy +/- splenopexy"),"NR - removed, check reason","NR"),"Not applicable")))))</f>
        <v/>
      </c>
    </row>
    <row r="708">
      <c r="D708" s="8" t="n"/>
      <c r="E708" s="9">
        <f>IF(B708="","",IF(B708="OWN","Yes","No"))</f>
        <v/>
      </c>
      <c r="AF708" s="9">
        <f>IF(ISNUMBER(Z708),IF(Z708&lt;=2,"&lt;=2 d",IF(Z708&lt;=7,"3-7 d",IF(Z708&lt;=30,"8-30 d","&gt;30 d"))),IF(AE708&lt;&gt;"",AE708,IF(Z708="NR","NR","")))</f>
        <v/>
      </c>
      <c r="AX708" s="9">
        <f>IF(ISNUMBER(AW708),IF(AW708&gt;450,"Yes","No"),IF(AW708="NR","NR",""))</f>
        <v/>
      </c>
      <c r="BJ708" s="9">
        <f>IF(BB708="","",IF(BB708="Non-viable","Non-viable",IF(BB708="Viable","Viable",IF(BB708="Partially non-viable",IF(OR(BD708="Total splenectomy",BD708="Partial splenectomy +/- splenopexy"),"Non-viable","Review"),IF(BB708="NR",IF(OR(BD708="Total splenectomy",BD708="Partial splenectomy +/- splenopexy"),"NR - removed, check reason","NR"),"Not applicable")))))</f>
        <v/>
      </c>
    </row>
    <row r="709">
      <c r="D709" s="8" t="n"/>
      <c r="E709" s="9">
        <f>IF(B709="","",IF(B709="OWN","Yes","No"))</f>
        <v/>
      </c>
      <c r="AF709" s="9">
        <f>IF(ISNUMBER(Z709),IF(Z709&lt;=2,"&lt;=2 d",IF(Z709&lt;=7,"3-7 d",IF(Z709&lt;=30,"8-30 d","&gt;30 d"))),IF(AE709&lt;&gt;"",AE709,IF(Z709="NR","NR","")))</f>
        <v/>
      </c>
      <c r="AX709" s="9">
        <f>IF(ISNUMBER(AW709),IF(AW709&gt;450,"Yes","No"),IF(AW709="NR","NR",""))</f>
        <v/>
      </c>
      <c r="BJ709" s="9">
        <f>IF(BB709="","",IF(BB709="Non-viable","Non-viable",IF(BB709="Viable","Viable",IF(BB709="Partially non-viable",IF(OR(BD709="Total splenectomy",BD709="Partial splenectomy +/- splenopexy"),"Non-viable","Review"),IF(BB709="NR",IF(OR(BD709="Total splenectomy",BD709="Partial splenectomy +/- splenopexy"),"NR - removed, check reason","NR"),"Not applicable")))))</f>
        <v/>
      </c>
    </row>
    <row r="710">
      <c r="D710" s="8" t="n"/>
      <c r="E710" s="9">
        <f>IF(B710="","",IF(B710="OWN","Yes","No"))</f>
        <v/>
      </c>
      <c r="AF710" s="9">
        <f>IF(ISNUMBER(Z710),IF(Z710&lt;=2,"&lt;=2 d",IF(Z710&lt;=7,"3-7 d",IF(Z710&lt;=30,"8-30 d","&gt;30 d"))),IF(AE710&lt;&gt;"",AE710,IF(Z710="NR","NR","")))</f>
        <v/>
      </c>
      <c r="AX710" s="9">
        <f>IF(ISNUMBER(AW710),IF(AW710&gt;450,"Yes","No"),IF(AW710="NR","NR",""))</f>
        <v/>
      </c>
      <c r="BJ710" s="9">
        <f>IF(BB710="","",IF(BB710="Non-viable","Non-viable",IF(BB710="Viable","Viable",IF(BB710="Partially non-viable",IF(OR(BD710="Total splenectomy",BD710="Partial splenectomy +/- splenopexy"),"Non-viable","Review"),IF(BB710="NR",IF(OR(BD710="Total splenectomy",BD710="Partial splenectomy +/- splenopexy"),"NR - removed, check reason","NR"),"Not applicable")))))</f>
        <v/>
      </c>
    </row>
    <row r="711">
      <c r="D711" s="8" t="n"/>
      <c r="E711" s="9">
        <f>IF(B711="","",IF(B711="OWN","Yes","No"))</f>
        <v/>
      </c>
      <c r="AF711" s="9">
        <f>IF(ISNUMBER(Z711),IF(Z711&lt;=2,"&lt;=2 d",IF(Z711&lt;=7,"3-7 d",IF(Z711&lt;=30,"8-30 d","&gt;30 d"))),IF(AE711&lt;&gt;"",AE711,IF(Z711="NR","NR","")))</f>
        <v/>
      </c>
      <c r="AX711" s="9">
        <f>IF(ISNUMBER(AW711),IF(AW711&gt;450,"Yes","No"),IF(AW711="NR","NR",""))</f>
        <v/>
      </c>
      <c r="BJ711" s="9">
        <f>IF(BB711="","",IF(BB711="Non-viable","Non-viable",IF(BB711="Viable","Viable",IF(BB711="Partially non-viable",IF(OR(BD711="Total splenectomy",BD711="Partial splenectomy +/- splenopexy"),"Non-viable","Review"),IF(BB711="NR",IF(OR(BD711="Total splenectomy",BD711="Partial splenectomy +/- splenopexy"),"NR - removed, check reason","NR"),"Not applicable")))))</f>
        <v/>
      </c>
    </row>
    <row r="712">
      <c r="D712" s="8" t="n"/>
      <c r="E712" s="9">
        <f>IF(B712="","",IF(B712="OWN","Yes","No"))</f>
        <v/>
      </c>
      <c r="AF712" s="9">
        <f>IF(ISNUMBER(Z712),IF(Z712&lt;=2,"&lt;=2 d",IF(Z712&lt;=7,"3-7 d",IF(Z712&lt;=30,"8-30 d","&gt;30 d"))),IF(AE712&lt;&gt;"",AE712,IF(Z712="NR","NR","")))</f>
        <v/>
      </c>
      <c r="AX712" s="9">
        <f>IF(ISNUMBER(AW712),IF(AW712&gt;450,"Yes","No"),IF(AW712="NR","NR",""))</f>
        <v/>
      </c>
      <c r="BJ712" s="9">
        <f>IF(BB712="","",IF(BB712="Non-viable","Non-viable",IF(BB712="Viable","Viable",IF(BB712="Partially non-viable",IF(OR(BD712="Total splenectomy",BD712="Partial splenectomy +/- splenopexy"),"Non-viable","Review"),IF(BB712="NR",IF(OR(BD712="Total splenectomy",BD712="Partial splenectomy +/- splenopexy"),"NR - removed, check reason","NR"),"Not applicable")))))</f>
        <v/>
      </c>
    </row>
    <row r="713">
      <c r="D713" s="8" t="n"/>
      <c r="E713" s="9">
        <f>IF(B713="","",IF(B713="OWN","Yes","No"))</f>
        <v/>
      </c>
      <c r="AF713" s="9">
        <f>IF(ISNUMBER(Z713),IF(Z713&lt;=2,"&lt;=2 d",IF(Z713&lt;=7,"3-7 d",IF(Z713&lt;=30,"8-30 d","&gt;30 d"))),IF(AE713&lt;&gt;"",AE713,IF(Z713="NR","NR","")))</f>
        <v/>
      </c>
      <c r="AX713" s="9">
        <f>IF(ISNUMBER(AW713),IF(AW713&gt;450,"Yes","No"),IF(AW713="NR","NR",""))</f>
        <v/>
      </c>
      <c r="BJ713" s="9">
        <f>IF(BB713="","",IF(BB713="Non-viable","Non-viable",IF(BB713="Viable","Viable",IF(BB713="Partially non-viable",IF(OR(BD713="Total splenectomy",BD713="Partial splenectomy +/- splenopexy"),"Non-viable","Review"),IF(BB713="NR",IF(OR(BD713="Total splenectomy",BD713="Partial splenectomy +/- splenopexy"),"NR - removed, check reason","NR"),"Not applicable")))))</f>
        <v/>
      </c>
    </row>
    <row r="714">
      <c r="D714" s="8" t="n"/>
      <c r="E714" s="9">
        <f>IF(B714="","",IF(B714="OWN","Yes","No"))</f>
        <v/>
      </c>
      <c r="AF714" s="9">
        <f>IF(ISNUMBER(Z714),IF(Z714&lt;=2,"&lt;=2 d",IF(Z714&lt;=7,"3-7 d",IF(Z714&lt;=30,"8-30 d","&gt;30 d"))),IF(AE714&lt;&gt;"",AE714,IF(Z714="NR","NR","")))</f>
        <v/>
      </c>
      <c r="AX714" s="9">
        <f>IF(ISNUMBER(AW714),IF(AW714&gt;450,"Yes","No"),IF(AW714="NR","NR",""))</f>
        <v/>
      </c>
      <c r="BJ714" s="9">
        <f>IF(BB714="","",IF(BB714="Non-viable","Non-viable",IF(BB714="Viable","Viable",IF(BB714="Partially non-viable",IF(OR(BD714="Total splenectomy",BD714="Partial splenectomy +/- splenopexy"),"Non-viable","Review"),IF(BB714="NR",IF(OR(BD714="Total splenectomy",BD714="Partial splenectomy +/- splenopexy"),"NR - removed, check reason","NR"),"Not applicable")))))</f>
        <v/>
      </c>
    </row>
    <row r="715">
      <c r="D715" s="8" t="n"/>
      <c r="E715" s="9">
        <f>IF(B715="","",IF(B715="OWN","Yes","No"))</f>
        <v/>
      </c>
      <c r="AF715" s="9">
        <f>IF(ISNUMBER(Z715),IF(Z715&lt;=2,"&lt;=2 d",IF(Z715&lt;=7,"3-7 d",IF(Z715&lt;=30,"8-30 d","&gt;30 d"))),IF(AE715&lt;&gt;"",AE715,IF(Z715="NR","NR","")))</f>
        <v/>
      </c>
      <c r="AX715" s="9">
        <f>IF(ISNUMBER(AW715),IF(AW715&gt;450,"Yes","No"),IF(AW715="NR","NR",""))</f>
        <v/>
      </c>
      <c r="BJ715" s="9">
        <f>IF(BB715="","",IF(BB715="Non-viable","Non-viable",IF(BB715="Viable","Viable",IF(BB715="Partially non-viable",IF(OR(BD715="Total splenectomy",BD715="Partial splenectomy +/- splenopexy"),"Non-viable","Review"),IF(BB715="NR",IF(OR(BD715="Total splenectomy",BD715="Partial splenectomy +/- splenopexy"),"NR - removed, check reason","NR"),"Not applicable")))))</f>
        <v/>
      </c>
    </row>
    <row r="716">
      <c r="D716" s="8" t="n"/>
      <c r="E716" s="9">
        <f>IF(B716="","",IF(B716="OWN","Yes","No"))</f>
        <v/>
      </c>
      <c r="AF716" s="9">
        <f>IF(ISNUMBER(Z716),IF(Z716&lt;=2,"&lt;=2 d",IF(Z716&lt;=7,"3-7 d",IF(Z716&lt;=30,"8-30 d","&gt;30 d"))),IF(AE716&lt;&gt;"",AE716,IF(Z716="NR","NR","")))</f>
        <v/>
      </c>
      <c r="AX716" s="9">
        <f>IF(ISNUMBER(AW716),IF(AW716&gt;450,"Yes","No"),IF(AW716="NR","NR",""))</f>
        <v/>
      </c>
      <c r="BJ716" s="9">
        <f>IF(BB716="","",IF(BB716="Non-viable","Non-viable",IF(BB716="Viable","Viable",IF(BB716="Partially non-viable",IF(OR(BD716="Total splenectomy",BD716="Partial splenectomy +/- splenopexy"),"Non-viable","Review"),IF(BB716="NR",IF(OR(BD716="Total splenectomy",BD716="Partial splenectomy +/- splenopexy"),"NR - removed, check reason","NR"),"Not applicable")))))</f>
        <v/>
      </c>
    </row>
    <row r="717">
      <c r="D717" s="8" t="n"/>
      <c r="E717" s="9">
        <f>IF(B717="","",IF(B717="OWN","Yes","No"))</f>
        <v/>
      </c>
      <c r="AF717" s="9">
        <f>IF(ISNUMBER(Z717),IF(Z717&lt;=2,"&lt;=2 d",IF(Z717&lt;=7,"3-7 d",IF(Z717&lt;=30,"8-30 d","&gt;30 d"))),IF(AE717&lt;&gt;"",AE717,IF(Z717="NR","NR","")))</f>
        <v/>
      </c>
      <c r="AX717" s="9">
        <f>IF(ISNUMBER(AW717),IF(AW717&gt;450,"Yes","No"),IF(AW717="NR","NR",""))</f>
        <v/>
      </c>
      <c r="BJ717" s="9">
        <f>IF(BB717="","",IF(BB717="Non-viable","Non-viable",IF(BB717="Viable","Viable",IF(BB717="Partially non-viable",IF(OR(BD717="Total splenectomy",BD717="Partial splenectomy +/- splenopexy"),"Non-viable","Review"),IF(BB717="NR",IF(OR(BD717="Total splenectomy",BD717="Partial splenectomy +/- splenopexy"),"NR - removed, check reason","NR"),"Not applicable")))))</f>
        <v/>
      </c>
    </row>
    <row r="718">
      <c r="D718" s="8" t="n"/>
      <c r="E718" s="9">
        <f>IF(B718="","",IF(B718="OWN","Yes","No"))</f>
        <v/>
      </c>
      <c r="AF718" s="9">
        <f>IF(ISNUMBER(Z718),IF(Z718&lt;=2,"&lt;=2 d",IF(Z718&lt;=7,"3-7 d",IF(Z718&lt;=30,"8-30 d","&gt;30 d"))),IF(AE718&lt;&gt;"",AE718,IF(Z718="NR","NR","")))</f>
        <v/>
      </c>
      <c r="AX718" s="9">
        <f>IF(ISNUMBER(AW718),IF(AW718&gt;450,"Yes","No"),IF(AW718="NR","NR",""))</f>
        <v/>
      </c>
      <c r="BJ718" s="9">
        <f>IF(BB718="","",IF(BB718="Non-viable","Non-viable",IF(BB718="Viable","Viable",IF(BB718="Partially non-viable",IF(OR(BD718="Total splenectomy",BD718="Partial splenectomy +/- splenopexy"),"Non-viable","Review"),IF(BB718="NR",IF(OR(BD718="Total splenectomy",BD718="Partial splenectomy +/- splenopexy"),"NR - removed, check reason","NR"),"Not applicable")))))</f>
        <v/>
      </c>
    </row>
    <row r="719">
      <c r="D719" s="8" t="n"/>
      <c r="E719" s="9">
        <f>IF(B719="","",IF(B719="OWN","Yes","No"))</f>
        <v/>
      </c>
      <c r="AF719" s="9">
        <f>IF(ISNUMBER(Z719),IF(Z719&lt;=2,"&lt;=2 d",IF(Z719&lt;=7,"3-7 d",IF(Z719&lt;=30,"8-30 d","&gt;30 d"))),IF(AE719&lt;&gt;"",AE719,IF(Z719="NR","NR","")))</f>
        <v/>
      </c>
      <c r="AX719" s="9">
        <f>IF(ISNUMBER(AW719),IF(AW719&gt;450,"Yes","No"),IF(AW719="NR","NR",""))</f>
        <v/>
      </c>
      <c r="BJ719" s="9">
        <f>IF(BB719="","",IF(BB719="Non-viable","Non-viable",IF(BB719="Viable","Viable",IF(BB719="Partially non-viable",IF(OR(BD719="Total splenectomy",BD719="Partial splenectomy +/- splenopexy"),"Non-viable","Review"),IF(BB719="NR",IF(OR(BD719="Total splenectomy",BD719="Partial splenectomy +/- splenopexy"),"NR - removed, check reason","NR"),"Not applicable")))))</f>
        <v/>
      </c>
    </row>
    <row r="720">
      <c r="D720" s="8" t="n"/>
      <c r="E720" s="9">
        <f>IF(B720="","",IF(B720="OWN","Yes","No"))</f>
        <v/>
      </c>
      <c r="AF720" s="9">
        <f>IF(ISNUMBER(Z720),IF(Z720&lt;=2,"&lt;=2 d",IF(Z720&lt;=7,"3-7 d",IF(Z720&lt;=30,"8-30 d","&gt;30 d"))),IF(AE720&lt;&gt;"",AE720,IF(Z720="NR","NR","")))</f>
        <v/>
      </c>
      <c r="AX720" s="9">
        <f>IF(ISNUMBER(AW720),IF(AW720&gt;450,"Yes","No"),IF(AW720="NR","NR",""))</f>
        <v/>
      </c>
      <c r="BJ720" s="9">
        <f>IF(BB720="","",IF(BB720="Non-viable","Non-viable",IF(BB720="Viable","Viable",IF(BB720="Partially non-viable",IF(OR(BD720="Total splenectomy",BD720="Partial splenectomy +/- splenopexy"),"Non-viable","Review"),IF(BB720="NR",IF(OR(BD720="Total splenectomy",BD720="Partial splenectomy +/- splenopexy"),"NR - removed, check reason","NR"),"Not applicable")))))</f>
        <v/>
      </c>
    </row>
    <row r="721">
      <c r="D721" s="8" t="n"/>
      <c r="E721" s="9">
        <f>IF(B721="","",IF(B721="OWN","Yes","No"))</f>
        <v/>
      </c>
      <c r="AF721" s="9">
        <f>IF(ISNUMBER(Z721),IF(Z721&lt;=2,"&lt;=2 d",IF(Z721&lt;=7,"3-7 d",IF(Z721&lt;=30,"8-30 d","&gt;30 d"))),IF(AE721&lt;&gt;"",AE721,IF(Z721="NR","NR","")))</f>
        <v/>
      </c>
      <c r="AX721" s="9">
        <f>IF(ISNUMBER(AW721),IF(AW721&gt;450,"Yes","No"),IF(AW721="NR","NR",""))</f>
        <v/>
      </c>
      <c r="BJ721" s="9">
        <f>IF(BB721="","",IF(BB721="Non-viable","Non-viable",IF(BB721="Viable","Viable",IF(BB721="Partially non-viable",IF(OR(BD721="Total splenectomy",BD721="Partial splenectomy +/- splenopexy"),"Non-viable","Review"),IF(BB721="NR",IF(OR(BD721="Total splenectomy",BD721="Partial splenectomy +/- splenopexy"),"NR - removed, check reason","NR"),"Not applicable")))))</f>
        <v/>
      </c>
    </row>
    <row r="722">
      <c r="D722" s="8" t="n"/>
      <c r="E722" s="9">
        <f>IF(B722="","",IF(B722="OWN","Yes","No"))</f>
        <v/>
      </c>
      <c r="AF722" s="9">
        <f>IF(ISNUMBER(Z722),IF(Z722&lt;=2,"&lt;=2 d",IF(Z722&lt;=7,"3-7 d",IF(Z722&lt;=30,"8-30 d","&gt;30 d"))),IF(AE722&lt;&gt;"",AE722,IF(Z722="NR","NR","")))</f>
        <v/>
      </c>
      <c r="AX722" s="9">
        <f>IF(ISNUMBER(AW722),IF(AW722&gt;450,"Yes","No"),IF(AW722="NR","NR",""))</f>
        <v/>
      </c>
      <c r="BJ722" s="9">
        <f>IF(BB722="","",IF(BB722="Non-viable","Non-viable",IF(BB722="Viable","Viable",IF(BB722="Partially non-viable",IF(OR(BD722="Total splenectomy",BD722="Partial splenectomy +/- splenopexy"),"Non-viable","Review"),IF(BB722="NR",IF(OR(BD722="Total splenectomy",BD722="Partial splenectomy +/- splenopexy"),"NR - removed, check reason","NR"),"Not applicable")))))</f>
        <v/>
      </c>
    </row>
    <row r="723">
      <c r="D723" s="8" t="n"/>
      <c r="E723" s="9">
        <f>IF(B723="","",IF(B723="OWN","Yes","No"))</f>
        <v/>
      </c>
      <c r="AF723" s="9">
        <f>IF(ISNUMBER(Z723),IF(Z723&lt;=2,"&lt;=2 d",IF(Z723&lt;=7,"3-7 d",IF(Z723&lt;=30,"8-30 d","&gt;30 d"))),IF(AE723&lt;&gt;"",AE723,IF(Z723="NR","NR","")))</f>
        <v/>
      </c>
      <c r="AX723" s="9">
        <f>IF(ISNUMBER(AW723),IF(AW723&gt;450,"Yes","No"),IF(AW723="NR","NR",""))</f>
        <v/>
      </c>
      <c r="BJ723" s="9">
        <f>IF(BB723="","",IF(BB723="Non-viable","Non-viable",IF(BB723="Viable","Viable",IF(BB723="Partially non-viable",IF(OR(BD723="Total splenectomy",BD723="Partial splenectomy +/- splenopexy"),"Non-viable","Review"),IF(BB723="NR",IF(OR(BD723="Total splenectomy",BD723="Partial splenectomy +/- splenopexy"),"NR - removed, check reason","NR"),"Not applicable")))))</f>
        <v/>
      </c>
    </row>
    <row r="724">
      <c r="D724" s="8" t="n"/>
      <c r="E724" s="9">
        <f>IF(B724="","",IF(B724="OWN","Yes","No"))</f>
        <v/>
      </c>
      <c r="AF724" s="9">
        <f>IF(ISNUMBER(Z724),IF(Z724&lt;=2,"&lt;=2 d",IF(Z724&lt;=7,"3-7 d",IF(Z724&lt;=30,"8-30 d","&gt;30 d"))),IF(AE724&lt;&gt;"",AE724,IF(Z724="NR","NR","")))</f>
        <v/>
      </c>
      <c r="AX724" s="9">
        <f>IF(ISNUMBER(AW724),IF(AW724&gt;450,"Yes","No"),IF(AW724="NR","NR",""))</f>
        <v/>
      </c>
      <c r="BJ724" s="9">
        <f>IF(BB724="","",IF(BB724="Non-viable","Non-viable",IF(BB724="Viable","Viable",IF(BB724="Partially non-viable",IF(OR(BD724="Total splenectomy",BD724="Partial splenectomy +/- splenopexy"),"Non-viable","Review"),IF(BB724="NR",IF(OR(BD724="Total splenectomy",BD724="Partial splenectomy +/- splenopexy"),"NR - removed, check reason","NR"),"Not applicable")))))</f>
        <v/>
      </c>
    </row>
    <row r="725">
      <c r="D725" s="8" t="n"/>
      <c r="E725" s="9">
        <f>IF(B725="","",IF(B725="OWN","Yes","No"))</f>
        <v/>
      </c>
      <c r="AF725" s="9">
        <f>IF(ISNUMBER(Z725),IF(Z725&lt;=2,"&lt;=2 d",IF(Z725&lt;=7,"3-7 d",IF(Z725&lt;=30,"8-30 d","&gt;30 d"))),IF(AE725&lt;&gt;"",AE725,IF(Z725="NR","NR","")))</f>
        <v/>
      </c>
      <c r="AX725" s="9">
        <f>IF(ISNUMBER(AW725),IF(AW725&gt;450,"Yes","No"),IF(AW725="NR","NR",""))</f>
        <v/>
      </c>
      <c r="BJ725" s="9">
        <f>IF(BB725="","",IF(BB725="Non-viable","Non-viable",IF(BB725="Viable","Viable",IF(BB725="Partially non-viable",IF(OR(BD725="Total splenectomy",BD725="Partial splenectomy +/- splenopexy"),"Non-viable","Review"),IF(BB725="NR",IF(OR(BD725="Total splenectomy",BD725="Partial splenectomy +/- splenopexy"),"NR - removed, check reason","NR"),"Not applicable")))))</f>
        <v/>
      </c>
    </row>
    <row r="726">
      <c r="D726" s="8" t="n"/>
      <c r="E726" s="9">
        <f>IF(B726="","",IF(B726="OWN","Yes","No"))</f>
        <v/>
      </c>
      <c r="AF726" s="9">
        <f>IF(ISNUMBER(Z726),IF(Z726&lt;=2,"&lt;=2 d",IF(Z726&lt;=7,"3-7 d",IF(Z726&lt;=30,"8-30 d","&gt;30 d"))),IF(AE726&lt;&gt;"",AE726,IF(Z726="NR","NR","")))</f>
        <v/>
      </c>
      <c r="AX726" s="9">
        <f>IF(ISNUMBER(AW726),IF(AW726&gt;450,"Yes","No"),IF(AW726="NR","NR",""))</f>
        <v/>
      </c>
      <c r="BJ726" s="9">
        <f>IF(BB726="","",IF(BB726="Non-viable","Non-viable",IF(BB726="Viable","Viable",IF(BB726="Partially non-viable",IF(OR(BD726="Total splenectomy",BD726="Partial splenectomy +/- splenopexy"),"Non-viable","Review"),IF(BB726="NR",IF(OR(BD726="Total splenectomy",BD726="Partial splenectomy +/- splenopexy"),"NR - removed, check reason","NR"),"Not applicable")))))</f>
        <v/>
      </c>
    </row>
    <row r="727">
      <c r="D727" s="8" t="n"/>
      <c r="E727" s="9">
        <f>IF(B727="","",IF(B727="OWN","Yes","No"))</f>
        <v/>
      </c>
      <c r="AF727" s="9">
        <f>IF(ISNUMBER(Z727),IF(Z727&lt;=2,"&lt;=2 d",IF(Z727&lt;=7,"3-7 d",IF(Z727&lt;=30,"8-30 d","&gt;30 d"))),IF(AE727&lt;&gt;"",AE727,IF(Z727="NR","NR","")))</f>
        <v/>
      </c>
      <c r="AX727" s="9">
        <f>IF(ISNUMBER(AW727),IF(AW727&gt;450,"Yes","No"),IF(AW727="NR","NR",""))</f>
        <v/>
      </c>
      <c r="BJ727" s="9">
        <f>IF(BB727="","",IF(BB727="Non-viable","Non-viable",IF(BB727="Viable","Viable",IF(BB727="Partially non-viable",IF(OR(BD727="Total splenectomy",BD727="Partial splenectomy +/- splenopexy"),"Non-viable","Review"),IF(BB727="NR",IF(OR(BD727="Total splenectomy",BD727="Partial splenectomy +/- splenopexy"),"NR - removed, check reason","NR"),"Not applicable")))))</f>
        <v/>
      </c>
    </row>
    <row r="728">
      <c r="D728" s="8" t="n"/>
      <c r="E728" s="9">
        <f>IF(B728="","",IF(B728="OWN","Yes","No"))</f>
        <v/>
      </c>
      <c r="AF728" s="9">
        <f>IF(ISNUMBER(Z728),IF(Z728&lt;=2,"&lt;=2 d",IF(Z728&lt;=7,"3-7 d",IF(Z728&lt;=30,"8-30 d","&gt;30 d"))),IF(AE728&lt;&gt;"",AE728,IF(Z728="NR","NR","")))</f>
        <v/>
      </c>
      <c r="AX728" s="9">
        <f>IF(ISNUMBER(AW728),IF(AW728&gt;450,"Yes","No"),IF(AW728="NR","NR",""))</f>
        <v/>
      </c>
      <c r="BJ728" s="9">
        <f>IF(BB728="","",IF(BB728="Non-viable","Non-viable",IF(BB728="Viable","Viable",IF(BB728="Partially non-viable",IF(OR(BD728="Total splenectomy",BD728="Partial splenectomy +/- splenopexy"),"Non-viable","Review"),IF(BB728="NR",IF(OR(BD728="Total splenectomy",BD728="Partial splenectomy +/- splenopexy"),"NR - removed, check reason","NR"),"Not applicable")))))</f>
        <v/>
      </c>
    </row>
    <row r="729">
      <c r="D729" s="8" t="n"/>
      <c r="E729" s="9">
        <f>IF(B729="","",IF(B729="OWN","Yes","No"))</f>
        <v/>
      </c>
      <c r="AF729" s="9">
        <f>IF(ISNUMBER(Z729),IF(Z729&lt;=2,"&lt;=2 d",IF(Z729&lt;=7,"3-7 d",IF(Z729&lt;=30,"8-30 d","&gt;30 d"))),IF(AE729&lt;&gt;"",AE729,IF(Z729="NR","NR","")))</f>
        <v/>
      </c>
      <c r="AX729" s="9">
        <f>IF(ISNUMBER(AW729),IF(AW729&gt;450,"Yes","No"),IF(AW729="NR","NR",""))</f>
        <v/>
      </c>
      <c r="BJ729" s="9">
        <f>IF(BB729="","",IF(BB729="Non-viable","Non-viable",IF(BB729="Viable","Viable",IF(BB729="Partially non-viable",IF(OR(BD729="Total splenectomy",BD729="Partial splenectomy +/- splenopexy"),"Non-viable","Review"),IF(BB729="NR",IF(OR(BD729="Total splenectomy",BD729="Partial splenectomy +/- splenopexy"),"NR - removed, check reason","NR"),"Not applicable")))))</f>
        <v/>
      </c>
    </row>
    <row r="730">
      <c r="D730" s="8" t="n"/>
      <c r="E730" s="9">
        <f>IF(B730="","",IF(B730="OWN","Yes","No"))</f>
        <v/>
      </c>
      <c r="AF730" s="9">
        <f>IF(ISNUMBER(Z730),IF(Z730&lt;=2,"&lt;=2 d",IF(Z730&lt;=7,"3-7 d",IF(Z730&lt;=30,"8-30 d","&gt;30 d"))),IF(AE730&lt;&gt;"",AE730,IF(Z730="NR","NR","")))</f>
        <v/>
      </c>
      <c r="AX730" s="9">
        <f>IF(ISNUMBER(AW730),IF(AW730&gt;450,"Yes","No"),IF(AW730="NR","NR",""))</f>
        <v/>
      </c>
      <c r="BJ730" s="9">
        <f>IF(BB730="","",IF(BB730="Non-viable","Non-viable",IF(BB730="Viable","Viable",IF(BB730="Partially non-viable",IF(OR(BD730="Total splenectomy",BD730="Partial splenectomy +/- splenopexy"),"Non-viable","Review"),IF(BB730="NR",IF(OR(BD730="Total splenectomy",BD730="Partial splenectomy +/- splenopexy"),"NR - removed, check reason","NR"),"Not applicable")))))</f>
        <v/>
      </c>
    </row>
    <row r="731">
      <c r="D731" s="8" t="n"/>
      <c r="E731" s="9">
        <f>IF(B731="","",IF(B731="OWN","Yes","No"))</f>
        <v/>
      </c>
      <c r="AF731" s="9">
        <f>IF(ISNUMBER(Z731),IF(Z731&lt;=2,"&lt;=2 d",IF(Z731&lt;=7,"3-7 d",IF(Z731&lt;=30,"8-30 d","&gt;30 d"))),IF(AE731&lt;&gt;"",AE731,IF(Z731="NR","NR","")))</f>
        <v/>
      </c>
      <c r="AX731" s="9">
        <f>IF(ISNUMBER(AW731),IF(AW731&gt;450,"Yes","No"),IF(AW731="NR","NR",""))</f>
        <v/>
      </c>
      <c r="BJ731" s="9">
        <f>IF(BB731="","",IF(BB731="Non-viable","Non-viable",IF(BB731="Viable","Viable",IF(BB731="Partially non-viable",IF(OR(BD731="Total splenectomy",BD731="Partial splenectomy +/- splenopexy"),"Non-viable","Review"),IF(BB731="NR",IF(OR(BD731="Total splenectomy",BD731="Partial splenectomy +/- splenopexy"),"NR - removed, check reason","NR"),"Not applicable")))))</f>
        <v/>
      </c>
    </row>
    <row r="732">
      <c r="D732" s="8" t="n"/>
      <c r="E732" s="9">
        <f>IF(B732="","",IF(B732="OWN","Yes","No"))</f>
        <v/>
      </c>
      <c r="AF732" s="9">
        <f>IF(ISNUMBER(Z732),IF(Z732&lt;=2,"&lt;=2 d",IF(Z732&lt;=7,"3-7 d",IF(Z732&lt;=30,"8-30 d","&gt;30 d"))),IF(AE732&lt;&gt;"",AE732,IF(Z732="NR","NR","")))</f>
        <v/>
      </c>
      <c r="AX732" s="9">
        <f>IF(ISNUMBER(AW732),IF(AW732&gt;450,"Yes","No"),IF(AW732="NR","NR",""))</f>
        <v/>
      </c>
      <c r="BJ732" s="9">
        <f>IF(BB732="","",IF(BB732="Non-viable","Non-viable",IF(BB732="Viable","Viable",IF(BB732="Partially non-viable",IF(OR(BD732="Total splenectomy",BD732="Partial splenectomy +/- splenopexy"),"Non-viable","Review"),IF(BB732="NR",IF(OR(BD732="Total splenectomy",BD732="Partial splenectomy +/- splenopexy"),"NR - removed, check reason","NR"),"Not applicable")))))</f>
        <v/>
      </c>
    </row>
    <row r="733">
      <c r="D733" s="8" t="n"/>
      <c r="E733" s="9">
        <f>IF(B733="","",IF(B733="OWN","Yes","No"))</f>
        <v/>
      </c>
      <c r="AF733" s="9">
        <f>IF(ISNUMBER(Z733),IF(Z733&lt;=2,"&lt;=2 d",IF(Z733&lt;=7,"3-7 d",IF(Z733&lt;=30,"8-30 d","&gt;30 d"))),IF(AE733&lt;&gt;"",AE733,IF(Z733="NR","NR","")))</f>
        <v/>
      </c>
      <c r="AX733" s="9">
        <f>IF(ISNUMBER(AW733),IF(AW733&gt;450,"Yes","No"),IF(AW733="NR","NR",""))</f>
        <v/>
      </c>
      <c r="BJ733" s="9">
        <f>IF(BB733="","",IF(BB733="Non-viable","Non-viable",IF(BB733="Viable","Viable",IF(BB733="Partially non-viable",IF(OR(BD733="Total splenectomy",BD733="Partial splenectomy +/- splenopexy"),"Non-viable","Review"),IF(BB733="NR",IF(OR(BD733="Total splenectomy",BD733="Partial splenectomy +/- splenopexy"),"NR - removed, check reason","NR"),"Not applicable")))))</f>
        <v/>
      </c>
    </row>
    <row r="734">
      <c r="D734" s="8" t="n"/>
      <c r="E734" s="9">
        <f>IF(B734="","",IF(B734="OWN","Yes","No"))</f>
        <v/>
      </c>
      <c r="AF734" s="9">
        <f>IF(ISNUMBER(Z734),IF(Z734&lt;=2,"&lt;=2 d",IF(Z734&lt;=7,"3-7 d",IF(Z734&lt;=30,"8-30 d","&gt;30 d"))),IF(AE734&lt;&gt;"",AE734,IF(Z734="NR","NR","")))</f>
        <v/>
      </c>
      <c r="AX734" s="9">
        <f>IF(ISNUMBER(AW734),IF(AW734&gt;450,"Yes","No"),IF(AW734="NR","NR",""))</f>
        <v/>
      </c>
      <c r="BJ734" s="9">
        <f>IF(BB734="","",IF(BB734="Non-viable","Non-viable",IF(BB734="Viable","Viable",IF(BB734="Partially non-viable",IF(OR(BD734="Total splenectomy",BD734="Partial splenectomy +/- splenopexy"),"Non-viable","Review"),IF(BB734="NR",IF(OR(BD734="Total splenectomy",BD734="Partial splenectomy +/- splenopexy"),"NR - removed, check reason","NR"),"Not applicable")))))</f>
        <v/>
      </c>
    </row>
    <row r="735">
      <c r="D735" s="8" t="n"/>
      <c r="E735" s="9">
        <f>IF(B735="","",IF(B735="OWN","Yes","No"))</f>
        <v/>
      </c>
      <c r="AF735" s="9">
        <f>IF(ISNUMBER(Z735),IF(Z735&lt;=2,"&lt;=2 d",IF(Z735&lt;=7,"3-7 d",IF(Z735&lt;=30,"8-30 d","&gt;30 d"))),IF(AE735&lt;&gt;"",AE735,IF(Z735="NR","NR","")))</f>
        <v/>
      </c>
      <c r="AX735" s="9">
        <f>IF(ISNUMBER(AW735),IF(AW735&gt;450,"Yes","No"),IF(AW735="NR","NR",""))</f>
        <v/>
      </c>
      <c r="BJ735" s="9">
        <f>IF(BB735="","",IF(BB735="Non-viable","Non-viable",IF(BB735="Viable","Viable",IF(BB735="Partially non-viable",IF(OR(BD735="Total splenectomy",BD735="Partial splenectomy +/- splenopexy"),"Non-viable","Review"),IF(BB735="NR",IF(OR(BD735="Total splenectomy",BD735="Partial splenectomy +/- splenopexy"),"NR - removed, check reason","NR"),"Not applicable")))))</f>
        <v/>
      </c>
    </row>
    <row r="736">
      <c r="D736" s="8" t="n"/>
      <c r="E736" s="9">
        <f>IF(B736="","",IF(B736="OWN","Yes","No"))</f>
        <v/>
      </c>
      <c r="AF736" s="9">
        <f>IF(ISNUMBER(Z736),IF(Z736&lt;=2,"&lt;=2 d",IF(Z736&lt;=7,"3-7 d",IF(Z736&lt;=30,"8-30 d","&gt;30 d"))),IF(AE736&lt;&gt;"",AE736,IF(Z736="NR","NR","")))</f>
        <v/>
      </c>
      <c r="AX736" s="9">
        <f>IF(ISNUMBER(AW736),IF(AW736&gt;450,"Yes","No"),IF(AW736="NR","NR",""))</f>
        <v/>
      </c>
      <c r="BJ736" s="9">
        <f>IF(BB736="","",IF(BB736="Non-viable","Non-viable",IF(BB736="Viable","Viable",IF(BB736="Partially non-viable",IF(OR(BD736="Total splenectomy",BD736="Partial splenectomy +/- splenopexy"),"Non-viable","Review"),IF(BB736="NR",IF(OR(BD736="Total splenectomy",BD736="Partial splenectomy +/- splenopexy"),"NR - removed, check reason","NR"),"Not applicable")))))</f>
        <v/>
      </c>
    </row>
    <row r="737">
      <c r="D737" s="8" t="n"/>
      <c r="E737" s="9">
        <f>IF(B737="","",IF(B737="OWN","Yes","No"))</f>
        <v/>
      </c>
      <c r="AF737" s="9">
        <f>IF(ISNUMBER(Z737),IF(Z737&lt;=2,"&lt;=2 d",IF(Z737&lt;=7,"3-7 d",IF(Z737&lt;=30,"8-30 d","&gt;30 d"))),IF(AE737&lt;&gt;"",AE737,IF(Z737="NR","NR","")))</f>
        <v/>
      </c>
      <c r="AX737" s="9">
        <f>IF(ISNUMBER(AW737),IF(AW737&gt;450,"Yes","No"),IF(AW737="NR","NR",""))</f>
        <v/>
      </c>
      <c r="BJ737" s="9">
        <f>IF(BB737="","",IF(BB737="Non-viable","Non-viable",IF(BB737="Viable","Viable",IF(BB737="Partially non-viable",IF(OR(BD737="Total splenectomy",BD737="Partial splenectomy +/- splenopexy"),"Non-viable","Review"),IF(BB737="NR",IF(OR(BD737="Total splenectomy",BD737="Partial splenectomy +/- splenopexy"),"NR - removed, check reason","NR"),"Not applicable")))))</f>
        <v/>
      </c>
    </row>
    <row r="738">
      <c r="D738" s="8" t="n"/>
      <c r="E738" s="9">
        <f>IF(B738="","",IF(B738="OWN","Yes","No"))</f>
        <v/>
      </c>
      <c r="AF738" s="9">
        <f>IF(ISNUMBER(Z738),IF(Z738&lt;=2,"&lt;=2 d",IF(Z738&lt;=7,"3-7 d",IF(Z738&lt;=30,"8-30 d","&gt;30 d"))),IF(AE738&lt;&gt;"",AE738,IF(Z738="NR","NR","")))</f>
        <v/>
      </c>
      <c r="AX738" s="9">
        <f>IF(ISNUMBER(AW738),IF(AW738&gt;450,"Yes","No"),IF(AW738="NR","NR",""))</f>
        <v/>
      </c>
      <c r="BJ738" s="9">
        <f>IF(BB738="","",IF(BB738="Non-viable","Non-viable",IF(BB738="Viable","Viable",IF(BB738="Partially non-viable",IF(OR(BD738="Total splenectomy",BD738="Partial splenectomy +/- splenopexy"),"Non-viable","Review"),IF(BB738="NR",IF(OR(BD738="Total splenectomy",BD738="Partial splenectomy +/- splenopexy"),"NR - removed, check reason","NR"),"Not applicable")))))</f>
        <v/>
      </c>
    </row>
    <row r="739">
      <c r="D739" s="8" t="n"/>
      <c r="E739" s="9">
        <f>IF(B739="","",IF(B739="OWN","Yes","No"))</f>
        <v/>
      </c>
      <c r="AF739" s="9">
        <f>IF(ISNUMBER(Z739),IF(Z739&lt;=2,"&lt;=2 d",IF(Z739&lt;=7,"3-7 d",IF(Z739&lt;=30,"8-30 d","&gt;30 d"))),IF(AE739&lt;&gt;"",AE739,IF(Z739="NR","NR","")))</f>
        <v/>
      </c>
      <c r="AX739" s="9">
        <f>IF(ISNUMBER(AW739),IF(AW739&gt;450,"Yes","No"),IF(AW739="NR","NR",""))</f>
        <v/>
      </c>
      <c r="BJ739" s="9">
        <f>IF(BB739="","",IF(BB739="Non-viable","Non-viable",IF(BB739="Viable","Viable",IF(BB739="Partially non-viable",IF(OR(BD739="Total splenectomy",BD739="Partial splenectomy +/- splenopexy"),"Non-viable","Review"),IF(BB739="NR",IF(OR(BD739="Total splenectomy",BD739="Partial splenectomy +/- splenopexy"),"NR - removed, check reason","NR"),"Not applicable")))))</f>
        <v/>
      </c>
    </row>
    <row r="740">
      <c r="D740" s="8" t="n"/>
      <c r="E740" s="9">
        <f>IF(B740="","",IF(B740="OWN","Yes","No"))</f>
        <v/>
      </c>
      <c r="AF740" s="9">
        <f>IF(ISNUMBER(Z740),IF(Z740&lt;=2,"&lt;=2 d",IF(Z740&lt;=7,"3-7 d",IF(Z740&lt;=30,"8-30 d","&gt;30 d"))),IF(AE740&lt;&gt;"",AE740,IF(Z740="NR","NR","")))</f>
        <v/>
      </c>
      <c r="AX740" s="9">
        <f>IF(ISNUMBER(AW740),IF(AW740&gt;450,"Yes","No"),IF(AW740="NR","NR",""))</f>
        <v/>
      </c>
      <c r="BJ740" s="9">
        <f>IF(BB740="","",IF(BB740="Non-viable","Non-viable",IF(BB740="Viable","Viable",IF(BB740="Partially non-viable",IF(OR(BD740="Total splenectomy",BD740="Partial splenectomy +/- splenopexy"),"Non-viable","Review"),IF(BB740="NR",IF(OR(BD740="Total splenectomy",BD740="Partial splenectomy +/- splenopexy"),"NR - removed, check reason","NR"),"Not applicable")))))</f>
        <v/>
      </c>
    </row>
    <row r="741">
      <c r="D741" s="8" t="n"/>
      <c r="E741" s="9">
        <f>IF(B741="","",IF(B741="OWN","Yes","No"))</f>
        <v/>
      </c>
      <c r="AF741" s="9">
        <f>IF(ISNUMBER(Z741),IF(Z741&lt;=2,"&lt;=2 d",IF(Z741&lt;=7,"3-7 d",IF(Z741&lt;=30,"8-30 d","&gt;30 d"))),IF(AE741&lt;&gt;"",AE741,IF(Z741="NR","NR","")))</f>
        <v/>
      </c>
      <c r="AX741" s="9">
        <f>IF(ISNUMBER(AW741),IF(AW741&gt;450,"Yes","No"),IF(AW741="NR","NR",""))</f>
        <v/>
      </c>
      <c r="BJ741" s="9">
        <f>IF(BB741="","",IF(BB741="Non-viable","Non-viable",IF(BB741="Viable","Viable",IF(BB741="Partially non-viable",IF(OR(BD741="Total splenectomy",BD741="Partial splenectomy +/- splenopexy"),"Non-viable","Review"),IF(BB741="NR",IF(OR(BD741="Total splenectomy",BD741="Partial splenectomy +/- splenopexy"),"NR - removed, check reason","NR"),"Not applicable")))))</f>
        <v/>
      </c>
    </row>
    <row r="742">
      <c r="D742" s="8" t="n"/>
      <c r="E742" s="9">
        <f>IF(B742="","",IF(B742="OWN","Yes","No"))</f>
        <v/>
      </c>
      <c r="AF742" s="9">
        <f>IF(ISNUMBER(Z742),IF(Z742&lt;=2,"&lt;=2 d",IF(Z742&lt;=7,"3-7 d",IF(Z742&lt;=30,"8-30 d","&gt;30 d"))),IF(AE742&lt;&gt;"",AE742,IF(Z742="NR","NR","")))</f>
        <v/>
      </c>
      <c r="AX742" s="9">
        <f>IF(ISNUMBER(AW742),IF(AW742&gt;450,"Yes","No"),IF(AW742="NR","NR",""))</f>
        <v/>
      </c>
      <c r="BJ742" s="9">
        <f>IF(BB742="","",IF(BB742="Non-viable","Non-viable",IF(BB742="Viable","Viable",IF(BB742="Partially non-viable",IF(OR(BD742="Total splenectomy",BD742="Partial splenectomy +/- splenopexy"),"Non-viable","Review"),IF(BB742="NR",IF(OR(BD742="Total splenectomy",BD742="Partial splenectomy +/- splenopexy"),"NR - removed, check reason","NR"),"Not applicable")))))</f>
        <v/>
      </c>
    </row>
    <row r="743">
      <c r="D743" s="8" t="n"/>
      <c r="E743" s="9">
        <f>IF(B743="","",IF(B743="OWN","Yes","No"))</f>
        <v/>
      </c>
      <c r="AF743" s="9">
        <f>IF(ISNUMBER(Z743),IF(Z743&lt;=2,"&lt;=2 d",IF(Z743&lt;=7,"3-7 d",IF(Z743&lt;=30,"8-30 d","&gt;30 d"))),IF(AE743&lt;&gt;"",AE743,IF(Z743="NR","NR","")))</f>
        <v/>
      </c>
      <c r="AX743" s="9">
        <f>IF(ISNUMBER(AW743),IF(AW743&gt;450,"Yes","No"),IF(AW743="NR","NR",""))</f>
        <v/>
      </c>
      <c r="BJ743" s="9">
        <f>IF(BB743="","",IF(BB743="Non-viable","Non-viable",IF(BB743="Viable","Viable",IF(BB743="Partially non-viable",IF(OR(BD743="Total splenectomy",BD743="Partial splenectomy +/- splenopexy"),"Non-viable","Review"),IF(BB743="NR",IF(OR(BD743="Total splenectomy",BD743="Partial splenectomy +/- splenopexy"),"NR - removed, check reason","NR"),"Not applicable")))))</f>
        <v/>
      </c>
    </row>
    <row r="744">
      <c r="D744" s="8" t="n"/>
      <c r="E744" s="9">
        <f>IF(B744="","",IF(B744="OWN","Yes","No"))</f>
        <v/>
      </c>
      <c r="AF744" s="9">
        <f>IF(ISNUMBER(Z744),IF(Z744&lt;=2,"&lt;=2 d",IF(Z744&lt;=7,"3-7 d",IF(Z744&lt;=30,"8-30 d","&gt;30 d"))),IF(AE744&lt;&gt;"",AE744,IF(Z744="NR","NR","")))</f>
        <v/>
      </c>
      <c r="AX744" s="9">
        <f>IF(ISNUMBER(AW744),IF(AW744&gt;450,"Yes","No"),IF(AW744="NR","NR",""))</f>
        <v/>
      </c>
      <c r="BJ744" s="9">
        <f>IF(BB744="","",IF(BB744="Non-viable","Non-viable",IF(BB744="Viable","Viable",IF(BB744="Partially non-viable",IF(OR(BD744="Total splenectomy",BD744="Partial splenectomy +/- splenopexy"),"Non-viable","Review"),IF(BB744="NR",IF(OR(BD744="Total splenectomy",BD744="Partial splenectomy +/- splenopexy"),"NR - removed, check reason","NR"),"Not applicable")))))</f>
        <v/>
      </c>
    </row>
    <row r="745">
      <c r="D745" s="8" t="n"/>
      <c r="E745" s="9">
        <f>IF(B745="","",IF(B745="OWN","Yes","No"))</f>
        <v/>
      </c>
      <c r="AF745" s="9">
        <f>IF(ISNUMBER(Z745),IF(Z745&lt;=2,"&lt;=2 d",IF(Z745&lt;=7,"3-7 d",IF(Z745&lt;=30,"8-30 d","&gt;30 d"))),IF(AE745&lt;&gt;"",AE745,IF(Z745="NR","NR","")))</f>
        <v/>
      </c>
      <c r="AX745" s="9">
        <f>IF(ISNUMBER(AW745),IF(AW745&gt;450,"Yes","No"),IF(AW745="NR","NR",""))</f>
        <v/>
      </c>
      <c r="BJ745" s="9">
        <f>IF(BB745="","",IF(BB745="Non-viable","Non-viable",IF(BB745="Viable","Viable",IF(BB745="Partially non-viable",IF(OR(BD745="Total splenectomy",BD745="Partial splenectomy +/- splenopexy"),"Non-viable","Review"),IF(BB745="NR",IF(OR(BD745="Total splenectomy",BD745="Partial splenectomy +/- splenopexy"),"NR - removed, check reason","NR"),"Not applicable")))))</f>
        <v/>
      </c>
    </row>
    <row r="746">
      <c r="D746" s="8" t="n"/>
      <c r="E746" s="9">
        <f>IF(B746="","",IF(B746="OWN","Yes","No"))</f>
        <v/>
      </c>
      <c r="AF746" s="9">
        <f>IF(ISNUMBER(Z746),IF(Z746&lt;=2,"&lt;=2 d",IF(Z746&lt;=7,"3-7 d",IF(Z746&lt;=30,"8-30 d","&gt;30 d"))),IF(AE746&lt;&gt;"",AE746,IF(Z746="NR","NR","")))</f>
        <v/>
      </c>
      <c r="AX746" s="9">
        <f>IF(ISNUMBER(AW746),IF(AW746&gt;450,"Yes","No"),IF(AW746="NR","NR",""))</f>
        <v/>
      </c>
      <c r="BJ746" s="9">
        <f>IF(BB746="","",IF(BB746="Non-viable","Non-viable",IF(BB746="Viable","Viable",IF(BB746="Partially non-viable",IF(OR(BD746="Total splenectomy",BD746="Partial splenectomy +/- splenopexy"),"Non-viable","Review"),IF(BB746="NR",IF(OR(BD746="Total splenectomy",BD746="Partial splenectomy +/- splenopexy"),"NR - removed, check reason","NR"),"Not applicable")))))</f>
        <v/>
      </c>
    </row>
    <row r="747">
      <c r="D747" s="8" t="n"/>
      <c r="E747" s="9">
        <f>IF(B747="","",IF(B747="OWN","Yes","No"))</f>
        <v/>
      </c>
      <c r="AF747" s="9">
        <f>IF(ISNUMBER(Z747),IF(Z747&lt;=2,"&lt;=2 d",IF(Z747&lt;=7,"3-7 d",IF(Z747&lt;=30,"8-30 d","&gt;30 d"))),IF(AE747&lt;&gt;"",AE747,IF(Z747="NR","NR","")))</f>
        <v/>
      </c>
      <c r="AX747" s="9">
        <f>IF(ISNUMBER(AW747),IF(AW747&gt;450,"Yes","No"),IF(AW747="NR","NR",""))</f>
        <v/>
      </c>
      <c r="BJ747" s="9">
        <f>IF(BB747="","",IF(BB747="Non-viable","Non-viable",IF(BB747="Viable","Viable",IF(BB747="Partially non-viable",IF(OR(BD747="Total splenectomy",BD747="Partial splenectomy +/- splenopexy"),"Non-viable","Review"),IF(BB747="NR",IF(OR(BD747="Total splenectomy",BD747="Partial splenectomy +/- splenopexy"),"NR - removed, check reason","NR"),"Not applicable")))))</f>
        <v/>
      </c>
    </row>
    <row r="748">
      <c r="D748" s="8" t="n"/>
      <c r="E748" s="9">
        <f>IF(B748="","",IF(B748="OWN","Yes","No"))</f>
        <v/>
      </c>
      <c r="AF748" s="9">
        <f>IF(ISNUMBER(Z748),IF(Z748&lt;=2,"&lt;=2 d",IF(Z748&lt;=7,"3-7 d",IF(Z748&lt;=30,"8-30 d","&gt;30 d"))),IF(AE748&lt;&gt;"",AE748,IF(Z748="NR","NR","")))</f>
        <v/>
      </c>
      <c r="AX748" s="9">
        <f>IF(ISNUMBER(AW748),IF(AW748&gt;450,"Yes","No"),IF(AW748="NR","NR",""))</f>
        <v/>
      </c>
      <c r="BJ748" s="9">
        <f>IF(BB748="","",IF(BB748="Non-viable","Non-viable",IF(BB748="Viable","Viable",IF(BB748="Partially non-viable",IF(OR(BD748="Total splenectomy",BD748="Partial splenectomy +/- splenopexy"),"Non-viable","Review"),IF(BB748="NR",IF(OR(BD748="Total splenectomy",BD748="Partial splenectomy +/- splenopexy"),"NR - removed, check reason","NR"),"Not applicable")))))</f>
        <v/>
      </c>
    </row>
    <row r="749">
      <c r="D749" s="8" t="n"/>
      <c r="E749" s="9">
        <f>IF(B749="","",IF(B749="OWN","Yes","No"))</f>
        <v/>
      </c>
      <c r="AF749" s="9">
        <f>IF(ISNUMBER(Z749),IF(Z749&lt;=2,"&lt;=2 d",IF(Z749&lt;=7,"3-7 d",IF(Z749&lt;=30,"8-30 d","&gt;30 d"))),IF(AE749&lt;&gt;"",AE749,IF(Z749="NR","NR","")))</f>
        <v/>
      </c>
      <c r="AX749" s="9">
        <f>IF(ISNUMBER(AW749),IF(AW749&gt;450,"Yes","No"),IF(AW749="NR","NR",""))</f>
        <v/>
      </c>
      <c r="BJ749" s="9">
        <f>IF(BB749="","",IF(BB749="Non-viable","Non-viable",IF(BB749="Viable","Viable",IF(BB749="Partially non-viable",IF(OR(BD749="Total splenectomy",BD749="Partial splenectomy +/- splenopexy"),"Non-viable","Review"),IF(BB749="NR",IF(OR(BD749="Total splenectomy",BD749="Partial splenectomy +/- splenopexy"),"NR - removed, check reason","NR"),"Not applicable")))))</f>
        <v/>
      </c>
    </row>
    <row r="750">
      <c r="D750" s="8" t="n"/>
      <c r="E750" s="9">
        <f>IF(B750="","",IF(B750="OWN","Yes","No"))</f>
        <v/>
      </c>
      <c r="AF750" s="9">
        <f>IF(ISNUMBER(Z750),IF(Z750&lt;=2,"&lt;=2 d",IF(Z750&lt;=7,"3-7 d",IF(Z750&lt;=30,"8-30 d","&gt;30 d"))),IF(AE750&lt;&gt;"",AE750,IF(Z750="NR","NR","")))</f>
        <v/>
      </c>
      <c r="AX750" s="9">
        <f>IF(ISNUMBER(AW750),IF(AW750&gt;450,"Yes","No"),IF(AW750="NR","NR",""))</f>
        <v/>
      </c>
      <c r="BJ750" s="9">
        <f>IF(BB750="","",IF(BB750="Non-viable","Non-viable",IF(BB750="Viable","Viable",IF(BB750="Partially non-viable",IF(OR(BD750="Total splenectomy",BD750="Partial splenectomy +/- splenopexy"),"Non-viable","Review"),IF(BB750="NR",IF(OR(BD750="Total splenectomy",BD750="Partial splenectomy +/- splenopexy"),"NR - removed, check reason","NR"),"Not applicable")))))</f>
        <v/>
      </c>
    </row>
    <row r="751">
      <c r="D751" s="8" t="n"/>
      <c r="E751" s="9">
        <f>IF(B751="","",IF(B751="OWN","Yes","No"))</f>
        <v/>
      </c>
      <c r="AF751" s="9">
        <f>IF(ISNUMBER(Z751),IF(Z751&lt;=2,"&lt;=2 d",IF(Z751&lt;=7,"3-7 d",IF(Z751&lt;=30,"8-30 d","&gt;30 d"))),IF(AE751&lt;&gt;"",AE751,IF(Z751="NR","NR","")))</f>
        <v/>
      </c>
      <c r="AX751" s="9">
        <f>IF(ISNUMBER(AW751),IF(AW751&gt;450,"Yes","No"),IF(AW751="NR","NR",""))</f>
        <v/>
      </c>
      <c r="BJ751" s="9">
        <f>IF(BB751="","",IF(BB751="Non-viable","Non-viable",IF(BB751="Viable","Viable",IF(BB751="Partially non-viable",IF(OR(BD751="Total splenectomy",BD751="Partial splenectomy +/- splenopexy"),"Non-viable","Review"),IF(BB751="NR",IF(OR(BD751="Total splenectomy",BD751="Partial splenectomy +/- splenopexy"),"NR - removed, check reason","NR"),"Not applicable")))))</f>
        <v/>
      </c>
    </row>
    <row r="752">
      <c r="D752" s="8" t="n"/>
      <c r="E752" s="9">
        <f>IF(B752="","",IF(B752="OWN","Yes","No"))</f>
        <v/>
      </c>
      <c r="AF752" s="9">
        <f>IF(ISNUMBER(Z752),IF(Z752&lt;=2,"&lt;=2 d",IF(Z752&lt;=7,"3-7 d",IF(Z752&lt;=30,"8-30 d","&gt;30 d"))),IF(AE752&lt;&gt;"",AE752,IF(Z752="NR","NR","")))</f>
        <v/>
      </c>
      <c r="AX752" s="9">
        <f>IF(ISNUMBER(AW752),IF(AW752&gt;450,"Yes","No"),IF(AW752="NR","NR",""))</f>
        <v/>
      </c>
      <c r="BJ752" s="9">
        <f>IF(BB752="","",IF(BB752="Non-viable","Non-viable",IF(BB752="Viable","Viable",IF(BB752="Partially non-viable",IF(OR(BD752="Total splenectomy",BD752="Partial splenectomy +/- splenopexy"),"Non-viable","Review"),IF(BB752="NR",IF(OR(BD752="Total splenectomy",BD752="Partial splenectomy +/- splenopexy"),"NR - removed, check reason","NR"),"Not applicable")))))</f>
        <v/>
      </c>
    </row>
    <row r="753">
      <c r="D753" s="8" t="n"/>
      <c r="E753" s="9">
        <f>IF(B753="","",IF(B753="OWN","Yes","No"))</f>
        <v/>
      </c>
      <c r="AF753" s="9">
        <f>IF(ISNUMBER(Z753),IF(Z753&lt;=2,"&lt;=2 d",IF(Z753&lt;=7,"3-7 d",IF(Z753&lt;=30,"8-30 d","&gt;30 d"))),IF(AE753&lt;&gt;"",AE753,IF(Z753="NR","NR","")))</f>
        <v/>
      </c>
      <c r="AX753" s="9">
        <f>IF(ISNUMBER(AW753),IF(AW753&gt;450,"Yes","No"),IF(AW753="NR","NR",""))</f>
        <v/>
      </c>
      <c r="BJ753" s="9">
        <f>IF(BB753="","",IF(BB753="Non-viable","Non-viable",IF(BB753="Viable","Viable",IF(BB753="Partially non-viable",IF(OR(BD753="Total splenectomy",BD753="Partial splenectomy +/- splenopexy"),"Non-viable","Review"),IF(BB753="NR",IF(OR(BD753="Total splenectomy",BD753="Partial splenectomy +/- splenopexy"),"NR - removed, check reason","NR"),"Not applicable")))))</f>
        <v/>
      </c>
    </row>
    <row r="754">
      <c r="D754" s="8" t="n"/>
      <c r="E754" s="9">
        <f>IF(B754="","",IF(B754="OWN","Yes","No"))</f>
        <v/>
      </c>
      <c r="AF754" s="9">
        <f>IF(ISNUMBER(Z754),IF(Z754&lt;=2,"&lt;=2 d",IF(Z754&lt;=7,"3-7 d",IF(Z754&lt;=30,"8-30 d","&gt;30 d"))),IF(AE754&lt;&gt;"",AE754,IF(Z754="NR","NR","")))</f>
        <v/>
      </c>
      <c r="AX754" s="9">
        <f>IF(ISNUMBER(AW754),IF(AW754&gt;450,"Yes","No"),IF(AW754="NR","NR",""))</f>
        <v/>
      </c>
      <c r="BJ754" s="9">
        <f>IF(BB754="","",IF(BB754="Non-viable","Non-viable",IF(BB754="Viable","Viable",IF(BB754="Partially non-viable",IF(OR(BD754="Total splenectomy",BD754="Partial splenectomy +/- splenopexy"),"Non-viable","Review"),IF(BB754="NR",IF(OR(BD754="Total splenectomy",BD754="Partial splenectomy +/- splenopexy"),"NR - removed, check reason","NR"),"Not applicable")))))</f>
        <v/>
      </c>
    </row>
    <row r="755">
      <c r="D755" s="8" t="n"/>
      <c r="E755" s="9">
        <f>IF(B755="","",IF(B755="OWN","Yes","No"))</f>
        <v/>
      </c>
      <c r="AF755" s="9">
        <f>IF(ISNUMBER(Z755),IF(Z755&lt;=2,"&lt;=2 d",IF(Z755&lt;=7,"3-7 d",IF(Z755&lt;=30,"8-30 d","&gt;30 d"))),IF(AE755&lt;&gt;"",AE755,IF(Z755="NR","NR","")))</f>
        <v/>
      </c>
      <c r="AX755" s="9">
        <f>IF(ISNUMBER(AW755),IF(AW755&gt;450,"Yes","No"),IF(AW755="NR","NR",""))</f>
        <v/>
      </c>
      <c r="BJ755" s="9">
        <f>IF(BB755="","",IF(BB755="Non-viable","Non-viable",IF(BB755="Viable","Viable",IF(BB755="Partially non-viable",IF(OR(BD755="Total splenectomy",BD755="Partial splenectomy +/- splenopexy"),"Non-viable","Review"),IF(BB755="NR",IF(OR(BD755="Total splenectomy",BD755="Partial splenectomy +/- splenopexy"),"NR - removed, check reason","NR"),"Not applicable")))))</f>
        <v/>
      </c>
    </row>
    <row r="756">
      <c r="D756" s="8" t="n"/>
      <c r="E756" s="9">
        <f>IF(B756="","",IF(B756="OWN","Yes","No"))</f>
        <v/>
      </c>
      <c r="AF756" s="9">
        <f>IF(ISNUMBER(Z756),IF(Z756&lt;=2,"&lt;=2 d",IF(Z756&lt;=7,"3-7 d",IF(Z756&lt;=30,"8-30 d","&gt;30 d"))),IF(AE756&lt;&gt;"",AE756,IF(Z756="NR","NR","")))</f>
        <v/>
      </c>
      <c r="AX756" s="9">
        <f>IF(ISNUMBER(AW756),IF(AW756&gt;450,"Yes","No"),IF(AW756="NR","NR",""))</f>
        <v/>
      </c>
      <c r="BJ756" s="9">
        <f>IF(BB756="","",IF(BB756="Non-viable","Non-viable",IF(BB756="Viable","Viable",IF(BB756="Partially non-viable",IF(OR(BD756="Total splenectomy",BD756="Partial splenectomy +/- splenopexy"),"Non-viable","Review"),IF(BB756="NR",IF(OR(BD756="Total splenectomy",BD756="Partial splenectomy +/- splenopexy"),"NR - removed, check reason","NR"),"Not applicable")))))</f>
        <v/>
      </c>
    </row>
    <row r="757">
      <c r="D757" s="8" t="n"/>
      <c r="E757" s="9">
        <f>IF(B757="","",IF(B757="OWN","Yes","No"))</f>
        <v/>
      </c>
      <c r="AF757" s="9">
        <f>IF(ISNUMBER(Z757),IF(Z757&lt;=2,"&lt;=2 d",IF(Z757&lt;=7,"3-7 d",IF(Z757&lt;=30,"8-30 d","&gt;30 d"))),IF(AE757&lt;&gt;"",AE757,IF(Z757="NR","NR","")))</f>
        <v/>
      </c>
      <c r="AX757" s="9">
        <f>IF(ISNUMBER(AW757),IF(AW757&gt;450,"Yes","No"),IF(AW757="NR","NR",""))</f>
        <v/>
      </c>
      <c r="BJ757" s="9">
        <f>IF(BB757="","",IF(BB757="Non-viable","Non-viable",IF(BB757="Viable","Viable",IF(BB757="Partially non-viable",IF(OR(BD757="Total splenectomy",BD757="Partial splenectomy +/- splenopexy"),"Non-viable","Review"),IF(BB757="NR",IF(OR(BD757="Total splenectomy",BD757="Partial splenectomy +/- splenopexy"),"NR - removed, check reason","NR"),"Not applicable")))))</f>
        <v/>
      </c>
    </row>
    <row r="758">
      <c r="D758" s="8" t="n"/>
      <c r="E758" s="9">
        <f>IF(B758="","",IF(B758="OWN","Yes","No"))</f>
        <v/>
      </c>
      <c r="AF758" s="9">
        <f>IF(ISNUMBER(Z758),IF(Z758&lt;=2,"&lt;=2 d",IF(Z758&lt;=7,"3-7 d",IF(Z758&lt;=30,"8-30 d","&gt;30 d"))),IF(AE758&lt;&gt;"",AE758,IF(Z758="NR","NR","")))</f>
        <v/>
      </c>
      <c r="AX758" s="9">
        <f>IF(ISNUMBER(AW758),IF(AW758&gt;450,"Yes","No"),IF(AW758="NR","NR",""))</f>
        <v/>
      </c>
      <c r="BJ758" s="9">
        <f>IF(BB758="","",IF(BB758="Non-viable","Non-viable",IF(BB758="Viable","Viable",IF(BB758="Partially non-viable",IF(OR(BD758="Total splenectomy",BD758="Partial splenectomy +/- splenopexy"),"Non-viable","Review"),IF(BB758="NR",IF(OR(BD758="Total splenectomy",BD758="Partial splenectomy +/- splenopexy"),"NR - removed, check reason","NR"),"Not applicable")))))</f>
        <v/>
      </c>
    </row>
    <row r="759">
      <c r="D759" s="8" t="n"/>
      <c r="E759" s="9">
        <f>IF(B759="","",IF(B759="OWN","Yes","No"))</f>
        <v/>
      </c>
      <c r="AF759" s="9">
        <f>IF(ISNUMBER(Z759),IF(Z759&lt;=2,"&lt;=2 d",IF(Z759&lt;=7,"3-7 d",IF(Z759&lt;=30,"8-30 d","&gt;30 d"))),IF(AE759&lt;&gt;"",AE759,IF(Z759="NR","NR","")))</f>
        <v/>
      </c>
      <c r="AX759" s="9">
        <f>IF(ISNUMBER(AW759),IF(AW759&gt;450,"Yes","No"),IF(AW759="NR","NR",""))</f>
        <v/>
      </c>
      <c r="BJ759" s="9">
        <f>IF(BB759="","",IF(BB759="Non-viable","Non-viable",IF(BB759="Viable","Viable",IF(BB759="Partially non-viable",IF(OR(BD759="Total splenectomy",BD759="Partial splenectomy +/- splenopexy"),"Non-viable","Review"),IF(BB759="NR",IF(OR(BD759="Total splenectomy",BD759="Partial splenectomy +/- splenopexy"),"NR - removed, check reason","NR"),"Not applicable")))))</f>
        <v/>
      </c>
    </row>
    <row r="760">
      <c r="D760" s="8" t="n"/>
      <c r="E760" s="9">
        <f>IF(B760="","",IF(B760="OWN","Yes","No"))</f>
        <v/>
      </c>
      <c r="AF760" s="9">
        <f>IF(ISNUMBER(Z760),IF(Z760&lt;=2,"&lt;=2 d",IF(Z760&lt;=7,"3-7 d",IF(Z760&lt;=30,"8-30 d","&gt;30 d"))),IF(AE760&lt;&gt;"",AE760,IF(Z760="NR","NR","")))</f>
        <v/>
      </c>
      <c r="AX760" s="9">
        <f>IF(ISNUMBER(AW760),IF(AW760&gt;450,"Yes","No"),IF(AW760="NR","NR",""))</f>
        <v/>
      </c>
      <c r="BJ760" s="9">
        <f>IF(BB760="","",IF(BB760="Non-viable","Non-viable",IF(BB760="Viable","Viable",IF(BB760="Partially non-viable",IF(OR(BD760="Total splenectomy",BD760="Partial splenectomy +/- splenopexy"),"Non-viable","Review"),IF(BB760="NR",IF(OR(BD760="Total splenectomy",BD760="Partial splenectomy +/- splenopexy"),"NR - removed, check reason","NR"),"Not applicable")))))</f>
        <v/>
      </c>
    </row>
    <row r="761">
      <c r="D761" s="8" t="n"/>
      <c r="E761" s="9">
        <f>IF(B761="","",IF(B761="OWN","Yes","No"))</f>
        <v/>
      </c>
      <c r="AF761" s="9">
        <f>IF(ISNUMBER(Z761),IF(Z761&lt;=2,"&lt;=2 d",IF(Z761&lt;=7,"3-7 d",IF(Z761&lt;=30,"8-30 d","&gt;30 d"))),IF(AE761&lt;&gt;"",AE761,IF(Z761="NR","NR","")))</f>
        <v/>
      </c>
      <c r="AX761" s="9">
        <f>IF(ISNUMBER(AW761),IF(AW761&gt;450,"Yes","No"),IF(AW761="NR","NR",""))</f>
        <v/>
      </c>
      <c r="BJ761" s="9">
        <f>IF(BB761="","",IF(BB761="Non-viable","Non-viable",IF(BB761="Viable","Viable",IF(BB761="Partially non-viable",IF(OR(BD761="Total splenectomy",BD761="Partial splenectomy +/- splenopexy"),"Non-viable","Review"),IF(BB761="NR",IF(OR(BD761="Total splenectomy",BD761="Partial splenectomy +/- splenopexy"),"NR - removed, check reason","NR"),"Not applicable")))))</f>
        <v/>
      </c>
    </row>
    <row r="762">
      <c r="D762" s="8" t="n"/>
      <c r="E762" s="9">
        <f>IF(B762="","",IF(B762="OWN","Yes","No"))</f>
        <v/>
      </c>
      <c r="AF762" s="9">
        <f>IF(ISNUMBER(Z762),IF(Z762&lt;=2,"&lt;=2 d",IF(Z762&lt;=7,"3-7 d",IF(Z762&lt;=30,"8-30 d","&gt;30 d"))),IF(AE762&lt;&gt;"",AE762,IF(Z762="NR","NR","")))</f>
        <v/>
      </c>
      <c r="AX762" s="9">
        <f>IF(ISNUMBER(AW762),IF(AW762&gt;450,"Yes","No"),IF(AW762="NR","NR",""))</f>
        <v/>
      </c>
      <c r="BJ762" s="9">
        <f>IF(BB762="","",IF(BB762="Non-viable","Non-viable",IF(BB762="Viable","Viable",IF(BB762="Partially non-viable",IF(OR(BD762="Total splenectomy",BD762="Partial splenectomy +/- splenopexy"),"Non-viable","Review"),IF(BB762="NR",IF(OR(BD762="Total splenectomy",BD762="Partial splenectomy +/- splenopexy"),"NR - removed, check reason","NR"),"Not applicable")))))</f>
        <v/>
      </c>
    </row>
    <row r="763">
      <c r="D763" s="8" t="n"/>
      <c r="E763" s="9">
        <f>IF(B763="","",IF(B763="OWN","Yes","No"))</f>
        <v/>
      </c>
      <c r="AF763" s="9">
        <f>IF(ISNUMBER(Z763),IF(Z763&lt;=2,"&lt;=2 d",IF(Z763&lt;=7,"3-7 d",IF(Z763&lt;=30,"8-30 d","&gt;30 d"))),IF(AE763&lt;&gt;"",AE763,IF(Z763="NR","NR","")))</f>
        <v/>
      </c>
      <c r="AX763" s="9">
        <f>IF(ISNUMBER(AW763),IF(AW763&gt;450,"Yes","No"),IF(AW763="NR","NR",""))</f>
        <v/>
      </c>
      <c r="BJ763" s="9">
        <f>IF(BB763="","",IF(BB763="Non-viable","Non-viable",IF(BB763="Viable","Viable",IF(BB763="Partially non-viable",IF(OR(BD763="Total splenectomy",BD763="Partial splenectomy +/- splenopexy"),"Non-viable","Review"),IF(BB763="NR",IF(OR(BD763="Total splenectomy",BD763="Partial splenectomy +/- splenopexy"),"NR - removed, check reason","NR"),"Not applicable")))))</f>
        <v/>
      </c>
    </row>
    <row r="764">
      <c r="D764" s="8" t="n"/>
      <c r="E764" s="9">
        <f>IF(B764="","",IF(B764="OWN","Yes","No"))</f>
        <v/>
      </c>
      <c r="AF764" s="9">
        <f>IF(ISNUMBER(Z764),IF(Z764&lt;=2,"&lt;=2 d",IF(Z764&lt;=7,"3-7 d",IF(Z764&lt;=30,"8-30 d","&gt;30 d"))),IF(AE764&lt;&gt;"",AE764,IF(Z764="NR","NR","")))</f>
        <v/>
      </c>
      <c r="AX764" s="9">
        <f>IF(ISNUMBER(AW764),IF(AW764&gt;450,"Yes","No"),IF(AW764="NR","NR",""))</f>
        <v/>
      </c>
      <c r="BJ764" s="9">
        <f>IF(BB764="","",IF(BB764="Non-viable","Non-viable",IF(BB764="Viable","Viable",IF(BB764="Partially non-viable",IF(OR(BD764="Total splenectomy",BD764="Partial splenectomy +/- splenopexy"),"Non-viable","Review"),IF(BB764="NR",IF(OR(BD764="Total splenectomy",BD764="Partial splenectomy +/- splenopexy"),"NR - removed, check reason","NR"),"Not applicable")))))</f>
        <v/>
      </c>
    </row>
    <row r="765">
      <c r="D765" s="8" t="n"/>
      <c r="E765" s="9">
        <f>IF(B765="","",IF(B765="OWN","Yes","No"))</f>
        <v/>
      </c>
      <c r="AF765" s="9">
        <f>IF(ISNUMBER(Z765),IF(Z765&lt;=2,"&lt;=2 d",IF(Z765&lt;=7,"3-7 d",IF(Z765&lt;=30,"8-30 d","&gt;30 d"))),IF(AE765&lt;&gt;"",AE765,IF(Z765="NR","NR","")))</f>
        <v/>
      </c>
      <c r="AX765" s="9">
        <f>IF(ISNUMBER(AW765),IF(AW765&gt;450,"Yes","No"),IF(AW765="NR","NR",""))</f>
        <v/>
      </c>
      <c r="BJ765" s="9">
        <f>IF(BB765="","",IF(BB765="Non-viable","Non-viable",IF(BB765="Viable","Viable",IF(BB765="Partially non-viable",IF(OR(BD765="Total splenectomy",BD765="Partial splenectomy +/- splenopexy"),"Non-viable","Review"),IF(BB765="NR",IF(OR(BD765="Total splenectomy",BD765="Partial splenectomy +/- splenopexy"),"NR - removed, check reason","NR"),"Not applicable")))))</f>
        <v/>
      </c>
    </row>
    <row r="766">
      <c r="D766" s="8" t="n"/>
      <c r="E766" s="9">
        <f>IF(B766="","",IF(B766="OWN","Yes","No"))</f>
        <v/>
      </c>
      <c r="AF766" s="9">
        <f>IF(ISNUMBER(Z766),IF(Z766&lt;=2,"&lt;=2 d",IF(Z766&lt;=7,"3-7 d",IF(Z766&lt;=30,"8-30 d","&gt;30 d"))),IF(AE766&lt;&gt;"",AE766,IF(Z766="NR","NR","")))</f>
        <v/>
      </c>
      <c r="AX766" s="9">
        <f>IF(ISNUMBER(AW766),IF(AW766&gt;450,"Yes","No"),IF(AW766="NR","NR",""))</f>
        <v/>
      </c>
      <c r="BJ766" s="9">
        <f>IF(BB766="","",IF(BB766="Non-viable","Non-viable",IF(BB766="Viable","Viable",IF(BB766="Partially non-viable",IF(OR(BD766="Total splenectomy",BD766="Partial splenectomy +/- splenopexy"),"Non-viable","Review"),IF(BB766="NR",IF(OR(BD766="Total splenectomy",BD766="Partial splenectomy +/- splenopexy"),"NR - removed, check reason","NR"),"Not applicable")))))</f>
        <v/>
      </c>
    </row>
    <row r="767">
      <c r="D767" s="8" t="n"/>
      <c r="E767" s="9">
        <f>IF(B767="","",IF(B767="OWN","Yes","No"))</f>
        <v/>
      </c>
      <c r="AF767" s="9">
        <f>IF(ISNUMBER(Z767),IF(Z767&lt;=2,"&lt;=2 d",IF(Z767&lt;=7,"3-7 d",IF(Z767&lt;=30,"8-30 d","&gt;30 d"))),IF(AE767&lt;&gt;"",AE767,IF(Z767="NR","NR","")))</f>
        <v/>
      </c>
      <c r="AX767" s="9">
        <f>IF(ISNUMBER(AW767),IF(AW767&gt;450,"Yes","No"),IF(AW767="NR","NR",""))</f>
        <v/>
      </c>
      <c r="BJ767" s="9">
        <f>IF(BB767="","",IF(BB767="Non-viable","Non-viable",IF(BB767="Viable","Viable",IF(BB767="Partially non-viable",IF(OR(BD767="Total splenectomy",BD767="Partial splenectomy +/- splenopexy"),"Non-viable","Review"),IF(BB767="NR",IF(OR(BD767="Total splenectomy",BD767="Partial splenectomy +/- splenopexy"),"NR - removed, check reason","NR"),"Not applicable")))))</f>
        <v/>
      </c>
    </row>
    <row r="768">
      <c r="D768" s="8" t="n"/>
      <c r="E768" s="9">
        <f>IF(B768="","",IF(B768="OWN","Yes","No"))</f>
        <v/>
      </c>
      <c r="AF768" s="9">
        <f>IF(ISNUMBER(Z768),IF(Z768&lt;=2,"&lt;=2 d",IF(Z768&lt;=7,"3-7 d",IF(Z768&lt;=30,"8-30 d","&gt;30 d"))),IF(AE768&lt;&gt;"",AE768,IF(Z768="NR","NR","")))</f>
        <v/>
      </c>
      <c r="AX768" s="9">
        <f>IF(ISNUMBER(AW768),IF(AW768&gt;450,"Yes","No"),IF(AW768="NR","NR",""))</f>
        <v/>
      </c>
      <c r="BJ768" s="9">
        <f>IF(BB768="","",IF(BB768="Non-viable","Non-viable",IF(BB768="Viable","Viable",IF(BB768="Partially non-viable",IF(OR(BD768="Total splenectomy",BD768="Partial splenectomy +/- splenopexy"),"Non-viable","Review"),IF(BB768="NR",IF(OR(BD768="Total splenectomy",BD768="Partial splenectomy +/- splenopexy"),"NR - removed, check reason","NR"),"Not applicable")))))</f>
        <v/>
      </c>
    </row>
    <row r="769">
      <c r="D769" s="8" t="n"/>
      <c r="E769" s="9">
        <f>IF(B769="","",IF(B769="OWN","Yes","No"))</f>
        <v/>
      </c>
      <c r="AF769" s="9">
        <f>IF(ISNUMBER(Z769),IF(Z769&lt;=2,"&lt;=2 d",IF(Z769&lt;=7,"3-7 d",IF(Z769&lt;=30,"8-30 d","&gt;30 d"))),IF(AE769&lt;&gt;"",AE769,IF(Z769="NR","NR","")))</f>
        <v/>
      </c>
      <c r="AX769" s="9">
        <f>IF(ISNUMBER(AW769),IF(AW769&gt;450,"Yes","No"),IF(AW769="NR","NR",""))</f>
        <v/>
      </c>
      <c r="BJ769" s="9">
        <f>IF(BB769="","",IF(BB769="Non-viable","Non-viable",IF(BB769="Viable","Viable",IF(BB769="Partially non-viable",IF(OR(BD769="Total splenectomy",BD769="Partial splenectomy +/- splenopexy"),"Non-viable","Review"),IF(BB769="NR",IF(OR(BD769="Total splenectomy",BD769="Partial splenectomy +/- splenopexy"),"NR - removed, check reason","NR"),"Not applicable")))))</f>
        <v/>
      </c>
    </row>
    <row r="770">
      <c r="D770" s="8" t="n"/>
      <c r="E770" s="9">
        <f>IF(B770="","",IF(B770="OWN","Yes","No"))</f>
        <v/>
      </c>
      <c r="AF770" s="9">
        <f>IF(ISNUMBER(Z770),IF(Z770&lt;=2,"&lt;=2 d",IF(Z770&lt;=7,"3-7 d",IF(Z770&lt;=30,"8-30 d","&gt;30 d"))),IF(AE770&lt;&gt;"",AE770,IF(Z770="NR","NR","")))</f>
        <v/>
      </c>
      <c r="AX770" s="9">
        <f>IF(ISNUMBER(AW770),IF(AW770&gt;450,"Yes","No"),IF(AW770="NR","NR",""))</f>
        <v/>
      </c>
      <c r="BJ770" s="9">
        <f>IF(BB770="","",IF(BB770="Non-viable","Non-viable",IF(BB770="Viable","Viable",IF(BB770="Partially non-viable",IF(OR(BD770="Total splenectomy",BD770="Partial splenectomy +/- splenopexy"),"Non-viable","Review"),IF(BB770="NR",IF(OR(BD770="Total splenectomy",BD770="Partial splenectomy +/- splenopexy"),"NR - removed, check reason","NR"),"Not applicable")))))</f>
        <v/>
      </c>
    </row>
    <row r="771">
      <c r="D771" s="8" t="n"/>
      <c r="E771" s="9">
        <f>IF(B771="","",IF(B771="OWN","Yes","No"))</f>
        <v/>
      </c>
      <c r="AF771" s="9">
        <f>IF(ISNUMBER(Z771),IF(Z771&lt;=2,"&lt;=2 d",IF(Z771&lt;=7,"3-7 d",IF(Z771&lt;=30,"8-30 d","&gt;30 d"))),IF(AE771&lt;&gt;"",AE771,IF(Z771="NR","NR","")))</f>
        <v/>
      </c>
      <c r="AX771" s="9">
        <f>IF(ISNUMBER(AW771),IF(AW771&gt;450,"Yes","No"),IF(AW771="NR","NR",""))</f>
        <v/>
      </c>
      <c r="BJ771" s="9">
        <f>IF(BB771="","",IF(BB771="Non-viable","Non-viable",IF(BB771="Viable","Viable",IF(BB771="Partially non-viable",IF(OR(BD771="Total splenectomy",BD771="Partial splenectomy +/- splenopexy"),"Non-viable","Review"),IF(BB771="NR",IF(OR(BD771="Total splenectomy",BD771="Partial splenectomy +/- splenopexy"),"NR - removed, check reason","NR"),"Not applicable")))))</f>
        <v/>
      </c>
    </row>
    <row r="772">
      <c r="D772" s="8" t="n"/>
      <c r="E772" s="9">
        <f>IF(B772="","",IF(B772="OWN","Yes","No"))</f>
        <v/>
      </c>
      <c r="AF772" s="9">
        <f>IF(ISNUMBER(Z772),IF(Z772&lt;=2,"&lt;=2 d",IF(Z772&lt;=7,"3-7 d",IF(Z772&lt;=30,"8-30 d","&gt;30 d"))),IF(AE772&lt;&gt;"",AE772,IF(Z772="NR","NR","")))</f>
        <v/>
      </c>
      <c r="AX772" s="9">
        <f>IF(ISNUMBER(AW772),IF(AW772&gt;450,"Yes","No"),IF(AW772="NR","NR",""))</f>
        <v/>
      </c>
      <c r="BJ772" s="9">
        <f>IF(BB772="","",IF(BB772="Non-viable","Non-viable",IF(BB772="Viable","Viable",IF(BB772="Partially non-viable",IF(OR(BD772="Total splenectomy",BD772="Partial splenectomy +/- splenopexy"),"Non-viable","Review"),IF(BB772="NR",IF(OR(BD772="Total splenectomy",BD772="Partial splenectomy +/- splenopexy"),"NR - removed, check reason","NR"),"Not applicable")))))</f>
        <v/>
      </c>
    </row>
    <row r="773">
      <c r="D773" s="8" t="n"/>
      <c r="E773" s="9">
        <f>IF(B773="","",IF(B773="OWN","Yes","No"))</f>
        <v/>
      </c>
      <c r="AF773" s="9">
        <f>IF(ISNUMBER(Z773),IF(Z773&lt;=2,"&lt;=2 d",IF(Z773&lt;=7,"3-7 d",IF(Z773&lt;=30,"8-30 d","&gt;30 d"))),IF(AE773&lt;&gt;"",AE773,IF(Z773="NR","NR","")))</f>
        <v/>
      </c>
      <c r="AX773" s="9">
        <f>IF(ISNUMBER(AW773),IF(AW773&gt;450,"Yes","No"),IF(AW773="NR","NR",""))</f>
        <v/>
      </c>
      <c r="BJ773" s="9">
        <f>IF(BB773="","",IF(BB773="Non-viable","Non-viable",IF(BB773="Viable","Viable",IF(BB773="Partially non-viable",IF(OR(BD773="Total splenectomy",BD773="Partial splenectomy +/- splenopexy"),"Non-viable","Review"),IF(BB773="NR",IF(OR(BD773="Total splenectomy",BD773="Partial splenectomy +/- splenopexy"),"NR - removed, check reason","NR"),"Not applicable")))))</f>
        <v/>
      </c>
    </row>
    <row r="774">
      <c r="D774" s="8" t="n"/>
      <c r="E774" s="9">
        <f>IF(B774="","",IF(B774="OWN","Yes","No"))</f>
        <v/>
      </c>
      <c r="AF774" s="9">
        <f>IF(ISNUMBER(Z774),IF(Z774&lt;=2,"&lt;=2 d",IF(Z774&lt;=7,"3-7 d",IF(Z774&lt;=30,"8-30 d","&gt;30 d"))),IF(AE774&lt;&gt;"",AE774,IF(Z774="NR","NR","")))</f>
        <v/>
      </c>
      <c r="AX774" s="9">
        <f>IF(ISNUMBER(AW774),IF(AW774&gt;450,"Yes","No"),IF(AW774="NR","NR",""))</f>
        <v/>
      </c>
      <c r="BJ774" s="9">
        <f>IF(BB774="","",IF(BB774="Non-viable","Non-viable",IF(BB774="Viable","Viable",IF(BB774="Partially non-viable",IF(OR(BD774="Total splenectomy",BD774="Partial splenectomy +/- splenopexy"),"Non-viable","Review"),IF(BB774="NR",IF(OR(BD774="Total splenectomy",BD774="Partial splenectomy +/- splenopexy"),"NR - removed, check reason","NR"),"Not applicable")))))</f>
        <v/>
      </c>
    </row>
    <row r="775">
      <c r="D775" s="8" t="n"/>
      <c r="E775" s="9">
        <f>IF(B775="","",IF(B775="OWN","Yes","No"))</f>
        <v/>
      </c>
      <c r="AF775" s="9">
        <f>IF(ISNUMBER(Z775),IF(Z775&lt;=2,"&lt;=2 d",IF(Z775&lt;=7,"3-7 d",IF(Z775&lt;=30,"8-30 d","&gt;30 d"))),IF(AE775&lt;&gt;"",AE775,IF(Z775="NR","NR","")))</f>
        <v/>
      </c>
      <c r="AX775" s="9">
        <f>IF(ISNUMBER(AW775),IF(AW775&gt;450,"Yes","No"),IF(AW775="NR","NR",""))</f>
        <v/>
      </c>
      <c r="BJ775" s="9">
        <f>IF(BB775="","",IF(BB775="Non-viable","Non-viable",IF(BB775="Viable","Viable",IF(BB775="Partially non-viable",IF(OR(BD775="Total splenectomy",BD775="Partial splenectomy +/- splenopexy"),"Non-viable","Review"),IF(BB775="NR",IF(OR(BD775="Total splenectomy",BD775="Partial splenectomy +/- splenopexy"),"NR - removed, check reason","NR"),"Not applicable")))))</f>
        <v/>
      </c>
    </row>
    <row r="776">
      <c r="D776" s="8" t="n"/>
      <c r="E776" s="9">
        <f>IF(B776="","",IF(B776="OWN","Yes","No"))</f>
        <v/>
      </c>
      <c r="AF776" s="9">
        <f>IF(ISNUMBER(Z776),IF(Z776&lt;=2,"&lt;=2 d",IF(Z776&lt;=7,"3-7 d",IF(Z776&lt;=30,"8-30 d","&gt;30 d"))),IF(AE776&lt;&gt;"",AE776,IF(Z776="NR","NR","")))</f>
        <v/>
      </c>
      <c r="AX776" s="9">
        <f>IF(ISNUMBER(AW776),IF(AW776&gt;450,"Yes","No"),IF(AW776="NR","NR",""))</f>
        <v/>
      </c>
      <c r="BJ776" s="9">
        <f>IF(BB776="","",IF(BB776="Non-viable","Non-viable",IF(BB776="Viable","Viable",IF(BB776="Partially non-viable",IF(OR(BD776="Total splenectomy",BD776="Partial splenectomy +/- splenopexy"),"Non-viable","Review"),IF(BB776="NR",IF(OR(BD776="Total splenectomy",BD776="Partial splenectomy +/- splenopexy"),"NR - removed, check reason","NR"),"Not applicable")))))</f>
        <v/>
      </c>
    </row>
    <row r="777">
      <c r="D777" s="8" t="n"/>
      <c r="E777" s="9">
        <f>IF(B777="","",IF(B777="OWN","Yes","No"))</f>
        <v/>
      </c>
      <c r="AF777" s="9">
        <f>IF(ISNUMBER(Z777),IF(Z777&lt;=2,"&lt;=2 d",IF(Z777&lt;=7,"3-7 d",IF(Z777&lt;=30,"8-30 d","&gt;30 d"))),IF(AE777&lt;&gt;"",AE777,IF(Z777="NR","NR","")))</f>
        <v/>
      </c>
      <c r="AX777" s="9">
        <f>IF(ISNUMBER(AW777),IF(AW777&gt;450,"Yes","No"),IF(AW777="NR","NR",""))</f>
        <v/>
      </c>
      <c r="BJ777" s="9">
        <f>IF(BB777="","",IF(BB777="Non-viable","Non-viable",IF(BB777="Viable","Viable",IF(BB777="Partially non-viable",IF(OR(BD777="Total splenectomy",BD777="Partial splenectomy +/- splenopexy"),"Non-viable","Review"),IF(BB777="NR",IF(OR(BD777="Total splenectomy",BD777="Partial splenectomy +/- splenopexy"),"NR - removed, check reason","NR"),"Not applicable")))))</f>
        <v/>
      </c>
    </row>
    <row r="778">
      <c r="D778" s="8" t="n"/>
      <c r="E778" s="9">
        <f>IF(B778="","",IF(B778="OWN","Yes","No"))</f>
        <v/>
      </c>
      <c r="AF778" s="9">
        <f>IF(ISNUMBER(Z778),IF(Z778&lt;=2,"&lt;=2 d",IF(Z778&lt;=7,"3-7 d",IF(Z778&lt;=30,"8-30 d","&gt;30 d"))),IF(AE778&lt;&gt;"",AE778,IF(Z778="NR","NR","")))</f>
        <v/>
      </c>
      <c r="AX778" s="9">
        <f>IF(ISNUMBER(AW778),IF(AW778&gt;450,"Yes","No"),IF(AW778="NR","NR",""))</f>
        <v/>
      </c>
      <c r="BJ778" s="9">
        <f>IF(BB778="","",IF(BB778="Non-viable","Non-viable",IF(BB778="Viable","Viable",IF(BB778="Partially non-viable",IF(OR(BD778="Total splenectomy",BD778="Partial splenectomy +/- splenopexy"),"Non-viable","Review"),IF(BB778="NR",IF(OR(BD778="Total splenectomy",BD778="Partial splenectomy +/- splenopexy"),"NR - removed, check reason","NR"),"Not applicable")))))</f>
        <v/>
      </c>
    </row>
    <row r="779">
      <c r="D779" s="8" t="n"/>
      <c r="E779" s="9">
        <f>IF(B779="","",IF(B779="OWN","Yes","No"))</f>
        <v/>
      </c>
      <c r="AF779" s="9">
        <f>IF(ISNUMBER(Z779),IF(Z779&lt;=2,"&lt;=2 d",IF(Z779&lt;=7,"3-7 d",IF(Z779&lt;=30,"8-30 d","&gt;30 d"))),IF(AE779&lt;&gt;"",AE779,IF(Z779="NR","NR","")))</f>
        <v/>
      </c>
      <c r="AX779" s="9">
        <f>IF(ISNUMBER(AW779),IF(AW779&gt;450,"Yes","No"),IF(AW779="NR","NR",""))</f>
        <v/>
      </c>
      <c r="BJ779" s="9">
        <f>IF(BB779="","",IF(BB779="Non-viable","Non-viable",IF(BB779="Viable","Viable",IF(BB779="Partially non-viable",IF(OR(BD779="Total splenectomy",BD779="Partial splenectomy +/- splenopexy"),"Non-viable","Review"),IF(BB779="NR",IF(OR(BD779="Total splenectomy",BD779="Partial splenectomy +/- splenopexy"),"NR - removed, check reason","NR"),"Not applicable")))))</f>
        <v/>
      </c>
    </row>
    <row r="780">
      <c r="D780" s="8" t="n"/>
      <c r="E780" s="9">
        <f>IF(B780="","",IF(B780="OWN","Yes","No"))</f>
        <v/>
      </c>
      <c r="AF780" s="9">
        <f>IF(ISNUMBER(Z780),IF(Z780&lt;=2,"&lt;=2 d",IF(Z780&lt;=7,"3-7 d",IF(Z780&lt;=30,"8-30 d","&gt;30 d"))),IF(AE780&lt;&gt;"",AE780,IF(Z780="NR","NR","")))</f>
        <v/>
      </c>
      <c r="AX780" s="9">
        <f>IF(ISNUMBER(AW780),IF(AW780&gt;450,"Yes","No"),IF(AW780="NR","NR",""))</f>
        <v/>
      </c>
      <c r="BJ780" s="9">
        <f>IF(BB780="","",IF(BB780="Non-viable","Non-viable",IF(BB780="Viable","Viable",IF(BB780="Partially non-viable",IF(OR(BD780="Total splenectomy",BD780="Partial splenectomy +/- splenopexy"),"Non-viable","Review"),IF(BB780="NR",IF(OR(BD780="Total splenectomy",BD780="Partial splenectomy +/- splenopexy"),"NR - removed, check reason","NR"),"Not applicable")))))</f>
        <v/>
      </c>
    </row>
    <row r="781">
      <c r="D781" s="8" t="n"/>
      <c r="E781" s="9">
        <f>IF(B781="","",IF(B781="OWN","Yes","No"))</f>
        <v/>
      </c>
      <c r="AF781" s="9">
        <f>IF(ISNUMBER(Z781),IF(Z781&lt;=2,"&lt;=2 d",IF(Z781&lt;=7,"3-7 d",IF(Z781&lt;=30,"8-30 d","&gt;30 d"))),IF(AE781&lt;&gt;"",AE781,IF(Z781="NR","NR","")))</f>
        <v/>
      </c>
      <c r="AX781" s="9">
        <f>IF(ISNUMBER(AW781),IF(AW781&gt;450,"Yes","No"),IF(AW781="NR","NR",""))</f>
        <v/>
      </c>
      <c r="BJ781" s="9">
        <f>IF(BB781="","",IF(BB781="Non-viable","Non-viable",IF(BB781="Viable","Viable",IF(BB781="Partially non-viable",IF(OR(BD781="Total splenectomy",BD781="Partial splenectomy +/- splenopexy"),"Non-viable","Review"),IF(BB781="NR",IF(OR(BD781="Total splenectomy",BD781="Partial splenectomy +/- splenopexy"),"NR - removed, check reason","NR"),"Not applicable")))))</f>
        <v/>
      </c>
    </row>
    <row r="782">
      <c r="D782" s="8" t="n"/>
      <c r="E782" s="9">
        <f>IF(B782="","",IF(B782="OWN","Yes","No"))</f>
        <v/>
      </c>
      <c r="AF782" s="9">
        <f>IF(ISNUMBER(Z782),IF(Z782&lt;=2,"&lt;=2 d",IF(Z782&lt;=7,"3-7 d",IF(Z782&lt;=30,"8-30 d","&gt;30 d"))),IF(AE782&lt;&gt;"",AE782,IF(Z782="NR","NR","")))</f>
        <v/>
      </c>
      <c r="AX782" s="9">
        <f>IF(ISNUMBER(AW782),IF(AW782&gt;450,"Yes","No"),IF(AW782="NR","NR",""))</f>
        <v/>
      </c>
      <c r="BJ782" s="9">
        <f>IF(BB782="","",IF(BB782="Non-viable","Non-viable",IF(BB782="Viable","Viable",IF(BB782="Partially non-viable",IF(OR(BD782="Total splenectomy",BD782="Partial splenectomy +/- splenopexy"),"Non-viable","Review"),IF(BB782="NR",IF(OR(BD782="Total splenectomy",BD782="Partial splenectomy +/- splenopexy"),"NR - removed, check reason","NR"),"Not applicable")))))</f>
        <v/>
      </c>
    </row>
    <row r="783">
      <c r="D783" s="8" t="n"/>
      <c r="E783" s="9">
        <f>IF(B783="","",IF(B783="OWN","Yes","No"))</f>
        <v/>
      </c>
      <c r="AF783" s="9">
        <f>IF(ISNUMBER(Z783),IF(Z783&lt;=2,"&lt;=2 d",IF(Z783&lt;=7,"3-7 d",IF(Z783&lt;=30,"8-30 d","&gt;30 d"))),IF(AE783&lt;&gt;"",AE783,IF(Z783="NR","NR","")))</f>
        <v/>
      </c>
      <c r="AX783" s="9">
        <f>IF(ISNUMBER(AW783),IF(AW783&gt;450,"Yes","No"),IF(AW783="NR","NR",""))</f>
        <v/>
      </c>
      <c r="BJ783" s="9">
        <f>IF(BB783="","",IF(BB783="Non-viable","Non-viable",IF(BB783="Viable","Viable",IF(BB783="Partially non-viable",IF(OR(BD783="Total splenectomy",BD783="Partial splenectomy +/- splenopexy"),"Non-viable","Review"),IF(BB783="NR",IF(OR(BD783="Total splenectomy",BD783="Partial splenectomy +/- splenopexy"),"NR - removed, check reason","NR"),"Not applicable")))))</f>
        <v/>
      </c>
    </row>
    <row r="784">
      <c r="D784" s="8" t="n"/>
      <c r="E784" s="9">
        <f>IF(B784="","",IF(B784="OWN","Yes","No"))</f>
        <v/>
      </c>
      <c r="AF784" s="9">
        <f>IF(ISNUMBER(Z784),IF(Z784&lt;=2,"&lt;=2 d",IF(Z784&lt;=7,"3-7 d",IF(Z784&lt;=30,"8-30 d","&gt;30 d"))),IF(AE784&lt;&gt;"",AE784,IF(Z784="NR","NR","")))</f>
        <v/>
      </c>
      <c r="AX784" s="9">
        <f>IF(ISNUMBER(AW784),IF(AW784&gt;450,"Yes","No"),IF(AW784="NR","NR",""))</f>
        <v/>
      </c>
      <c r="BJ784" s="9">
        <f>IF(BB784="","",IF(BB784="Non-viable","Non-viable",IF(BB784="Viable","Viable",IF(BB784="Partially non-viable",IF(OR(BD784="Total splenectomy",BD784="Partial splenectomy +/- splenopexy"),"Non-viable","Review"),IF(BB784="NR",IF(OR(BD784="Total splenectomy",BD784="Partial splenectomy +/- splenopexy"),"NR - removed, check reason","NR"),"Not applicable")))))</f>
        <v/>
      </c>
    </row>
    <row r="785">
      <c r="D785" s="8" t="n"/>
      <c r="E785" s="9">
        <f>IF(B785="","",IF(B785="OWN","Yes","No"))</f>
        <v/>
      </c>
      <c r="AF785" s="9">
        <f>IF(ISNUMBER(Z785),IF(Z785&lt;=2,"&lt;=2 d",IF(Z785&lt;=7,"3-7 d",IF(Z785&lt;=30,"8-30 d","&gt;30 d"))),IF(AE785&lt;&gt;"",AE785,IF(Z785="NR","NR","")))</f>
        <v/>
      </c>
      <c r="AX785" s="9">
        <f>IF(ISNUMBER(AW785),IF(AW785&gt;450,"Yes","No"),IF(AW785="NR","NR",""))</f>
        <v/>
      </c>
      <c r="BJ785" s="9">
        <f>IF(BB785="","",IF(BB785="Non-viable","Non-viable",IF(BB785="Viable","Viable",IF(BB785="Partially non-viable",IF(OR(BD785="Total splenectomy",BD785="Partial splenectomy +/- splenopexy"),"Non-viable","Review"),IF(BB785="NR",IF(OR(BD785="Total splenectomy",BD785="Partial splenectomy +/- splenopexy"),"NR - removed, check reason","NR"),"Not applicable")))))</f>
        <v/>
      </c>
    </row>
    <row r="786">
      <c r="D786" s="8" t="n"/>
      <c r="E786" s="9">
        <f>IF(B786="","",IF(B786="OWN","Yes","No"))</f>
        <v/>
      </c>
      <c r="AF786" s="9">
        <f>IF(ISNUMBER(Z786),IF(Z786&lt;=2,"&lt;=2 d",IF(Z786&lt;=7,"3-7 d",IF(Z786&lt;=30,"8-30 d","&gt;30 d"))),IF(AE786&lt;&gt;"",AE786,IF(Z786="NR","NR","")))</f>
        <v/>
      </c>
      <c r="AX786" s="9">
        <f>IF(ISNUMBER(AW786),IF(AW786&gt;450,"Yes","No"),IF(AW786="NR","NR",""))</f>
        <v/>
      </c>
      <c r="BJ786" s="9">
        <f>IF(BB786="","",IF(BB786="Non-viable","Non-viable",IF(BB786="Viable","Viable",IF(BB786="Partially non-viable",IF(OR(BD786="Total splenectomy",BD786="Partial splenectomy +/- splenopexy"),"Non-viable","Review"),IF(BB786="NR",IF(OR(BD786="Total splenectomy",BD786="Partial splenectomy +/- splenopexy"),"NR - removed, check reason","NR"),"Not applicable")))))</f>
        <v/>
      </c>
    </row>
    <row r="787">
      <c r="D787" s="8" t="n"/>
      <c r="E787" s="9">
        <f>IF(B787="","",IF(B787="OWN","Yes","No"))</f>
        <v/>
      </c>
      <c r="AF787" s="9">
        <f>IF(ISNUMBER(Z787),IF(Z787&lt;=2,"&lt;=2 d",IF(Z787&lt;=7,"3-7 d",IF(Z787&lt;=30,"8-30 d","&gt;30 d"))),IF(AE787&lt;&gt;"",AE787,IF(Z787="NR","NR","")))</f>
        <v/>
      </c>
      <c r="AX787" s="9">
        <f>IF(ISNUMBER(AW787),IF(AW787&gt;450,"Yes","No"),IF(AW787="NR","NR",""))</f>
        <v/>
      </c>
      <c r="BJ787" s="9">
        <f>IF(BB787="","",IF(BB787="Non-viable","Non-viable",IF(BB787="Viable","Viable",IF(BB787="Partially non-viable",IF(OR(BD787="Total splenectomy",BD787="Partial splenectomy +/- splenopexy"),"Non-viable","Review"),IF(BB787="NR",IF(OR(BD787="Total splenectomy",BD787="Partial splenectomy +/- splenopexy"),"NR - removed, check reason","NR"),"Not applicable")))))</f>
        <v/>
      </c>
    </row>
    <row r="788">
      <c r="D788" s="8" t="n"/>
      <c r="E788" s="9">
        <f>IF(B788="","",IF(B788="OWN","Yes","No"))</f>
        <v/>
      </c>
      <c r="AF788" s="9">
        <f>IF(ISNUMBER(Z788),IF(Z788&lt;=2,"&lt;=2 d",IF(Z788&lt;=7,"3-7 d",IF(Z788&lt;=30,"8-30 d","&gt;30 d"))),IF(AE788&lt;&gt;"",AE788,IF(Z788="NR","NR","")))</f>
        <v/>
      </c>
      <c r="AX788" s="9">
        <f>IF(ISNUMBER(AW788),IF(AW788&gt;450,"Yes","No"),IF(AW788="NR","NR",""))</f>
        <v/>
      </c>
      <c r="BJ788" s="9">
        <f>IF(BB788="","",IF(BB788="Non-viable","Non-viable",IF(BB788="Viable","Viable",IF(BB788="Partially non-viable",IF(OR(BD788="Total splenectomy",BD788="Partial splenectomy +/- splenopexy"),"Non-viable","Review"),IF(BB788="NR",IF(OR(BD788="Total splenectomy",BD788="Partial splenectomy +/- splenopexy"),"NR - removed, check reason","NR"),"Not applicable")))))</f>
        <v/>
      </c>
    </row>
    <row r="789">
      <c r="D789" s="8" t="n"/>
      <c r="E789" s="9">
        <f>IF(B789="","",IF(B789="OWN","Yes","No"))</f>
        <v/>
      </c>
      <c r="AF789" s="9">
        <f>IF(ISNUMBER(Z789),IF(Z789&lt;=2,"&lt;=2 d",IF(Z789&lt;=7,"3-7 d",IF(Z789&lt;=30,"8-30 d","&gt;30 d"))),IF(AE789&lt;&gt;"",AE789,IF(Z789="NR","NR","")))</f>
        <v/>
      </c>
      <c r="AX789" s="9">
        <f>IF(ISNUMBER(AW789),IF(AW789&gt;450,"Yes","No"),IF(AW789="NR","NR",""))</f>
        <v/>
      </c>
      <c r="BJ789" s="9">
        <f>IF(BB789="","",IF(BB789="Non-viable","Non-viable",IF(BB789="Viable","Viable",IF(BB789="Partially non-viable",IF(OR(BD789="Total splenectomy",BD789="Partial splenectomy +/- splenopexy"),"Non-viable","Review"),IF(BB789="NR",IF(OR(BD789="Total splenectomy",BD789="Partial splenectomy +/- splenopexy"),"NR - removed, check reason","NR"),"Not applicable")))))</f>
        <v/>
      </c>
    </row>
    <row r="790">
      <c r="D790" s="8" t="n"/>
      <c r="E790" s="9">
        <f>IF(B790="","",IF(B790="OWN","Yes","No"))</f>
        <v/>
      </c>
      <c r="AF790" s="9">
        <f>IF(ISNUMBER(Z790),IF(Z790&lt;=2,"&lt;=2 d",IF(Z790&lt;=7,"3-7 d",IF(Z790&lt;=30,"8-30 d","&gt;30 d"))),IF(AE790&lt;&gt;"",AE790,IF(Z790="NR","NR","")))</f>
        <v/>
      </c>
      <c r="AX790" s="9">
        <f>IF(ISNUMBER(AW790),IF(AW790&gt;450,"Yes","No"),IF(AW790="NR","NR",""))</f>
        <v/>
      </c>
      <c r="BJ790" s="9">
        <f>IF(BB790="","",IF(BB790="Non-viable","Non-viable",IF(BB790="Viable","Viable",IF(BB790="Partially non-viable",IF(OR(BD790="Total splenectomy",BD790="Partial splenectomy +/- splenopexy"),"Non-viable","Review"),IF(BB790="NR",IF(OR(BD790="Total splenectomy",BD790="Partial splenectomy +/- splenopexy"),"NR - removed, check reason","NR"),"Not applicable")))))</f>
        <v/>
      </c>
    </row>
    <row r="791">
      <c r="D791" s="8" t="n"/>
      <c r="E791" s="9">
        <f>IF(B791="","",IF(B791="OWN","Yes","No"))</f>
        <v/>
      </c>
      <c r="AF791" s="9">
        <f>IF(ISNUMBER(Z791),IF(Z791&lt;=2,"&lt;=2 d",IF(Z791&lt;=7,"3-7 d",IF(Z791&lt;=30,"8-30 d","&gt;30 d"))),IF(AE791&lt;&gt;"",AE791,IF(Z791="NR","NR","")))</f>
        <v/>
      </c>
      <c r="AX791" s="9">
        <f>IF(ISNUMBER(AW791),IF(AW791&gt;450,"Yes","No"),IF(AW791="NR","NR",""))</f>
        <v/>
      </c>
      <c r="BJ791" s="9">
        <f>IF(BB791="","",IF(BB791="Non-viable","Non-viable",IF(BB791="Viable","Viable",IF(BB791="Partially non-viable",IF(OR(BD791="Total splenectomy",BD791="Partial splenectomy +/- splenopexy"),"Non-viable","Review"),IF(BB791="NR",IF(OR(BD791="Total splenectomy",BD791="Partial splenectomy +/- splenopexy"),"NR - removed, check reason","NR"),"Not applicable")))))</f>
        <v/>
      </c>
    </row>
    <row r="792">
      <c r="D792" s="8" t="n"/>
      <c r="E792" s="9">
        <f>IF(B792="","",IF(B792="OWN","Yes","No"))</f>
        <v/>
      </c>
      <c r="AF792" s="9">
        <f>IF(ISNUMBER(Z792),IF(Z792&lt;=2,"&lt;=2 d",IF(Z792&lt;=7,"3-7 d",IF(Z792&lt;=30,"8-30 d","&gt;30 d"))),IF(AE792&lt;&gt;"",AE792,IF(Z792="NR","NR","")))</f>
        <v/>
      </c>
      <c r="AX792" s="9">
        <f>IF(ISNUMBER(AW792),IF(AW792&gt;450,"Yes","No"),IF(AW792="NR","NR",""))</f>
        <v/>
      </c>
      <c r="BJ792" s="9">
        <f>IF(BB792="","",IF(BB792="Non-viable","Non-viable",IF(BB792="Viable","Viable",IF(BB792="Partially non-viable",IF(OR(BD792="Total splenectomy",BD792="Partial splenectomy +/- splenopexy"),"Non-viable","Review"),IF(BB792="NR",IF(OR(BD792="Total splenectomy",BD792="Partial splenectomy +/- splenopexy"),"NR - removed, check reason","NR"),"Not applicable")))))</f>
        <v/>
      </c>
    </row>
    <row r="793">
      <c r="D793" s="8" t="n"/>
      <c r="E793" s="9">
        <f>IF(B793="","",IF(B793="OWN","Yes","No"))</f>
        <v/>
      </c>
      <c r="AF793" s="9">
        <f>IF(ISNUMBER(Z793),IF(Z793&lt;=2,"&lt;=2 d",IF(Z793&lt;=7,"3-7 d",IF(Z793&lt;=30,"8-30 d","&gt;30 d"))),IF(AE793&lt;&gt;"",AE793,IF(Z793="NR","NR","")))</f>
        <v/>
      </c>
      <c r="AX793" s="9">
        <f>IF(ISNUMBER(AW793),IF(AW793&gt;450,"Yes","No"),IF(AW793="NR","NR",""))</f>
        <v/>
      </c>
      <c r="BJ793" s="9">
        <f>IF(BB793="","",IF(BB793="Non-viable","Non-viable",IF(BB793="Viable","Viable",IF(BB793="Partially non-viable",IF(OR(BD793="Total splenectomy",BD793="Partial splenectomy +/- splenopexy"),"Non-viable","Review"),IF(BB793="NR",IF(OR(BD793="Total splenectomy",BD793="Partial splenectomy +/- splenopexy"),"NR - removed, check reason","NR"),"Not applicable")))))</f>
        <v/>
      </c>
    </row>
    <row r="794">
      <c r="D794" s="8" t="n"/>
      <c r="E794" s="9">
        <f>IF(B794="","",IF(B794="OWN","Yes","No"))</f>
        <v/>
      </c>
      <c r="AF794" s="9">
        <f>IF(ISNUMBER(Z794),IF(Z794&lt;=2,"&lt;=2 d",IF(Z794&lt;=7,"3-7 d",IF(Z794&lt;=30,"8-30 d","&gt;30 d"))),IF(AE794&lt;&gt;"",AE794,IF(Z794="NR","NR","")))</f>
        <v/>
      </c>
      <c r="AX794" s="9">
        <f>IF(ISNUMBER(AW794),IF(AW794&gt;450,"Yes","No"),IF(AW794="NR","NR",""))</f>
        <v/>
      </c>
      <c r="BJ794" s="9">
        <f>IF(BB794="","",IF(BB794="Non-viable","Non-viable",IF(BB794="Viable","Viable",IF(BB794="Partially non-viable",IF(OR(BD794="Total splenectomy",BD794="Partial splenectomy +/- splenopexy"),"Non-viable","Review"),IF(BB794="NR",IF(OR(BD794="Total splenectomy",BD794="Partial splenectomy +/- splenopexy"),"NR - removed, check reason","NR"),"Not applicable")))))</f>
        <v/>
      </c>
    </row>
    <row r="795">
      <c r="D795" s="8" t="n"/>
      <c r="E795" s="9">
        <f>IF(B795="","",IF(B795="OWN","Yes","No"))</f>
        <v/>
      </c>
      <c r="AF795" s="9">
        <f>IF(ISNUMBER(Z795),IF(Z795&lt;=2,"&lt;=2 d",IF(Z795&lt;=7,"3-7 d",IF(Z795&lt;=30,"8-30 d","&gt;30 d"))),IF(AE795&lt;&gt;"",AE795,IF(Z795="NR","NR","")))</f>
        <v/>
      </c>
      <c r="AX795" s="9">
        <f>IF(ISNUMBER(AW795),IF(AW795&gt;450,"Yes","No"),IF(AW795="NR","NR",""))</f>
        <v/>
      </c>
      <c r="BJ795" s="9">
        <f>IF(BB795="","",IF(BB795="Non-viable","Non-viable",IF(BB795="Viable","Viable",IF(BB795="Partially non-viable",IF(OR(BD795="Total splenectomy",BD795="Partial splenectomy +/- splenopexy"),"Non-viable","Review"),IF(BB795="NR",IF(OR(BD795="Total splenectomy",BD795="Partial splenectomy +/- splenopexy"),"NR - removed, check reason","NR"),"Not applicable")))))</f>
        <v/>
      </c>
    </row>
    <row r="796">
      <c r="D796" s="8" t="n"/>
      <c r="E796" s="9">
        <f>IF(B796="","",IF(B796="OWN","Yes","No"))</f>
        <v/>
      </c>
      <c r="AF796" s="9">
        <f>IF(ISNUMBER(Z796),IF(Z796&lt;=2,"&lt;=2 d",IF(Z796&lt;=7,"3-7 d",IF(Z796&lt;=30,"8-30 d","&gt;30 d"))),IF(AE796&lt;&gt;"",AE796,IF(Z796="NR","NR","")))</f>
        <v/>
      </c>
      <c r="AX796" s="9">
        <f>IF(ISNUMBER(AW796),IF(AW796&gt;450,"Yes","No"),IF(AW796="NR","NR",""))</f>
        <v/>
      </c>
      <c r="BJ796" s="9">
        <f>IF(BB796="","",IF(BB796="Non-viable","Non-viable",IF(BB796="Viable","Viable",IF(BB796="Partially non-viable",IF(OR(BD796="Total splenectomy",BD796="Partial splenectomy +/- splenopexy"),"Non-viable","Review"),IF(BB796="NR",IF(OR(BD796="Total splenectomy",BD796="Partial splenectomy +/- splenopexy"),"NR - removed, check reason","NR"),"Not applicable")))))</f>
        <v/>
      </c>
    </row>
    <row r="797">
      <c r="D797" s="8" t="n"/>
      <c r="E797" s="9">
        <f>IF(B797="","",IF(B797="OWN","Yes","No"))</f>
        <v/>
      </c>
      <c r="AF797" s="9">
        <f>IF(ISNUMBER(Z797),IF(Z797&lt;=2,"&lt;=2 d",IF(Z797&lt;=7,"3-7 d",IF(Z797&lt;=30,"8-30 d","&gt;30 d"))),IF(AE797&lt;&gt;"",AE797,IF(Z797="NR","NR","")))</f>
        <v/>
      </c>
      <c r="AX797" s="9">
        <f>IF(ISNUMBER(AW797),IF(AW797&gt;450,"Yes","No"),IF(AW797="NR","NR",""))</f>
        <v/>
      </c>
      <c r="BJ797" s="9">
        <f>IF(BB797="","",IF(BB797="Non-viable","Non-viable",IF(BB797="Viable","Viable",IF(BB797="Partially non-viable",IF(OR(BD797="Total splenectomy",BD797="Partial splenectomy +/- splenopexy"),"Non-viable","Review"),IF(BB797="NR",IF(OR(BD797="Total splenectomy",BD797="Partial splenectomy +/- splenopexy"),"NR - removed, check reason","NR"),"Not applicable")))))</f>
        <v/>
      </c>
    </row>
    <row r="798">
      <c r="D798" s="8" t="n"/>
      <c r="E798" s="9">
        <f>IF(B798="","",IF(B798="OWN","Yes","No"))</f>
        <v/>
      </c>
      <c r="AF798" s="9">
        <f>IF(ISNUMBER(Z798),IF(Z798&lt;=2,"&lt;=2 d",IF(Z798&lt;=7,"3-7 d",IF(Z798&lt;=30,"8-30 d","&gt;30 d"))),IF(AE798&lt;&gt;"",AE798,IF(Z798="NR","NR","")))</f>
        <v/>
      </c>
      <c r="AX798" s="9">
        <f>IF(ISNUMBER(AW798),IF(AW798&gt;450,"Yes","No"),IF(AW798="NR","NR",""))</f>
        <v/>
      </c>
      <c r="BJ798" s="9">
        <f>IF(BB798="","",IF(BB798="Non-viable","Non-viable",IF(BB798="Viable","Viable",IF(BB798="Partially non-viable",IF(OR(BD798="Total splenectomy",BD798="Partial splenectomy +/- splenopexy"),"Non-viable","Review"),IF(BB798="NR",IF(OR(BD798="Total splenectomy",BD798="Partial splenectomy +/- splenopexy"),"NR - removed, check reason","NR"),"Not applicable")))))</f>
        <v/>
      </c>
    </row>
    <row r="799">
      <c r="D799" s="8" t="n"/>
      <c r="E799" s="9">
        <f>IF(B799="","",IF(B799="OWN","Yes","No"))</f>
        <v/>
      </c>
      <c r="AF799" s="9">
        <f>IF(ISNUMBER(Z799),IF(Z799&lt;=2,"&lt;=2 d",IF(Z799&lt;=7,"3-7 d",IF(Z799&lt;=30,"8-30 d","&gt;30 d"))),IF(AE799&lt;&gt;"",AE799,IF(Z799="NR","NR","")))</f>
        <v/>
      </c>
      <c r="AX799" s="9">
        <f>IF(ISNUMBER(AW799),IF(AW799&gt;450,"Yes","No"),IF(AW799="NR","NR",""))</f>
        <v/>
      </c>
      <c r="BJ799" s="9">
        <f>IF(BB799="","",IF(BB799="Non-viable","Non-viable",IF(BB799="Viable","Viable",IF(BB799="Partially non-viable",IF(OR(BD799="Total splenectomy",BD799="Partial splenectomy +/- splenopexy"),"Non-viable","Review"),IF(BB799="NR",IF(OR(BD799="Total splenectomy",BD799="Partial splenectomy +/- splenopexy"),"NR - removed, check reason","NR"),"Not applicable")))))</f>
        <v/>
      </c>
    </row>
    <row r="800">
      <c r="D800" s="8" t="n"/>
      <c r="E800" s="9">
        <f>IF(B800="","",IF(B800="OWN","Yes","No"))</f>
        <v/>
      </c>
      <c r="AF800" s="9">
        <f>IF(ISNUMBER(Z800),IF(Z800&lt;=2,"&lt;=2 d",IF(Z800&lt;=7,"3-7 d",IF(Z800&lt;=30,"8-30 d","&gt;30 d"))),IF(AE800&lt;&gt;"",AE800,IF(Z800="NR","NR","")))</f>
        <v/>
      </c>
      <c r="AX800" s="9">
        <f>IF(ISNUMBER(AW800),IF(AW800&gt;450,"Yes","No"),IF(AW800="NR","NR",""))</f>
        <v/>
      </c>
      <c r="BJ800" s="9">
        <f>IF(BB800="","",IF(BB800="Non-viable","Non-viable",IF(BB800="Viable","Viable",IF(BB800="Partially non-viable",IF(OR(BD800="Total splenectomy",BD800="Partial splenectomy +/- splenopexy"),"Non-viable","Review"),IF(BB800="NR",IF(OR(BD800="Total splenectomy",BD800="Partial splenectomy +/- splenopexy"),"NR - removed, check reason","NR"),"Not applicable")))))</f>
        <v/>
      </c>
    </row>
    <row r="801">
      <c r="D801" s="8" t="n"/>
      <c r="E801" s="9">
        <f>IF(B801="","",IF(B801="OWN","Yes","No"))</f>
        <v/>
      </c>
      <c r="AF801" s="9">
        <f>IF(ISNUMBER(Z801),IF(Z801&lt;=2,"&lt;=2 d",IF(Z801&lt;=7,"3-7 d",IF(Z801&lt;=30,"8-30 d","&gt;30 d"))),IF(AE801&lt;&gt;"",AE801,IF(Z801="NR","NR","")))</f>
        <v/>
      </c>
      <c r="AX801" s="9">
        <f>IF(ISNUMBER(AW801),IF(AW801&gt;450,"Yes","No"),IF(AW801="NR","NR",""))</f>
        <v/>
      </c>
      <c r="BJ801" s="9">
        <f>IF(BB801="","",IF(BB801="Non-viable","Non-viable",IF(BB801="Viable","Viable",IF(BB801="Partially non-viable",IF(OR(BD801="Total splenectomy",BD801="Partial splenectomy +/- splenopexy"),"Non-viable","Review"),IF(BB801="NR",IF(OR(BD801="Total splenectomy",BD801="Partial splenectomy +/- splenopexy"),"NR - removed, check reason","NR"),"Not applicable")))))</f>
        <v/>
      </c>
    </row>
    <row r="802">
      <c r="D802" s="8" t="n"/>
      <c r="E802" s="9">
        <f>IF(B802="","",IF(B802="OWN","Yes","No"))</f>
        <v/>
      </c>
      <c r="AF802" s="9">
        <f>IF(ISNUMBER(Z802),IF(Z802&lt;=2,"&lt;=2 d",IF(Z802&lt;=7,"3-7 d",IF(Z802&lt;=30,"8-30 d","&gt;30 d"))),IF(AE802&lt;&gt;"",AE802,IF(Z802="NR","NR","")))</f>
        <v/>
      </c>
      <c r="AX802" s="9">
        <f>IF(ISNUMBER(AW802),IF(AW802&gt;450,"Yes","No"),IF(AW802="NR","NR",""))</f>
        <v/>
      </c>
      <c r="BJ802" s="9">
        <f>IF(BB802="","",IF(BB802="Non-viable","Non-viable",IF(BB802="Viable","Viable",IF(BB802="Partially non-viable",IF(OR(BD802="Total splenectomy",BD802="Partial splenectomy +/- splenopexy"),"Non-viable","Review"),IF(BB802="NR",IF(OR(BD802="Total splenectomy",BD802="Partial splenectomy +/- splenopexy"),"NR - removed, check reason","NR"),"Not applicable")))))</f>
        <v/>
      </c>
    </row>
    <row r="803">
      <c r="D803" s="8" t="n"/>
      <c r="E803" s="9">
        <f>IF(B803="","",IF(B803="OWN","Yes","No"))</f>
        <v/>
      </c>
      <c r="AF803" s="9">
        <f>IF(ISNUMBER(Z803),IF(Z803&lt;=2,"&lt;=2 d",IF(Z803&lt;=7,"3-7 d",IF(Z803&lt;=30,"8-30 d","&gt;30 d"))),IF(AE803&lt;&gt;"",AE803,IF(Z803="NR","NR","")))</f>
        <v/>
      </c>
      <c r="AX803" s="9">
        <f>IF(ISNUMBER(AW803),IF(AW803&gt;450,"Yes","No"),IF(AW803="NR","NR",""))</f>
        <v/>
      </c>
      <c r="BJ803" s="9">
        <f>IF(BB803="","",IF(BB803="Non-viable","Non-viable",IF(BB803="Viable","Viable",IF(BB803="Partially non-viable",IF(OR(BD803="Total splenectomy",BD803="Partial splenectomy +/- splenopexy"),"Non-viable","Review"),IF(BB803="NR",IF(OR(BD803="Total splenectomy",BD803="Partial splenectomy +/- splenopexy"),"NR - removed, check reason","NR"),"Not applicable")))))</f>
        <v/>
      </c>
    </row>
    <row r="804">
      <c r="D804" s="8" t="n"/>
      <c r="E804" s="9">
        <f>IF(B804="","",IF(B804="OWN","Yes","No"))</f>
        <v/>
      </c>
      <c r="AF804" s="9">
        <f>IF(ISNUMBER(Z804),IF(Z804&lt;=2,"&lt;=2 d",IF(Z804&lt;=7,"3-7 d",IF(Z804&lt;=30,"8-30 d","&gt;30 d"))),IF(AE804&lt;&gt;"",AE804,IF(Z804="NR","NR","")))</f>
        <v/>
      </c>
      <c r="AX804" s="9">
        <f>IF(ISNUMBER(AW804),IF(AW804&gt;450,"Yes","No"),IF(AW804="NR","NR",""))</f>
        <v/>
      </c>
      <c r="BJ804" s="9">
        <f>IF(BB804="","",IF(BB804="Non-viable","Non-viable",IF(BB804="Viable","Viable",IF(BB804="Partially non-viable",IF(OR(BD804="Total splenectomy",BD804="Partial splenectomy +/- splenopexy"),"Non-viable","Review"),IF(BB804="NR",IF(OR(BD804="Total splenectomy",BD804="Partial splenectomy +/- splenopexy"),"NR - removed, check reason","NR"),"Not applicable")))))</f>
        <v/>
      </c>
    </row>
    <row r="805">
      <c r="D805" s="8" t="n"/>
      <c r="E805" s="9">
        <f>IF(B805="","",IF(B805="OWN","Yes","No"))</f>
        <v/>
      </c>
      <c r="AF805" s="9">
        <f>IF(ISNUMBER(Z805),IF(Z805&lt;=2,"&lt;=2 d",IF(Z805&lt;=7,"3-7 d",IF(Z805&lt;=30,"8-30 d","&gt;30 d"))),IF(AE805&lt;&gt;"",AE805,IF(Z805="NR","NR","")))</f>
        <v/>
      </c>
      <c r="AX805" s="9">
        <f>IF(ISNUMBER(AW805),IF(AW805&gt;450,"Yes","No"),IF(AW805="NR","NR",""))</f>
        <v/>
      </c>
      <c r="BJ805" s="9">
        <f>IF(BB805="","",IF(BB805="Non-viable","Non-viable",IF(BB805="Viable","Viable",IF(BB805="Partially non-viable",IF(OR(BD805="Total splenectomy",BD805="Partial splenectomy +/- splenopexy"),"Non-viable","Review"),IF(BB805="NR",IF(OR(BD805="Total splenectomy",BD805="Partial splenectomy +/- splenopexy"),"NR - removed, check reason","NR"),"Not applicable")))))</f>
        <v/>
      </c>
    </row>
    <row r="806">
      <c r="D806" s="8" t="n"/>
      <c r="E806" s="9">
        <f>IF(B806="","",IF(B806="OWN","Yes","No"))</f>
        <v/>
      </c>
      <c r="AF806" s="9">
        <f>IF(ISNUMBER(Z806),IF(Z806&lt;=2,"&lt;=2 d",IF(Z806&lt;=7,"3-7 d",IF(Z806&lt;=30,"8-30 d","&gt;30 d"))),IF(AE806&lt;&gt;"",AE806,IF(Z806="NR","NR","")))</f>
        <v/>
      </c>
      <c r="AX806" s="9">
        <f>IF(ISNUMBER(AW806),IF(AW806&gt;450,"Yes","No"),IF(AW806="NR","NR",""))</f>
        <v/>
      </c>
      <c r="BJ806" s="9">
        <f>IF(BB806="","",IF(BB806="Non-viable","Non-viable",IF(BB806="Viable","Viable",IF(BB806="Partially non-viable",IF(OR(BD806="Total splenectomy",BD806="Partial splenectomy +/- splenopexy"),"Non-viable","Review"),IF(BB806="NR",IF(OR(BD806="Total splenectomy",BD806="Partial splenectomy +/- splenopexy"),"NR - removed, check reason","NR"),"Not applicable")))))</f>
        <v/>
      </c>
    </row>
    <row r="807">
      <c r="D807" s="8" t="n"/>
      <c r="E807" s="9">
        <f>IF(B807="","",IF(B807="OWN","Yes","No"))</f>
        <v/>
      </c>
      <c r="AF807" s="9">
        <f>IF(ISNUMBER(Z807),IF(Z807&lt;=2,"&lt;=2 d",IF(Z807&lt;=7,"3-7 d",IF(Z807&lt;=30,"8-30 d","&gt;30 d"))),IF(AE807&lt;&gt;"",AE807,IF(Z807="NR","NR","")))</f>
        <v/>
      </c>
      <c r="AX807" s="9">
        <f>IF(ISNUMBER(AW807),IF(AW807&gt;450,"Yes","No"),IF(AW807="NR","NR",""))</f>
        <v/>
      </c>
      <c r="BJ807" s="9">
        <f>IF(BB807="","",IF(BB807="Non-viable","Non-viable",IF(BB807="Viable","Viable",IF(BB807="Partially non-viable",IF(OR(BD807="Total splenectomy",BD807="Partial splenectomy +/- splenopexy"),"Non-viable","Review"),IF(BB807="NR",IF(OR(BD807="Total splenectomy",BD807="Partial splenectomy +/- splenopexy"),"NR - removed, check reason","NR"),"Not applicable")))))</f>
        <v/>
      </c>
    </row>
    <row r="808">
      <c r="D808" s="8" t="n"/>
      <c r="E808" s="9">
        <f>IF(B808="","",IF(B808="OWN","Yes","No"))</f>
        <v/>
      </c>
      <c r="AF808" s="9">
        <f>IF(ISNUMBER(Z808),IF(Z808&lt;=2,"&lt;=2 d",IF(Z808&lt;=7,"3-7 d",IF(Z808&lt;=30,"8-30 d","&gt;30 d"))),IF(AE808&lt;&gt;"",AE808,IF(Z808="NR","NR","")))</f>
        <v/>
      </c>
      <c r="AX808" s="9">
        <f>IF(ISNUMBER(AW808),IF(AW808&gt;450,"Yes","No"),IF(AW808="NR","NR",""))</f>
        <v/>
      </c>
      <c r="BJ808" s="9">
        <f>IF(BB808="","",IF(BB808="Non-viable","Non-viable",IF(BB808="Viable","Viable",IF(BB808="Partially non-viable",IF(OR(BD808="Total splenectomy",BD808="Partial splenectomy +/- splenopexy"),"Non-viable","Review"),IF(BB808="NR",IF(OR(BD808="Total splenectomy",BD808="Partial splenectomy +/- splenopexy"),"NR - removed, check reason","NR"),"Not applicable")))))</f>
        <v/>
      </c>
    </row>
    <row r="809">
      <c r="D809" s="8" t="n"/>
      <c r="E809" s="9">
        <f>IF(B809="","",IF(B809="OWN","Yes","No"))</f>
        <v/>
      </c>
      <c r="AF809" s="9">
        <f>IF(ISNUMBER(Z809),IF(Z809&lt;=2,"&lt;=2 d",IF(Z809&lt;=7,"3-7 d",IF(Z809&lt;=30,"8-30 d","&gt;30 d"))),IF(AE809&lt;&gt;"",AE809,IF(Z809="NR","NR","")))</f>
        <v/>
      </c>
      <c r="AX809" s="9">
        <f>IF(ISNUMBER(AW809),IF(AW809&gt;450,"Yes","No"),IF(AW809="NR","NR",""))</f>
        <v/>
      </c>
      <c r="BJ809" s="9">
        <f>IF(BB809="","",IF(BB809="Non-viable","Non-viable",IF(BB809="Viable","Viable",IF(BB809="Partially non-viable",IF(OR(BD809="Total splenectomy",BD809="Partial splenectomy +/- splenopexy"),"Non-viable","Review"),IF(BB809="NR",IF(OR(BD809="Total splenectomy",BD809="Partial splenectomy +/- splenopexy"),"NR - removed, check reason","NR"),"Not applicable")))))</f>
        <v/>
      </c>
    </row>
    <row r="810">
      <c r="D810" s="8" t="n"/>
      <c r="E810" s="9">
        <f>IF(B810="","",IF(B810="OWN","Yes","No"))</f>
        <v/>
      </c>
      <c r="AF810" s="9">
        <f>IF(ISNUMBER(Z810),IF(Z810&lt;=2,"&lt;=2 d",IF(Z810&lt;=7,"3-7 d",IF(Z810&lt;=30,"8-30 d","&gt;30 d"))),IF(AE810&lt;&gt;"",AE810,IF(Z810="NR","NR","")))</f>
        <v/>
      </c>
      <c r="AX810" s="9">
        <f>IF(ISNUMBER(AW810),IF(AW810&gt;450,"Yes","No"),IF(AW810="NR","NR",""))</f>
        <v/>
      </c>
      <c r="BJ810" s="9">
        <f>IF(BB810="","",IF(BB810="Non-viable","Non-viable",IF(BB810="Viable","Viable",IF(BB810="Partially non-viable",IF(OR(BD810="Total splenectomy",BD810="Partial splenectomy +/- splenopexy"),"Non-viable","Review"),IF(BB810="NR",IF(OR(BD810="Total splenectomy",BD810="Partial splenectomy +/- splenopexy"),"NR - removed, check reason","NR"),"Not applicable")))))</f>
        <v/>
      </c>
    </row>
    <row r="811">
      <c r="D811" s="8" t="n"/>
      <c r="E811" s="9">
        <f>IF(B811="","",IF(B811="OWN","Yes","No"))</f>
        <v/>
      </c>
      <c r="AF811" s="9">
        <f>IF(ISNUMBER(Z811),IF(Z811&lt;=2,"&lt;=2 d",IF(Z811&lt;=7,"3-7 d",IF(Z811&lt;=30,"8-30 d","&gt;30 d"))),IF(AE811&lt;&gt;"",AE811,IF(Z811="NR","NR","")))</f>
        <v/>
      </c>
      <c r="AX811" s="9">
        <f>IF(ISNUMBER(AW811),IF(AW811&gt;450,"Yes","No"),IF(AW811="NR","NR",""))</f>
        <v/>
      </c>
      <c r="BJ811" s="9">
        <f>IF(BB811="","",IF(BB811="Non-viable","Non-viable",IF(BB811="Viable","Viable",IF(BB811="Partially non-viable",IF(OR(BD811="Total splenectomy",BD811="Partial splenectomy +/- splenopexy"),"Non-viable","Review"),IF(BB811="NR",IF(OR(BD811="Total splenectomy",BD811="Partial splenectomy +/- splenopexy"),"NR - removed, check reason","NR"),"Not applicable")))))</f>
        <v/>
      </c>
    </row>
    <row r="812">
      <c r="D812" s="8" t="n"/>
      <c r="E812" s="9">
        <f>IF(B812="","",IF(B812="OWN","Yes","No"))</f>
        <v/>
      </c>
      <c r="AF812" s="9">
        <f>IF(ISNUMBER(Z812),IF(Z812&lt;=2,"&lt;=2 d",IF(Z812&lt;=7,"3-7 d",IF(Z812&lt;=30,"8-30 d","&gt;30 d"))),IF(AE812&lt;&gt;"",AE812,IF(Z812="NR","NR","")))</f>
        <v/>
      </c>
      <c r="AX812" s="9">
        <f>IF(ISNUMBER(AW812),IF(AW812&gt;450,"Yes","No"),IF(AW812="NR","NR",""))</f>
        <v/>
      </c>
      <c r="BJ812" s="9">
        <f>IF(BB812="","",IF(BB812="Non-viable","Non-viable",IF(BB812="Viable","Viable",IF(BB812="Partially non-viable",IF(OR(BD812="Total splenectomy",BD812="Partial splenectomy +/- splenopexy"),"Non-viable","Review"),IF(BB812="NR",IF(OR(BD812="Total splenectomy",BD812="Partial splenectomy +/- splenopexy"),"NR - removed, check reason","NR"),"Not applicable")))))</f>
        <v/>
      </c>
    </row>
    <row r="813">
      <c r="D813" s="8" t="n"/>
      <c r="E813" s="9">
        <f>IF(B813="","",IF(B813="OWN","Yes","No"))</f>
        <v/>
      </c>
      <c r="AF813" s="9">
        <f>IF(ISNUMBER(Z813),IF(Z813&lt;=2,"&lt;=2 d",IF(Z813&lt;=7,"3-7 d",IF(Z813&lt;=30,"8-30 d","&gt;30 d"))),IF(AE813&lt;&gt;"",AE813,IF(Z813="NR","NR","")))</f>
        <v/>
      </c>
      <c r="AX813" s="9">
        <f>IF(ISNUMBER(AW813),IF(AW813&gt;450,"Yes","No"),IF(AW813="NR","NR",""))</f>
        <v/>
      </c>
      <c r="BJ813" s="9">
        <f>IF(BB813="","",IF(BB813="Non-viable","Non-viable",IF(BB813="Viable","Viable",IF(BB813="Partially non-viable",IF(OR(BD813="Total splenectomy",BD813="Partial splenectomy +/- splenopexy"),"Non-viable","Review"),IF(BB813="NR",IF(OR(BD813="Total splenectomy",BD813="Partial splenectomy +/- splenopexy"),"NR - removed, check reason","NR"),"Not applicable")))))</f>
        <v/>
      </c>
    </row>
    <row r="814">
      <c r="D814" s="8" t="n"/>
      <c r="E814" s="9">
        <f>IF(B814="","",IF(B814="OWN","Yes","No"))</f>
        <v/>
      </c>
      <c r="AF814" s="9">
        <f>IF(ISNUMBER(Z814),IF(Z814&lt;=2,"&lt;=2 d",IF(Z814&lt;=7,"3-7 d",IF(Z814&lt;=30,"8-30 d","&gt;30 d"))),IF(AE814&lt;&gt;"",AE814,IF(Z814="NR","NR","")))</f>
        <v/>
      </c>
      <c r="AX814" s="9">
        <f>IF(ISNUMBER(AW814),IF(AW814&gt;450,"Yes","No"),IF(AW814="NR","NR",""))</f>
        <v/>
      </c>
      <c r="BJ814" s="9">
        <f>IF(BB814="","",IF(BB814="Non-viable","Non-viable",IF(BB814="Viable","Viable",IF(BB814="Partially non-viable",IF(OR(BD814="Total splenectomy",BD814="Partial splenectomy +/- splenopexy"),"Non-viable","Review"),IF(BB814="NR",IF(OR(BD814="Total splenectomy",BD814="Partial splenectomy +/- splenopexy"),"NR - removed, check reason","NR"),"Not applicable")))))</f>
        <v/>
      </c>
    </row>
    <row r="815">
      <c r="D815" s="8" t="n"/>
      <c r="E815" s="9">
        <f>IF(B815="","",IF(B815="OWN","Yes","No"))</f>
        <v/>
      </c>
      <c r="AF815" s="9">
        <f>IF(ISNUMBER(Z815),IF(Z815&lt;=2,"&lt;=2 d",IF(Z815&lt;=7,"3-7 d",IF(Z815&lt;=30,"8-30 d","&gt;30 d"))),IF(AE815&lt;&gt;"",AE815,IF(Z815="NR","NR","")))</f>
        <v/>
      </c>
      <c r="AX815" s="9">
        <f>IF(ISNUMBER(AW815),IF(AW815&gt;450,"Yes","No"),IF(AW815="NR","NR",""))</f>
        <v/>
      </c>
      <c r="BJ815" s="9">
        <f>IF(BB815="","",IF(BB815="Non-viable","Non-viable",IF(BB815="Viable","Viable",IF(BB815="Partially non-viable",IF(OR(BD815="Total splenectomy",BD815="Partial splenectomy +/- splenopexy"),"Non-viable","Review"),IF(BB815="NR",IF(OR(BD815="Total splenectomy",BD815="Partial splenectomy +/- splenopexy"),"NR - removed, check reason","NR"),"Not applicable")))))</f>
        <v/>
      </c>
    </row>
    <row r="816">
      <c r="D816" s="8" t="n"/>
      <c r="E816" s="9">
        <f>IF(B816="","",IF(B816="OWN","Yes","No"))</f>
        <v/>
      </c>
      <c r="AF816" s="9">
        <f>IF(ISNUMBER(Z816),IF(Z816&lt;=2,"&lt;=2 d",IF(Z816&lt;=7,"3-7 d",IF(Z816&lt;=30,"8-30 d","&gt;30 d"))),IF(AE816&lt;&gt;"",AE816,IF(Z816="NR","NR","")))</f>
        <v/>
      </c>
      <c r="AX816" s="9">
        <f>IF(ISNUMBER(AW816),IF(AW816&gt;450,"Yes","No"),IF(AW816="NR","NR",""))</f>
        <v/>
      </c>
      <c r="BJ816" s="9">
        <f>IF(BB816="","",IF(BB816="Non-viable","Non-viable",IF(BB816="Viable","Viable",IF(BB816="Partially non-viable",IF(OR(BD816="Total splenectomy",BD816="Partial splenectomy +/- splenopexy"),"Non-viable","Review"),IF(BB816="NR",IF(OR(BD816="Total splenectomy",BD816="Partial splenectomy +/- splenopexy"),"NR - removed, check reason","NR"),"Not applicable")))))</f>
        <v/>
      </c>
    </row>
    <row r="817">
      <c r="D817" s="8" t="n"/>
      <c r="E817" s="9">
        <f>IF(B817="","",IF(B817="OWN","Yes","No"))</f>
        <v/>
      </c>
      <c r="AF817" s="9">
        <f>IF(ISNUMBER(Z817),IF(Z817&lt;=2,"&lt;=2 d",IF(Z817&lt;=7,"3-7 d",IF(Z817&lt;=30,"8-30 d","&gt;30 d"))),IF(AE817&lt;&gt;"",AE817,IF(Z817="NR","NR","")))</f>
        <v/>
      </c>
      <c r="AX817" s="9">
        <f>IF(ISNUMBER(AW817),IF(AW817&gt;450,"Yes","No"),IF(AW817="NR","NR",""))</f>
        <v/>
      </c>
      <c r="BJ817" s="9">
        <f>IF(BB817="","",IF(BB817="Non-viable","Non-viable",IF(BB817="Viable","Viable",IF(BB817="Partially non-viable",IF(OR(BD817="Total splenectomy",BD817="Partial splenectomy +/- splenopexy"),"Non-viable","Review"),IF(BB817="NR",IF(OR(BD817="Total splenectomy",BD817="Partial splenectomy +/- splenopexy"),"NR - removed, check reason","NR"),"Not applicable")))))</f>
        <v/>
      </c>
    </row>
    <row r="818">
      <c r="D818" s="8" t="n"/>
      <c r="E818" s="9">
        <f>IF(B818="","",IF(B818="OWN","Yes","No"))</f>
        <v/>
      </c>
      <c r="AF818" s="9">
        <f>IF(ISNUMBER(Z818),IF(Z818&lt;=2,"&lt;=2 d",IF(Z818&lt;=7,"3-7 d",IF(Z818&lt;=30,"8-30 d","&gt;30 d"))),IF(AE818&lt;&gt;"",AE818,IF(Z818="NR","NR","")))</f>
        <v/>
      </c>
      <c r="AX818" s="9">
        <f>IF(ISNUMBER(AW818),IF(AW818&gt;450,"Yes","No"),IF(AW818="NR","NR",""))</f>
        <v/>
      </c>
      <c r="BJ818" s="9">
        <f>IF(BB818="","",IF(BB818="Non-viable","Non-viable",IF(BB818="Viable","Viable",IF(BB818="Partially non-viable",IF(OR(BD818="Total splenectomy",BD818="Partial splenectomy +/- splenopexy"),"Non-viable","Review"),IF(BB818="NR",IF(OR(BD818="Total splenectomy",BD818="Partial splenectomy +/- splenopexy"),"NR - removed, check reason","NR"),"Not applicable")))))</f>
        <v/>
      </c>
    </row>
    <row r="819">
      <c r="D819" s="8" t="n"/>
      <c r="E819" s="9">
        <f>IF(B819="","",IF(B819="OWN","Yes","No"))</f>
        <v/>
      </c>
      <c r="AF819" s="9">
        <f>IF(ISNUMBER(Z819),IF(Z819&lt;=2,"&lt;=2 d",IF(Z819&lt;=7,"3-7 d",IF(Z819&lt;=30,"8-30 d","&gt;30 d"))),IF(AE819&lt;&gt;"",AE819,IF(Z819="NR","NR","")))</f>
        <v/>
      </c>
      <c r="AX819" s="9">
        <f>IF(ISNUMBER(AW819),IF(AW819&gt;450,"Yes","No"),IF(AW819="NR","NR",""))</f>
        <v/>
      </c>
      <c r="BJ819" s="9">
        <f>IF(BB819="","",IF(BB819="Non-viable","Non-viable",IF(BB819="Viable","Viable",IF(BB819="Partially non-viable",IF(OR(BD819="Total splenectomy",BD819="Partial splenectomy +/- splenopexy"),"Non-viable","Review"),IF(BB819="NR",IF(OR(BD819="Total splenectomy",BD819="Partial splenectomy +/- splenopexy"),"NR - removed, check reason","NR"),"Not applicable")))))</f>
        <v/>
      </c>
    </row>
    <row r="820">
      <c r="D820" s="8" t="n"/>
      <c r="E820" s="9">
        <f>IF(B820="","",IF(B820="OWN","Yes","No"))</f>
        <v/>
      </c>
      <c r="AF820" s="9">
        <f>IF(ISNUMBER(Z820),IF(Z820&lt;=2,"&lt;=2 d",IF(Z820&lt;=7,"3-7 d",IF(Z820&lt;=30,"8-30 d","&gt;30 d"))),IF(AE820&lt;&gt;"",AE820,IF(Z820="NR","NR","")))</f>
        <v/>
      </c>
      <c r="AX820" s="9">
        <f>IF(ISNUMBER(AW820),IF(AW820&gt;450,"Yes","No"),IF(AW820="NR","NR",""))</f>
        <v/>
      </c>
      <c r="BJ820" s="9">
        <f>IF(BB820="","",IF(BB820="Non-viable","Non-viable",IF(BB820="Viable","Viable",IF(BB820="Partially non-viable",IF(OR(BD820="Total splenectomy",BD820="Partial splenectomy +/- splenopexy"),"Non-viable","Review"),IF(BB820="NR",IF(OR(BD820="Total splenectomy",BD820="Partial splenectomy +/- splenopexy"),"NR - removed, check reason","NR"),"Not applicable")))))</f>
        <v/>
      </c>
    </row>
    <row r="821">
      <c r="D821" s="8" t="n"/>
      <c r="E821" s="9">
        <f>IF(B821="","",IF(B821="OWN","Yes","No"))</f>
        <v/>
      </c>
      <c r="AF821" s="9">
        <f>IF(ISNUMBER(Z821),IF(Z821&lt;=2,"&lt;=2 d",IF(Z821&lt;=7,"3-7 d",IF(Z821&lt;=30,"8-30 d","&gt;30 d"))),IF(AE821&lt;&gt;"",AE821,IF(Z821="NR","NR","")))</f>
        <v/>
      </c>
      <c r="AX821" s="9">
        <f>IF(ISNUMBER(AW821),IF(AW821&gt;450,"Yes","No"),IF(AW821="NR","NR",""))</f>
        <v/>
      </c>
      <c r="BJ821" s="9">
        <f>IF(BB821="","",IF(BB821="Non-viable","Non-viable",IF(BB821="Viable","Viable",IF(BB821="Partially non-viable",IF(OR(BD821="Total splenectomy",BD821="Partial splenectomy +/- splenopexy"),"Non-viable","Review"),IF(BB821="NR",IF(OR(BD821="Total splenectomy",BD821="Partial splenectomy +/- splenopexy"),"NR - removed, check reason","NR"),"Not applicable")))))</f>
        <v/>
      </c>
    </row>
    <row r="822">
      <c r="D822" s="8" t="n"/>
      <c r="E822" s="9">
        <f>IF(B822="","",IF(B822="OWN","Yes","No"))</f>
        <v/>
      </c>
      <c r="AF822" s="9">
        <f>IF(ISNUMBER(Z822),IF(Z822&lt;=2,"&lt;=2 d",IF(Z822&lt;=7,"3-7 d",IF(Z822&lt;=30,"8-30 d","&gt;30 d"))),IF(AE822&lt;&gt;"",AE822,IF(Z822="NR","NR","")))</f>
        <v/>
      </c>
      <c r="AX822" s="9">
        <f>IF(ISNUMBER(AW822),IF(AW822&gt;450,"Yes","No"),IF(AW822="NR","NR",""))</f>
        <v/>
      </c>
      <c r="BJ822" s="9">
        <f>IF(BB822="","",IF(BB822="Non-viable","Non-viable",IF(BB822="Viable","Viable",IF(BB822="Partially non-viable",IF(OR(BD822="Total splenectomy",BD822="Partial splenectomy +/- splenopexy"),"Non-viable","Review"),IF(BB822="NR",IF(OR(BD822="Total splenectomy",BD822="Partial splenectomy +/- splenopexy"),"NR - removed, check reason","NR"),"Not applicable")))))</f>
        <v/>
      </c>
    </row>
    <row r="823">
      <c r="D823" s="8" t="n"/>
      <c r="E823" s="9">
        <f>IF(B823="","",IF(B823="OWN","Yes","No"))</f>
        <v/>
      </c>
      <c r="AF823" s="9">
        <f>IF(ISNUMBER(Z823),IF(Z823&lt;=2,"&lt;=2 d",IF(Z823&lt;=7,"3-7 d",IF(Z823&lt;=30,"8-30 d","&gt;30 d"))),IF(AE823&lt;&gt;"",AE823,IF(Z823="NR","NR","")))</f>
        <v/>
      </c>
      <c r="AX823" s="9">
        <f>IF(ISNUMBER(AW823),IF(AW823&gt;450,"Yes","No"),IF(AW823="NR","NR",""))</f>
        <v/>
      </c>
      <c r="BJ823" s="9">
        <f>IF(BB823="","",IF(BB823="Non-viable","Non-viable",IF(BB823="Viable","Viable",IF(BB823="Partially non-viable",IF(OR(BD823="Total splenectomy",BD823="Partial splenectomy +/- splenopexy"),"Non-viable","Review"),IF(BB823="NR",IF(OR(BD823="Total splenectomy",BD823="Partial splenectomy +/- splenopexy"),"NR - removed, check reason","NR"),"Not applicable")))))</f>
        <v/>
      </c>
    </row>
    <row r="824">
      <c r="D824" s="8" t="n"/>
      <c r="E824" s="9">
        <f>IF(B824="","",IF(B824="OWN","Yes","No"))</f>
        <v/>
      </c>
      <c r="AF824" s="9">
        <f>IF(ISNUMBER(Z824),IF(Z824&lt;=2,"&lt;=2 d",IF(Z824&lt;=7,"3-7 d",IF(Z824&lt;=30,"8-30 d","&gt;30 d"))),IF(AE824&lt;&gt;"",AE824,IF(Z824="NR","NR","")))</f>
        <v/>
      </c>
      <c r="AX824" s="9">
        <f>IF(ISNUMBER(AW824),IF(AW824&gt;450,"Yes","No"),IF(AW824="NR","NR",""))</f>
        <v/>
      </c>
      <c r="BJ824" s="9">
        <f>IF(BB824="","",IF(BB824="Non-viable","Non-viable",IF(BB824="Viable","Viable",IF(BB824="Partially non-viable",IF(OR(BD824="Total splenectomy",BD824="Partial splenectomy +/- splenopexy"),"Non-viable","Review"),IF(BB824="NR",IF(OR(BD824="Total splenectomy",BD824="Partial splenectomy +/- splenopexy"),"NR - removed, check reason","NR"),"Not applicable")))))</f>
        <v/>
      </c>
    </row>
    <row r="825">
      <c r="D825" s="8" t="n"/>
      <c r="E825" s="9">
        <f>IF(B825="","",IF(B825="OWN","Yes","No"))</f>
        <v/>
      </c>
      <c r="AF825" s="9">
        <f>IF(ISNUMBER(Z825),IF(Z825&lt;=2,"&lt;=2 d",IF(Z825&lt;=7,"3-7 d",IF(Z825&lt;=30,"8-30 d","&gt;30 d"))),IF(AE825&lt;&gt;"",AE825,IF(Z825="NR","NR","")))</f>
        <v/>
      </c>
      <c r="AX825" s="9">
        <f>IF(ISNUMBER(AW825),IF(AW825&gt;450,"Yes","No"),IF(AW825="NR","NR",""))</f>
        <v/>
      </c>
      <c r="BJ825" s="9">
        <f>IF(BB825="","",IF(BB825="Non-viable","Non-viable",IF(BB825="Viable","Viable",IF(BB825="Partially non-viable",IF(OR(BD825="Total splenectomy",BD825="Partial splenectomy +/- splenopexy"),"Non-viable","Review"),IF(BB825="NR",IF(OR(BD825="Total splenectomy",BD825="Partial splenectomy +/- splenopexy"),"NR - removed, check reason","NR"),"Not applicable")))))</f>
        <v/>
      </c>
    </row>
    <row r="826">
      <c r="D826" s="8" t="n"/>
      <c r="E826" s="9">
        <f>IF(B826="","",IF(B826="OWN","Yes","No"))</f>
        <v/>
      </c>
      <c r="AF826" s="9">
        <f>IF(ISNUMBER(Z826),IF(Z826&lt;=2,"&lt;=2 d",IF(Z826&lt;=7,"3-7 d",IF(Z826&lt;=30,"8-30 d","&gt;30 d"))),IF(AE826&lt;&gt;"",AE826,IF(Z826="NR","NR","")))</f>
        <v/>
      </c>
      <c r="AX826" s="9">
        <f>IF(ISNUMBER(AW826),IF(AW826&gt;450,"Yes","No"),IF(AW826="NR","NR",""))</f>
        <v/>
      </c>
      <c r="BJ826" s="9">
        <f>IF(BB826="","",IF(BB826="Non-viable","Non-viable",IF(BB826="Viable","Viable",IF(BB826="Partially non-viable",IF(OR(BD826="Total splenectomy",BD826="Partial splenectomy +/- splenopexy"),"Non-viable","Review"),IF(BB826="NR",IF(OR(BD826="Total splenectomy",BD826="Partial splenectomy +/- splenopexy"),"NR - removed, check reason","NR"),"Not applicable")))))</f>
        <v/>
      </c>
    </row>
    <row r="827">
      <c r="D827" s="8" t="n"/>
      <c r="E827" s="9">
        <f>IF(B827="","",IF(B827="OWN","Yes","No"))</f>
        <v/>
      </c>
      <c r="AF827" s="9">
        <f>IF(ISNUMBER(Z827),IF(Z827&lt;=2,"&lt;=2 d",IF(Z827&lt;=7,"3-7 d",IF(Z827&lt;=30,"8-30 d","&gt;30 d"))),IF(AE827&lt;&gt;"",AE827,IF(Z827="NR","NR","")))</f>
        <v/>
      </c>
      <c r="AX827" s="9">
        <f>IF(ISNUMBER(AW827),IF(AW827&gt;450,"Yes","No"),IF(AW827="NR","NR",""))</f>
        <v/>
      </c>
      <c r="BJ827" s="9">
        <f>IF(BB827="","",IF(BB827="Non-viable","Non-viable",IF(BB827="Viable","Viable",IF(BB827="Partially non-viable",IF(OR(BD827="Total splenectomy",BD827="Partial splenectomy +/- splenopexy"),"Non-viable","Review"),IF(BB827="NR",IF(OR(BD827="Total splenectomy",BD827="Partial splenectomy +/- splenopexy"),"NR - removed, check reason","NR"),"Not applicable")))))</f>
        <v/>
      </c>
    </row>
    <row r="828">
      <c r="D828" s="8" t="n"/>
      <c r="E828" s="9">
        <f>IF(B828="","",IF(B828="OWN","Yes","No"))</f>
        <v/>
      </c>
      <c r="AF828" s="9">
        <f>IF(ISNUMBER(Z828),IF(Z828&lt;=2,"&lt;=2 d",IF(Z828&lt;=7,"3-7 d",IF(Z828&lt;=30,"8-30 d","&gt;30 d"))),IF(AE828&lt;&gt;"",AE828,IF(Z828="NR","NR","")))</f>
        <v/>
      </c>
      <c r="AX828" s="9">
        <f>IF(ISNUMBER(AW828),IF(AW828&gt;450,"Yes","No"),IF(AW828="NR","NR",""))</f>
        <v/>
      </c>
      <c r="BJ828" s="9">
        <f>IF(BB828="","",IF(BB828="Non-viable","Non-viable",IF(BB828="Viable","Viable",IF(BB828="Partially non-viable",IF(OR(BD828="Total splenectomy",BD828="Partial splenectomy +/- splenopexy"),"Non-viable","Review"),IF(BB828="NR",IF(OR(BD828="Total splenectomy",BD828="Partial splenectomy +/- splenopexy"),"NR - removed, check reason","NR"),"Not applicable")))))</f>
        <v/>
      </c>
    </row>
    <row r="829">
      <c r="D829" s="8" t="n"/>
      <c r="E829" s="9">
        <f>IF(B829="","",IF(B829="OWN","Yes","No"))</f>
        <v/>
      </c>
      <c r="AF829" s="9">
        <f>IF(ISNUMBER(Z829),IF(Z829&lt;=2,"&lt;=2 d",IF(Z829&lt;=7,"3-7 d",IF(Z829&lt;=30,"8-30 d","&gt;30 d"))),IF(AE829&lt;&gt;"",AE829,IF(Z829="NR","NR","")))</f>
        <v/>
      </c>
      <c r="AX829" s="9">
        <f>IF(ISNUMBER(AW829),IF(AW829&gt;450,"Yes","No"),IF(AW829="NR","NR",""))</f>
        <v/>
      </c>
      <c r="BJ829" s="9">
        <f>IF(BB829="","",IF(BB829="Non-viable","Non-viable",IF(BB829="Viable","Viable",IF(BB829="Partially non-viable",IF(OR(BD829="Total splenectomy",BD829="Partial splenectomy +/- splenopexy"),"Non-viable","Review"),IF(BB829="NR",IF(OR(BD829="Total splenectomy",BD829="Partial splenectomy +/- splenopexy"),"NR - removed, check reason","NR"),"Not applicable")))))</f>
        <v/>
      </c>
    </row>
    <row r="830">
      <c r="D830" s="8" t="n"/>
      <c r="E830" s="9">
        <f>IF(B830="","",IF(B830="OWN","Yes","No"))</f>
        <v/>
      </c>
      <c r="AF830" s="9">
        <f>IF(ISNUMBER(Z830),IF(Z830&lt;=2,"&lt;=2 d",IF(Z830&lt;=7,"3-7 d",IF(Z830&lt;=30,"8-30 d","&gt;30 d"))),IF(AE830&lt;&gt;"",AE830,IF(Z830="NR","NR","")))</f>
        <v/>
      </c>
      <c r="AX830" s="9">
        <f>IF(ISNUMBER(AW830),IF(AW830&gt;450,"Yes","No"),IF(AW830="NR","NR",""))</f>
        <v/>
      </c>
      <c r="BJ830" s="9">
        <f>IF(BB830="","",IF(BB830="Non-viable","Non-viable",IF(BB830="Viable","Viable",IF(BB830="Partially non-viable",IF(OR(BD830="Total splenectomy",BD830="Partial splenectomy +/- splenopexy"),"Non-viable","Review"),IF(BB830="NR",IF(OR(BD830="Total splenectomy",BD830="Partial splenectomy +/- splenopexy"),"NR - removed, check reason","NR"),"Not applicable")))))</f>
        <v/>
      </c>
    </row>
    <row r="831">
      <c r="D831" s="8" t="n"/>
      <c r="E831" s="9">
        <f>IF(B831="","",IF(B831="OWN","Yes","No"))</f>
        <v/>
      </c>
      <c r="AF831" s="9">
        <f>IF(ISNUMBER(Z831),IF(Z831&lt;=2,"&lt;=2 d",IF(Z831&lt;=7,"3-7 d",IF(Z831&lt;=30,"8-30 d","&gt;30 d"))),IF(AE831&lt;&gt;"",AE831,IF(Z831="NR","NR","")))</f>
        <v/>
      </c>
      <c r="AX831" s="9">
        <f>IF(ISNUMBER(AW831),IF(AW831&gt;450,"Yes","No"),IF(AW831="NR","NR",""))</f>
        <v/>
      </c>
      <c r="BJ831" s="9">
        <f>IF(BB831="","",IF(BB831="Non-viable","Non-viable",IF(BB831="Viable","Viable",IF(BB831="Partially non-viable",IF(OR(BD831="Total splenectomy",BD831="Partial splenectomy +/- splenopexy"),"Non-viable","Review"),IF(BB831="NR",IF(OR(BD831="Total splenectomy",BD831="Partial splenectomy +/- splenopexy"),"NR - removed, check reason","NR"),"Not applicable")))))</f>
        <v/>
      </c>
    </row>
    <row r="832">
      <c r="D832" s="8" t="n"/>
      <c r="E832" s="9">
        <f>IF(B832="","",IF(B832="OWN","Yes","No"))</f>
        <v/>
      </c>
      <c r="AF832" s="9">
        <f>IF(ISNUMBER(Z832),IF(Z832&lt;=2,"&lt;=2 d",IF(Z832&lt;=7,"3-7 d",IF(Z832&lt;=30,"8-30 d","&gt;30 d"))),IF(AE832&lt;&gt;"",AE832,IF(Z832="NR","NR","")))</f>
        <v/>
      </c>
      <c r="AX832" s="9">
        <f>IF(ISNUMBER(AW832),IF(AW832&gt;450,"Yes","No"),IF(AW832="NR","NR",""))</f>
        <v/>
      </c>
      <c r="BJ832" s="9">
        <f>IF(BB832="","",IF(BB832="Non-viable","Non-viable",IF(BB832="Viable","Viable",IF(BB832="Partially non-viable",IF(OR(BD832="Total splenectomy",BD832="Partial splenectomy +/- splenopexy"),"Non-viable","Review"),IF(BB832="NR",IF(OR(BD832="Total splenectomy",BD832="Partial splenectomy +/- splenopexy"),"NR - removed, check reason","NR"),"Not applicable")))))</f>
        <v/>
      </c>
    </row>
    <row r="833">
      <c r="D833" s="8" t="n"/>
      <c r="E833" s="9">
        <f>IF(B833="","",IF(B833="OWN","Yes","No"))</f>
        <v/>
      </c>
      <c r="AF833" s="9">
        <f>IF(ISNUMBER(Z833),IF(Z833&lt;=2,"&lt;=2 d",IF(Z833&lt;=7,"3-7 d",IF(Z833&lt;=30,"8-30 d","&gt;30 d"))),IF(AE833&lt;&gt;"",AE833,IF(Z833="NR","NR","")))</f>
        <v/>
      </c>
      <c r="AX833" s="9">
        <f>IF(ISNUMBER(AW833),IF(AW833&gt;450,"Yes","No"),IF(AW833="NR","NR",""))</f>
        <v/>
      </c>
      <c r="BJ833" s="9">
        <f>IF(BB833="","",IF(BB833="Non-viable","Non-viable",IF(BB833="Viable","Viable",IF(BB833="Partially non-viable",IF(OR(BD833="Total splenectomy",BD833="Partial splenectomy +/- splenopexy"),"Non-viable","Review"),IF(BB833="NR",IF(OR(BD833="Total splenectomy",BD833="Partial splenectomy +/- splenopexy"),"NR - removed, check reason","NR"),"Not applicable")))))</f>
        <v/>
      </c>
    </row>
    <row r="834">
      <c r="D834" s="8" t="n"/>
      <c r="E834" s="9">
        <f>IF(B834="","",IF(B834="OWN","Yes","No"))</f>
        <v/>
      </c>
      <c r="AF834" s="9">
        <f>IF(ISNUMBER(Z834),IF(Z834&lt;=2,"&lt;=2 d",IF(Z834&lt;=7,"3-7 d",IF(Z834&lt;=30,"8-30 d","&gt;30 d"))),IF(AE834&lt;&gt;"",AE834,IF(Z834="NR","NR","")))</f>
        <v/>
      </c>
      <c r="AX834" s="9">
        <f>IF(ISNUMBER(AW834),IF(AW834&gt;450,"Yes","No"),IF(AW834="NR","NR",""))</f>
        <v/>
      </c>
      <c r="BJ834" s="9">
        <f>IF(BB834="","",IF(BB834="Non-viable","Non-viable",IF(BB834="Viable","Viable",IF(BB834="Partially non-viable",IF(OR(BD834="Total splenectomy",BD834="Partial splenectomy +/- splenopexy"),"Non-viable","Review"),IF(BB834="NR",IF(OR(BD834="Total splenectomy",BD834="Partial splenectomy +/- splenopexy"),"NR - removed, check reason","NR"),"Not applicable")))))</f>
        <v/>
      </c>
    </row>
    <row r="835">
      <c r="D835" s="8" t="n"/>
      <c r="E835" s="9">
        <f>IF(B835="","",IF(B835="OWN","Yes","No"))</f>
        <v/>
      </c>
      <c r="AF835" s="9">
        <f>IF(ISNUMBER(Z835),IF(Z835&lt;=2,"&lt;=2 d",IF(Z835&lt;=7,"3-7 d",IF(Z835&lt;=30,"8-30 d","&gt;30 d"))),IF(AE835&lt;&gt;"",AE835,IF(Z835="NR","NR","")))</f>
        <v/>
      </c>
      <c r="AX835" s="9">
        <f>IF(ISNUMBER(AW835),IF(AW835&gt;450,"Yes","No"),IF(AW835="NR","NR",""))</f>
        <v/>
      </c>
      <c r="BJ835" s="9">
        <f>IF(BB835="","",IF(BB835="Non-viable","Non-viable",IF(BB835="Viable","Viable",IF(BB835="Partially non-viable",IF(OR(BD835="Total splenectomy",BD835="Partial splenectomy +/- splenopexy"),"Non-viable","Review"),IF(BB835="NR",IF(OR(BD835="Total splenectomy",BD835="Partial splenectomy +/- splenopexy"),"NR - removed, check reason","NR"),"Not applicable")))))</f>
        <v/>
      </c>
    </row>
    <row r="836">
      <c r="D836" s="8" t="n"/>
      <c r="E836" s="9">
        <f>IF(B836="","",IF(B836="OWN","Yes","No"))</f>
        <v/>
      </c>
      <c r="AF836" s="9">
        <f>IF(ISNUMBER(Z836),IF(Z836&lt;=2,"&lt;=2 d",IF(Z836&lt;=7,"3-7 d",IF(Z836&lt;=30,"8-30 d","&gt;30 d"))),IF(AE836&lt;&gt;"",AE836,IF(Z836="NR","NR","")))</f>
        <v/>
      </c>
      <c r="AX836" s="9">
        <f>IF(ISNUMBER(AW836),IF(AW836&gt;450,"Yes","No"),IF(AW836="NR","NR",""))</f>
        <v/>
      </c>
      <c r="BJ836" s="9">
        <f>IF(BB836="","",IF(BB836="Non-viable","Non-viable",IF(BB836="Viable","Viable",IF(BB836="Partially non-viable",IF(OR(BD836="Total splenectomy",BD836="Partial splenectomy +/- splenopexy"),"Non-viable","Review"),IF(BB836="NR",IF(OR(BD836="Total splenectomy",BD836="Partial splenectomy +/- splenopexy"),"NR - removed, check reason","NR"),"Not applicable")))))</f>
        <v/>
      </c>
    </row>
    <row r="837">
      <c r="D837" s="8" t="n"/>
      <c r="E837" s="9">
        <f>IF(B837="","",IF(B837="OWN","Yes","No"))</f>
        <v/>
      </c>
      <c r="AF837" s="9">
        <f>IF(ISNUMBER(Z837),IF(Z837&lt;=2,"&lt;=2 d",IF(Z837&lt;=7,"3-7 d",IF(Z837&lt;=30,"8-30 d","&gt;30 d"))),IF(AE837&lt;&gt;"",AE837,IF(Z837="NR","NR","")))</f>
        <v/>
      </c>
      <c r="AX837" s="9">
        <f>IF(ISNUMBER(AW837),IF(AW837&gt;450,"Yes","No"),IF(AW837="NR","NR",""))</f>
        <v/>
      </c>
      <c r="BJ837" s="9">
        <f>IF(BB837="","",IF(BB837="Non-viable","Non-viable",IF(BB837="Viable","Viable",IF(BB837="Partially non-viable",IF(OR(BD837="Total splenectomy",BD837="Partial splenectomy +/- splenopexy"),"Non-viable","Review"),IF(BB837="NR",IF(OR(BD837="Total splenectomy",BD837="Partial splenectomy +/- splenopexy"),"NR - removed, check reason","NR"),"Not applicable")))))</f>
        <v/>
      </c>
    </row>
    <row r="838">
      <c r="D838" s="8" t="n"/>
      <c r="E838" s="9">
        <f>IF(B838="","",IF(B838="OWN","Yes","No"))</f>
        <v/>
      </c>
      <c r="AF838" s="9">
        <f>IF(ISNUMBER(Z838),IF(Z838&lt;=2,"&lt;=2 d",IF(Z838&lt;=7,"3-7 d",IF(Z838&lt;=30,"8-30 d","&gt;30 d"))),IF(AE838&lt;&gt;"",AE838,IF(Z838="NR","NR","")))</f>
        <v/>
      </c>
      <c r="AX838" s="9">
        <f>IF(ISNUMBER(AW838),IF(AW838&gt;450,"Yes","No"),IF(AW838="NR","NR",""))</f>
        <v/>
      </c>
      <c r="BJ838" s="9">
        <f>IF(BB838="","",IF(BB838="Non-viable","Non-viable",IF(BB838="Viable","Viable",IF(BB838="Partially non-viable",IF(OR(BD838="Total splenectomy",BD838="Partial splenectomy +/- splenopexy"),"Non-viable","Review"),IF(BB838="NR",IF(OR(BD838="Total splenectomy",BD838="Partial splenectomy +/- splenopexy"),"NR - removed, check reason","NR"),"Not applicable")))))</f>
        <v/>
      </c>
    </row>
    <row r="839">
      <c r="D839" s="8" t="n"/>
      <c r="E839" s="9">
        <f>IF(B839="","",IF(B839="OWN","Yes","No"))</f>
        <v/>
      </c>
      <c r="AF839" s="9">
        <f>IF(ISNUMBER(Z839),IF(Z839&lt;=2,"&lt;=2 d",IF(Z839&lt;=7,"3-7 d",IF(Z839&lt;=30,"8-30 d","&gt;30 d"))),IF(AE839&lt;&gt;"",AE839,IF(Z839="NR","NR","")))</f>
        <v/>
      </c>
      <c r="AX839" s="9">
        <f>IF(ISNUMBER(AW839),IF(AW839&gt;450,"Yes","No"),IF(AW839="NR","NR",""))</f>
        <v/>
      </c>
      <c r="BJ839" s="9">
        <f>IF(BB839="","",IF(BB839="Non-viable","Non-viable",IF(BB839="Viable","Viable",IF(BB839="Partially non-viable",IF(OR(BD839="Total splenectomy",BD839="Partial splenectomy +/- splenopexy"),"Non-viable","Review"),IF(BB839="NR",IF(OR(BD839="Total splenectomy",BD839="Partial splenectomy +/- splenopexy"),"NR - removed, check reason","NR"),"Not applicable")))))</f>
        <v/>
      </c>
    </row>
    <row r="840">
      <c r="D840" s="8" t="n"/>
      <c r="E840" s="9">
        <f>IF(B840="","",IF(B840="OWN","Yes","No"))</f>
        <v/>
      </c>
      <c r="AF840" s="9">
        <f>IF(ISNUMBER(Z840),IF(Z840&lt;=2,"&lt;=2 d",IF(Z840&lt;=7,"3-7 d",IF(Z840&lt;=30,"8-30 d","&gt;30 d"))),IF(AE840&lt;&gt;"",AE840,IF(Z840="NR","NR","")))</f>
        <v/>
      </c>
      <c r="AX840" s="9">
        <f>IF(ISNUMBER(AW840),IF(AW840&gt;450,"Yes","No"),IF(AW840="NR","NR",""))</f>
        <v/>
      </c>
      <c r="BJ840" s="9">
        <f>IF(BB840="","",IF(BB840="Non-viable","Non-viable",IF(BB840="Viable","Viable",IF(BB840="Partially non-viable",IF(OR(BD840="Total splenectomy",BD840="Partial splenectomy +/- splenopexy"),"Non-viable","Review"),IF(BB840="NR",IF(OR(BD840="Total splenectomy",BD840="Partial splenectomy +/- splenopexy"),"NR - removed, check reason","NR"),"Not applicable")))))</f>
        <v/>
      </c>
    </row>
    <row r="841">
      <c r="D841" s="8" t="n"/>
      <c r="E841" s="9">
        <f>IF(B841="","",IF(B841="OWN","Yes","No"))</f>
        <v/>
      </c>
      <c r="AF841" s="9">
        <f>IF(ISNUMBER(Z841),IF(Z841&lt;=2,"&lt;=2 d",IF(Z841&lt;=7,"3-7 d",IF(Z841&lt;=30,"8-30 d","&gt;30 d"))),IF(AE841&lt;&gt;"",AE841,IF(Z841="NR","NR","")))</f>
        <v/>
      </c>
      <c r="AX841" s="9">
        <f>IF(ISNUMBER(AW841),IF(AW841&gt;450,"Yes","No"),IF(AW841="NR","NR",""))</f>
        <v/>
      </c>
      <c r="BJ841" s="9">
        <f>IF(BB841="","",IF(BB841="Non-viable","Non-viable",IF(BB841="Viable","Viable",IF(BB841="Partially non-viable",IF(OR(BD841="Total splenectomy",BD841="Partial splenectomy +/- splenopexy"),"Non-viable","Review"),IF(BB841="NR",IF(OR(BD841="Total splenectomy",BD841="Partial splenectomy +/- splenopexy"),"NR - removed, check reason","NR"),"Not applicable")))))</f>
        <v/>
      </c>
    </row>
    <row r="842">
      <c r="D842" s="8" t="n"/>
      <c r="E842" s="9">
        <f>IF(B842="","",IF(B842="OWN","Yes","No"))</f>
        <v/>
      </c>
      <c r="AF842" s="9">
        <f>IF(ISNUMBER(Z842),IF(Z842&lt;=2,"&lt;=2 d",IF(Z842&lt;=7,"3-7 d",IF(Z842&lt;=30,"8-30 d","&gt;30 d"))),IF(AE842&lt;&gt;"",AE842,IF(Z842="NR","NR","")))</f>
        <v/>
      </c>
      <c r="AX842" s="9">
        <f>IF(ISNUMBER(AW842),IF(AW842&gt;450,"Yes","No"),IF(AW842="NR","NR",""))</f>
        <v/>
      </c>
      <c r="BJ842" s="9">
        <f>IF(BB842="","",IF(BB842="Non-viable","Non-viable",IF(BB842="Viable","Viable",IF(BB842="Partially non-viable",IF(OR(BD842="Total splenectomy",BD842="Partial splenectomy +/- splenopexy"),"Non-viable","Review"),IF(BB842="NR",IF(OR(BD842="Total splenectomy",BD842="Partial splenectomy +/- splenopexy"),"NR - removed, check reason","NR"),"Not applicable")))))</f>
        <v/>
      </c>
    </row>
    <row r="843">
      <c r="D843" s="8" t="n"/>
      <c r="E843" s="9">
        <f>IF(B843="","",IF(B843="OWN","Yes","No"))</f>
        <v/>
      </c>
      <c r="AF843" s="9">
        <f>IF(ISNUMBER(Z843),IF(Z843&lt;=2,"&lt;=2 d",IF(Z843&lt;=7,"3-7 d",IF(Z843&lt;=30,"8-30 d","&gt;30 d"))),IF(AE843&lt;&gt;"",AE843,IF(Z843="NR","NR","")))</f>
        <v/>
      </c>
      <c r="AX843" s="9">
        <f>IF(ISNUMBER(AW843),IF(AW843&gt;450,"Yes","No"),IF(AW843="NR","NR",""))</f>
        <v/>
      </c>
      <c r="BJ843" s="9">
        <f>IF(BB843="","",IF(BB843="Non-viable","Non-viable",IF(BB843="Viable","Viable",IF(BB843="Partially non-viable",IF(OR(BD843="Total splenectomy",BD843="Partial splenectomy +/- splenopexy"),"Non-viable","Review"),IF(BB843="NR",IF(OR(BD843="Total splenectomy",BD843="Partial splenectomy +/- splenopexy"),"NR - removed, check reason","NR"),"Not applicable")))))</f>
        <v/>
      </c>
    </row>
    <row r="844">
      <c r="D844" s="8" t="n"/>
      <c r="E844" s="9">
        <f>IF(B844="","",IF(B844="OWN","Yes","No"))</f>
        <v/>
      </c>
      <c r="AF844" s="9">
        <f>IF(ISNUMBER(Z844),IF(Z844&lt;=2,"&lt;=2 d",IF(Z844&lt;=7,"3-7 d",IF(Z844&lt;=30,"8-30 d","&gt;30 d"))),IF(AE844&lt;&gt;"",AE844,IF(Z844="NR","NR","")))</f>
        <v/>
      </c>
      <c r="AX844" s="9">
        <f>IF(ISNUMBER(AW844),IF(AW844&gt;450,"Yes","No"),IF(AW844="NR","NR",""))</f>
        <v/>
      </c>
      <c r="BJ844" s="9">
        <f>IF(BB844="","",IF(BB844="Non-viable","Non-viable",IF(BB844="Viable","Viable",IF(BB844="Partially non-viable",IF(OR(BD844="Total splenectomy",BD844="Partial splenectomy +/- splenopexy"),"Non-viable","Review"),IF(BB844="NR",IF(OR(BD844="Total splenectomy",BD844="Partial splenectomy +/- splenopexy"),"NR - removed, check reason","NR"),"Not applicable")))))</f>
        <v/>
      </c>
    </row>
    <row r="845">
      <c r="D845" s="8" t="n"/>
      <c r="E845" s="9">
        <f>IF(B845="","",IF(B845="OWN","Yes","No"))</f>
        <v/>
      </c>
      <c r="AF845" s="9">
        <f>IF(ISNUMBER(Z845),IF(Z845&lt;=2,"&lt;=2 d",IF(Z845&lt;=7,"3-7 d",IF(Z845&lt;=30,"8-30 d","&gt;30 d"))),IF(AE845&lt;&gt;"",AE845,IF(Z845="NR","NR","")))</f>
        <v/>
      </c>
      <c r="AX845" s="9">
        <f>IF(ISNUMBER(AW845),IF(AW845&gt;450,"Yes","No"),IF(AW845="NR","NR",""))</f>
        <v/>
      </c>
      <c r="BJ845" s="9">
        <f>IF(BB845="","",IF(BB845="Non-viable","Non-viable",IF(BB845="Viable","Viable",IF(BB845="Partially non-viable",IF(OR(BD845="Total splenectomy",BD845="Partial splenectomy +/- splenopexy"),"Non-viable","Review"),IF(BB845="NR",IF(OR(BD845="Total splenectomy",BD845="Partial splenectomy +/- splenopexy"),"NR - removed, check reason","NR"),"Not applicable")))))</f>
        <v/>
      </c>
    </row>
    <row r="846">
      <c r="D846" s="8" t="n"/>
      <c r="E846" s="9">
        <f>IF(B846="","",IF(B846="OWN","Yes","No"))</f>
        <v/>
      </c>
      <c r="AF846" s="9">
        <f>IF(ISNUMBER(Z846),IF(Z846&lt;=2,"&lt;=2 d",IF(Z846&lt;=7,"3-7 d",IF(Z846&lt;=30,"8-30 d","&gt;30 d"))),IF(AE846&lt;&gt;"",AE846,IF(Z846="NR","NR","")))</f>
        <v/>
      </c>
      <c r="AX846" s="9">
        <f>IF(ISNUMBER(AW846),IF(AW846&gt;450,"Yes","No"),IF(AW846="NR","NR",""))</f>
        <v/>
      </c>
      <c r="BJ846" s="9">
        <f>IF(BB846="","",IF(BB846="Non-viable","Non-viable",IF(BB846="Viable","Viable",IF(BB846="Partially non-viable",IF(OR(BD846="Total splenectomy",BD846="Partial splenectomy +/- splenopexy"),"Non-viable","Review"),IF(BB846="NR",IF(OR(BD846="Total splenectomy",BD846="Partial splenectomy +/- splenopexy"),"NR - removed, check reason","NR"),"Not applicable")))))</f>
        <v/>
      </c>
    </row>
    <row r="847">
      <c r="D847" s="8" t="n"/>
      <c r="E847" s="9">
        <f>IF(B847="","",IF(B847="OWN","Yes","No"))</f>
        <v/>
      </c>
      <c r="AF847" s="9">
        <f>IF(ISNUMBER(Z847),IF(Z847&lt;=2,"&lt;=2 d",IF(Z847&lt;=7,"3-7 d",IF(Z847&lt;=30,"8-30 d","&gt;30 d"))),IF(AE847&lt;&gt;"",AE847,IF(Z847="NR","NR","")))</f>
        <v/>
      </c>
      <c r="AX847" s="9">
        <f>IF(ISNUMBER(AW847),IF(AW847&gt;450,"Yes","No"),IF(AW847="NR","NR",""))</f>
        <v/>
      </c>
      <c r="BJ847" s="9">
        <f>IF(BB847="","",IF(BB847="Non-viable","Non-viable",IF(BB847="Viable","Viable",IF(BB847="Partially non-viable",IF(OR(BD847="Total splenectomy",BD847="Partial splenectomy +/- splenopexy"),"Non-viable","Review"),IF(BB847="NR",IF(OR(BD847="Total splenectomy",BD847="Partial splenectomy +/- splenopexy"),"NR - removed, check reason","NR"),"Not applicable")))))</f>
        <v/>
      </c>
    </row>
    <row r="848">
      <c r="D848" s="8" t="n"/>
      <c r="E848" s="9">
        <f>IF(B848="","",IF(B848="OWN","Yes","No"))</f>
        <v/>
      </c>
      <c r="AF848" s="9">
        <f>IF(ISNUMBER(Z848),IF(Z848&lt;=2,"&lt;=2 d",IF(Z848&lt;=7,"3-7 d",IF(Z848&lt;=30,"8-30 d","&gt;30 d"))),IF(AE848&lt;&gt;"",AE848,IF(Z848="NR","NR","")))</f>
        <v/>
      </c>
      <c r="AX848" s="9">
        <f>IF(ISNUMBER(AW848),IF(AW848&gt;450,"Yes","No"),IF(AW848="NR","NR",""))</f>
        <v/>
      </c>
      <c r="BJ848" s="9">
        <f>IF(BB848="","",IF(BB848="Non-viable","Non-viable",IF(BB848="Viable","Viable",IF(BB848="Partially non-viable",IF(OR(BD848="Total splenectomy",BD848="Partial splenectomy +/- splenopexy"),"Non-viable","Review"),IF(BB848="NR",IF(OR(BD848="Total splenectomy",BD848="Partial splenectomy +/- splenopexy"),"NR - removed, check reason","NR"),"Not applicable")))))</f>
        <v/>
      </c>
    </row>
    <row r="849">
      <c r="D849" s="8" t="n"/>
      <c r="E849" s="9">
        <f>IF(B849="","",IF(B849="OWN","Yes","No"))</f>
        <v/>
      </c>
      <c r="AF849" s="9">
        <f>IF(ISNUMBER(Z849),IF(Z849&lt;=2,"&lt;=2 d",IF(Z849&lt;=7,"3-7 d",IF(Z849&lt;=30,"8-30 d","&gt;30 d"))),IF(AE849&lt;&gt;"",AE849,IF(Z849="NR","NR","")))</f>
        <v/>
      </c>
      <c r="AX849" s="9">
        <f>IF(ISNUMBER(AW849),IF(AW849&gt;450,"Yes","No"),IF(AW849="NR","NR",""))</f>
        <v/>
      </c>
      <c r="BJ849" s="9">
        <f>IF(BB849="","",IF(BB849="Non-viable","Non-viable",IF(BB849="Viable","Viable",IF(BB849="Partially non-viable",IF(OR(BD849="Total splenectomy",BD849="Partial splenectomy +/- splenopexy"),"Non-viable","Review"),IF(BB849="NR",IF(OR(BD849="Total splenectomy",BD849="Partial splenectomy +/- splenopexy"),"NR - removed, check reason","NR"),"Not applicable")))))</f>
        <v/>
      </c>
    </row>
    <row r="850">
      <c r="D850" s="8" t="n"/>
      <c r="E850" s="9">
        <f>IF(B850="","",IF(B850="OWN","Yes","No"))</f>
        <v/>
      </c>
      <c r="AF850" s="9">
        <f>IF(ISNUMBER(Z850),IF(Z850&lt;=2,"&lt;=2 d",IF(Z850&lt;=7,"3-7 d",IF(Z850&lt;=30,"8-30 d","&gt;30 d"))),IF(AE850&lt;&gt;"",AE850,IF(Z850="NR","NR","")))</f>
        <v/>
      </c>
      <c r="AX850" s="9">
        <f>IF(ISNUMBER(AW850),IF(AW850&gt;450,"Yes","No"),IF(AW850="NR","NR",""))</f>
        <v/>
      </c>
      <c r="BJ850" s="9">
        <f>IF(BB850="","",IF(BB850="Non-viable","Non-viable",IF(BB850="Viable","Viable",IF(BB850="Partially non-viable",IF(OR(BD850="Total splenectomy",BD850="Partial splenectomy +/- splenopexy"),"Non-viable","Review"),IF(BB850="NR",IF(OR(BD850="Total splenectomy",BD850="Partial splenectomy +/- splenopexy"),"NR - removed, check reason","NR"),"Not applicable")))))</f>
        <v/>
      </c>
    </row>
    <row r="851">
      <c r="D851" s="8" t="n"/>
      <c r="E851" s="9">
        <f>IF(B851="","",IF(B851="OWN","Yes","No"))</f>
        <v/>
      </c>
      <c r="AF851" s="9">
        <f>IF(ISNUMBER(Z851),IF(Z851&lt;=2,"&lt;=2 d",IF(Z851&lt;=7,"3-7 d",IF(Z851&lt;=30,"8-30 d","&gt;30 d"))),IF(AE851&lt;&gt;"",AE851,IF(Z851="NR","NR","")))</f>
        <v/>
      </c>
      <c r="AX851" s="9">
        <f>IF(ISNUMBER(AW851),IF(AW851&gt;450,"Yes","No"),IF(AW851="NR","NR",""))</f>
        <v/>
      </c>
      <c r="BJ851" s="9">
        <f>IF(BB851="","",IF(BB851="Non-viable","Non-viable",IF(BB851="Viable","Viable",IF(BB851="Partially non-viable",IF(OR(BD851="Total splenectomy",BD851="Partial splenectomy +/- splenopexy"),"Non-viable","Review"),IF(BB851="NR",IF(OR(BD851="Total splenectomy",BD851="Partial splenectomy +/- splenopexy"),"NR - removed, check reason","NR"),"Not applicable")))))</f>
        <v/>
      </c>
    </row>
    <row r="852">
      <c r="D852" s="8" t="n"/>
      <c r="E852" s="9">
        <f>IF(B852="","",IF(B852="OWN","Yes","No"))</f>
        <v/>
      </c>
      <c r="AF852" s="9">
        <f>IF(ISNUMBER(Z852),IF(Z852&lt;=2,"&lt;=2 d",IF(Z852&lt;=7,"3-7 d",IF(Z852&lt;=30,"8-30 d","&gt;30 d"))),IF(AE852&lt;&gt;"",AE852,IF(Z852="NR","NR","")))</f>
        <v/>
      </c>
      <c r="AX852" s="9">
        <f>IF(ISNUMBER(AW852),IF(AW852&gt;450,"Yes","No"),IF(AW852="NR","NR",""))</f>
        <v/>
      </c>
      <c r="BJ852" s="9">
        <f>IF(BB852="","",IF(BB852="Non-viable","Non-viable",IF(BB852="Viable","Viable",IF(BB852="Partially non-viable",IF(OR(BD852="Total splenectomy",BD852="Partial splenectomy +/- splenopexy"),"Non-viable","Review"),IF(BB852="NR",IF(OR(BD852="Total splenectomy",BD852="Partial splenectomy +/- splenopexy"),"NR - removed, check reason","NR"),"Not applicable")))))</f>
        <v/>
      </c>
    </row>
    <row r="853">
      <c r="D853" s="8" t="n"/>
      <c r="E853" s="9">
        <f>IF(B853="","",IF(B853="OWN","Yes","No"))</f>
        <v/>
      </c>
      <c r="AF853" s="9">
        <f>IF(ISNUMBER(Z853),IF(Z853&lt;=2,"&lt;=2 d",IF(Z853&lt;=7,"3-7 d",IF(Z853&lt;=30,"8-30 d","&gt;30 d"))),IF(AE853&lt;&gt;"",AE853,IF(Z853="NR","NR","")))</f>
        <v/>
      </c>
      <c r="AX853" s="9">
        <f>IF(ISNUMBER(AW853),IF(AW853&gt;450,"Yes","No"),IF(AW853="NR","NR",""))</f>
        <v/>
      </c>
      <c r="BJ853" s="9">
        <f>IF(BB853="","",IF(BB853="Non-viable","Non-viable",IF(BB853="Viable","Viable",IF(BB853="Partially non-viable",IF(OR(BD853="Total splenectomy",BD853="Partial splenectomy +/- splenopexy"),"Non-viable","Review"),IF(BB853="NR",IF(OR(BD853="Total splenectomy",BD853="Partial splenectomy +/- splenopexy"),"NR - removed, check reason","NR"),"Not applicable")))))</f>
        <v/>
      </c>
    </row>
    <row r="854">
      <c r="D854" s="8" t="n"/>
      <c r="E854" s="9">
        <f>IF(B854="","",IF(B854="OWN","Yes","No"))</f>
        <v/>
      </c>
      <c r="AF854" s="9">
        <f>IF(ISNUMBER(Z854),IF(Z854&lt;=2,"&lt;=2 d",IF(Z854&lt;=7,"3-7 d",IF(Z854&lt;=30,"8-30 d","&gt;30 d"))),IF(AE854&lt;&gt;"",AE854,IF(Z854="NR","NR","")))</f>
        <v/>
      </c>
      <c r="AX854" s="9">
        <f>IF(ISNUMBER(AW854),IF(AW854&gt;450,"Yes","No"),IF(AW854="NR","NR",""))</f>
        <v/>
      </c>
      <c r="BJ854" s="9">
        <f>IF(BB854="","",IF(BB854="Non-viable","Non-viable",IF(BB854="Viable","Viable",IF(BB854="Partially non-viable",IF(OR(BD854="Total splenectomy",BD854="Partial splenectomy +/- splenopexy"),"Non-viable","Review"),IF(BB854="NR",IF(OR(BD854="Total splenectomy",BD854="Partial splenectomy +/- splenopexy"),"NR - removed, check reason","NR"),"Not applicable")))))</f>
        <v/>
      </c>
    </row>
    <row r="855">
      <c r="D855" s="8" t="n"/>
      <c r="E855" s="9">
        <f>IF(B855="","",IF(B855="OWN","Yes","No"))</f>
        <v/>
      </c>
      <c r="AF855" s="9">
        <f>IF(ISNUMBER(Z855),IF(Z855&lt;=2,"&lt;=2 d",IF(Z855&lt;=7,"3-7 d",IF(Z855&lt;=30,"8-30 d","&gt;30 d"))),IF(AE855&lt;&gt;"",AE855,IF(Z855="NR","NR","")))</f>
        <v/>
      </c>
      <c r="AX855" s="9">
        <f>IF(ISNUMBER(AW855),IF(AW855&gt;450,"Yes","No"),IF(AW855="NR","NR",""))</f>
        <v/>
      </c>
      <c r="BJ855" s="9">
        <f>IF(BB855="","",IF(BB855="Non-viable","Non-viable",IF(BB855="Viable","Viable",IF(BB855="Partially non-viable",IF(OR(BD855="Total splenectomy",BD855="Partial splenectomy +/- splenopexy"),"Non-viable","Review"),IF(BB855="NR",IF(OR(BD855="Total splenectomy",BD855="Partial splenectomy +/- splenopexy"),"NR - removed, check reason","NR"),"Not applicable")))))</f>
        <v/>
      </c>
    </row>
    <row r="856">
      <c r="D856" s="8" t="n"/>
      <c r="E856" s="9">
        <f>IF(B856="","",IF(B856="OWN","Yes","No"))</f>
        <v/>
      </c>
      <c r="AF856" s="9">
        <f>IF(ISNUMBER(Z856),IF(Z856&lt;=2,"&lt;=2 d",IF(Z856&lt;=7,"3-7 d",IF(Z856&lt;=30,"8-30 d","&gt;30 d"))),IF(AE856&lt;&gt;"",AE856,IF(Z856="NR","NR","")))</f>
        <v/>
      </c>
      <c r="AX856" s="9">
        <f>IF(ISNUMBER(AW856),IF(AW856&gt;450,"Yes","No"),IF(AW856="NR","NR",""))</f>
        <v/>
      </c>
      <c r="BJ856" s="9">
        <f>IF(BB856="","",IF(BB856="Non-viable","Non-viable",IF(BB856="Viable","Viable",IF(BB856="Partially non-viable",IF(OR(BD856="Total splenectomy",BD856="Partial splenectomy +/- splenopexy"),"Non-viable","Review"),IF(BB856="NR",IF(OR(BD856="Total splenectomy",BD856="Partial splenectomy +/- splenopexy"),"NR - removed, check reason","NR"),"Not applicable")))))</f>
        <v/>
      </c>
    </row>
    <row r="857">
      <c r="D857" s="8" t="n"/>
      <c r="E857" s="9">
        <f>IF(B857="","",IF(B857="OWN","Yes","No"))</f>
        <v/>
      </c>
      <c r="AF857" s="9">
        <f>IF(ISNUMBER(Z857),IF(Z857&lt;=2,"&lt;=2 d",IF(Z857&lt;=7,"3-7 d",IF(Z857&lt;=30,"8-30 d","&gt;30 d"))),IF(AE857&lt;&gt;"",AE857,IF(Z857="NR","NR","")))</f>
        <v/>
      </c>
      <c r="AX857" s="9">
        <f>IF(ISNUMBER(AW857),IF(AW857&gt;450,"Yes","No"),IF(AW857="NR","NR",""))</f>
        <v/>
      </c>
      <c r="BJ857" s="9">
        <f>IF(BB857="","",IF(BB857="Non-viable","Non-viable",IF(BB857="Viable","Viable",IF(BB857="Partially non-viable",IF(OR(BD857="Total splenectomy",BD857="Partial splenectomy +/- splenopexy"),"Non-viable","Review"),IF(BB857="NR",IF(OR(BD857="Total splenectomy",BD857="Partial splenectomy +/- splenopexy"),"NR - removed, check reason","NR"),"Not applicable")))))</f>
        <v/>
      </c>
    </row>
    <row r="858">
      <c r="D858" s="8" t="n"/>
      <c r="E858" s="9">
        <f>IF(B858="","",IF(B858="OWN","Yes","No"))</f>
        <v/>
      </c>
      <c r="AF858" s="9">
        <f>IF(ISNUMBER(Z858),IF(Z858&lt;=2,"&lt;=2 d",IF(Z858&lt;=7,"3-7 d",IF(Z858&lt;=30,"8-30 d","&gt;30 d"))),IF(AE858&lt;&gt;"",AE858,IF(Z858="NR","NR","")))</f>
        <v/>
      </c>
      <c r="AX858" s="9">
        <f>IF(ISNUMBER(AW858),IF(AW858&gt;450,"Yes","No"),IF(AW858="NR","NR",""))</f>
        <v/>
      </c>
      <c r="BJ858" s="9">
        <f>IF(BB858="","",IF(BB858="Non-viable","Non-viable",IF(BB858="Viable","Viable",IF(BB858="Partially non-viable",IF(OR(BD858="Total splenectomy",BD858="Partial splenectomy +/- splenopexy"),"Non-viable","Review"),IF(BB858="NR",IF(OR(BD858="Total splenectomy",BD858="Partial splenectomy +/- splenopexy"),"NR - removed, check reason","NR"),"Not applicable")))))</f>
        <v/>
      </c>
    </row>
    <row r="859">
      <c r="D859" s="8" t="n"/>
      <c r="E859" s="9">
        <f>IF(B859="","",IF(B859="OWN","Yes","No"))</f>
        <v/>
      </c>
      <c r="AF859" s="9">
        <f>IF(ISNUMBER(Z859),IF(Z859&lt;=2,"&lt;=2 d",IF(Z859&lt;=7,"3-7 d",IF(Z859&lt;=30,"8-30 d","&gt;30 d"))),IF(AE859&lt;&gt;"",AE859,IF(Z859="NR","NR","")))</f>
        <v/>
      </c>
      <c r="AX859" s="9">
        <f>IF(ISNUMBER(AW859),IF(AW859&gt;450,"Yes","No"),IF(AW859="NR","NR",""))</f>
        <v/>
      </c>
      <c r="BJ859" s="9">
        <f>IF(BB859="","",IF(BB859="Non-viable","Non-viable",IF(BB859="Viable","Viable",IF(BB859="Partially non-viable",IF(OR(BD859="Total splenectomy",BD859="Partial splenectomy +/- splenopexy"),"Non-viable","Review"),IF(BB859="NR",IF(OR(BD859="Total splenectomy",BD859="Partial splenectomy +/- splenopexy"),"NR - removed, check reason","NR"),"Not applicable")))))</f>
        <v/>
      </c>
    </row>
    <row r="860">
      <c r="D860" s="8" t="n"/>
      <c r="E860" s="9">
        <f>IF(B860="","",IF(B860="OWN","Yes","No"))</f>
        <v/>
      </c>
      <c r="AF860" s="9">
        <f>IF(ISNUMBER(Z860),IF(Z860&lt;=2,"&lt;=2 d",IF(Z860&lt;=7,"3-7 d",IF(Z860&lt;=30,"8-30 d","&gt;30 d"))),IF(AE860&lt;&gt;"",AE860,IF(Z860="NR","NR","")))</f>
        <v/>
      </c>
      <c r="AX860" s="9">
        <f>IF(ISNUMBER(AW860),IF(AW860&gt;450,"Yes","No"),IF(AW860="NR","NR",""))</f>
        <v/>
      </c>
      <c r="BJ860" s="9">
        <f>IF(BB860="","",IF(BB860="Non-viable","Non-viable",IF(BB860="Viable","Viable",IF(BB860="Partially non-viable",IF(OR(BD860="Total splenectomy",BD860="Partial splenectomy +/- splenopexy"),"Non-viable","Review"),IF(BB860="NR",IF(OR(BD860="Total splenectomy",BD860="Partial splenectomy +/- splenopexy"),"NR - removed, check reason","NR"),"Not applicable")))))</f>
        <v/>
      </c>
    </row>
    <row r="861">
      <c r="D861" s="8" t="n"/>
      <c r="E861" s="9">
        <f>IF(B861="","",IF(B861="OWN","Yes","No"))</f>
        <v/>
      </c>
      <c r="AF861" s="9">
        <f>IF(ISNUMBER(Z861),IF(Z861&lt;=2,"&lt;=2 d",IF(Z861&lt;=7,"3-7 d",IF(Z861&lt;=30,"8-30 d","&gt;30 d"))),IF(AE861&lt;&gt;"",AE861,IF(Z861="NR","NR","")))</f>
        <v/>
      </c>
      <c r="AX861" s="9">
        <f>IF(ISNUMBER(AW861),IF(AW861&gt;450,"Yes","No"),IF(AW861="NR","NR",""))</f>
        <v/>
      </c>
      <c r="BJ861" s="9">
        <f>IF(BB861="","",IF(BB861="Non-viable","Non-viable",IF(BB861="Viable","Viable",IF(BB861="Partially non-viable",IF(OR(BD861="Total splenectomy",BD861="Partial splenectomy +/- splenopexy"),"Non-viable","Review"),IF(BB861="NR",IF(OR(BD861="Total splenectomy",BD861="Partial splenectomy +/- splenopexy"),"NR - removed, check reason","NR"),"Not applicable")))))</f>
        <v/>
      </c>
    </row>
    <row r="862">
      <c r="D862" s="8" t="n"/>
      <c r="E862" s="9">
        <f>IF(B862="","",IF(B862="OWN","Yes","No"))</f>
        <v/>
      </c>
      <c r="AF862" s="9">
        <f>IF(ISNUMBER(Z862),IF(Z862&lt;=2,"&lt;=2 d",IF(Z862&lt;=7,"3-7 d",IF(Z862&lt;=30,"8-30 d","&gt;30 d"))),IF(AE862&lt;&gt;"",AE862,IF(Z862="NR","NR","")))</f>
        <v/>
      </c>
      <c r="AX862" s="9">
        <f>IF(ISNUMBER(AW862),IF(AW862&gt;450,"Yes","No"),IF(AW862="NR","NR",""))</f>
        <v/>
      </c>
      <c r="BJ862" s="9">
        <f>IF(BB862="","",IF(BB862="Non-viable","Non-viable",IF(BB862="Viable","Viable",IF(BB862="Partially non-viable",IF(OR(BD862="Total splenectomy",BD862="Partial splenectomy +/- splenopexy"),"Non-viable","Review"),IF(BB862="NR",IF(OR(BD862="Total splenectomy",BD862="Partial splenectomy +/- splenopexy"),"NR - removed, check reason","NR"),"Not applicable")))))</f>
        <v/>
      </c>
    </row>
    <row r="863">
      <c r="D863" s="8" t="n"/>
      <c r="E863" s="9">
        <f>IF(B863="","",IF(B863="OWN","Yes","No"))</f>
        <v/>
      </c>
      <c r="AF863" s="9">
        <f>IF(ISNUMBER(Z863),IF(Z863&lt;=2,"&lt;=2 d",IF(Z863&lt;=7,"3-7 d",IF(Z863&lt;=30,"8-30 d","&gt;30 d"))),IF(AE863&lt;&gt;"",AE863,IF(Z863="NR","NR","")))</f>
        <v/>
      </c>
      <c r="AX863" s="9">
        <f>IF(ISNUMBER(AW863),IF(AW863&gt;450,"Yes","No"),IF(AW863="NR","NR",""))</f>
        <v/>
      </c>
      <c r="BJ863" s="9">
        <f>IF(BB863="","",IF(BB863="Non-viable","Non-viable",IF(BB863="Viable","Viable",IF(BB863="Partially non-viable",IF(OR(BD863="Total splenectomy",BD863="Partial splenectomy +/- splenopexy"),"Non-viable","Review"),IF(BB863="NR",IF(OR(BD863="Total splenectomy",BD863="Partial splenectomy +/- splenopexy"),"NR - removed, check reason","NR"),"Not applicable")))))</f>
        <v/>
      </c>
    </row>
    <row r="864">
      <c r="D864" s="8" t="n"/>
      <c r="E864" s="9">
        <f>IF(B864="","",IF(B864="OWN","Yes","No"))</f>
        <v/>
      </c>
      <c r="AF864" s="9">
        <f>IF(ISNUMBER(Z864),IF(Z864&lt;=2,"&lt;=2 d",IF(Z864&lt;=7,"3-7 d",IF(Z864&lt;=30,"8-30 d","&gt;30 d"))),IF(AE864&lt;&gt;"",AE864,IF(Z864="NR","NR","")))</f>
        <v/>
      </c>
      <c r="AX864" s="9">
        <f>IF(ISNUMBER(AW864),IF(AW864&gt;450,"Yes","No"),IF(AW864="NR","NR",""))</f>
        <v/>
      </c>
      <c r="BJ864" s="9">
        <f>IF(BB864="","",IF(BB864="Non-viable","Non-viable",IF(BB864="Viable","Viable",IF(BB864="Partially non-viable",IF(OR(BD864="Total splenectomy",BD864="Partial splenectomy +/- splenopexy"),"Non-viable","Review"),IF(BB864="NR",IF(OR(BD864="Total splenectomy",BD864="Partial splenectomy +/- splenopexy"),"NR - removed, check reason","NR"),"Not applicable")))))</f>
        <v/>
      </c>
    </row>
    <row r="865">
      <c r="D865" s="8" t="n"/>
      <c r="E865" s="9">
        <f>IF(B865="","",IF(B865="OWN","Yes","No"))</f>
        <v/>
      </c>
      <c r="AF865" s="9">
        <f>IF(ISNUMBER(Z865),IF(Z865&lt;=2,"&lt;=2 d",IF(Z865&lt;=7,"3-7 d",IF(Z865&lt;=30,"8-30 d","&gt;30 d"))),IF(AE865&lt;&gt;"",AE865,IF(Z865="NR","NR","")))</f>
        <v/>
      </c>
      <c r="AX865" s="9">
        <f>IF(ISNUMBER(AW865),IF(AW865&gt;450,"Yes","No"),IF(AW865="NR","NR",""))</f>
        <v/>
      </c>
      <c r="BJ865" s="9">
        <f>IF(BB865="","",IF(BB865="Non-viable","Non-viable",IF(BB865="Viable","Viable",IF(BB865="Partially non-viable",IF(OR(BD865="Total splenectomy",BD865="Partial splenectomy +/- splenopexy"),"Non-viable","Review"),IF(BB865="NR",IF(OR(BD865="Total splenectomy",BD865="Partial splenectomy +/- splenopexy"),"NR - removed, check reason","NR"),"Not applicable")))))</f>
        <v/>
      </c>
    </row>
    <row r="866">
      <c r="D866" s="8" t="n"/>
      <c r="E866" s="9">
        <f>IF(B866="","",IF(B866="OWN","Yes","No"))</f>
        <v/>
      </c>
      <c r="AF866" s="9">
        <f>IF(ISNUMBER(Z866),IF(Z866&lt;=2,"&lt;=2 d",IF(Z866&lt;=7,"3-7 d",IF(Z866&lt;=30,"8-30 d","&gt;30 d"))),IF(AE866&lt;&gt;"",AE866,IF(Z866="NR","NR","")))</f>
        <v/>
      </c>
      <c r="AX866" s="9">
        <f>IF(ISNUMBER(AW866),IF(AW866&gt;450,"Yes","No"),IF(AW866="NR","NR",""))</f>
        <v/>
      </c>
      <c r="BJ866" s="9">
        <f>IF(BB866="","",IF(BB866="Non-viable","Non-viable",IF(BB866="Viable","Viable",IF(BB866="Partially non-viable",IF(OR(BD866="Total splenectomy",BD866="Partial splenectomy +/- splenopexy"),"Non-viable","Review"),IF(BB866="NR",IF(OR(BD866="Total splenectomy",BD866="Partial splenectomy +/- splenopexy"),"NR - removed, check reason","NR"),"Not applicable")))))</f>
        <v/>
      </c>
    </row>
    <row r="867">
      <c r="D867" s="8" t="n"/>
      <c r="E867" s="9">
        <f>IF(B867="","",IF(B867="OWN","Yes","No"))</f>
        <v/>
      </c>
      <c r="AF867" s="9">
        <f>IF(ISNUMBER(Z867),IF(Z867&lt;=2,"&lt;=2 d",IF(Z867&lt;=7,"3-7 d",IF(Z867&lt;=30,"8-30 d","&gt;30 d"))),IF(AE867&lt;&gt;"",AE867,IF(Z867="NR","NR","")))</f>
        <v/>
      </c>
      <c r="AX867" s="9">
        <f>IF(ISNUMBER(AW867),IF(AW867&gt;450,"Yes","No"),IF(AW867="NR","NR",""))</f>
        <v/>
      </c>
      <c r="BJ867" s="9">
        <f>IF(BB867="","",IF(BB867="Non-viable","Non-viable",IF(BB867="Viable","Viable",IF(BB867="Partially non-viable",IF(OR(BD867="Total splenectomy",BD867="Partial splenectomy +/- splenopexy"),"Non-viable","Review"),IF(BB867="NR",IF(OR(BD867="Total splenectomy",BD867="Partial splenectomy +/- splenopexy"),"NR - removed, check reason","NR"),"Not applicable")))))</f>
        <v/>
      </c>
    </row>
    <row r="868">
      <c r="D868" s="8" t="n"/>
      <c r="E868" s="9">
        <f>IF(B868="","",IF(B868="OWN","Yes","No"))</f>
        <v/>
      </c>
      <c r="AF868" s="9">
        <f>IF(ISNUMBER(Z868),IF(Z868&lt;=2,"&lt;=2 d",IF(Z868&lt;=7,"3-7 d",IF(Z868&lt;=30,"8-30 d","&gt;30 d"))),IF(AE868&lt;&gt;"",AE868,IF(Z868="NR","NR","")))</f>
        <v/>
      </c>
      <c r="AX868" s="9">
        <f>IF(ISNUMBER(AW868),IF(AW868&gt;450,"Yes","No"),IF(AW868="NR","NR",""))</f>
        <v/>
      </c>
      <c r="BJ868" s="9">
        <f>IF(BB868="","",IF(BB868="Non-viable","Non-viable",IF(BB868="Viable","Viable",IF(BB868="Partially non-viable",IF(OR(BD868="Total splenectomy",BD868="Partial splenectomy +/- splenopexy"),"Non-viable","Review"),IF(BB868="NR",IF(OR(BD868="Total splenectomy",BD868="Partial splenectomy +/- splenopexy"),"NR - removed, check reason","NR"),"Not applicable")))))</f>
        <v/>
      </c>
    </row>
    <row r="869">
      <c r="D869" s="8" t="n"/>
      <c r="E869" s="9">
        <f>IF(B869="","",IF(B869="OWN","Yes","No"))</f>
        <v/>
      </c>
      <c r="AF869" s="9">
        <f>IF(ISNUMBER(Z869),IF(Z869&lt;=2,"&lt;=2 d",IF(Z869&lt;=7,"3-7 d",IF(Z869&lt;=30,"8-30 d","&gt;30 d"))),IF(AE869&lt;&gt;"",AE869,IF(Z869="NR","NR","")))</f>
        <v/>
      </c>
      <c r="AX869" s="9">
        <f>IF(ISNUMBER(AW869),IF(AW869&gt;450,"Yes","No"),IF(AW869="NR","NR",""))</f>
        <v/>
      </c>
      <c r="BJ869" s="9">
        <f>IF(BB869="","",IF(BB869="Non-viable","Non-viable",IF(BB869="Viable","Viable",IF(BB869="Partially non-viable",IF(OR(BD869="Total splenectomy",BD869="Partial splenectomy +/- splenopexy"),"Non-viable","Review"),IF(BB869="NR",IF(OR(BD869="Total splenectomy",BD869="Partial splenectomy +/- splenopexy"),"NR - removed, check reason","NR"),"Not applicable")))))</f>
        <v/>
      </c>
    </row>
    <row r="870">
      <c r="D870" s="8" t="n"/>
      <c r="E870" s="9">
        <f>IF(B870="","",IF(B870="OWN","Yes","No"))</f>
        <v/>
      </c>
      <c r="AF870" s="9">
        <f>IF(ISNUMBER(Z870),IF(Z870&lt;=2,"&lt;=2 d",IF(Z870&lt;=7,"3-7 d",IF(Z870&lt;=30,"8-30 d","&gt;30 d"))),IF(AE870&lt;&gt;"",AE870,IF(Z870="NR","NR","")))</f>
        <v/>
      </c>
      <c r="AX870" s="9">
        <f>IF(ISNUMBER(AW870),IF(AW870&gt;450,"Yes","No"),IF(AW870="NR","NR",""))</f>
        <v/>
      </c>
      <c r="BJ870" s="9">
        <f>IF(BB870="","",IF(BB870="Non-viable","Non-viable",IF(BB870="Viable","Viable",IF(BB870="Partially non-viable",IF(OR(BD870="Total splenectomy",BD870="Partial splenectomy +/- splenopexy"),"Non-viable","Review"),IF(BB870="NR",IF(OR(BD870="Total splenectomy",BD870="Partial splenectomy +/- splenopexy"),"NR - removed, check reason","NR"),"Not applicable")))))</f>
        <v/>
      </c>
    </row>
    <row r="871">
      <c r="D871" s="8" t="n"/>
      <c r="E871" s="9">
        <f>IF(B871="","",IF(B871="OWN","Yes","No"))</f>
        <v/>
      </c>
      <c r="AF871" s="9">
        <f>IF(ISNUMBER(Z871),IF(Z871&lt;=2,"&lt;=2 d",IF(Z871&lt;=7,"3-7 d",IF(Z871&lt;=30,"8-30 d","&gt;30 d"))),IF(AE871&lt;&gt;"",AE871,IF(Z871="NR","NR","")))</f>
        <v/>
      </c>
      <c r="AX871" s="9">
        <f>IF(ISNUMBER(AW871),IF(AW871&gt;450,"Yes","No"),IF(AW871="NR","NR",""))</f>
        <v/>
      </c>
      <c r="BJ871" s="9">
        <f>IF(BB871="","",IF(BB871="Non-viable","Non-viable",IF(BB871="Viable","Viable",IF(BB871="Partially non-viable",IF(OR(BD871="Total splenectomy",BD871="Partial splenectomy +/- splenopexy"),"Non-viable","Review"),IF(BB871="NR",IF(OR(BD871="Total splenectomy",BD871="Partial splenectomy +/- splenopexy"),"NR - removed, check reason","NR"),"Not applicable")))))</f>
        <v/>
      </c>
    </row>
    <row r="872">
      <c r="D872" s="8" t="n"/>
      <c r="E872" s="9">
        <f>IF(B872="","",IF(B872="OWN","Yes","No"))</f>
        <v/>
      </c>
      <c r="AF872" s="9">
        <f>IF(ISNUMBER(Z872),IF(Z872&lt;=2,"&lt;=2 d",IF(Z872&lt;=7,"3-7 d",IF(Z872&lt;=30,"8-30 d","&gt;30 d"))),IF(AE872&lt;&gt;"",AE872,IF(Z872="NR","NR","")))</f>
        <v/>
      </c>
      <c r="AX872" s="9">
        <f>IF(ISNUMBER(AW872),IF(AW872&gt;450,"Yes","No"),IF(AW872="NR","NR",""))</f>
        <v/>
      </c>
      <c r="BJ872" s="9">
        <f>IF(BB872="","",IF(BB872="Non-viable","Non-viable",IF(BB872="Viable","Viable",IF(BB872="Partially non-viable",IF(OR(BD872="Total splenectomy",BD872="Partial splenectomy +/- splenopexy"),"Non-viable","Review"),IF(BB872="NR",IF(OR(BD872="Total splenectomy",BD872="Partial splenectomy +/- splenopexy"),"NR - removed, check reason","NR"),"Not applicable")))))</f>
        <v/>
      </c>
    </row>
    <row r="873">
      <c r="D873" s="8" t="n"/>
      <c r="E873" s="9">
        <f>IF(B873="","",IF(B873="OWN","Yes","No"))</f>
        <v/>
      </c>
      <c r="AF873" s="9">
        <f>IF(ISNUMBER(Z873),IF(Z873&lt;=2,"&lt;=2 d",IF(Z873&lt;=7,"3-7 d",IF(Z873&lt;=30,"8-30 d","&gt;30 d"))),IF(AE873&lt;&gt;"",AE873,IF(Z873="NR","NR","")))</f>
        <v/>
      </c>
      <c r="AX873" s="9">
        <f>IF(ISNUMBER(AW873),IF(AW873&gt;450,"Yes","No"),IF(AW873="NR","NR",""))</f>
        <v/>
      </c>
      <c r="BJ873" s="9">
        <f>IF(BB873="","",IF(BB873="Non-viable","Non-viable",IF(BB873="Viable","Viable",IF(BB873="Partially non-viable",IF(OR(BD873="Total splenectomy",BD873="Partial splenectomy +/- splenopexy"),"Non-viable","Review"),IF(BB873="NR",IF(OR(BD873="Total splenectomy",BD873="Partial splenectomy +/- splenopexy"),"NR - removed, check reason","NR"),"Not applicable")))))</f>
        <v/>
      </c>
    </row>
    <row r="874">
      <c r="D874" s="8" t="n"/>
      <c r="E874" s="9">
        <f>IF(B874="","",IF(B874="OWN","Yes","No"))</f>
        <v/>
      </c>
      <c r="AF874" s="9">
        <f>IF(ISNUMBER(Z874),IF(Z874&lt;=2,"&lt;=2 d",IF(Z874&lt;=7,"3-7 d",IF(Z874&lt;=30,"8-30 d","&gt;30 d"))),IF(AE874&lt;&gt;"",AE874,IF(Z874="NR","NR","")))</f>
        <v/>
      </c>
      <c r="AX874" s="9">
        <f>IF(ISNUMBER(AW874),IF(AW874&gt;450,"Yes","No"),IF(AW874="NR","NR",""))</f>
        <v/>
      </c>
      <c r="BJ874" s="9">
        <f>IF(BB874="","",IF(BB874="Non-viable","Non-viable",IF(BB874="Viable","Viable",IF(BB874="Partially non-viable",IF(OR(BD874="Total splenectomy",BD874="Partial splenectomy +/- splenopexy"),"Non-viable","Review"),IF(BB874="NR",IF(OR(BD874="Total splenectomy",BD874="Partial splenectomy +/- splenopexy"),"NR - removed, check reason","NR"),"Not applicable")))))</f>
        <v/>
      </c>
    </row>
    <row r="875">
      <c r="D875" s="8" t="n"/>
      <c r="E875" s="9">
        <f>IF(B875="","",IF(B875="OWN","Yes","No"))</f>
        <v/>
      </c>
      <c r="AF875" s="9">
        <f>IF(ISNUMBER(Z875),IF(Z875&lt;=2,"&lt;=2 d",IF(Z875&lt;=7,"3-7 d",IF(Z875&lt;=30,"8-30 d","&gt;30 d"))),IF(AE875&lt;&gt;"",AE875,IF(Z875="NR","NR","")))</f>
        <v/>
      </c>
      <c r="AX875" s="9">
        <f>IF(ISNUMBER(AW875),IF(AW875&gt;450,"Yes","No"),IF(AW875="NR","NR",""))</f>
        <v/>
      </c>
      <c r="BJ875" s="9">
        <f>IF(BB875="","",IF(BB875="Non-viable","Non-viable",IF(BB875="Viable","Viable",IF(BB875="Partially non-viable",IF(OR(BD875="Total splenectomy",BD875="Partial splenectomy +/- splenopexy"),"Non-viable","Review"),IF(BB875="NR",IF(OR(BD875="Total splenectomy",BD875="Partial splenectomy +/- splenopexy"),"NR - removed, check reason","NR"),"Not applicable")))))</f>
        <v/>
      </c>
    </row>
    <row r="876">
      <c r="D876" s="8" t="n"/>
      <c r="E876" s="9">
        <f>IF(B876="","",IF(B876="OWN","Yes","No"))</f>
        <v/>
      </c>
      <c r="AF876" s="9">
        <f>IF(ISNUMBER(Z876),IF(Z876&lt;=2,"&lt;=2 d",IF(Z876&lt;=7,"3-7 d",IF(Z876&lt;=30,"8-30 d","&gt;30 d"))),IF(AE876&lt;&gt;"",AE876,IF(Z876="NR","NR","")))</f>
        <v/>
      </c>
      <c r="AX876" s="9">
        <f>IF(ISNUMBER(AW876),IF(AW876&gt;450,"Yes","No"),IF(AW876="NR","NR",""))</f>
        <v/>
      </c>
      <c r="BJ876" s="9">
        <f>IF(BB876="","",IF(BB876="Non-viable","Non-viable",IF(BB876="Viable","Viable",IF(BB876="Partially non-viable",IF(OR(BD876="Total splenectomy",BD876="Partial splenectomy +/- splenopexy"),"Non-viable","Review"),IF(BB876="NR",IF(OR(BD876="Total splenectomy",BD876="Partial splenectomy +/- splenopexy"),"NR - removed, check reason","NR"),"Not applicable")))))</f>
        <v/>
      </c>
    </row>
    <row r="877">
      <c r="D877" s="8" t="n"/>
      <c r="E877" s="9">
        <f>IF(B877="","",IF(B877="OWN","Yes","No"))</f>
        <v/>
      </c>
      <c r="AF877" s="9">
        <f>IF(ISNUMBER(Z877),IF(Z877&lt;=2,"&lt;=2 d",IF(Z877&lt;=7,"3-7 d",IF(Z877&lt;=30,"8-30 d","&gt;30 d"))),IF(AE877&lt;&gt;"",AE877,IF(Z877="NR","NR","")))</f>
        <v/>
      </c>
      <c r="AX877" s="9">
        <f>IF(ISNUMBER(AW877),IF(AW877&gt;450,"Yes","No"),IF(AW877="NR","NR",""))</f>
        <v/>
      </c>
      <c r="BJ877" s="9">
        <f>IF(BB877="","",IF(BB877="Non-viable","Non-viable",IF(BB877="Viable","Viable",IF(BB877="Partially non-viable",IF(OR(BD877="Total splenectomy",BD877="Partial splenectomy +/- splenopexy"),"Non-viable","Review"),IF(BB877="NR",IF(OR(BD877="Total splenectomy",BD877="Partial splenectomy +/- splenopexy"),"NR - removed, check reason","NR"),"Not applicable")))))</f>
        <v/>
      </c>
    </row>
    <row r="878">
      <c r="D878" s="8" t="n"/>
      <c r="E878" s="9">
        <f>IF(B878="","",IF(B878="OWN","Yes","No"))</f>
        <v/>
      </c>
      <c r="AF878" s="9">
        <f>IF(ISNUMBER(Z878),IF(Z878&lt;=2,"&lt;=2 d",IF(Z878&lt;=7,"3-7 d",IF(Z878&lt;=30,"8-30 d","&gt;30 d"))),IF(AE878&lt;&gt;"",AE878,IF(Z878="NR","NR","")))</f>
        <v/>
      </c>
      <c r="AX878" s="9">
        <f>IF(ISNUMBER(AW878),IF(AW878&gt;450,"Yes","No"),IF(AW878="NR","NR",""))</f>
        <v/>
      </c>
      <c r="BJ878" s="9">
        <f>IF(BB878="","",IF(BB878="Non-viable","Non-viable",IF(BB878="Viable","Viable",IF(BB878="Partially non-viable",IF(OR(BD878="Total splenectomy",BD878="Partial splenectomy +/- splenopexy"),"Non-viable","Review"),IF(BB878="NR",IF(OR(BD878="Total splenectomy",BD878="Partial splenectomy +/- splenopexy"),"NR - removed, check reason","NR"),"Not applicable")))))</f>
        <v/>
      </c>
    </row>
    <row r="879">
      <c r="D879" s="8" t="n"/>
      <c r="E879" s="9">
        <f>IF(B879="","",IF(B879="OWN","Yes","No"))</f>
        <v/>
      </c>
      <c r="AF879" s="9">
        <f>IF(ISNUMBER(Z879),IF(Z879&lt;=2,"&lt;=2 d",IF(Z879&lt;=7,"3-7 d",IF(Z879&lt;=30,"8-30 d","&gt;30 d"))),IF(AE879&lt;&gt;"",AE879,IF(Z879="NR","NR","")))</f>
        <v/>
      </c>
      <c r="AX879" s="9">
        <f>IF(ISNUMBER(AW879),IF(AW879&gt;450,"Yes","No"),IF(AW879="NR","NR",""))</f>
        <v/>
      </c>
      <c r="BJ879" s="9">
        <f>IF(BB879="","",IF(BB879="Non-viable","Non-viable",IF(BB879="Viable","Viable",IF(BB879="Partially non-viable",IF(OR(BD879="Total splenectomy",BD879="Partial splenectomy +/- splenopexy"),"Non-viable","Review"),IF(BB879="NR",IF(OR(BD879="Total splenectomy",BD879="Partial splenectomy +/- splenopexy"),"NR - removed, check reason","NR"),"Not applicable")))))</f>
        <v/>
      </c>
    </row>
    <row r="880">
      <c r="D880" s="8" t="n"/>
      <c r="E880" s="9">
        <f>IF(B880="","",IF(B880="OWN","Yes","No"))</f>
        <v/>
      </c>
      <c r="AF880" s="9">
        <f>IF(ISNUMBER(Z880),IF(Z880&lt;=2,"&lt;=2 d",IF(Z880&lt;=7,"3-7 d",IF(Z880&lt;=30,"8-30 d","&gt;30 d"))),IF(AE880&lt;&gt;"",AE880,IF(Z880="NR","NR","")))</f>
        <v/>
      </c>
      <c r="AX880" s="9">
        <f>IF(ISNUMBER(AW880),IF(AW880&gt;450,"Yes","No"),IF(AW880="NR","NR",""))</f>
        <v/>
      </c>
      <c r="BJ880" s="9">
        <f>IF(BB880="","",IF(BB880="Non-viable","Non-viable",IF(BB880="Viable","Viable",IF(BB880="Partially non-viable",IF(OR(BD880="Total splenectomy",BD880="Partial splenectomy +/- splenopexy"),"Non-viable","Review"),IF(BB880="NR",IF(OR(BD880="Total splenectomy",BD880="Partial splenectomy +/- splenopexy"),"NR - removed, check reason","NR"),"Not applicable")))))</f>
        <v/>
      </c>
    </row>
    <row r="881">
      <c r="D881" s="8" t="n"/>
      <c r="E881" s="9">
        <f>IF(B881="","",IF(B881="OWN","Yes","No"))</f>
        <v/>
      </c>
      <c r="AF881" s="9">
        <f>IF(ISNUMBER(Z881),IF(Z881&lt;=2,"&lt;=2 d",IF(Z881&lt;=7,"3-7 d",IF(Z881&lt;=30,"8-30 d","&gt;30 d"))),IF(AE881&lt;&gt;"",AE881,IF(Z881="NR","NR","")))</f>
        <v/>
      </c>
      <c r="AX881" s="9">
        <f>IF(ISNUMBER(AW881),IF(AW881&gt;450,"Yes","No"),IF(AW881="NR","NR",""))</f>
        <v/>
      </c>
      <c r="BJ881" s="9">
        <f>IF(BB881="","",IF(BB881="Non-viable","Non-viable",IF(BB881="Viable","Viable",IF(BB881="Partially non-viable",IF(OR(BD881="Total splenectomy",BD881="Partial splenectomy +/- splenopexy"),"Non-viable","Review"),IF(BB881="NR",IF(OR(BD881="Total splenectomy",BD881="Partial splenectomy +/- splenopexy"),"NR - removed, check reason","NR"),"Not applicable")))))</f>
        <v/>
      </c>
    </row>
    <row r="882">
      <c r="D882" s="8" t="n"/>
      <c r="E882" s="9">
        <f>IF(B882="","",IF(B882="OWN","Yes","No"))</f>
        <v/>
      </c>
      <c r="AF882" s="9">
        <f>IF(ISNUMBER(Z882),IF(Z882&lt;=2,"&lt;=2 d",IF(Z882&lt;=7,"3-7 d",IF(Z882&lt;=30,"8-30 d","&gt;30 d"))),IF(AE882&lt;&gt;"",AE882,IF(Z882="NR","NR","")))</f>
        <v/>
      </c>
      <c r="AX882" s="9">
        <f>IF(ISNUMBER(AW882),IF(AW882&gt;450,"Yes","No"),IF(AW882="NR","NR",""))</f>
        <v/>
      </c>
      <c r="BJ882" s="9">
        <f>IF(BB882="","",IF(BB882="Non-viable","Non-viable",IF(BB882="Viable","Viable",IF(BB882="Partially non-viable",IF(OR(BD882="Total splenectomy",BD882="Partial splenectomy +/- splenopexy"),"Non-viable","Review"),IF(BB882="NR",IF(OR(BD882="Total splenectomy",BD882="Partial splenectomy +/- splenopexy"),"NR - removed, check reason","NR"),"Not applicable")))))</f>
        <v/>
      </c>
    </row>
    <row r="883">
      <c r="D883" s="8" t="n"/>
      <c r="E883" s="9">
        <f>IF(B883="","",IF(B883="OWN","Yes","No"))</f>
        <v/>
      </c>
      <c r="AF883" s="9">
        <f>IF(ISNUMBER(Z883),IF(Z883&lt;=2,"&lt;=2 d",IF(Z883&lt;=7,"3-7 d",IF(Z883&lt;=30,"8-30 d","&gt;30 d"))),IF(AE883&lt;&gt;"",AE883,IF(Z883="NR","NR","")))</f>
        <v/>
      </c>
      <c r="AX883" s="9">
        <f>IF(ISNUMBER(AW883),IF(AW883&gt;450,"Yes","No"),IF(AW883="NR","NR",""))</f>
        <v/>
      </c>
      <c r="BJ883" s="9">
        <f>IF(BB883="","",IF(BB883="Non-viable","Non-viable",IF(BB883="Viable","Viable",IF(BB883="Partially non-viable",IF(OR(BD883="Total splenectomy",BD883="Partial splenectomy +/- splenopexy"),"Non-viable","Review"),IF(BB883="NR",IF(OR(BD883="Total splenectomy",BD883="Partial splenectomy +/- splenopexy"),"NR - removed, check reason","NR"),"Not applicable")))))</f>
        <v/>
      </c>
    </row>
    <row r="884">
      <c r="D884" s="8" t="n"/>
      <c r="E884" s="9">
        <f>IF(B884="","",IF(B884="OWN","Yes","No"))</f>
        <v/>
      </c>
      <c r="AF884" s="9">
        <f>IF(ISNUMBER(Z884),IF(Z884&lt;=2,"&lt;=2 d",IF(Z884&lt;=7,"3-7 d",IF(Z884&lt;=30,"8-30 d","&gt;30 d"))),IF(AE884&lt;&gt;"",AE884,IF(Z884="NR","NR","")))</f>
        <v/>
      </c>
      <c r="AX884" s="9">
        <f>IF(ISNUMBER(AW884),IF(AW884&gt;450,"Yes","No"),IF(AW884="NR","NR",""))</f>
        <v/>
      </c>
      <c r="BJ884" s="9">
        <f>IF(BB884="","",IF(BB884="Non-viable","Non-viable",IF(BB884="Viable","Viable",IF(BB884="Partially non-viable",IF(OR(BD884="Total splenectomy",BD884="Partial splenectomy +/- splenopexy"),"Non-viable","Review"),IF(BB884="NR",IF(OR(BD884="Total splenectomy",BD884="Partial splenectomy +/- splenopexy"),"NR - removed, check reason","NR"),"Not applicable")))))</f>
        <v/>
      </c>
    </row>
    <row r="885">
      <c r="D885" s="8" t="n"/>
      <c r="E885" s="9">
        <f>IF(B885="","",IF(B885="OWN","Yes","No"))</f>
        <v/>
      </c>
      <c r="AF885" s="9">
        <f>IF(ISNUMBER(Z885),IF(Z885&lt;=2,"&lt;=2 d",IF(Z885&lt;=7,"3-7 d",IF(Z885&lt;=30,"8-30 d","&gt;30 d"))),IF(AE885&lt;&gt;"",AE885,IF(Z885="NR","NR","")))</f>
        <v/>
      </c>
      <c r="AX885" s="9">
        <f>IF(ISNUMBER(AW885),IF(AW885&gt;450,"Yes","No"),IF(AW885="NR","NR",""))</f>
        <v/>
      </c>
      <c r="BJ885" s="9">
        <f>IF(BB885="","",IF(BB885="Non-viable","Non-viable",IF(BB885="Viable","Viable",IF(BB885="Partially non-viable",IF(OR(BD885="Total splenectomy",BD885="Partial splenectomy +/- splenopexy"),"Non-viable","Review"),IF(BB885="NR",IF(OR(BD885="Total splenectomy",BD885="Partial splenectomy +/- splenopexy"),"NR - removed, check reason","NR"),"Not applicable")))))</f>
        <v/>
      </c>
    </row>
    <row r="886">
      <c r="D886" s="8" t="n"/>
      <c r="E886" s="9">
        <f>IF(B886="","",IF(B886="OWN","Yes","No"))</f>
        <v/>
      </c>
      <c r="AF886" s="9">
        <f>IF(ISNUMBER(Z886),IF(Z886&lt;=2,"&lt;=2 d",IF(Z886&lt;=7,"3-7 d",IF(Z886&lt;=30,"8-30 d","&gt;30 d"))),IF(AE886&lt;&gt;"",AE886,IF(Z886="NR","NR","")))</f>
        <v/>
      </c>
      <c r="AX886" s="9">
        <f>IF(ISNUMBER(AW886),IF(AW886&gt;450,"Yes","No"),IF(AW886="NR","NR",""))</f>
        <v/>
      </c>
      <c r="BJ886" s="9">
        <f>IF(BB886="","",IF(BB886="Non-viable","Non-viable",IF(BB886="Viable","Viable",IF(BB886="Partially non-viable",IF(OR(BD886="Total splenectomy",BD886="Partial splenectomy +/- splenopexy"),"Non-viable","Review"),IF(BB886="NR",IF(OR(BD886="Total splenectomy",BD886="Partial splenectomy +/- splenopexy"),"NR - removed, check reason","NR"),"Not applicable")))))</f>
        <v/>
      </c>
    </row>
    <row r="887">
      <c r="D887" s="8" t="n"/>
      <c r="E887" s="9">
        <f>IF(B887="","",IF(B887="OWN","Yes","No"))</f>
        <v/>
      </c>
      <c r="AF887" s="9">
        <f>IF(ISNUMBER(Z887),IF(Z887&lt;=2,"&lt;=2 d",IF(Z887&lt;=7,"3-7 d",IF(Z887&lt;=30,"8-30 d","&gt;30 d"))),IF(AE887&lt;&gt;"",AE887,IF(Z887="NR","NR","")))</f>
        <v/>
      </c>
      <c r="AX887" s="9">
        <f>IF(ISNUMBER(AW887),IF(AW887&gt;450,"Yes","No"),IF(AW887="NR","NR",""))</f>
        <v/>
      </c>
      <c r="BJ887" s="9">
        <f>IF(BB887="","",IF(BB887="Non-viable","Non-viable",IF(BB887="Viable","Viable",IF(BB887="Partially non-viable",IF(OR(BD887="Total splenectomy",BD887="Partial splenectomy +/- splenopexy"),"Non-viable","Review"),IF(BB887="NR",IF(OR(BD887="Total splenectomy",BD887="Partial splenectomy +/- splenopexy"),"NR - removed, check reason","NR"),"Not applicable")))))</f>
        <v/>
      </c>
    </row>
    <row r="888">
      <c r="D888" s="8" t="n"/>
      <c r="E888" s="9">
        <f>IF(B888="","",IF(B888="OWN","Yes","No"))</f>
        <v/>
      </c>
      <c r="AF888" s="9">
        <f>IF(ISNUMBER(Z888),IF(Z888&lt;=2,"&lt;=2 d",IF(Z888&lt;=7,"3-7 d",IF(Z888&lt;=30,"8-30 d","&gt;30 d"))),IF(AE888&lt;&gt;"",AE888,IF(Z888="NR","NR","")))</f>
        <v/>
      </c>
      <c r="AX888" s="9">
        <f>IF(ISNUMBER(AW888),IF(AW888&gt;450,"Yes","No"),IF(AW888="NR","NR",""))</f>
        <v/>
      </c>
      <c r="BJ888" s="9">
        <f>IF(BB888="","",IF(BB888="Non-viable","Non-viable",IF(BB888="Viable","Viable",IF(BB888="Partially non-viable",IF(OR(BD888="Total splenectomy",BD888="Partial splenectomy +/- splenopexy"),"Non-viable","Review"),IF(BB888="NR",IF(OR(BD888="Total splenectomy",BD888="Partial splenectomy +/- splenopexy"),"NR - removed, check reason","NR"),"Not applicable")))))</f>
        <v/>
      </c>
    </row>
    <row r="889">
      <c r="D889" s="8" t="n"/>
      <c r="E889" s="9">
        <f>IF(B889="","",IF(B889="OWN","Yes","No"))</f>
        <v/>
      </c>
      <c r="AF889" s="9">
        <f>IF(ISNUMBER(Z889),IF(Z889&lt;=2,"&lt;=2 d",IF(Z889&lt;=7,"3-7 d",IF(Z889&lt;=30,"8-30 d","&gt;30 d"))),IF(AE889&lt;&gt;"",AE889,IF(Z889="NR","NR","")))</f>
        <v/>
      </c>
      <c r="AX889" s="9">
        <f>IF(ISNUMBER(AW889),IF(AW889&gt;450,"Yes","No"),IF(AW889="NR","NR",""))</f>
        <v/>
      </c>
      <c r="BJ889" s="9">
        <f>IF(BB889="","",IF(BB889="Non-viable","Non-viable",IF(BB889="Viable","Viable",IF(BB889="Partially non-viable",IF(OR(BD889="Total splenectomy",BD889="Partial splenectomy +/- splenopexy"),"Non-viable","Review"),IF(BB889="NR",IF(OR(BD889="Total splenectomy",BD889="Partial splenectomy +/- splenopexy"),"NR - removed, check reason","NR"),"Not applicable")))))</f>
        <v/>
      </c>
    </row>
    <row r="890">
      <c r="D890" s="8" t="n"/>
      <c r="E890" s="9">
        <f>IF(B890="","",IF(B890="OWN","Yes","No"))</f>
        <v/>
      </c>
      <c r="AF890" s="9">
        <f>IF(ISNUMBER(Z890),IF(Z890&lt;=2,"&lt;=2 d",IF(Z890&lt;=7,"3-7 d",IF(Z890&lt;=30,"8-30 d","&gt;30 d"))),IF(AE890&lt;&gt;"",AE890,IF(Z890="NR","NR","")))</f>
        <v/>
      </c>
      <c r="AX890" s="9">
        <f>IF(ISNUMBER(AW890),IF(AW890&gt;450,"Yes","No"),IF(AW890="NR","NR",""))</f>
        <v/>
      </c>
      <c r="BJ890" s="9">
        <f>IF(BB890="","",IF(BB890="Non-viable","Non-viable",IF(BB890="Viable","Viable",IF(BB890="Partially non-viable",IF(OR(BD890="Total splenectomy",BD890="Partial splenectomy +/- splenopexy"),"Non-viable","Review"),IF(BB890="NR",IF(OR(BD890="Total splenectomy",BD890="Partial splenectomy +/- splenopexy"),"NR - removed, check reason","NR"),"Not applicable")))))</f>
        <v/>
      </c>
    </row>
    <row r="891">
      <c r="D891" s="8" t="n"/>
      <c r="E891" s="9">
        <f>IF(B891="","",IF(B891="OWN","Yes","No"))</f>
        <v/>
      </c>
      <c r="AF891" s="9">
        <f>IF(ISNUMBER(Z891),IF(Z891&lt;=2,"&lt;=2 d",IF(Z891&lt;=7,"3-7 d",IF(Z891&lt;=30,"8-30 d","&gt;30 d"))),IF(AE891&lt;&gt;"",AE891,IF(Z891="NR","NR","")))</f>
        <v/>
      </c>
      <c r="AX891" s="9">
        <f>IF(ISNUMBER(AW891),IF(AW891&gt;450,"Yes","No"),IF(AW891="NR","NR",""))</f>
        <v/>
      </c>
      <c r="BJ891" s="9">
        <f>IF(BB891="","",IF(BB891="Non-viable","Non-viable",IF(BB891="Viable","Viable",IF(BB891="Partially non-viable",IF(OR(BD891="Total splenectomy",BD891="Partial splenectomy +/- splenopexy"),"Non-viable","Review"),IF(BB891="NR",IF(OR(BD891="Total splenectomy",BD891="Partial splenectomy +/- splenopexy"),"NR - removed, check reason","NR"),"Not applicable")))))</f>
        <v/>
      </c>
    </row>
    <row r="892">
      <c r="D892" s="8" t="n"/>
      <c r="E892" s="9">
        <f>IF(B892="","",IF(B892="OWN","Yes","No"))</f>
        <v/>
      </c>
      <c r="AF892" s="9">
        <f>IF(ISNUMBER(Z892),IF(Z892&lt;=2,"&lt;=2 d",IF(Z892&lt;=7,"3-7 d",IF(Z892&lt;=30,"8-30 d","&gt;30 d"))),IF(AE892&lt;&gt;"",AE892,IF(Z892="NR","NR","")))</f>
        <v/>
      </c>
      <c r="AX892" s="9">
        <f>IF(ISNUMBER(AW892),IF(AW892&gt;450,"Yes","No"),IF(AW892="NR","NR",""))</f>
        <v/>
      </c>
      <c r="BJ892" s="9">
        <f>IF(BB892="","",IF(BB892="Non-viable","Non-viable",IF(BB892="Viable","Viable",IF(BB892="Partially non-viable",IF(OR(BD892="Total splenectomy",BD892="Partial splenectomy +/- splenopexy"),"Non-viable","Review"),IF(BB892="NR",IF(OR(BD892="Total splenectomy",BD892="Partial splenectomy +/- splenopexy"),"NR - removed, check reason","NR"),"Not applicable")))))</f>
        <v/>
      </c>
    </row>
    <row r="893">
      <c r="D893" s="8" t="n"/>
      <c r="E893" s="9">
        <f>IF(B893="","",IF(B893="OWN","Yes","No"))</f>
        <v/>
      </c>
      <c r="AF893" s="9">
        <f>IF(ISNUMBER(Z893),IF(Z893&lt;=2,"&lt;=2 d",IF(Z893&lt;=7,"3-7 d",IF(Z893&lt;=30,"8-30 d","&gt;30 d"))),IF(AE893&lt;&gt;"",AE893,IF(Z893="NR","NR","")))</f>
        <v/>
      </c>
      <c r="AX893" s="9">
        <f>IF(ISNUMBER(AW893),IF(AW893&gt;450,"Yes","No"),IF(AW893="NR","NR",""))</f>
        <v/>
      </c>
      <c r="BJ893" s="9">
        <f>IF(BB893="","",IF(BB893="Non-viable","Non-viable",IF(BB893="Viable","Viable",IF(BB893="Partially non-viable",IF(OR(BD893="Total splenectomy",BD893="Partial splenectomy +/- splenopexy"),"Non-viable","Review"),IF(BB893="NR",IF(OR(BD893="Total splenectomy",BD893="Partial splenectomy +/- splenopexy"),"NR - removed, check reason","NR"),"Not applicable")))))</f>
        <v/>
      </c>
    </row>
    <row r="894">
      <c r="D894" s="8" t="n"/>
      <c r="E894" s="9">
        <f>IF(B894="","",IF(B894="OWN","Yes","No"))</f>
        <v/>
      </c>
      <c r="AF894" s="9">
        <f>IF(ISNUMBER(Z894),IF(Z894&lt;=2,"&lt;=2 d",IF(Z894&lt;=7,"3-7 d",IF(Z894&lt;=30,"8-30 d","&gt;30 d"))),IF(AE894&lt;&gt;"",AE894,IF(Z894="NR","NR","")))</f>
        <v/>
      </c>
      <c r="AX894" s="9">
        <f>IF(ISNUMBER(AW894),IF(AW894&gt;450,"Yes","No"),IF(AW894="NR","NR",""))</f>
        <v/>
      </c>
      <c r="BJ894" s="9">
        <f>IF(BB894="","",IF(BB894="Non-viable","Non-viable",IF(BB894="Viable","Viable",IF(BB894="Partially non-viable",IF(OR(BD894="Total splenectomy",BD894="Partial splenectomy +/- splenopexy"),"Non-viable","Review"),IF(BB894="NR",IF(OR(BD894="Total splenectomy",BD894="Partial splenectomy +/- splenopexy"),"NR - removed, check reason","NR"),"Not applicable")))))</f>
        <v/>
      </c>
    </row>
    <row r="895">
      <c r="D895" s="8" t="n"/>
      <c r="E895" s="9">
        <f>IF(B895="","",IF(B895="OWN","Yes","No"))</f>
        <v/>
      </c>
      <c r="AF895" s="9">
        <f>IF(ISNUMBER(Z895),IF(Z895&lt;=2,"&lt;=2 d",IF(Z895&lt;=7,"3-7 d",IF(Z895&lt;=30,"8-30 d","&gt;30 d"))),IF(AE895&lt;&gt;"",AE895,IF(Z895="NR","NR","")))</f>
        <v/>
      </c>
      <c r="AX895" s="9">
        <f>IF(ISNUMBER(AW895),IF(AW895&gt;450,"Yes","No"),IF(AW895="NR","NR",""))</f>
        <v/>
      </c>
      <c r="BJ895" s="9">
        <f>IF(BB895="","",IF(BB895="Non-viable","Non-viable",IF(BB895="Viable","Viable",IF(BB895="Partially non-viable",IF(OR(BD895="Total splenectomy",BD895="Partial splenectomy +/- splenopexy"),"Non-viable","Review"),IF(BB895="NR",IF(OR(BD895="Total splenectomy",BD895="Partial splenectomy +/- splenopexy"),"NR - removed, check reason","NR"),"Not applicable")))))</f>
        <v/>
      </c>
    </row>
    <row r="896">
      <c r="D896" s="8" t="n"/>
      <c r="E896" s="9">
        <f>IF(B896="","",IF(B896="OWN","Yes","No"))</f>
        <v/>
      </c>
      <c r="AF896" s="9">
        <f>IF(ISNUMBER(Z896),IF(Z896&lt;=2,"&lt;=2 d",IF(Z896&lt;=7,"3-7 d",IF(Z896&lt;=30,"8-30 d","&gt;30 d"))),IF(AE896&lt;&gt;"",AE896,IF(Z896="NR","NR","")))</f>
        <v/>
      </c>
      <c r="AX896" s="9">
        <f>IF(ISNUMBER(AW896),IF(AW896&gt;450,"Yes","No"),IF(AW896="NR","NR",""))</f>
        <v/>
      </c>
      <c r="BJ896" s="9">
        <f>IF(BB896="","",IF(BB896="Non-viable","Non-viable",IF(BB896="Viable","Viable",IF(BB896="Partially non-viable",IF(OR(BD896="Total splenectomy",BD896="Partial splenectomy +/- splenopexy"),"Non-viable","Review"),IF(BB896="NR",IF(OR(BD896="Total splenectomy",BD896="Partial splenectomy +/- splenopexy"),"NR - removed, check reason","NR"),"Not applicable")))))</f>
        <v/>
      </c>
    </row>
    <row r="897">
      <c r="D897" s="8" t="n"/>
      <c r="E897" s="9">
        <f>IF(B897="","",IF(B897="OWN","Yes","No"))</f>
        <v/>
      </c>
      <c r="AF897" s="9">
        <f>IF(ISNUMBER(Z897),IF(Z897&lt;=2,"&lt;=2 d",IF(Z897&lt;=7,"3-7 d",IF(Z897&lt;=30,"8-30 d","&gt;30 d"))),IF(AE897&lt;&gt;"",AE897,IF(Z897="NR","NR","")))</f>
        <v/>
      </c>
      <c r="AX897" s="9">
        <f>IF(ISNUMBER(AW897),IF(AW897&gt;450,"Yes","No"),IF(AW897="NR","NR",""))</f>
        <v/>
      </c>
      <c r="BJ897" s="9">
        <f>IF(BB897="","",IF(BB897="Non-viable","Non-viable",IF(BB897="Viable","Viable",IF(BB897="Partially non-viable",IF(OR(BD897="Total splenectomy",BD897="Partial splenectomy +/- splenopexy"),"Non-viable","Review"),IF(BB897="NR",IF(OR(BD897="Total splenectomy",BD897="Partial splenectomy +/- splenopexy"),"NR - removed, check reason","NR"),"Not applicable")))))</f>
        <v/>
      </c>
    </row>
    <row r="898">
      <c r="D898" s="8" t="n"/>
      <c r="E898" s="9">
        <f>IF(B898="","",IF(B898="OWN","Yes","No"))</f>
        <v/>
      </c>
      <c r="AF898" s="9">
        <f>IF(ISNUMBER(Z898),IF(Z898&lt;=2,"&lt;=2 d",IF(Z898&lt;=7,"3-7 d",IF(Z898&lt;=30,"8-30 d","&gt;30 d"))),IF(AE898&lt;&gt;"",AE898,IF(Z898="NR","NR","")))</f>
        <v/>
      </c>
      <c r="AX898" s="9">
        <f>IF(ISNUMBER(AW898),IF(AW898&gt;450,"Yes","No"),IF(AW898="NR","NR",""))</f>
        <v/>
      </c>
      <c r="BJ898" s="9">
        <f>IF(BB898="","",IF(BB898="Non-viable","Non-viable",IF(BB898="Viable","Viable",IF(BB898="Partially non-viable",IF(OR(BD898="Total splenectomy",BD898="Partial splenectomy +/- splenopexy"),"Non-viable","Review"),IF(BB898="NR",IF(OR(BD898="Total splenectomy",BD898="Partial splenectomy +/- splenopexy"),"NR - removed, check reason","NR"),"Not applicable")))))</f>
        <v/>
      </c>
    </row>
    <row r="899">
      <c r="D899" s="8" t="n"/>
      <c r="E899" s="9">
        <f>IF(B899="","",IF(B899="OWN","Yes","No"))</f>
        <v/>
      </c>
      <c r="AF899" s="9">
        <f>IF(ISNUMBER(Z899),IF(Z899&lt;=2,"&lt;=2 d",IF(Z899&lt;=7,"3-7 d",IF(Z899&lt;=30,"8-30 d","&gt;30 d"))),IF(AE899&lt;&gt;"",AE899,IF(Z899="NR","NR","")))</f>
        <v/>
      </c>
      <c r="AX899" s="9">
        <f>IF(ISNUMBER(AW899),IF(AW899&gt;450,"Yes","No"),IF(AW899="NR","NR",""))</f>
        <v/>
      </c>
      <c r="BJ899" s="9">
        <f>IF(BB899="","",IF(BB899="Non-viable","Non-viable",IF(BB899="Viable","Viable",IF(BB899="Partially non-viable",IF(OR(BD899="Total splenectomy",BD899="Partial splenectomy +/- splenopexy"),"Non-viable","Review"),IF(BB899="NR",IF(OR(BD899="Total splenectomy",BD899="Partial splenectomy +/- splenopexy"),"NR - removed, check reason","NR"),"Not applicable")))))</f>
        <v/>
      </c>
    </row>
    <row r="900">
      <c r="D900" s="8" t="n"/>
      <c r="E900" s="9">
        <f>IF(B900="","",IF(B900="OWN","Yes","No"))</f>
        <v/>
      </c>
      <c r="AF900" s="9">
        <f>IF(ISNUMBER(Z900),IF(Z900&lt;=2,"&lt;=2 d",IF(Z900&lt;=7,"3-7 d",IF(Z900&lt;=30,"8-30 d","&gt;30 d"))),IF(AE900&lt;&gt;"",AE900,IF(Z900="NR","NR","")))</f>
        <v/>
      </c>
      <c r="AX900" s="9">
        <f>IF(ISNUMBER(AW900),IF(AW900&gt;450,"Yes","No"),IF(AW900="NR","NR",""))</f>
        <v/>
      </c>
      <c r="BJ900" s="9">
        <f>IF(BB900="","",IF(BB900="Non-viable","Non-viable",IF(BB900="Viable","Viable",IF(BB900="Partially non-viable",IF(OR(BD900="Total splenectomy",BD900="Partial splenectomy +/- splenopexy"),"Non-viable","Review"),IF(BB900="NR",IF(OR(BD900="Total splenectomy",BD900="Partial splenectomy +/- splenopexy"),"NR - removed, check reason","NR"),"Not applicable")))))</f>
        <v/>
      </c>
    </row>
    <row r="901">
      <c r="D901" s="8" t="n"/>
      <c r="E901" s="9">
        <f>IF(B901="","",IF(B901="OWN","Yes","No"))</f>
        <v/>
      </c>
      <c r="AF901" s="9">
        <f>IF(ISNUMBER(Z901),IF(Z901&lt;=2,"&lt;=2 d",IF(Z901&lt;=7,"3-7 d",IF(Z901&lt;=30,"8-30 d","&gt;30 d"))),IF(AE901&lt;&gt;"",AE901,IF(Z901="NR","NR","")))</f>
        <v/>
      </c>
      <c r="AX901" s="9">
        <f>IF(ISNUMBER(AW901),IF(AW901&gt;450,"Yes","No"),IF(AW901="NR","NR",""))</f>
        <v/>
      </c>
      <c r="BJ901" s="9">
        <f>IF(BB901="","",IF(BB901="Non-viable","Non-viable",IF(BB901="Viable","Viable",IF(BB901="Partially non-viable",IF(OR(BD901="Total splenectomy",BD901="Partial splenectomy +/- splenopexy"),"Non-viable","Review"),IF(BB901="NR",IF(OR(BD901="Total splenectomy",BD901="Partial splenectomy +/- splenopexy"),"NR - removed, check reason","NR"),"Not applicable")))))</f>
        <v/>
      </c>
    </row>
    <row r="902">
      <c r="D902" s="8" t="n"/>
      <c r="E902" s="9">
        <f>IF(B902="","",IF(B902="OWN","Yes","No"))</f>
        <v/>
      </c>
      <c r="AF902" s="9">
        <f>IF(ISNUMBER(Z902),IF(Z902&lt;=2,"&lt;=2 d",IF(Z902&lt;=7,"3-7 d",IF(Z902&lt;=30,"8-30 d","&gt;30 d"))),IF(AE902&lt;&gt;"",AE902,IF(Z902="NR","NR","")))</f>
        <v/>
      </c>
      <c r="AX902" s="9">
        <f>IF(ISNUMBER(AW902),IF(AW902&gt;450,"Yes","No"),IF(AW902="NR","NR",""))</f>
        <v/>
      </c>
      <c r="BJ902" s="9">
        <f>IF(BB902="","",IF(BB902="Non-viable","Non-viable",IF(BB902="Viable","Viable",IF(BB902="Partially non-viable",IF(OR(BD902="Total splenectomy",BD902="Partial splenectomy +/- splenopexy"),"Non-viable","Review"),IF(BB902="NR",IF(OR(BD902="Total splenectomy",BD902="Partial splenectomy +/- splenopexy"),"NR - removed, check reason","NR"),"Not applicable")))))</f>
        <v/>
      </c>
    </row>
    <row r="903">
      <c r="D903" s="8" t="n"/>
      <c r="E903" s="9">
        <f>IF(B903="","",IF(B903="OWN","Yes","No"))</f>
        <v/>
      </c>
      <c r="AF903" s="9">
        <f>IF(ISNUMBER(Z903),IF(Z903&lt;=2,"&lt;=2 d",IF(Z903&lt;=7,"3-7 d",IF(Z903&lt;=30,"8-30 d","&gt;30 d"))),IF(AE903&lt;&gt;"",AE903,IF(Z903="NR","NR","")))</f>
        <v/>
      </c>
      <c r="AX903" s="9">
        <f>IF(ISNUMBER(AW903),IF(AW903&gt;450,"Yes","No"),IF(AW903="NR","NR",""))</f>
        <v/>
      </c>
      <c r="BJ903" s="9">
        <f>IF(BB903="","",IF(BB903="Non-viable","Non-viable",IF(BB903="Viable","Viable",IF(BB903="Partially non-viable",IF(OR(BD903="Total splenectomy",BD903="Partial splenectomy +/- splenopexy"),"Non-viable","Review"),IF(BB903="NR",IF(OR(BD903="Total splenectomy",BD903="Partial splenectomy +/- splenopexy"),"NR - removed, check reason","NR"),"Not applicable")))))</f>
        <v/>
      </c>
    </row>
    <row r="904">
      <c r="D904" s="8" t="n"/>
      <c r="E904" s="9">
        <f>IF(B904="","",IF(B904="OWN","Yes","No"))</f>
        <v/>
      </c>
      <c r="AF904" s="9">
        <f>IF(ISNUMBER(Z904),IF(Z904&lt;=2,"&lt;=2 d",IF(Z904&lt;=7,"3-7 d",IF(Z904&lt;=30,"8-30 d","&gt;30 d"))),IF(AE904&lt;&gt;"",AE904,IF(Z904="NR","NR","")))</f>
        <v/>
      </c>
      <c r="AX904" s="9">
        <f>IF(ISNUMBER(AW904),IF(AW904&gt;450,"Yes","No"),IF(AW904="NR","NR",""))</f>
        <v/>
      </c>
      <c r="BJ904" s="9">
        <f>IF(BB904="","",IF(BB904="Non-viable","Non-viable",IF(BB904="Viable","Viable",IF(BB904="Partially non-viable",IF(OR(BD904="Total splenectomy",BD904="Partial splenectomy +/- splenopexy"),"Non-viable","Review"),IF(BB904="NR",IF(OR(BD904="Total splenectomy",BD904="Partial splenectomy +/- splenopexy"),"NR - removed, check reason","NR"),"Not applicable")))))</f>
        <v/>
      </c>
    </row>
    <row r="905">
      <c r="D905" s="8" t="n"/>
      <c r="E905" s="9">
        <f>IF(B905="","",IF(B905="OWN","Yes","No"))</f>
        <v/>
      </c>
      <c r="AF905" s="9">
        <f>IF(ISNUMBER(Z905),IF(Z905&lt;=2,"&lt;=2 d",IF(Z905&lt;=7,"3-7 d",IF(Z905&lt;=30,"8-30 d","&gt;30 d"))),IF(AE905&lt;&gt;"",AE905,IF(Z905="NR","NR","")))</f>
        <v/>
      </c>
      <c r="AX905" s="9">
        <f>IF(ISNUMBER(AW905),IF(AW905&gt;450,"Yes","No"),IF(AW905="NR","NR",""))</f>
        <v/>
      </c>
      <c r="BJ905" s="9">
        <f>IF(BB905="","",IF(BB905="Non-viable","Non-viable",IF(BB905="Viable","Viable",IF(BB905="Partially non-viable",IF(OR(BD905="Total splenectomy",BD905="Partial splenectomy +/- splenopexy"),"Non-viable","Review"),IF(BB905="NR",IF(OR(BD905="Total splenectomy",BD905="Partial splenectomy +/- splenopexy"),"NR - removed, check reason","NR"),"Not applicable")))))</f>
        <v/>
      </c>
    </row>
    <row r="906">
      <c r="D906" s="8" t="n"/>
      <c r="E906" s="9">
        <f>IF(B906="","",IF(B906="OWN","Yes","No"))</f>
        <v/>
      </c>
      <c r="AF906" s="9">
        <f>IF(ISNUMBER(Z906),IF(Z906&lt;=2,"&lt;=2 d",IF(Z906&lt;=7,"3-7 d",IF(Z906&lt;=30,"8-30 d","&gt;30 d"))),IF(AE906&lt;&gt;"",AE906,IF(Z906="NR","NR","")))</f>
        <v/>
      </c>
      <c r="AX906" s="9">
        <f>IF(ISNUMBER(AW906),IF(AW906&gt;450,"Yes","No"),IF(AW906="NR","NR",""))</f>
        <v/>
      </c>
      <c r="BJ906" s="9">
        <f>IF(BB906="","",IF(BB906="Non-viable","Non-viable",IF(BB906="Viable","Viable",IF(BB906="Partially non-viable",IF(OR(BD906="Total splenectomy",BD906="Partial splenectomy +/- splenopexy"),"Non-viable","Review"),IF(BB906="NR",IF(OR(BD906="Total splenectomy",BD906="Partial splenectomy +/- splenopexy"),"NR - removed, check reason","NR"),"Not applicable")))))</f>
        <v/>
      </c>
    </row>
    <row r="907">
      <c r="D907" s="8" t="n"/>
      <c r="E907" s="9">
        <f>IF(B907="","",IF(B907="OWN","Yes","No"))</f>
        <v/>
      </c>
      <c r="AF907" s="9">
        <f>IF(ISNUMBER(Z907),IF(Z907&lt;=2,"&lt;=2 d",IF(Z907&lt;=7,"3-7 d",IF(Z907&lt;=30,"8-30 d","&gt;30 d"))),IF(AE907&lt;&gt;"",AE907,IF(Z907="NR","NR","")))</f>
        <v/>
      </c>
      <c r="AX907" s="9">
        <f>IF(ISNUMBER(AW907),IF(AW907&gt;450,"Yes","No"),IF(AW907="NR","NR",""))</f>
        <v/>
      </c>
      <c r="BJ907" s="9">
        <f>IF(BB907="","",IF(BB907="Non-viable","Non-viable",IF(BB907="Viable","Viable",IF(BB907="Partially non-viable",IF(OR(BD907="Total splenectomy",BD907="Partial splenectomy +/- splenopexy"),"Non-viable","Review"),IF(BB907="NR",IF(OR(BD907="Total splenectomy",BD907="Partial splenectomy +/- splenopexy"),"NR - removed, check reason","NR"),"Not applicable")))))</f>
        <v/>
      </c>
    </row>
    <row r="908">
      <c r="D908" s="8" t="n"/>
      <c r="E908" s="9">
        <f>IF(B908="","",IF(B908="OWN","Yes","No"))</f>
        <v/>
      </c>
      <c r="AF908" s="9">
        <f>IF(ISNUMBER(Z908),IF(Z908&lt;=2,"&lt;=2 d",IF(Z908&lt;=7,"3-7 d",IF(Z908&lt;=30,"8-30 d","&gt;30 d"))),IF(AE908&lt;&gt;"",AE908,IF(Z908="NR","NR","")))</f>
        <v/>
      </c>
      <c r="AX908" s="9">
        <f>IF(ISNUMBER(AW908),IF(AW908&gt;450,"Yes","No"),IF(AW908="NR","NR",""))</f>
        <v/>
      </c>
      <c r="BJ908" s="9">
        <f>IF(BB908="","",IF(BB908="Non-viable","Non-viable",IF(BB908="Viable","Viable",IF(BB908="Partially non-viable",IF(OR(BD908="Total splenectomy",BD908="Partial splenectomy +/- splenopexy"),"Non-viable","Review"),IF(BB908="NR",IF(OR(BD908="Total splenectomy",BD908="Partial splenectomy +/- splenopexy"),"NR - removed, check reason","NR"),"Not applicable")))))</f>
        <v/>
      </c>
    </row>
    <row r="909">
      <c r="D909" s="8" t="n"/>
      <c r="E909" s="9">
        <f>IF(B909="","",IF(B909="OWN","Yes","No"))</f>
        <v/>
      </c>
      <c r="AF909" s="9">
        <f>IF(ISNUMBER(Z909),IF(Z909&lt;=2,"&lt;=2 d",IF(Z909&lt;=7,"3-7 d",IF(Z909&lt;=30,"8-30 d","&gt;30 d"))),IF(AE909&lt;&gt;"",AE909,IF(Z909="NR","NR","")))</f>
        <v/>
      </c>
      <c r="AX909" s="9">
        <f>IF(ISNUMBER(AW909),IF(AW909&gt;450,"Yes","No"),IF(AW909="NR","NR",""))</f>
        <v/>
      </c>
      <c r="BJ909" s="9">
        <f>IF(BB909="","",IF(BB909="Non-viable","Non-viable",IF(BB909="Viable","Viable",IF(BB909="Partially non-viable",IF(OR(BD909="Total splenectomy",BD909="Partial splenectomy +/- splenopexy"),"Non-viable","Review"),IF(BB909="NR",IF(OR(BD909="Total splenectomy",BD909="Partial splenectomy +/- splenopexy"),"NR - removed, check reason","NR"),"Not applicable")))))</f>
        <v/>
      </c>
    </row>
    <row r="910">
      <c r="D910" s="8" t="n"/>
      <c r="E910" s="9">
        <f>IF(B910="","",IF(B910="OWN","Yes","No"))</f>
        <v/>
      </c>
      <c r="AF910" s="9">
        <f>IF(ISNUMBER(Z910),IF(Z910&lt;=2,"&lt;=2 d",IF(Z910&lt;=7,"3-7 d",IF(Z910&lt;=30,"8-30 d","&gt;30 d"))),IF(AE910&lt;&gt;"",AE910,IF(Z910="NR","NR","")))</f>
        <v/>
      </c>
      <c r="AX910" s="9">
        <f>IF(ISNUMBER(AW910),IF(AW910&gt;450,"Yes","No"),IF(AW910="NR","NR",""))</f>
        <v/>
      </c>
      <c r="BJ910" s="9">
        <f>IF(BB910="","",IF(BB910="Non-viable","Non-viable",IF(BB910="Viable","Viable",IF(BB910="Partially non-viable",IF(OR(BD910="Total splenectomy",BD910="Partial splenectomy +/- splenopexy"),"Non-viable","Review"),IF(BB910="NR",IF(OR(BD910="Total splenectomy",BD910="Partial splenectomy +/- splenopexy"),"NR - removed, check reason","NR"),"Not applicable")))))</f>
        <v/>
      </c>
    </row>
    <row r="911">
      <c r="D911" s="8" t="n"/>
      <c r="E911" s="9">
        <f>IF(B911="","",IF(B911="OWN","Yes","No"))</f>
        <v/>
      </c>
      <c r="AF911" s="9">
        <f>IF(ISNUMBER(Z911),IF(Z911&lt;=2,"&lt;=2 d",IF(Z911&lt;=7,"3-7 d",IF(Z911&lt;=30,"8-30 d","&gt;30 d"))),IF(AE911&lt;&gt;"",AE911,IF(Z911="NR","NR","")))</f>
        <v/>
      </c>
      <c r="AX911" s="9">
        <f>IF(ISNUMBER(AW911),IF(AW911&gt;450,"Yes","No"),IF(AW911="NR","NR",""))</f>
        <v/>
      </c>
      <c r="BJ911" s="9">
        <f>IF(BB911="","",IF(BB911="Non-viable","Non-viable",IF(BB911="Viable","Viable",IF(BB911="Partially non-viable",IF(OR(BD911="Total splenectomy",BD911="Partial splenectomy +/- splenopexy"),"Non-viable","Review"),IF(BB911="NR",IF(OR(BD911="Total splenectomy",BD911="Partial splenectomy +/- splenopexy"),"NR - removed, check reason","NR"),"Not applicable")))))</f>
        <v/>
      </c>
    </row>
    <row r="912">
      <c r="D912" s="8" t="n"/>
      <c r="E912" s="9">
        <f>IF(B912="","",IF(B912="OWN","Yes","No"))</f>
        <v/>
      </c>
      <c r="AF912" s="9">
        <f>IF(ISNUMBER(Z912),IF(Z912&lt;=2,"&lt;=2 d",IF(Z912&lt;=7,"3-7 d",IF(Z912&lt;=30,"8-30 d","&gt;30 d"))),IF(AE912&lt;&gt;"",AE912,IF(Z912="NR","NR","")))</f>
        <v/>
      </c>
      <c r="AX912" s="9">
        <f>IF(ISNUMBER(AW912),IF(AW912&gt;450,"Yes","No"),IF(AW912="NR","NR",""))</f>
        <v/>
      </c>
      <c r="BJ912" s="9">
        <f>IF(BB912="","",IF(BB912="Non-viable","Non-viable",IF(BB912="Viable","Viable",IF(BB912="Partially non-viable",IF(OR(BD912="Total splenectomy",BD912="Partial splenectomy +/- splenopexy"),"Non-viable","Review"),IF(BB912="NR",IF(OR(BD912="Total splenectomy",BD912="Partial splenectomy +/- splenopexy"),"NR - removed, check reason","NR"),"Not applicable")))))</f>
        <v/>
      </c>
    </row>
    <row r="913">
      <c r="D913" s="8" t="n"/>
      <c r="E913" s="9">
        <f>IF(B913="","",IF(B913="OWN","Yes","No"))</f>
        <v/>
      </c>
      <c r="AF913" s="9">
        <f>IF(ISNUMBER(Z913),IF(Z913&lt;=2,"&lt;=2 d",IF(Z913&lt;=7,"3-7 d",IF(Z913&lt;=30,"8-30 d","&gt;30 d"))),IF(AE913&lt;&gt;"",AE913,IF(Z913="NR","NR","")))</f>
        <v/>
      </c>
      <c r="AX913" s="9">
        <f>IF(ISNUMBER(AW913),IF(AW913&gt;450,"Yes","No"),IF(AW913="NR","NR",""))</f>
        <v/>
      </c>
      <c r="BJ913" s="9">
        <f>IF(BB913="","",IF(BB913="Non-viable","Non-viable",IF(BB913="Viable","Viable",IF(BB913="Partially non-viable",IF(OR(BD913="Total splenectomy",BD913="Partial splenectomy +/- splenopexy"),"Non-viable","Review"),IF(BB913="NR",IF(OR(BD913="Total splenectomy",BD913="Partial splenectomy +/- splenopexy"),"NR - removed, check reason","NR"),"Not applicable")))))</f>
        <v/>
      </c>
    </row>
    <row r="914">
      <c r="D914" s="8" t="n"/>
      <c r="E914" s="9">
        <f>IF(B914="","",IF(B914="OWN","Yes","No"))</f>
        <v/>
      </c>
      <c r="AF914" s="9">
        <f>IF(ISNUMBER(Z914),IF(Z914&lt;=2,"&lt;=2 d",IF(Z914&lt;=7,"3-7 d",IF(Z914&lt;=30,"8-30 d","&gt;30 d"))),IF(AE914&lt;&gt;"",AE914,IF(Z914="NR","NR","")))</f>
        <v/>
      </c>
      <c r="AX914" s="9">
        <f>IF(ISNUMBER(AW914),IF(AW914&gt;450,"Yes","No"),IF(AW914="NR","NR",""))</f>
        <v/>
      </c>
      <c r="BJ914" s="9">
        <f>IF(BB914="","",IF(BB914="Non-viable","Non-viable",IF(BB914="Viable","Viable",IF(BB914="Partially non-viable",IF(OR(BD914="Total splenectomy",BD914="Partial splenectomy +/- splenopexy"),"Non-viable","Review"),IF(BB914="NR",IF(OR(BD914="Total splenectomy",BD914="Partial splenectomy +/- splenopexy"),"NR - removed, check reason","NR"),"Not applicable")))))</f>
        <v/>
      </c>
    </row>
    <row r="915">
      <c r="D915" s="8" t="n"/>
      <c r="E915" s="9">
        <f>IF(B915="","",IF(B915="OWN","Yes","No"))</f>
        <v/>
      </c>
      <c r="AF915" s="9">
        <f>IF(ISNUMBER(Z915),IF(Z915&lt;=2,"&lt;=2 d",IF(Z915&lt;=7,"3-7 d",IF(Z915&lt;=30,"8-30 d","&gt;30 d"))),IF(AE915&lt;&gt;"",AE915,IF(Z915="NR","NR","")))</f>
        <v/>
      </c>
      <c r="AX915" s="9">
        <f>IF(ISNUMBER(AW915),IF(AW915&gt;450,"Yes","No"),IF(AW915="NR","NR",""))</f>
        <v/>
      </c>
      <c r="BJ915" s="9">
        <f>IF(BB915="","",IF(BB915="Non-viable","Non-viable",IF(BB915="Viable","Viable",IF(BB915="Partially non-viable",IF(OR(BD915="Total splenectomy",BD915="Partial splenectomy +/- splenopexy"),"Non-viable","Review"),IF(BB915="NR",IF(OR(BD915="Total splenectomy",BD915="Partial splenectomy +/- splenopexy"),"NR - removed, check reason","NR"),"Not applicable")))))</f>
        <v/>
      </c>
    </row>
    <row r="916">
      <c r="D916" s="8" t="n"/>
      <c r="E916" s="9">
        <f>IF(B916="","",IF(B916="OWN","Yes","No"))</f>
        <v/>
      </c>
      <c r="AF916" s="9">
        <f>IF(ISNUMBER(Z916),IF(Z916&lt;=2,"&lt;=2 d",IF(Z916&lt;=7,"3-7 d",IF(Z916&lt;=30,"8-30 d","&gt;30 d"))),IF(AE916&lt;&gt;"",AE916,IF(Z916="NR","NR","")))</f>
        <v/>
      </c>
      <c r="AX916" s="9">
        <f>IF(ISNUMBER(AW916),IF(AW916&gt;450,"Yes","No"),IF(AW916="NR","NR",""))</f>
        <v/>
      </c>
      <c r="BJ916" s="9">
        <f>IF(BB916="","",IF(BB916="Non-viable","Non-viable",IF(BB916="Viable","Viable",IF(BB916="Partially non-viable",IF(OR(BD916="Total splenectomy",BD916="Partial splenectomy +/- splenopexy"),"Non-viable","Review"),IF(BB916="NR",IF(OR(BD916="Total splenectomy",BD916="Partial splenectomy +/- splenopexy"),"NR - removed, check reason","NR"),"Not applicable")))))</f>
        <v/>
      </c>
    </row>
    <row r="917">
      <c r="D917" s="8" t="n"/>
      <c r="E917" s="9">
        <f>IF(B917="","",IF(B917="OWN","Yes","No"))</f>
        <v/>
      </c>
      <c r="AF917" s="9">
        <f>IF(ISNUMBER(Z917),IF(Z917&lt;=2,"&lt;=2 d",IF(Z917&lt;=7,"3-7 d",IF(Z917&lt;=30,"8-30 d","&gt;30 d"))),IF(AE917&lt;&gt;"",AE917,IF(Z917="NR","NR","")))</f>
        <v/>
      </c>
      <c r="AX917" s="9">
        <f>IF(ISNUMBER(AW917),IF(AW917&gt;450,"Yes","No"),IF(AW917="NR","NR",""))</f>
        <v/>
      </c>
      <c r="BJ917" s="9">
        <f>IF(BB917="","",IF(BB917="Non-viable","Non-viable",IF(BB917="Viable","Viable",IF(BB917="Partially non-viable",IF(OR(BD917="Total splenectomy",BD917="Partial splenectomy +/- splenopexy"),"Non-viable","Review"),IF(BB917="NR",IF(OR(BD917="Total splenectomy",BD917="Partial splenectomy +/- splenopexy"),"NR - removed, check reason","NR"),"Not applicable")))))</f>
        <v/>
      </c>
    </row>
    <row r="918">
      <c r="D918" s="8" t="n"/>
      <c r="E918" s="9">
        <f>IF(B918="","",IF(B918="OWN","Yes","No"))</f>
        <v/>
      </c>
      <c r="AF918" s="9">
        <f>IF(ISNUMBER(Z918),IF(Z918&lt;=2,"&lt;=2 d",IF(Z918&lt;=7,"3-7 d",IF(Z918&lt;=30,"8-30 d","&gt;30 d"))),IF(AE918&lt;&gt;"",AE918,IF(Z918="NR","NR","")))</f>
        <v/>
      </c>
      <c r="AX918" s="9">
        <f>IF(ISNUMBER(AW918),IF(AW918&gt;450,"Yes","No"),IF(AW918="NR","NR",""))</f>
        <v/>
      </c>
      <c r="BJ918" s="9">
        <f>IF(BB918="","",IF(BB918="Non-viable","Non-viable",IF(BB918="Viable","Viable",IF(BB918="Partially non-viable",IF(OR(BD918="Total splenectomy",BD918="Partial splenectomy +/- splenopexy"),"Non-viable","Review"),IF(BB918="NR",IF(OR(BD918="Total splenectomy",BD918="Partial splenectomy +/- splenopexy"),"NR - removed, check reason","NR"),"Not applicable")))))</f>
        <v/>
      </c>
    </row>
    <row r="919">
      <c r="D919" s="8" t="n"/>
      <c r="E919" s="9">
        <f>IF(B919="","",IF(B919="OWN","Yes","No"))</f>
        <v/>
      </c>
      <c r="AF919" s="9">
        <f>IF(ISNUMBER(Z919),IF(Z919&lt;=2,"&lt;=2 d",IF(Z919&lt;=7,"3-7 d",IF(Z919&lt;=30,"8-30 d","&gt;30 d"))),IF(AE919&lt;&gt;"",AE919,IF(Z919="NR","NR","")))</f>
        <v/>
      </c>
      <c r="AX919" s="9">
        <f>IF(ISNUMBER(AW919),IF(AW919&gt;450,"Yes","No"),IF(AW919="NR","NR",""))</f>
        <v/>
      </c>
      <c r="BJ919" s="9">
        <f>IF(BB919="","",IF(BB919="Non-viable","Non-viable",IF(BB919="Viable","Viable",IF(BB919="Partially non-viable",IF(OR(BD919="Total splenectomy",BD919="Partial splenectomy +/- splenopexy"),"Non-viable","Review"),IF(BB919="NR",IF(OR(BD919="Total splenectomy",BD919="Partial splenectomy +/- splenopexy"),"NR - removed, check reason","NR"),"Not applicable")))))</f>
        <v/>
      </c>
    </row>
    <row r="920">
      <c r="D920" s="8" t="n"/>
      <c r="E920" s="9">
        <f>IF(B920="","",IF(B920="OWN","Yes","No"))</f>
        <v/>
      </c>
      <c r="AF920" s="9">
        <f>IF(ISNUMBER(Z920),IF(Z920&lt;=2,"&lt;=2 d",IF(Z920&lt;=7,"3-7 d",IF(Z920&lt;=30,"8-30 d","&gt;30 d"))),IF(AE920&lt;&gt;"",AE920,IF(Z920="NR","NR","")))</f>
        <v/>
      </c>
      <c r="AX920" s="9">
        <f>IF(ISNUMBER(AW920),IF(AW920&gt;450,"Yes","No"),IF(AW920="NR","NR",""))</f>
        <v/>
      </c>
      <c r="BJ920" s="9">
        <f>IF(BB920="","",IF(BB920="Non-viable","Non-viable",IF(BB920="Viable","Viable",IF(BB920="Partially non-viable",IF(OR(BD920="Total splenectomy",BD920="Partial splenectomy +/- splenopexy"),"Non-viable","Review"),IF(BB920="NR",IF(OR(BD920="Total splenectomy",BD920="Partial splenectomy +/- splenopexy"),"NR - removed, check reason","NR"),"Not applicable")))))</f>
        <v/>
      </c>
    </row>
    <row r="921">
      <c r="D921" s="8" t="n"/>
      <c r="E921" s="9">
        <f>IF(B921="","",IF(B921="OWN","Yes","No"))</f>
        <v/>
      </c>
      <c r="AF921" s="9">
        <f>IF(ISNUMBER(Z921),IF(Z921&lt;=2,"&lt;=2 d",IF(Z921&lt;=7,"3-7 d",IF(Z921&lt;=30,"8-30 d","&gt;30 d"))),IF(AE921&lt;&gt;"",AE921,IF(Z921="NR","NR","")))</f>
        <v/>
      </c>
      <c r="AX921" s="9">
        <f>IF(ISNUMBER(AW921),IF(AW921&gt;450,"Yes","No"),IF(AW921="NR","NR",""))</f>
        <v/>
      </c>
      <c r="BJ921" s="9">
        <f>IF(BB921="","",IF(BB921="Non-viable","Non-viable",IF(BB921="Viable","Viable",IF(BB921="Partially non-viable",IF(OR(BD921="Total splenectomy",BD921="Partial splenectomy +/- splenopexy"),"Non-viable","Review"),IF(BB921="NR",IF(OR(BD921="Total splenectomy",BD921="Partial splenectomy +/- splenopexy"),"NR - removed, check reason","NR"),"Not applicable")))))</f>
        <v/>
      </c>
    </row>
    <row r="922">
      <c r="D922" s="8" t="n"/>
      <c r="E922" s="9">
        <f>IF(B922="","",IF(B922="OWN","Yes","No"))</f>
        <v/>
      </c>
      <c r="AF922" s="9">
        <f>IF(ISNUMBER(Z922),IF(Z922&lt;=2,"&lt;=2 d",IF(Z922&lt;=7,"3-7 d",IF(Z922&lt;=30,"8-30 d","&gt;30 d"))),IF(AE922&lt;&gt;"",AE922,IF(Z922="NR","NR","")))</f>
        <v/>
      </c>
      <c r="AX922" s="9">
        <f>IF(ISNUMBER(AW922),IF(AW922&gt;450,"Yes","No"),IF(AW922="NR","NR",""))</f>
        <v/>
      </c>
      <c r="BJ922" s="9">
        <f>IF(BB922="","",IF(BB922="Non-viable","Non-viable",IF(BB922="Viable","Viable",IF(BB922="Partially non-viable",IF(OR(BD922="Total splenectomy",BD922="Partial splenectomy +/- splenopexy"),"Non-viable","Review"),IF(BB922="NR",IF(OR(BD922="Total splenectomy",BD922="Partial splenectomy +/- splenopexy"),"NR - removed, check reason","NR"),"Not applicable")))))</f>
        <v/>
      </c>
    </row>
    <row r="923">
      <c r="D923" s="8" t="n"/>
      <c r="E923" s="9">
        <f>IF(B923="","",IF(B923="OWN","Yes","No"))</f>
        <v/>
      </c>
      <c r="AF923" s="9">
        <f>IF(ISNUMBER(Z923),IF(Z923&lt;=2,"&lt;=2 d",IF(Z923&lt;=7,"3-7 d",IF(Z923&lt;=30,"8-30 d","&gt;30 d"))),IF(AE923&lt;&gt;"",AE923,IF(Z923="NR","NR","")))</f>
        <v/>
      </c>
      <c r="AX923" s="9">
        <f>IF(ISNUMBER(AW923),IF(AW923&gt;450,"Yes","No"),IF(AW923="NR","NR",""))</f>
        <v/>
      </c>
      <c r="BJ923" s="9">
        <f>IF(BB923="","",IF(BB923="Non-viable","Non-viable",IF(BB923="Viable","Viable",IF(BB923="Partially non-viable",IF(OR(BD923="Total splenectomy",BD923="Partial splenectomy +/- splenopexy"),"Non-viable","Review"),IF(BB923="NR",IF(OR(BD923="Total splenectomy",BD923="Partial splenectomy +/- splenopexy"),"NR - removed, check reason","NR"),"Not applicable")))))</f>
        <v/>
      </c>
    </row>
    <row r="924">
      <c r="D924" s="8" t="n"/>
      <c r="E924" s="9">
        <f>IF(B924="","",IF(B924="OWN","Yes","No"))</f>
        <v/>
      </c>
      <c r="AF924" s="9">
        <f>IF(ISNUMBER(Z924),IF(Z924&lt;=2,"&lt;=2 d",IF(Z924&lt;=7,"3-7 d",IF(Z924&lt;=30,"8-30 d","&gt;30 d"))),IF(AE924&lt;&gt;"",AE924,IF(Z924="NR","NR","")))</f>
        <v/>
      </c>
      <c r="AX924" s="9">
        <f>IF(ISNUMBER(AW924),IF(AW924&gt;450,"Yes","No"),IF(AW924="NR","NR",""))</f>
        <v/>
      </c>
      <c r="BJ924" s="9">
        <f>IF(BB924="","",IF(BB924="Non-viable","Non-viable",IF(BB924="Viable","Viable",IF(BB924="Partially non-viable",IF(OR(BD924="Total splenectomy",BD924="Partial splenectomy +/- splenopexy"),"Non-viable","Review"),IF(BB924="NR",IF(OR(BD924="Total splenectomy",BD924="Partial splenectomy +/- splenopexy"),"NR - removed, check reason","NR"),"Not applicable")))))</f>
        <v/>
      </c>
    </row>
    <row r="925">
      <c r="D925" s="8" t="n"/>
      <c r="E925" s="9">
        <f>IF(B925="","",IF(B925="OWN","Yes","No"))</f>
        <v/>
      </c>
      <c r="AF925" s="9">
        <f>IF(ISNUMBER(Z925),IF(Z925&lt;=2,"&lt;=2 d",IF(Z925&lt;=7,"3-7 d",IF(Z925&lt;=30,"8-30 d","&gt;30 d"))),IF(AE925&lt;&gt;"",AE925,IF(Z925="NR","NR","")))</f>
        <v/>
      </c>
      <c r="AX925" s="9">
        <f>IF(ISNUMBER(AW925),IF(AW925&gt;450,"Yes","No"),IF(AW925="NR","NR",""))</f>
        <v/>
      </c>
      <c r="BJ925" s="9">
        <f>IF(BB925="","",IF(BB925="Non-viable","Non-viable",IF(BB925="Viable","Viable",IF(BB925="Partially non-viable",IF(OR(BD925="Total splenectomy",BD925="Partial splenectomy +/- splenopexy"),"Non-viable","Review"),IF(BB925="NR",IF(OR(BD925="Total splenectomy",BD925="Partial splenectomy +/- splenopexy"),"NR - removed, check reason","NR"),"Not applicable")))))</f>
        <v/>
      </c>
    </row>
    <row r="926">
      <c r="D926" s="8" t="n"/>
      <c r="E926" s="9">
        <f>IF(B926="","",IF(B926="OWN","Yes","No"))</f>
        <v/>
      </c>
      <c r="AF926" s="9">
        <f>IF(ISNUMBER(Z926),IF(Z926&lt;=2,"&lt;=2 d",IF(Z926&lt;=7,"3-7 d",IF(Z926&lt;=30,"8-30 d","&gt;30 d"))),IF(AE926&lt;&gt;"",AE926,IF(Z926="NR","NR","")))</f>
        <v/>
      </c>
      <c r="AX926" s="9">
        <f>IF(ISNUMBER(AW926),IF(AW926&gt;450,"Yes","No"),IF(AW926="NR","NR",""))</f>
        <v/>
      </c>
      <c r="BJ926" s="9">
        <f>IF(BB926="","",IF(BB926="Non-viable","Non-viable",IF(BB926="Viable","Viable",IF(BB926="Partially non-viable",IF(OR(BD926="Total splenectomy",BD926="Partial splenectomy +/- splenopexy"),"Non-viable","Review"),IF(BB926="NR",IF(OR(BD926="Total splenectomy",BD926="Partial splenectomy +/- splenopexy"),"NR - removed, check reason","NR"),"Not applicable")))))</f>
        <v/>
      </c>
    </row>
    <row r="927">
      <c r="D927" s="8" t="n"/>
      <c r="E927" s="9">
        <f>IF(B927="","",IF(B927="OWN","Yes","No"))</f>
        <v/>
      </c>
      <c r="AF927" s="9">
        <f>IF(ISNUMBER(Z927),IF(Z927&lt;=2,"&lt;=2 d",IF(Z927&lt;=7,"3-7 d",IF(Z927&lt;=30,"8-30 d","&gt;30 d"))),IF(AE927&lt;&gt;"",AE927,IF(Z927="NR","NR","")))</f>
        <v/>
      </c>
      <c r="AX927" s="9">
        <f>IF(ISNUMBER(AW927),IF(AW927&gt;450,"Yes","No"),IF(AW927="NR","NR",""))</f>
        <v/>
      </c>
      <c r="BJ927" s="9">
        <f>IF(BB927="","",IF(BB927="Non-viable","Non-viable",IF(BB927="Viable","Viable",IF(BB927="Partially non-viable",IF(OR(BD927="Total splenectomy",BD927="Partial splenectomy +/- splenopexy"),"Non-viable","Review"),IF(BB927="NR",IF(OR(BD927="Total splenectomy",BD927="Partial splenectomy +/- splenopexy"),"NR - removed, check reason","NR"),"Not applicable")))))</f>
        <v/>
      </c>
    </row>
    <row r="928">
      <c r="D928" s="8" t="n"/>
      <c r="E928" s="9">
        <f>IF(B928="","",IF(B928="OWN","Yes","No"))</f>
        <v/>
      </c>
      <c r="AF928" s="9">
        <f>IF(ISNUMBER(Z928),IF(Z928&lt;=2,"&lt;=2 d",IF(Z928&lt;=7,"3-7 d",IF(Z928&lt;=30,"8-30 d","&gt;30 d"))),IF(AE928&lt;&gt;"",AE928,IF(Z928="NR","NR","")))</f>
        <v/>
      </c>
      <c r="AX928" s="9">
        <f>IF(ISNUMBER(AW928),IF(AW928&gt;450,"Yes","No"),IF(AW928="NR","NR",""))</f>
        <v/>
      </c>
      <c r="BJ928" s="9">
        <f>IF(BB928="","",IF(BB928="Non-viable","Non-viable",IF(BB928="Viable","Viable",IF(BB928="Partially non-viable",IF(OR(BD928="Total splenectomy",BD928="Partial splenectomy +/- splenopexy"),"Non-viable","Review"),IF(BB928="NR",IF(OR(BD928="Total splenectomy",BD928="Partial splenectomy +/- splenopexy"),"NR - removed, check reason","NR"),"Not applicable")))))</f>
        <v/>
      </c>
    </row>
    <row r="929">
      <c r="D929" s="8" t="n"/>
      <c r="E929" s="9">
        <f>IF(B929="","",IF(B929="OWN","Yes","No"))</f>
        <v/>
      </c>
      <c r="AF929" s="9">
        <f>IF(ISNUMBER(Z929),IF(Z929&lt;=2,"&lt;=2 d",IF(Z929&lt;=7,"3-7 d",IF(Z929&lt;=30,"8-30 d","&gt;30 d"))),IF(AE929&lt;&gt;"",AE929,IF(Z929="NR","NR","")))</f>
        <v/>
      </c>
      <c r="AX929" s="9">
        <f>IF(ISNUMBER(AW929),IF(AW929&gt;450,"Yes","No"),IF(AW929="NR","NR",""))</f>
        <v/>
      </c>
      <c r="BJ929" s="9">
        <f>IF(BB929="","",IF(BB929="Non-viable","Non-viable",IF(BB929="Viable","Viable",IF(BB929="Partially non-viable",IF(OR(BD929="Total splenectomy",BD929="Partial splenectomy +/- splenopexy"),"Non-viable","Review"),IF(BB929="NR",IF(OR(BD929="Total splenectomy",BD929="Partial splenectomy +/- splenopexy"),"NR - removed, check reason","NR"),"Not applicable")))))</f>
        <v/>
      </c>
    </row>
    <row r="930">
      <c r="D930" s="8" t="n"/>
      <c r="E930" s="9">
        <f>IF(B930="","",IF(B930="OWN","Yes","No"))</f>
        <v/>
      </c>
      <c r="AF930" s="9">
        <f>IF(ISNUMBER(Z930),IF(Z930&lt;=2,"&lt;=2 d",IF(Z930&lt;=7,"3-7 d",IF(Z930&lt;=30,"8-30 d","&gt;30 d"))),IF(AE930&lt;&gt;"",AE930,IF(Z930="NR","NR","")))</f>
        <v/>
      </c>
      <c r="AX930" s="9">
        <f>IF(ISNUMBER(AW930),IF(AW930&gt;450,"Yes","No"),IF(AW930="NR","NR",""))</f>
        <v/>
      </c>
      <c r="BJ930" s="9">
        <f>IF(BB930="","",IF(BB930="Non-viable","Non-viable",IF(BB930="Viable","Viable",IF(BB930="Partially non-viable",IF(OR(BD930="Total splenectomy",BD930="Partial splenectomy +/- splenopexy"),"Non-viable","Review"),IF(BB930="NR",IF(OR(BD930="Total splenectomy",BD930="Partial splenectomy +/- splenopexy"),"NR - removed, check reason","NR"),"Not applicable")))))</f>
        <v/>
      </c>
    </row>
    <row r="931">
      <c r="D931" s="8" t="n"/>
      <c r="E931" s="9">
        <f>IF(B931="","",IF(B931="OWN","Yes","No"))</f>
        <v/>
      </c>
      <c r="AF931" s="9">
        <f>IF(ISNUMBER(Z931),IF(Z931&lt;=2,"&lt;=2 d",IF(Z931&lt;=7,"3-7 d",IF(Z931&lt;=30,"8-30 d","&gt;30 d"))),IF(AE931&lt;&gt;"",AE931,IF(Z931="NR","NR","")))</f>
        <v/>
      </c>
      <c r="AX931" s="9">
        <f>IF(ISNUMBER(AW931),IF(AW931&gt;450,"Yes","No"),IF(AW931="NR","NR",""))</f>
        <v/>
      </c>
      <c r="BJ931" s="9">
        <f>IF(BB931="","",IF(BB931="Non-viable","Non-viable",IF(BB931="Viable","Viable",IF(BB931="Partially non-viable",IF(OR(BD931="Total splenectomy",BD931="Partial splenectomy +/- splenopexy"),"Non-viable","Review"),IF(BB931="NR",IF(OR(BD931="Total splenectomy",BD931="Partial splenectomy +/- splenopexy"),"NR - removed, check reason","NR"),"Not applicable")))))</f>
        <v/>
      </c>
    </row>
    <row r="932">
      <c r="D932" s="8" t="n"/>
      <c r="E932" s="9">
        <f>IF(B932="","",IF(B932="OWN","Yes","No"))</f>
        <v/>
      </c>
      <c r="AF932" s="9">
        <f>IF(ISNUMBER(Z932),IF(Z932&lt;=2,"&lt;=2 d",IF(Z932&lt;=7,"3-7 d",IF(Z932&lt;=30,"8-30 d","&gt;30 d"))),IF(AE932&lt;&gt;"",AE932,IF(Z932="NR","NR","")))</f>
        <v/>
      </c>
      <c r="AX932" s="9">
        <f>IF(ISNUMBER(AW932),IF(AW932&gt;450,"Yes","No"),IF(AW932="NR","NR",""))</f>
        <v/>
      </c>
      <c r="BJ932" s="9">
        <f>IF(BB932="","",IF(BB932="Non-viable","Non-viable",IF(BB932="Viable","Viable",IF(BB932="Partially non-viable",IF(OR(BD932="Total splenectomy",BD932="Partial splenectomy +/- splenopexy"),"Non-viable","Review"),IF(BB932="NR",IF(OR(BD932="Total splenectomy",BD932="Partial splenectomy +/- splenopexy"),"NR - removed, check reason","NR"),"Not applicable")))))</f>
        <v/>
      </c>
    </row>
    <row r="933">
      <c r="D933" s="8" t="n"/>
      <c r="E933" s="9">
        <f>IF(B933="","",IF(B933="OWN","Yes","No"))</f>
        <v/>
      </c>
      <c r="AF933" s="9">
        <f>IF(ISNUMBER(Z933),IF(Z933&lt;=2,"&lt;=2 d",IF(Z933&lt;=7,"3-7 d",IF(Z933&lt;=30,"8-30 d","&gt;30 d"))),IF(AE933&lt;&gt;"",AE933,IF(Z933="NR","NR","")))</f>
        <v/>
      </c>
      <c r="AX933" s="9">
        <f>IF(ISNUMBER(AW933),IF(AW933&gt;450,"Yes","No"),IF(AW933="NR","NR",""))</f>
        <v/>
      </c>
      <c r="BJ933" s="9">
        <f>IF(BB933="","",IF(BB933="Non-viable","Non-viable",IF(BB933="Viable","Viable",IF(BB933="Partially non-viable",IF(OR(BD933="Total splenectomy",BD933="Partial splenectomy +/- splenopexy"),"Non-viable","Review"),IF(BB933="NR",IF(OR(BD933="Total splenectomy",BD933="Partial splenectomy +/- splenopexy"),"NR - removed, check reason","NR"),"Not applicable")))))</f>
        <v/>
      </c>
    </row>
    <row r="934">
      <c r="D934" s="8" t="n"/>
      <c r="E934" s="9">
        <f>IF(B934="","",IF(B934="OWN","Yes","No"))</f>
        <v/>
      </c>
      <c r="AF934" s="9">
        <f>IF(ISNUMBER(Z934),IF(Z934&lt;=2,"&lt;=2 d",IF(Z934&lt;=7,"3-7 d",IF(Z934&lt;=30,"8-30 d","&gt;30 d"))),IF(AE934&lt;&gt;"",AE934,IF(Z934="NR","NR","")))</f>
        <v/>
      </c>
      <c r="AX934" s="9">
        <f>IF(ISNUMBER(AW934),IF(AW934&gt;450,"Yes","No"),IF(AW934="NR","NR",""))</f>
        <v/>
      </c>
      <c r="BJ934" s="9">
        <f>IF(BB934="","",IF(BB934="Non-viable","Non-viable",IF(BB934="Viable","Viable",IF(BB934="Partially non-viable",IF(OR(BD934="Total splenectomy",BD934="Partial splenectomy +/- splenopexy"),"Non-viable","Review"),IF(BB934="NR",IF(OR(BD934="Total splenectomy",BD934="Partial splenectomy +/- splenopexy"),"NR - removed, check reason","NR"),"Not applicable")))))</f>
        <v/>
      </c>
    </row>
    <row r="935">
      <c r="D935" s="8" t="n"/>
      <c r="E935" s="9">
        <f>IF(B935="","",IF(B935="OWN","Yes","No"))</f>
        <v/>
      </c>
      <c r="AF935" s="9">
        <f>IF(ISNUMBER(Z935),IF(Z935&lt;=2,"&lt;=2 d",IF(Z935&lt;=7,"3-7 d",IF(Z935&lt;=30,"8-30 d","&gt;30 d"))),IF(AE935&lt;&gt;"",AE935,IF(Z935="NR","NR","")))</f>
        <v/>
      </c>
      <c r="AX935" s="9">
        <f>IF(ISNUMBER(AW935),IF(AW935&gt;450,"Yes","No"),IF(AW935="NR","NR",""))</f>
        <v/>
      </c>
      <c r="BJ935" s="9">
        <f>IF(BB935="","",IF(BB935="Non-viable","Non-viable",IF(BB935="Viable","Viable",IF(BB935="Partially non-viable",IF(OR(BD935="Total splenectomy",BD935="Partial splenectomy +/- splenopexy"),"Non-viable","Review"),IF(BB935="NR",IF(OR(BD935="Total splenectomy",BD935="Partial splenectomy +/- splenopexy"),"NR - removed, check reason","NR"),"Not applicable")))))</f>
        <v/>
      </c>
    </row>
    <row r="936">
      <c r="D936" s="8" t="n"/>
      <c r="E936" s="9">
        <f>IF(B936="","",IF(B936="OWN","Yes","No"))</f>
        <v/>
      </c>
      <c r="AF936" s="9">
        <f>IF(ISNUMBER(Z936),IF(Z936&lt;=2,"&lt;=2 d",IF(Z936&lt;=7,"3-7 d",IF(Z936&lt;=30,"8-30 d","&gt;30 d"))),IF(AE936&lt;&gt;"",AE936,IF(Z936="NR","NR","")))</f>
        <v/>
      </c>
      <c r="AX936" s="9">
        <f>IF(ISNUMBER(AW936),IF(AW936&gt;450,"Yes","No"),IF(AW936="NR","NR",""))</f>
        <v/>
      </c>
      <c r="BJ936" s="9">
        <f>IF(BB936="","",IF(BB936="Non-viable","Non-viable",IF(BB936="Viable","Viable",IF(BB936="Partially non-viable",IF(OR(BD936="Total splenectomy",BD936="Partial splenectomy +/- splenopexy"),"Non-viable","Review"),IF(BB936="NR",IF(OR(BD936="Total splenectomy",BD936="Partial splenectomy +/- splenopexy"),"NR - removed, check reason","NR"),"Not applicable")))))</f>
        <v/>
      </c>
    </row>
    <row r="937">
      <c r="D937" s="8" t="n"/>
      <c r="E937" s="9">
        <f>IF(B937="","",IF(B937="OWN","Yes","No"))</f>
        <v/>
      </c>
      <c r="AF937" s="9">
        <f>IF(ISNUMBER(Z937),IF(Z937&lt;=2,"&lt;=2 d",IF(Z937&lt;=7,"3-7 d",IF(Z937&lt;=30,"8-30 d","&gt;30 d"))),IF(AE937&lt;&gt;"",AE937,IF(Z937="NR","NR","")))</f>
        <v/>
      </c>
      <c r="AX937" s="9">
        <f>IF(ISNUMBER(AW937),IF(AW937&gt;450,"Yes","No"),IF(AW937="NR","NR",""))</f>
        <v/>
      </c>
      <c r="BJ937" s="9">
        <f>IF(BB937="","",IF(BB937="Non-viable","Non-viable",IF(BB937="Viable","Viable",IF(BB937="Partially non-viable",IF(OR(BD937="Total splenectomy",BD937="Partial splenectomy +/- splenopexy"),"Non-viable","Review"),IF(BB937="NR",IF(OR(BD937="Total splenectomy",BD937="Partial splenectomy +/- splenopexy"),"NR - removed, check reason","NR"),"Not applicable")))))</f>
        <v/>
      </c>
    </row>
    <row r="938">
      <c r="D938" s="8" t="n"/>
      <c r="E938" s="9">
        <f>IF(B938="","",IF(B938="OWN","Yes","No"))</f>
        <v/>
      </c>
      <c r="AF938" s="9">
        <f>IF(ISNUMBER(Z938),IF(Z938&lt;=2,"&lt;=2 d",IF(Z938&lt;=7,"3-7 d",IF(Z938&lt;=30,"8-30 d","&gt;30 d"))),IF(AE938&lt;&gt;"",AE938,IF(Z938="NR","NR","")))</f>
        <v/>
      </c>
      <c r="AX938" s="9">
        <f>IF(ISNUMBER(AW938),IF(AW938&gt;450,"Yes","No"),IF(AW938="NR","NR",""))</f>
        <v/>
      </c>
      <c r="BJ938" s="9">
        <f>IF(BB938="","",IF(BB938="Non-viable","Non-viable",IF(BB938="Viable","Viable",IF(BB938="Partially non-viable",IF(OR(BD938="Total splenectomy",BD938="Partial splenectomy +/- splenopexy"),"Non-viable","Review"),IF(BB938="NR",IF(OR(BD938="Total splenectomy",BD938="Partial splenectomy +/- splenopexy"),"NR - removed, check reason","NR"),"Not applicable")))))</f>
        <v/>
      </c>
    </row>
    <row r="939">
      <c r="D939" s="8" t="n"/>
      <c r="E939" s="9">
        <f>IF(B939="","",IF(B939="OWN","Yes","No"))</f>
        <v/>
      </c>
      <c r="AF939" s="9">
        <f>IF(ISNUMBER(Z939),IF(Z939&lt;=2,"&lt;=2 d",IF(Z939&lt;=7,"3-7 d",IF(Z939&lt;=30,"8-30 d","&gt;30 d"))),IF(AE939&lt;&gt;"",AE939,IF(Z939="NR","NR","")))</f>
        <v/>
      </c>
      <c r="AX939" s="9">
        <f>IF(ISNUMBER(AW939),IF(AW939&gt;450,"Yes","No"),IF(AW939="NR","NR",""))</f>
        <v/>
      </c>
      <c r="BJ939" s="9">
        <f>IF(BB939="","",IF(BB939="Non-viable","Non-viable",IF(BB939="Viable","Viable",IF(BB939="Partially non-viable",IF(OR(BD939="Total splenectomy",BD939="Partial splenectomy +/- splenopexy"),"Non-viable","Review"),IF(BB939="NR",IF(OR(BD939="Total splenectomy",BD939="Partial splenectomy +/- splenopexy"),"NR - removed, check reason","NR"),"Not applicable")))))</f>
        <v/>
      </c>
    </row>
    <row r="940">
      <c r="D940" s="8" t="n"/>
      <c r="E940" s="9">
        <f>IF(B940="","",IF(B940="OWN","Yes","No"))</f>
        <v/>
      </c>
      <c r="AF940" s="9">
        <f>IF(ISNUMBER(Z940),IF(Z940&lt;=2,"&lt;=2 d",IF(Z940&lt;=7,"3-7 d",IF(Z940&lt;=30,"8-30 d","&gt;30 d"))),IF(AE940&lt;&gt;"",AE940,IF(Z940="NR","NR","")))</f>
        <v/>
      </c>
      <c r="AX940" s="9">
        <f>IF(ISNUMBER(AW940),IF(AW940&gt;450,"Yes","No"),IF(AW940="NR","NR",""))</f>
        <v/>
      </c>
      <c r="BJ940" s="9">
        <f>IF(BB940="","",IF(BB940="Non-viable","Non-viable",IF(BB940="Viable","Viable",IF(BB940="Partially non-viable",IF(OR(BD940="Total splenectomy",BD940="Partial splenectomy +/- splenopexy"),"Non-viable","Review"),IF(BB940="NR",IF(OR(BD940="Total splenectomy",BD940="Partial splenectomy +/- splenopexy"),"NR - removed, check reason","NR"),"Not applicable")))))</f>
        <v/>
      </c>
    </row>
    <row r="941">
      <c r="D941" s="8" t="n"/>
      <c r="E941" s="9">
        <f>IF(B941="","",IF(B941="OWN","Yes","No"))</f>
        <v/>
      </c>
      <c r="AF941" s="9">
        <f>IF(ISNUMBER(Z941),IF(Z941&lt;=2,"&lt;=2 d",IF(Z941&lt;=7,"3-7 d",IF(Z941&lt;=30,"8-30 d","&gt;30 d"))),IF(AE941&lt;&gt;"",AE941,IF(Z941="NR","NR","")))</f>
        <v/>
      </c>
      <c r="AX941" s="9">
        <f>IF(ISNUMBER(AW941),IF(AW941&gt;450,"Yes","No"),IF(AW941="NR","NR",""))</f>
        <v/>
      </c>
      <c r="BJ941" s="9">
        <f>IF(BB941="","",IF(BB941="Non-viable","Non-viable",IF(BB941="Viable","Viable",IF(BB941="Partially non-viable",IF(OR(BD941="Total splenectomy",BD941="Partial splenectomy +/- splenopexy"),"Non-viable","Review"),IF(BB941="NR",IF(OR(BD941="Total splenectomy",BD941="Partial splenectomy +/- splenopexy"),"NR - removed, check reason","NR"),"Not applicable")))))</f>
        <v/>
      </c>
    </row>
    <row r="942">
      <c r="D942" s="8" t="n"/>
      <c r="E942" s="9">
        <f>IF(B942="","",IF(B942="OWN","Yes","No"))</f>
        <v/>
      </c>
      <c r="AF942" s="9">
        <f>IF(ISNUMBER(Z942),IF(Z942&lt;=2,"&lt;=2 d",IF(Z942&lt;=7,"3-7 d",IF(Z942&lt;=30,"8-30 d","&gt;30 d"))),IF(AE942&lt;&gt;"",AE942,IF(Z942="NR","NR","")))</f>
        <v/>
      </c>
      <c r="AX942" s="9">
        <f>IF(ISNUMBER(AW942),IF(AW942&gt;450,"Yes","No"),IF(AW942="NR","NR",""))</f>
        <v/>
      </c>
      <c r="BJ942" s="9">
        <f>IF(BB942="","",IF(BB942="Non-viable","Non-viable",IF(BB942="Viable","Viable",IF(BB942="Partially non-viable",IF(OR(BD942="Total splenectomy",BD942="Partial splenectomy +/- splenopexy"),"Non-viable","Review"),IF(BB942="NR",IF(OR(BD942="Total splenectomy",BD942="Partial splenectomy +/- splenopexy"),"NR - removed, check reason","NR"),"Not applicable")))))</f>
        <v/>
      </c>
    </row>
    <row r="943">
      <c r="D943" s="8" t="n"/>
      <c r="E943" s="9">
        <f>IF(B943="","",IF(B943="OWN","Yes","No"))</f>
        <v/>
      </c>
      <c r="AF943" s="9">
        <f>IF(ISNUMBER(Z943),IF(Z943&lt;=2,"&lt;=2 d",IF(Z943&lt;=7,"3-7 d",IF(Z943&lt;=30,"8-30 d","&gt;30 d"))),IF(AE943&lt;&gt;"",AE943,IF(Z943="NR","NR","")))</f>
        <v/>
      </c>
      <c r="AX943" s="9">
        <f>IF(ISNUMBER(AW943),IF(AW943&gt;450,"Yes","No"),IF(AW943="NR","NR",""))</f>
        <v/>
      </c>
      <c r="BJ943" s="9">
        <f>IF(BB943="","",IF(BB943="Non-viable","Non-viable",IF(BB943="Viable","Viable",IF(BB943="Partially non-viable",IF(OR(BD943="Total splenectomy",BD943="Partial splenectomy +/- splenopexy"),"Non-viable","Review"),IF(BB943="NR",IF(OR(BD943="Total splenectomy",BD943="Partial splenectomy +/- splenopexy"),"NR - removed, check reason","NR"),"Not applicable")))))</f>
        <v/>
      </c>
    </row>
    <row r="944">
      <c r="D944" s="8" t="n"/>
      <c r="E944" s="9">
        <f>IF(B944="","",IF(B944="OWN","Yes","No"))</f>
        <v/>
      </c>
      <c r="AF944" s="9">
        <f>IF(ISNUMBER(Z944),IF(Z944&lt;=2,"&lt;=2 d",IF(Z944&lt;=7,"3-7 d",IF(Z944&lt;=30,"8-30 d","&gt;30 d"))),IF(AE944&lt;&gt;"",AE944,IF(Z944="NR","NR","")))</f>
        <v/>
      </c>
      <c r="AX944" s="9">
        <f>IF(ISNUMBER(AW944),IF(AW944&gt;450,"Yes","No"),IF(AW944="NR","NR",""))</f>
        <v/>
      </c>
      <c r="BJ944" s="9">
        <f>IF(BB944="","",IF(BB944="Non-viable","Non-viable",IF(BB944="Viable","Viable",IF(BB944="Partially non-viable",IF(OR(BD944="Total splenectomy",BD944="Partial splenectomy +/- splenopexy"),"Non-viable","Review"),IF(BB944="NR",IF(OR(BD944="Total splenectomy",BD944="Partial splenectomy +/- splenopexy"),"NR - removed, check reason","NR"),"Not applicable")))))</f>
        <v/>
      </c>
    </row>
    <row r="945">
      <c r="D945" s="8" t="n"/>
      <c r="E945" s="9">
        <f>IF(B945="","",IF(B945="OWN","Yes","No"))</f>
        <v/>
      </c>
      <c r="AF945" s="9">
        <f>IF(ISNUMBER(Z945),IF(Z945&lt;=2,"&lt;=2 d",IF(Z945&lt;=7,"3-7 d",IF(Z945&lt;=30,"8-30 d","&gt;30 d"))),IF(AE945&lt;&gt;"",AE945,IF(Z945="NR","NR","")))</f>
        <v/>
      </c>
      <c r="AX945" s="9">
        <f>IF(ISNUMBER(AW945),IF(AW945&gt;450,"Yes","No"),IF(AW945="NR","NR",""))</f>
        <v/>
      </c>
      <c r="BJ945" s="9">
        <f>IF(BB945="","",IF(BB945="Non-viable","Non-viable",IF(BB945="Viable","Viable",IF(BB945="Partially non-viable",IF(OR(BD945="Total splenectomy",BD945="Partial splenectomy +/- splenopexy"),"Non-viable","Review"),IF(BB945="NR",IF(OR(BD945="Total splenectomy",BD945="Partial splenectomy +/- splenopexy"),"NR - removed, check reason","NR"),"Not applicable")))))</f>
        <v/>
      </c>
    </row>
    <row r="946">
      <c r="D946" s="8" t="n"/>
      <c r="E946" s="9">
        <f>IF(B946="","",IF(B946="OWN","Yes","No"))</f>
        <v/>
      </c>
      <c r="AF946" s="9">
        <f>IF(ISNUMBER(Z946),IF(Z946&lt;=2,"&lt;=2 d",IF(Z946&lt;=7,"3-7 d",IF(Z946&lt;=30,"8-30 d","&gt;30 d"))),IF(AE946&lt;&gt;"",AE946,IF(Z946="NR","NR","")))</f>
        <v/>
      </c>
      <c r="AX946" s="9">
        <f>IF(ISNUMBER(AW946),IF(AW946&gt;450,"Yes","No"),IF(AW946="NR","NR",""))</f>
        <v/>
      </c>
      <c r="BJ946" s="9">
        <f>IF(BB946="","",IF(BB946="Non-viable","Non-viable",IF(BB946="Viable","Viable",IF(BB946="Partially non-viable",IF(OR(BD946="Total splenectomy",BD946="Partial splenectomy +/- splenopexy"),"Non-viable","Review"),IF(BB946="NR",IF(OR(BD946="Total splenectomy",BD946="Partial splenectomy +/- splenopexy"),"NR - removed, check reason","NR"),"Not applicable")))))</f>
        <v/>
      </c>
    </row>
    <row r="947">
      <c r="D947" s="8" t="n"/>
      <c r="E947" s="9">
        <f>IF(B947="","",IF(B947="OWN","Yes","No"))</f>
        <v/>
      </c>
      <c r="AF947" s="9">
        <f>IF(ISNUMBER(Z947),IF(Z947&lt;=2,"&lt;=2 d",IF(Z947&lt;=7,"3-7 d",IF(Z947&lt;=30,"8-30 d","&gt;30 d"))),IF(AE947&lt;&gt;"",AE947,IF(Z947="NR","NR","")))</f>
        <v/>
      </c>
      <c r="AX947" s="9">
        <f>IF(ISNUMBER(AW947),IF(AW947&gt;450,"Yes","No"),IF(AW947="NR","NR",""))</f>
        <v/>
      </c>
      <c r="BJ947" s="9">
        <f>IF(BB947="","",IF(BB947="Non-viable","Non-viable",IF(BB947="Viable","Viable",IF(BB947="Partially non-viable",IF(OR(BD947="Total splenectomy",BD947="Partial splenectomy +/- splenopexy"),"Non-viable","Review"),IF(BB947="NR",IF(OR(BD947="Total splenectomy",BD947="Partial splenectomy +/- splenopexy"),"NR - removed, check reason","NR"),"Not applicable")))))</f>
        <v/>
      </c>
    </row>
    <row r="948">
      <c r="D948" s="8" t="n"/>
      <c r="E948" s="9">
        <f>IF(B948="","",IF(B948="OWN","Yes","No"))</f>
        <v/>
      </c>
      <c r="AF948" s="9">
        <f>IF(ISNUMBER(Z948),IF(Z948&lt;=2,"&lt;=2 d",IF(Z948&lt;=7,"3-7 d",IF(Z948&lt;=30,"8-30 d","&gt;30 d"))),IF(AE948&lt;&gt;"",AE948,IF(Z948="NR","NR","")))</f>
        <v/>
      </c>
      <c r="AX948" s="9">
        <f>IF(ISNUMBER(AW948),IF(AW948&gt;450,"Yes","No"),IF(AW948="NR","NR",""))</f>
        <v/>
      </c>
      <c r="BJ948" s="9">
        <f>IF(BB948="","",IF(BB948="Non-viable","Non-viable",IF(BB948="Viable","Viable",IF(BB948="Partially non-viable",IF(OR(BD948="Total splenectomy",BD948="Partial splenectomy +/- splenopexy"),"Non-viable","Review"),IF(BB948="NR",IF(OR(BD948="Total splenectomy",BD948="Partial splenectomy +/- splenopexy"),"NR - removed, check reason","NR"),"Not applicable")))))</f>
        <v/>
      </c>
    </row>
    <row r="949">
      <c r="D949" s="8" t="n"/>
      <c r="E949" s="9">
        <f>IF(B949="","",IF(B949="OWN","Yes","No"))</f>
        <v/>
      </c>
      <c r="AF949" s="9">
        <f>IF(ISNUMBER(Z949),IF(Z949&lt;=2,"&lt;=2 d",IF(Z949&lt;=7,"3-7 d",IF(Z949&lt;=30,"8-30 d","&gt;30 d"))),IF(AE949&lt;&gt;"",AE949,IF(Z949="NR","NR","")))</f>
        <v/>
      </c>
      <c r="AX949" s="9">
        <f>IF(ISNUMBER(AW949),IF(AW949&gt;450,"Yes","No"),IF(AW949="NR","NR",""))</f>
        <v/>
      </c>
      <c r="BJ949" s="9">
        <f>IF(BB949="","",IF(BB949="Non-viable","Non-viable",IF(BB949="Viable","Viable",IF(BB949="Partially non-viable",IF(OR(BD949="Total splenectomy",BD949="Partial splenectomy +/- splenopexy"),"Non-viable","Review"),IF(BB949="NR",IF(OR(BD949="Total splenectomy",BD949="Partial splenectomy +/- splenopexy"),"NR - removed, check reason","NR"),"Not applicable")))))</f>
        <v/>
      </c>
    </row>
    <row r="950">
      <c r="D950" s="8" t="n"/>
      <c r="E950" s="9">
        <f>IF(B950="","",IF(B950="OWN","Yes","No"))</f>
        <v/>
      </c>
      <c r="AF950" s="9">
        <f>IF(ISNUMBER(Z950),IF(Z950&lt;=2,"&lt;=2 d",IF(Z950&lt;=7,"3-7 d",IF(Z950&lt;=30,"8-30 d","&gt;30 d"))),IF(AE950&lt;&gt;"",AE950,IF(Z950="NR","NR","")))</f>
        <v/>
      </c>
      <c r="AX950" s="9">
        <f>IF(ISNUMBER(AW950),IF(AW950&gt;450,"Yes","No"),IF(AW950="NR","NR",""))</f>
        <v/>
      </c>
      <c r="BJ950" s="9">
        <f>IF(BB950="","",IF(BB950="Non-viable","Non-viable",IF(BB950="Viable","Viable",IF(BB950="Partially non-viable",IF(OR(BD950="Total splenectomy",BD950="Partial splenectomy +/- splenopexy"),"Non-viable","Review"),IF(BB950="NR",IF(OR(BD950="Total splenectomy",BD950="Partial splenectomy +/- splenopexy"),"NR - removed, check reason","NR"),"Not applicable")))))</f>
        <v/>
      </c>
    </row>
    <row r="951">
      <c r="D951" s="8" t="n"/>
      <c r="E951" s="9">
        <f>IF(B951="","",IF(B951="OWN","Yes","No"))</f>
        <v/>
      </c>
      <c r="AF951" s="9">
        <f>IF(ISNUMBER(Z951),IF(Z951&lt;=2,"&lt;=2 d",IF(Z951&lt;=7,"3-7 d",IF(Z951&lt;=30,"8-30 d","&gt;30 d"))),IF(AE951&lt;&gt;"",AE951,IF(Z951="NR","NR","")))</f>
        <v/>
      </c>
      <c r="AX951" s="9">
        <f>IF(ISNUMBER(AW951),IF(AW951&gt;450,"Yes","No"),IF(AW951="NR","NR",""))</f>
        <v/>
      </c>
      <c r="BJ951" s="9">
        <f>IF(BB951="","",IF(BB951="Non-viable","Non-viable",IF(BB951="Viable","Viable",IF(BB951="Partially non-viable",IF(OR(BD951="Total splenectomy",BD951="Partial splenectomy +/- splenopexy"),"Non-viable","Review"),IF(BB951="NR",IF(OR(BD951="Total splenectomy",BD951="Partial splenectomy +/- splenopexy"),"NR - removed, check reason","NR"),"Not applicable")))))</f>
        <v/>
      </c>
    </row>
    <row r="952">
      <c r="D952" s="8" t="n"/>
      <c r="E952" s="9">
        <f>IF(B952="","",IF(B952="OWN","Yes","No"))</f>
        <v/>
      </c>
      <c r="AF952" s="9">
        <f>IF(ISNUMBER(Z952),IF(Z952&lt;=2,"&lt;=2 d",IF(Z952&lt;=7,"3-7 d",IF(Z952&lt;=30,"8-30 d","&gt;30 d"))),IF(AE952&lt;&gt;"",AE952,IF(Z952="NR","NR","")))</f>
        <v/>
      </c>
      <c r="AX952" s="9">
        <f>IF(ISNUMBER(AW952),IF(AW952&gt;450,"Yes","No"),IF(AW952="NR","NR",""))</f>
        <v/>
      </c>
      <c r="BJ952" s="9">
        <f>IF(BB952="","",IF(BB952="Non-viable","Non-viable",IF(BB952="Viable","Viable",IF(BB952="Partially non-viable",IF(OR(BD952="Total splenectomy",BD952="Partial splenectomy +/- splenopexy"),"Non-viable","Review"),IF(BB952="NR",IF(OR(BD952="Total splenectomy",BD952="Partial splenectomy +/- splenopexy"),"NR - removed, check reason","NR"),"Not applicable")))))</f>
        <v/>
      </c>
    </row>
    <row r="953">
      <c r="D953" s="8" t="n"/>
      <c r="E953" s="9">
        <f>IF(B953="","",IF(B953="OWN","Yes","No"))</f>
        <v/>
      </c>
      <c r="AF953" s="9">
        <f>IF(ISNUMBER(Z953),IF(Z953&lt;=2,"&lt;=2 d",IF(Z953&lt;=7,"3-7 d",IF(Z953&lt;=30,"8-30 d","&gt;30 d"))),IF(AE953&lt;&gt;"",AE953,IF(Z953="NR","NR","")))</f>
        <v/>
      </c>
      <c r="AX953" s="9">
        <f>IF(ISNUMBER(AW953),IF(AW953&gt;450,"Yes","No"),IF(AW953="NR","NR",""))</f>
        <v/>
      </c>
      <c r="BJ953" s="9">
        <f>IF(BB953="","",IF(BB953="Non-viable","Non-viable",IF(BB953="Viable","Viable",IF(BB953="Partially non-viable",IF(OR(BD953="Total splenectomy",BD953="Partial splenectomy +/- splenopexy"),"Non-viable","Review"),IF(BB953="NR",IF(OR(BD953="Total splenectomy",BD953="Partial splenectomy +/- splenopexy"),"NR - removed, check reason","NR"),"Not applicable")))))</f>
        <v/>
      </c>
    </row>
    <row r="954">
      <c r="D954" s="8" t="n"/>
      <c r="E954" s="9">
        <f>IF(B954="","",IF(B954="OWN","Yes","No"))</f>
        <v/>
      </c>
      <c r="AF954" s="9">
        <f>IF(ISNUMBER(Z954),IF(Z954&lt;=2,"&lt;=2 d",IF(Z954&lt;=7,"3-7 d",IF(Z954&lt;=30,"8-30 d","&gt;30 d"))),IF(AE954&lt;&gt;"",AE954,IF(Z954="NR","NR","")))</f>
        <v/>
      </c>
      <c r="AX954" s="9">
        <f>IF(ISNUMBER(AW954),IF(AW954&gt;450,"Yes","No"),IF(AW954="NR","NR",""))</f>
        <v/>
      </c>
      <c r="BJ954" s="9">
        <f>IF(BB954="","",IF(BB954="Non-viable","Non-viable",IF(BB954="Viable","Viable",IF(BB954="Partially non-viable",IF(OR(BD954="Total splenectomy",BD954="Partial splenectomy +/- splenopexy"),"Non-viable","Review"),IF(BB954="NR",IF(OR(BD954="Total splenectomy",BD954="Partial splenectomy +/- splenopexy"),"NR - removed, check reason","NR"),"Not applicable")))))</f>
        <v/>
      </c>
    </row>
    <row r="955">
      <c r="D955" s="8" t="n"/>
      <c r="E955" s="9">
        <f>IF(B955="","",IF(B955="OWN","Yes","No"))</f>
        <v/>
      </c>
      <c r="AF955" s="9">
        <f>IF(ISNUMBER(Z955),IF(Z955&lt;=2,"&lt;=2 d",IF(Z955&lt;=7,"3-7 d",IF(Z955&lt;=30,"8-30 d","&gt;30 d"))),IF(AE955&lt;&gt;"",AE955,IF(Z955="NR","NR","")))</f>
        <v/>
      </c>
      <c r="AX955" s="9">
        <f>IF(ISNUMBER(AW955),IF(AW955&gt;450,"Yes","No"),IF(AW955="NR","NR",""))</f>
        <v/>
      </c>
      <c r="BJ955" s="9">
        <f>IF(BB955="","",IF(BB955="Non-viable","Non-viable",IF(BB955="Viable","Viable",IF(BB955="Partially non-viable",IF(OR(BD955="Total splenectomy",BD955="Partial splenectomy +/- splenopexy"),"Non-viable","Review"),IF(BB955="NR",IF(OR(BD955="Total splenectomy",BD955="Partial splenectomy +/- splenopexy"),"NR - removed, check reason","NR"),"Not applicable")))))</f>
        <v/>
      </c>
    </row>
    <row r="956">
      <c r="D956" s="8" t="n"/>
      <c r="E956" s="9">
        <f>IF(B956="","",IF(B956="OWN","Yes","No"))</f>
        <v/>
      </c>
      <c r="AF956" s="9">
        <f>IF(ISNUMBER(Z956),IF(Z956&lt;=2,"&lt;=2 d",IF(Z956&lt;=7,"3-7 d",IF(Z956&lt;=30,"8-30 d","&gt;30 d"))),IF(AE956&lt;&gt;"",AE956,IF(Z956="NR","NR","")))</f>
        <v/>
      </c>
      <c r="AX956" s="9">
        <f>IF(ISNUMBER(AW956),IF(AW956&gt;450,"Yes","No"),IF(AW956="NR","NR",""))</f>
        <v/>
      </c>
      <c r="BJ956" s="9">
        <f>IF(BB956="","",IF(BB956="Non-viable","Non-viable",IF(BB956="Viable","Viable",IF(BB956="Partially non-viable",IF(OR(BD956="Total splenectomy",BD956="Partial splenectomy +/- splenopexy"),"Non-viable","Review"),IF(BB956="NR",IF(OR(BD956="Total splenectomy",BD956="Partial splenectomy +/- splenopexy"),"NR - removed, check reason","NR"),"Not applicable")))))</f>
        <v/>
      </c>
    </row>
    <row r="957">
      <c r="D957" s="8" t="n"/>
      <c r="E957" s="9">
        <f>IF(B957="","",IF(B957="OWN","Yes","No"))</f>
        <v/>
      </c>
      <c r="AF957" s="9">
        <f>IF(ISNUMBER(Z957),IF(Z957&lt;=2,"&lt;=2 d",IF(Z957&lt;=7,"3-7 d",IF(Z957&lt;=30,"8-30 d","&gt;30 d"))),IF(AE957&lt;&gt;"",AE957,IF(Z957="NR","NR","")))</f>
        <v/>
      </c>
      <c r="AX957" s="9">
        <f>IF(ISNUMBER(AW957),IF(AW957&gt;450,"Yes","No"),IF(AW957="NR","NR",""))</f>
        <v/>
      </c>
      <c r="BJ957" s="9">
        <f>IF(BB957="","",IF(BB957="Non-viable","Non-viable",IF(BB957="Viable","Viable",IF(BB957="Partially non-viable",IF(OR(BD957="Total splenectomy",BD957="Partial splenectomy +/- splenopexy"),"Non-viable","Review"),IF(BB957="NR",IF(OR(BD957="Total splenectomy",BD957="Partial splenectomy +/- splenopexy"),"NR - removed, check reason","NR"),"Not applicable")))))</f>
        <v/>
      </c>
    </row>
    <row r="958">
      <c r="D958" s="8" t="n"/>
      <c r="E958" s="9">
        <f>IF(B958="","",IF(B958="OWN","Yes","No"))</f>
        <v/>
      </c>
      <c r="AF958" s="9">
        <f>IF(ISNUMBER(Z958),IF(Z958&lt;=2,"&lt;=2 d",IF(Z958&lt;=7,"3-7 d",IF(Z958&lt;=30,"8-30 d","&gt;30 d"))),IF(AE958&lt;&gt;"",AE958,IF(Z958="NR","NR","")))</f>
        <v/>
      </c>
      <c r="AX958" s="9">
        <f>IF(ISNUMBER(AW958),IF(AW958&gt;450,"Yes","No"),IF(AW958="NR","NR",""))</f>
        <v/>
      </c>
      <c r="BJ958" s="9">
        <f>IF(BB958="","",IF(BB958="Non-viable","Non-viable",IF(BB958="Viable","Viable",IF(BB958="Partially non-viable",IF(OR(BD958="Total splenectomy",BD958="Partial splenectomy +/- splenopexy"),"Non-viable","Review"),IF(BB958="NR",IF(OR(BD958="Total splenectomy",BD958="Partial splenectomy +/- splenopexy"),"NR - removed, check reason","NR"),"Not applicable")))))</f>
        <v/>
      </c>
    </row>
    <row r="959">
      <c r="D959" s="8" t="n"/>
      <c r="E959" s="9">
        <f>IF(B959="","",IF(B959="OWN","Yes","No"))</f>
        <v/>
      </c>
      <c r="AF959" s="9">
        <f>IF(ISNUMBER(Z959),IF(Z959&lt;=2,"&lt;=2 d",IF(Z959&lt;=7,"3-7 d",IF(Z959&lt;=30,"8-30 d","&gt;30 d"))),IF(AE959&lt;&gt;"",AE959,IF(Z959="NR","NR","")))</f>
        <v/>
      </c>
      <c r="AX959" s="9">
        <f>IF(ISNUMBER(AW959),IF(AW959&gt;450,"Yes","No"),IF(AW959="NR","NR",""))</f>
        <v/>
      </c>
      <c r="BJ959" s="9">
        <f>IF(BB959="","",IF(BB959="Non-viable","Non-viable",IF(BB959="Viable","Viable",IF(BB959="Partially non-viable",IF(OR(BD959="Total splenectomy",BD959="Partial splenectomy +/- splenopexy"),"Non-viable","Review"),IF(BB959="NR",IF(OR(BD959="Total splenectomy",BD959="Partial splenectomy +/- splenopexy"),"NR - removed, check reason","NR"),"Not applicable")))))</f>
        <v/>
      </c>
    </row>
    <row r="960">
      <c r="D960" s="8" t="n"/>
      <c r="E960" s="9">
        <f>IF(B960="","",IF(B960="OWN","Yes","No"))</f>
        <v/>
      </c>
      <c r="AF960" s="9">
        <f>IF(ISNUMBER(Z960),IF(Z960&lt;=2,"&lt;=2 d",IF(Z960&lt;=7,"3-7 d",IF(Z960&lt;=30,"8-30 d","&gt;30 d"))),IF(AE960&lt;&gt;"",AE960,IF(Z960="NR","NR","")))</f>
        <v/>
      </c>
      <c r="AX960" s="9">
        <f>IF(ISNUMBER(AW960),IF(AW960&gt;450,"Yes","No"),IF(AW960="NR","NR",""))</f>
        <v/>
      </c>
      <c r="BJ960" s="9">
        <f>IF(BB960="","",IF(BB960="Non-viable","Non-viable",IF(BB960="Viable","Viable",IF(BB960="Partially non-viable",IF(OR(BD960="Total splenectomy",BD960="Partial splenectomy +/- splenopexy"),"Non-viable","Review"),IF(BB960="NR",IF(OR(BD960="Total splenectomy",BD960="Partial splenectomy +/- splenopexy"),"NR - removed, check reason","NR"),"Not applicable")))))</f>
        <v/>
      </c>
    </row>
    <row r="961">
      <c r="D961" s="8" t="n"/>
      <c r="E961" s="9">
        <f>IF(B961="","",IF(B961="OWN","Yes","No"))</f>
        <v/>
      </c>
      <c r="AF961" s="9">
        <f>IF(ISNUMBER(Z961),IF(Z961&lt;=2,"&lt;=2 d",IF(Z961&lt;=7,"3-7 d",IF(Z961&lt;=30,"8-30 d","&gt;30 d"))),IF(AE961&lt;&gt;"",AE961,IF(Z961="NR","NR","")))</f>
        <v/>
      </c>
      <c r="AX961" s="9">
        <f>IF(ISNUMBER(AW961),IF(AW961&gt;450,"Yes","No"),IF(AW961="NR","NR",""))</f>
        <v/>
      </c>
      <c r="BJ961" s="9">
        <f>IF(BB961="","",IF(BB961="Non-viable","Non-viable",IF(BB961="Viable","Viable",IF(BB961="Partially non-viable",IF(OR(BD961="Total splenectomy",BD961="Partial splenectomy +/- splenopexy"),"Non-viable","Review"),IF(BB961="NR",IF(OR(BD961="Total splenectomy",BD961="Partial splenectomy +/- splenopexy"),"NR - removed, check reason","NR"),"Not applicable")))))</f>
        <v/>
      </c>
    </row>
    <row r="962">
      <c r="D962" s="8" t="n"/>
      <c r="E962" s="9">
        <f>IF(B962="","",IF(B962="OWN","Yes","No"))</f>
        <v/>
      </c>
      <c r="AF962" s="9">
        <f>IF(ISNUMBER(Z962),IF(Z962&lt;=2,"&lt;=2 d",IF(Z962&lt;=7,"3-7 d",IF(Z962&lt;=30,"8-30 d","&gt;30 d"))),IF(AE962&lt;&gt;"",AE962,IF(Z962="NR","NR","")))</f>
        <v/>
      </c>
      <c r="AX962" s="9">
        <f>IF(ISNUMBER(AW962),IF(AW962&gt;450,"Yes","No"),IF(AW962="NR","NR",""))</f>
        <v/>
      </c>
      <c r="BJ962" s="9">
        <f>IF(BB962="","",IF(BB962="Non-viable","Non-viable",IF(BB962="Viable","Viable",IF(BB962="Partially non-viable",IF(OR(BD962="Total splenectomy",BD962="Partial splenectomy +/- splenopexy"),"Non-viable","Review"),IF(BB962="NR",IF(OR(BD962="Total splenectomy",BD962="Partial splenectomy +/- splenopexy"),"NR - removed, check reason","NR"),"Not applicable")))))</f>
        <v/>
      </c>
    </row>
    <row r="963">
      <c r="D963" s="8" t="n"/>
      <c r="E963" s="9">
        <f>IF(B963="","",IF(B963="OWN","Yes","No"))</f>
        <v/>
      </c>
      <c r="AF963" s="9">
        <f>IF(ISNUMBER(Z963),IF(Z963&lt;=2,"&lt;=2 d",IF(Z963&lt;=7,"3-7 d",IF(Z963&lt;=30,"8-30 d","&gt;30 d"))),IF(AE963&lt;&gt;"",AE963,IF(Z963="NR","NR","")))</f>
        <v/>
      </c>
      <c r="AX963" s="9">
        <f>IF(ISNUMBER(AW963),IF(AW963&gt;450,"Yes","No"),IF(AW963="NR","NR",""))</f>
        <v/>
      </c>
      <c r="BJ963" s="9">
        <f>IF(BB963="","",IF(BB963="Non-viable","Non-viable",IF(BB963="Viable","Viable",IF(BB963="Partially non-viable",IF(OR(BD963="Total splenectomy",BD963="Partial splenectomy +/- splenopexy"),"Non-viable","Review"),IF(BB963="NR",IF(OR(BD963="Total splenectomy",BD963="Partial splenectomy +/- splenopexy"),"NR - removed, check reason","NR"),"Not applicable")))))</f>
        <v/>
      </c>
    </row>
    <row r="964">
      <c r="D964" s="8" t="n"/>
      <c r="E964" s="9">
        <f>IF(B964="","",IF(B964="OWN","Yes","No"))</f>
        <v/>
      </c>
      <c r="AF964" s="9">
        <f>IF(ISNUMBER(Z964),IF(Z964&lt;=2,"&lt;=2 d",IF(Z964&lt;=7,"3-7 d",IF(Z964&lt;=30,"8-30 d","&gt;30 d"))),IF(AE964&lt;&gt;"",AE964,IF(Z964="NR","NR","")))</f>
        <v/>
      </c>
      <c r="AX964" s="9">
        <f>IF(ISNUMBER(AW964),IF(AW964&gt;450,"Yes","No"),IF(AW964="NR","NR",""))</f>
        <v/>
      </c>
      <c r="BJ964" s="9">
        <f>IF(BB964="","",IF(BB964="Non-viable","Non-viable",IF(BB964="Viable","Viable",IF(BB964="Partially non-viable",IF(OR(BD964="Total splenectomy",BD964="Partial splenectomy +/- splenopexy"),"Non-viable","Review"),IF(BB964="NR",IF(OR(BD964="Total splenectomy",BD964="Partial splenectomy +/- splenopexy"),"NR - removed, check reason","NR"),"Not applicable")))))</f>
        <v/>
      </c>
    </row>
    <row r="965">
      <c r="D965" s="8" t="n"/>
      <c r="E965" s="9">
        <f>IF(B965="","",IF(B965="OWN","Yes","No"))</f>
        <v/>
      </c>
      <c r="AF965" s="9">
        <f>IF(ISNUMBER(Z965),IF(Z965&lt;=2,"&lt;=2 d",IF(Z965&lt;=7,"3-7 d",IF(Z965&lt;=30,"8-30 d","&gt;30 d"))),IF(AE965&lt;&gt;"",AE965,IF(Z965="NR","NR","")))</f>
        <v/>
      </c>
      <c r="AX965" s="9">
        <f>IF(ISNUMBER(AW965),IF(AW965&gt;450,"Yes","No"),IF(AW965="NR","NR",""))</f>
        <v/>
      </c>
      <c r="BJ965" s="9">
        <f>IF(BB965="","",IF(BB965="Non-viable","Non-viable",IF(BB965="Viable","Viable",IF(BB965="Partially non-viable",IF(OR(BD965="Total splenectomy",BD965="Partial splenectomy +/- splenopexy"),"Non-viable","Review"),IF(BB965="NR",IF(OR(BD965="Total splenectomy",BD965="Partial splenectomy +/- splenopexy"),"NR - removed, check reason","NR"),"Not applicable")))))</f>
        <v/>
      </c>
    </row>
    <row r="966">
      <c r="D966" s="8" t="n"/>
      <c r="E966" s="9">
        <f>IF(B966="","",IF(B966="OWN","Yes","No"))</f>
        <v/>
      </c>
      <c r="AF966" s="9">
        <f>IF(ISNUMBER(Z966),IF(Z966&lt;=2,"&lt;=2 d",IF(Z966&lt;=7,"3-7 d",IF(Z966&lt;=30,"8-30 d","&gt;30 d"))),IF(AE966&lt;&gt;"",AE966,IF(Z966="NR","NR","")))</f>
        <v/>
      </c>
      <c r="AX966" s="9">
        <f>IF(ISNUMBER(AW966),IF(AW966&gt;450,"Yes","No"),IF(AW966="NR","NR",""))</f>
        <v/>
      </c>
      <c r="BJ966" s="9">
        <f>IF(BB966="","",IF(BB966="Non-viable","Non-viable",IF(BB966="Viable","Viable",IF(BB966="Partially non-viable",IF(OR(BD966="Total splenectomy",BD966="Partial splenectomy +/- splenopexy"),"Non-viable","Review"),IF(BB966="NR",IF(OR(BD966="Total splenectomy",BD966="Partial splenectomy +/- splenopexy"),"NR - removed, check reason","NR"),"Not applicable")))))</f>
        <v/>
      </c>
    </row>
    <row r="967">
      <c r="D967" s="8" t="n"/>
      <c r="E967" s="9">
        <f>IF(B967="","",IF(B967="OWN","Yes","No"))</f>
        <v/>
      </c>
      <c r="AF967" s="9">
        <f>IF(ISNUMBER(Z967),IF(Z967&lt;=2,"&lt;=2 d",IF(Z967&lt;=7,"3-7 d",IF(Z967&lt;=30,"8-30 d","&gt;30 d"))),IF(AE967&lt;&gt;"",AE967,IF(Z967="NR","NR","")))</f>
        <v/>
      </c>
      <c r="AX967" s="9">
        <f>IF(ISNUMBER(AW967),IF(AW967&gt;450,"Yes","No"),IF(AW967="NR","NR",""))</f>
        <v/>
      </c>
      <c r="BJ967" s="9">
        <f>IF(BB967="","",IF(BB967="Non-viable","Non-viable",IF(BB967="Viable","Viable",IF(BB967="Partially non-viable",IF(OR(BD967="Total splenectomy",BD967="Partial splenectomy +/- splenopexy"),"Non-viable","Review"),IF(BB967="NR",IF(OR(BD967="Total splenectomy",BD967="Partial splenectomy +/- splenopexy"),"NR - removed, check reason","NR"),"Not applicable")))))</f>
        <v/>
      </c>
    </row>
    <row r="968">
      <c r="D968" s="8" t="n"/>
      <c r="E968" s="9">
        <f>IF(B968="","",IF(B968="OWN","Yes","No"))</f>
        <v/>
      </c>
      <c r="AF968" s="9">
        <f>IF(ISNUMBER(Z968),IF(Z968&lt;=2,"&lt;=2 d",IF(Z968&lt;=7,"3-7 d",IF(Z968&lt;=30,"8-30 d","&gt;30 d"))),IF(AE968&lt;&gt;"",AE968,IF(Z968="NR","NR","")))</f>
        <v/>
      </c>
      <c r="AX968" s="9">
        <f>IF(ISNUMBER(AW968),IF(AW968&gt;450,"Yes","No"),IF(AW968="NR","NR",""))</f>
        <v/>
      </c>
      <c r="BJ968" s="9">
        <f>IF(BB968="","",IF(BB968="Non-viable","Non-viable",IF(BB968="Viable","Viable",IF(BB968="Partially non-viable",IF(OR(BD968="Total splenectomy",BD968="Partial splenectomy +/- splenopexy"),"Non-viable","Review"),IF(BB968="NR",IF(OR(BD968="Total splenectomy",BD968="Partial splenectomy +/- splenopexy"),"NR - removed, check reason","NR"),"Not applicable")))))</f>
        <v/>
      </c>
    </row>
    <row r="969">
      <c r="D969" s="8" t="n"/>
      <c r="E969" s="9">
        <f>IF(B969="","",IF(B969="OWN","Yes","No"))</f>
        <v/>
      </c>
      <c r="AF969" s="9">
        <f>IF(ISNUMBER(Z969),IF(Z969&lt;=2,"&lt;=2 d",IF(Z969&lt;=7,"3-7 d",IF(Z969&lt;=30,"8-30 d","&gt;30 d"))),IF(AE969&lt;&gt;"",AE969,IF(Z969="NR","NR","")))</f>
        <v/>
      </c>
      <c r="AX969" s="9">
        <f>IF(ISNUMBER(AW969),IF(AW969&gt;450,"Yes","No"),IF(AW969="NR","NR",""))</f>
        <v/>
      </c>
      <c r="BJ969" s="9">
        <f>IF(BB969="","",IF(BB969="Non-viable","Non-viable",IF(BB969="Viable","Viable",IF(BB969="Partially non-viable",IF(OR(BD969="Total splenectomy",BD969="Partial splenectomy +/- splenopexy"),"Non-viable","Review"),IF(BB969="NR",IF(OR(BD969="Total splenectomy",BD969="Partial splenectomy +/- splenopexy"),"NR - removed, check reason","NR"),"Not applicable")))))</f>
        <v/>
      </c>
    </row>
    <row r="970">
      <c r="D970" s="8" t="n"/>
      <c r="E970" s="9">
        <f>IF(B970="","",IF(B970="OWN","Yes","No"))</f>
        <v/>
      </c>
      <c r="AF970" s="9">
        <f>IF(ISNUMBER(Z970),IF(Z970&lt;=2,"&lt;=2 d",IF(Z970&lt;=7,"3-7 d",IF(Z970&lt;=30,"8-30 d","&gt;30 d"))),IF(AE970&lt;&gt;"",AE970,IF(Z970="NR","NR","")))</f>
        <v/>
      </c>
      <c r="AX970" s="9">
        <f>IF(ISNUMBER(AW970),IF(AW970&gt;450,"Yes","No"),IF(AW970="NR","NR",""))</f>
        <v/>
      </c>
      <c r="BJ970" s="9">
        <f>IF(BB970="","",IF(BB970="Non-viable","Non-viable",IF(BB970="Viable","Viable",IF(BB970="Partially non-viable",IF(OR(BD970="Total splenectomy",BD970="Partial splenectomy +/- splenopexy"),"Non-viable","Review"),IF(BB970="NR",IF(OR(BD970="Total splenectomy",BD970="Partial splenectomy +/- splenopexy"),"NR - removed, check reason","NR"),"Not applicable")))))</f>
        <v/>
      </c>
    </row>
    <row r="971">
      <c r="D971" s="8" t="n"/>
      <c r="E971" s="9">
        <f>IF(B971="","",IF(B971="OWN","Yes","No"))</f>
        <v/>
      </c>
      <c r="AF971" s="9">
        <f>IF(ISNUMBER(Z971),IF(Z971&lt;=2,"&lt;=2 d",IF(Z971&lt;=7,"3-7 d",IF(Z971&lt;=30,"8-30 d","&gt;30 d"))),IF(AE971&lt;&gt;"",AE971,IF(Z971="NR","NR","")))</f>
        <v/>
      </c>
      <c r="AX971" s="9">
        <f>IF(ISNUMBER(AW971),IF(AW971&gt;450,"Yes","No"),IF(AW971="NR","NR",""))</f>
        <v/>
      </c>
      <c r="BJ971" s="9">
        <f>IF(BB971="","",IF(BB971="Non-viable","Non-viable",IF(BB971="Viable","Viable",IF(BB971="Partially non-viable",IF(OR(BD971="Total splenectomy",BD971="Partial splenectomy +/- splenopexy"),"Non-viable","Review"),IF(BB971="NR",IF(OR(BD971="Total splenectomy",BD971="Partial splenectomy +/- splenopexy"),"NR - removed, check reason","NR"),"Not applicable")))))</f>
        <v/>
      </c>
    </row>
    <row r="972">
      <c r="D972" s="8" t="n"/>
      <c r="E972" s="9">
        <f>IF(B972="","",IF(B972="OWN","Yes","No"))</f>
        <v/>
      </c>
      <c r="AF972" s="9">
        <f>IF(ISNUMBER(Z972),IF(Z972&lt;=2,"&lt;=2 d",IF(Z972&lt;=7,"3-7 d",IF(Z972&lt;=30,"8-30 d","&gt;30 d"))),IF(AE972&lt;&gt;"",AE972,IF(Z972="NR","NR","")))</f>
        <v/>
      </c>
      <c r="AX972" s="9">
        <f>IF(ISNUMBER(AW972),IF(AW972&gt;450,"Yes","No"),IF(AW972="NR","NR",""))</f>
        <v/>
      </c>
      <c r="BJ972" s="9">
        <f>IF(BB972="","",IF(BB972="Non-viable","Non-viable",IF(BB972="Viable","Viable",IF(BB972="Partially non-viable",IF(OR(BD972="Total splenectomy",BD972="Partial splenectomy +/- splenopexy"),"Non-viable","Review"),IF(BB972="NR",IF(OR(BD972="Total splenectomy",BD972="Partial splenectomy +/- splenopexy"),"NR - removed, check reason","NR"),"Not applicable")))))</f>
        <v/>
      </c>
    </row>
    <row r="973">
      <c r="D973" s="8" t="n"/>
      <c r="E973" s="9">
        <f>IF(B973="","",IF(B973="OWN","Yes","No"))</f>
        <v/>
      </c>
      <c r="AF973" s="9">
        <f>IF(ISNUMBER(Z973),IF(Z973&lt;=2,"&lt;=2 d",IF(Z973&lt;=7,"3-7 d",IF(Z973&lt;=30,"8-30 d","&gt;30 d"))),IF(AE973&lt;&gt;"",AE973,IF(Z973="NR","NR","")))</f>
        <v/>
      </c>
      <c r="AX973" s="9">
        <f>IF(ISNUMBER(AW973),IF(AW973&gt;450,"Yes","No"),IF(AW973="NR","NR",""))</f>
        <v/>
      </c>
      <c r="BJ973" s="9">
        <f>IF(BB973="","",IF(BB973="Non-viable","Non-viable",IF(BB973="Viable","Viable",IF(BB973="Partially non-viable",IF(OR(BD973="Total splenectomy",BD973="Partial splenectomy +/- splenopexy"),"Non-viable","Review"),IF(BB973="NR",IF(OR(BD973="Total splenectomy",BD973="Partial splenectomy +/- splenopexy"),"NR - removed, check reason","NR"),"Not applicable")))))</f>
        <v/>
      </c>
    </row>
    <row r="974">
      <c r="D974" s="8" t="n"/>
      <c r="E974" s="9">
        <f>IF(B974="","",IF(B974="OWN","Yes","No"))</f>
        <v/>
      </c>
      <c r="AF974" s="9">
        <f>IF(ISNUMBER(Z974),IF(Z974&lt;=2,"&lt;=2 d",IF(Z974&lt;=7,"3-7 d",IF(Z974&lt;=30,"8-30 d","&gt;30 d"))),IF(AE974&lt;&gt;"",AE974,IF(Z974="NR","NR","")))</f>
        <v/>
      </c>
      <c r="AX974" s="9">
        <f>IF(ISNUMBER(AW974),IF(AW974&gt;450,"Yes","No"),IF(AW974="NR","NR",""))</f>
        <v/>
      </c>
      <c r="BJ974" s="9">
        <f>IF(BB974="","",IF(BB974="Non-viable","Non-viable",IF(BB974="Viable","Viable",IF(BB974="Partially non-viable",IF(OR(BD974="Total splenectomy",BD974="Partial splenectomy +/- splenopexy"),"Non-viable","Review"),IF(BB974="NR",IF(OR(BD974="Total splenectomy",BD974="Partial splenectomy +/- splenopexy"),"NR - removed, check reason","NR"),"Not applicable")))))</f>
        <v/>
      </c>
    </row>
    <row r="975">
      <c r="D975" s="8" t="n"/>
      <c r="E975" s="9">
        <f>IF(B975="","",IF(B975="OWN","Yes","No"))</f>
        <v/>
      </c>
      <c r="AF975" s="9">
        <f>IF(ISNUMBER(Z975),IF(Z975&lt;=2,"&lt;=2 d",IF(Z975&lt;=7,"3-7 d",IF(Z975&lt;=30,"8-30 d","&gt;30 d"))),IF(AE975&lt;&gt;"",AE975,IF(Z975="NR","NR","")))</f>
        <v/>
      </c>
      <c r="AX975" s="9">
        <f>IF(ISNUMBER(AW975),IF(AW975&gt;450,"Yes","No"),IF(AW975="NR","NR",""))</f>
        <v/>
      </c>
      <c r="BJ975" s="9">
        <f>IF(BB975="","",IF(BB975="Non-viable","Non-viable",IF(BB975="Viable","Viable",IF(BB975="Partially non-viable",IF(OR(BD975="Total splenectomy",BD975="Partial splenectomy +/- splenopexy"),"Non-viable","Review"),IF(BB975="NR",IF(OR(BD975="Total splenectomy",BD975="Partial splenectomy +/- splenopexy"),"NR - removed, check reason","NR"),"Not applicable")))))</f>
        <v/>
      </c>
    </row>
    <row r="976">
      <c r="D976" s="8" t="n"/>
      <c r="E976" s="9">
        <f>IF(B976="","",IF(B976="OWN","Yes","No"))</f>
        <v/>
      </c>
      <c r="AF976" s="9">
        <f>IF(ISNUMBER(Z976),IF(Z976&lt;=2,"&lt;=2 d",IF(Z976&lt;=7,"3-7 d",IF(Z976&lt;=30,"8-30 d","&gt;30 d"))),IF(AE976&lt;&gt;"",AE976,IF(Z976="NR","NR","")))</f>
        <v/>
      </c>
      <c r="AX976" s="9">
        <f>IF(ISNUMBER(AW976),IF(AW976&gt;450,"Yes","No"),IF(AW976="NR","NR",""))</f>
        <v/>
      </c>
      <c r="BJ976" s="9">
        <f>IF(BB976="","",IF(BB976="Non-viable","Non-viable",IF(BB976="Viable","Viable",IF(BB976="Partially non-viable",IF(OR(BD976="Total splenectomy",BD976="Partial splenectomy +/- splenopexy"),"Non-viable","Review"),IF(BB976="NR",IF(OR(BD976="Total splenectomy",BD976="Partial splenectomy +/- splenopexy"),"NR - removed, check reason","NR"),"Not applicable")))))</f>
        <v/>
      </c>
    </row>
    <row r="977">
      <c r="D977" s="8" t="n"/>
      <c r="E977" s="9">
        <f>IF(B977="","",IF(B977="OWN","Yes","No"))</f>
        <v/>
      </c>
      <c r="AF977" s="9">
        <f>IF(ISNUMBER(Z977),IF(Z977&lt;=2,"&lt;=2 d",IF(Z977&lt;=7,"3-7 d",IF(Z977&lt;=30,"8-30 d","&gt;30 d"))),IF(AE977&lt;&gt;"",AE977,IF(Z977="NR","NR","")))</f>
        <v/>
      </c>
      <c r="AX977" s="9">
        <f>IF(ISNUMBER(AW977),IF(AW977&gt;450,"Yes","No"),IF(AW977="NR","NR",""))</f>
        <v/>
      </c>
      <c r="BJ977" s="9">
        <f>IF(BB977="","",IF(BB977="Non-viable","Non-viable",IF(BB977="Viable","Viable",IF(BB977="Partially non-viable",IF(OR(BD977="Total splenectomy",BD977="Partial splenectomy +/- splenopexy"),"Non-viable","Review"),IF(BB977="NR",IF(OR(BD977="Total splenectomy",BD977="Partial splenectomy +/- splenopexy"),"NR - removed, check reason","NR"),"Not applicable")))))</f>
        <v/>
      </c>
    </row>
    <row r="978">
      <c r="D978" s="8" t="n"/>
      <c r="E978" s="9">
        <f>IF(B978="","",IF(B978="OWN","Yes","No"))</f>
        <v/>
      </c>
      <c r="AF978" s="9">
        <f>IF(ISNUMBER(Z978),IF(Z978&lt;=2,"&lt;=2 d",IF(Z978&lt;=7,"3-7 d",IF(Z978&lt;=30,"8-30 d","&gt;30 d"))),IF(AE978&lt;&gt;"",AE978,IF(Z978="NR","NR","")))</f>
        <v/>
      </c>
      <c r="AX978" s="9">
        <f>IF(ISNUMBER(AW978),IF(AW978&gt;450,"Yes","No"),IF(AW978="NR","NR",""))</f>
        <v/>
      </c>
      <c r="BJ978" s="9">
        <f>IF(BB978="","",IF(BB978="Non-viable","Non-viable",IF(BB978="Viable","Viable",IF(BB978="Partially non-viable",IF(OR(BD978="Total splenectomy",BD978="Partial splenectomy +/- splenopexy"),"Non-viable","Review"),IF(BB978="NR",IF(OR(BD978="Total splenectomy",BD978="Partial splenectomy +/- splenopexy"),"NR - removed, check reason","NR"),"Not applicable")))))</f>
        <v/>
      </c>
    </row>
    <row r="979">
      <c r="D979" s="8" t="n"/>
      <c r="E979" s="9">
        <f>IF(B979="","",IF(B979="OWN","Yes","No"))</f>
        <v/>
      </c>
      <c r="AF979" s="9">
        <f>IF(ISNUMBER(Z979),IF(Z979&lt;=2,"&lt;=2 d",IF(Z979&lt;=7,"3-7 d",IF(Z979&lt;=30,"8-30 d","&gt;30 d"))),IF(AE979&lt;&gt;"",AE979,IF(Z979="NR","NR","")))</f>
        <v/>
      </c>
      <c r="AX979" s="9">
        <f>IF(ISNUMBER(AW979),IF(AW979&gt;450,"Yes","No"),IF(AW979="NR","NR",""))</f>
        <v/>
      </c>
      <c r="BJ979" s="9">
        <f>IF(BB979="","",IF(BB979="Non-viable","Non-viable",IF(BB979="Viable","Viable",IF(BB979="Partially non-viable",IF(OR(BD979="Total splenectomy",BD979="Partial splenectomy +/- splenopexy"),"Non-viable","Review"),IF(BB979="NR",IF(OR(BD979="Total splenectomy",BD979="Partial splenectomy +/- splenopexy"),"NR - removed, check reason","NR"),"Not applicable")))))</f>
        <v/>
      </c>
    </row>
    <row r="980">
      <c r="D980" s="8" t="n"/>
      <c r="E980" s="9">
        <f>IF(B980="","",IF(B980="OWN","Yes","No"))</f>
        <v/>
      </c>
      <c r="AF980" s="9">
        <f>IF(ISNUMBER(Z980),IF(Z980&lt;=2,"&lt;=2 d",IF(Z980&lt;=7,"3-7 d",IF(Z980&lt;=30,"8-30 d","&gt;30 d"))),IF(AE980&lt;&gt;"",AE980,IF(Z980="NR","NR","")))</f>
        <v/>
      </c>
      <c r="AX980" s="9">
        <f>IF(ISNUMBER(AW980),IF(AW980&gt;450,"Yes","No"),IF(AW980="NR","NR",""))</f>
        <v/>
      </c>
      <c r="BJ980" s="9">
        <f>IF(BB980="","",IF(BB980="Non-viable","Non-viable",IF(BB980="Viable","Viable",IF(BB980="Partially non-viable",IF(OR(BD980="Total splenectomy",BD980="Partial splenectomy +/- splenopexy"),"Non-viable","Review"),IF(BB980="NR",IF(OR(BD980="Total splenectomy",BD980="Partial splenectomy +/- splenopexy"),"NR - removed, check reason","NR"),"Not applicable")))))</f>
        <v/>
      </c>
    </row>
    <row r="981">
      <c r="D981" s="8" t="n"/>
      <c r="E981" s="9">
        <f>IF(B981="","",IF(B981="OWN","Yes","No"))</f>
        <v/>
      </c>
      <c r="AF981" s="9">
        <f>IF(ISNUMBER(Z981),IF(Z981&lt;=2,"&lt;=2 d",IF(Z981&lt;=7,"3-7 d",IF(Z981&lt;=30,"8-30 d","&gt;30 d"))),IF(AE981&lt;&gt;"",AE981,IF(Z981="NR","NR","")))</f>
        <v/>
      </c>
      <c r="AX981" s="9">
        <f>IF(ISNUMBER(AW981),IF(AW981&gt;450,"Yes","No"),IF(AW981="NR","NR",""))</f>
        <v/>
      </c>
      <c r="BJ981" s="9">
        <f>IF(BB981="","",IF(BB981="Non-viable","Non-viable",IF(BB981="Viable","Viable",IF(BB981="Partially non-viable",IF(OR(BD981="Total splenectomy",BD981="Partial splenectomy +/- splenopexy"),"Non-viable","Review"),IF(BB981="NR",IF(OR(BD981="Total splenectomy",BD981="Partial splenectomy +/- splenopexy"),"NR - removed, check reason","NR"),"Not applicable")))))</f>
        <v/>
      </c>
    </row>
    <row r="982">
      <c r="D982" s="8" t="n"/>
      <c r="E982" s="9">
        <f>IF(B982="","",IF(B982="OWN","Yes","No"))</f>
        <v/>
      </c>
      <c r="AF982" s="9">
        <f>IF(ISNUMBER(Z982),IF(Z982&lt;=2,"&lt;=2 d",IF(Z982&lt;=7,"3-7 d",IF(Z982&lt;=30,"8-30 d","&gt;30 d"))),IF(AE982&lt;&gt;"",AE982,IF(Z982="NR","NR","")))</f>
        <v/>
      </c>
      <c r="AX982" s="9">
        <f>IF(ISNUMBER(AW982),IF(AW982&gt;450,"Yes","No"),IF(AW982="NR","NR",""))</f>
        <v/>
      </c>
      <c r="BJ982" s="9">
        <f>IF(BB982="","",IF(BB982="Non-viable","Non-viable",IF(BB982="Viable","Viable",IF(BB982="Partially non-viable",IF(OR(BD982="Total splenectomy",BD982="Partial splenectomy +/- splenopexy"),"Non-viable","Review"),IF(BB982="NR",IF(OR(BD982="Total splenectomy",BD982="Partial splenectomy +/- splenopexy"),"NR - removed, check reason","NR"),"Not applicable")))))</f>
        <v/>
      </c>
    </row>
    <row r="983">
      <c r="D983" s="8" t="n"/>
      <c r="E983" s="9">
        <f>IF(B983="","",IF(B983="OWN","Yes","No"))</f>
        <v/>
      </c>
      <c r="AF983" s="9">
        <f>IF(ISNUMBER(Z983),IF(Z983&lt;=2,"&lt;=2 d",IF(Z983&lt;=7,"3-7 d",IF(Z983&lt;=30,"8-30 d","&gt;30 d"))),IF(AE983&lt;&gt;"",AE983,IF(Z983="NR","NR","")))</f>
        <v/>
      </c>
      <c r="AX983" s="9">
        <f>IF(ISNUMBER(AW983),IF(AW983&gt;450,"Yes","No"),IF(AW983="NR","NR",""))</f>
        <v/>
      </c>
      <c r="BJ983" s="9">
        <f>IF(BB983="","",IF(BB983="Non-viable","Non-viable",IF(BB983="Viable","Viable",IF(BB983="Partially non-viable",IF(OR(BD983="Total splenectomy",BD983="Partial splenectomy +/- splenopexy"),"Non-viable","Review"),IF(BB983="NR",IF(OR(BD983="Total splenectomy",BD983="Partial splenectomy +/- splenopexy"),"NR - removed, check reason","NR"),"Not applicable")))))</f>
        <v/>
      </c>
    </row>
    <row r="984">
      <c r="D984" s="8" t="n"/>
      <c r="E984" s="9">
        <f>IF(B984="","",IF(B984="OWN","Yes","No"))</f>
        <v/>
      </c>
      <c r="AF984" s="9">
        <f>IF(ISNUMBER(Z984),IF(Z984&lt;=2,"&lt;=2 d",IF(Z984&lt;=7,"3-7 d",IF(Z984&lt;=30,"8-30 d","&gt;30 d"))),IF(AE984&lt;&gt;"",AE984,IF(Z984="NR","NR","")))</f>
        <v/>
      </c>
      <c r="AX984" s="9">
        <f>IF(ISNUMBER(AW984),IF(AW984&gt;450,"Yes","No"),IF(AW984="NR","NR",""))</f>
        <v/>
      </c>
      <c r="BJ984" s="9">
        <f>IF(BB984="","",IF(BB984="Non-viable","Non-viable",IF(BB984="Viable","Viable",IF(BB984="Partially non-viable",IF(OR(BD984="Total splenectomy",BD984="Partial splenectomy +/- splenopexy"),"Non-viable","Review"),IF(BB984="NR",IF(OR(BD984="Total splenectomy",BD984="Partial splenectomy +/- splenopexy"),"NR - removed, check reason","NR"),"Not applicable")))))</f>
        <v/>
      </c>
    </row>
    <row r="985">
      <c r="D985" s="8" t="n"/>
      <c r="E985" s="9">
        <f>IF(B985="","",IF(B985="OWN","Yes","No"))</f>
        <v/>
      </c>
      <c r="AF985" s="9">
        <f>IF(ISNUMBER(Z985),IF(Z985&lt;=2,"&lt;=2 d",IF(Z985&lt;=7,"3-7 d",IF(Z985&lt;=30,"8-30 d","&gt;30 d"))),IF(AE985&lt;&gt;"",AE985,IF(Z985="NR","NR","")))</f>
        <v/>
      </c>
      <c r="AX985" s="9">
        <f>IF(ISNUMBER(AW985),IF(AW985&gt;450,"Yes","No"),IF(AW985="NR","NR",""))</f>
        <v/>
      </c>
      <c r="BJ985" s="9">
        <f>IF(BB985="","",IF(BB985="Non-viable","Non-viable",IF(BB985="Viable","Viable",IF(BB985="Partially non-viable",IF(OR(BD985="Total splenectomy",BD985="Partial splenectomy +/- splenopexy"),"Non-viable","Review"),IF(BB985="NR",IF(OR(BD985="Total splenectomy",BD985="Partial splenectomy +/- splenopexy"),"NR - removed, check reason","NR"),"Not applicable")))))</f>
        <v/>
      </c>
    </row>
    <row r="986">
      <c r="D986" s="8" t="n"/>
      <c r="E986" s="9">
        <f>IF(B986="","",IF(B986="OWN","Yes","No"))</f>
        <v/>
      </c>
      <c r="AF986" s="9">
        <f>IF(ISNUMBER(Z986),IF(Z986&lt;=2,"&lt;=2 d",IF(Z986&lt;=7,"3-7 d",IF(Z986&lt;=30,"8-30 d","&gt;30 d"))),IF(AE986&lt;&gt;"",AE986,IF(Z986="NR","NR","")))</f>
        <v/>
      </c>
      <c r="AX986" s="9">
        <f>IF(ISNUMBER(AW986),IF(AW986&gt;450,"Yes","No"),IF(AW986="NR","NR",""))</f>
        <v/>
      </c>
      <c r="BJ986" s="9">
        <f>IF(BB986="","",IF(BB986="Non-viable","Non-viable",IF(BB986="Viable","Viable",IF(BB986="Partially non-viable",IF(OR(BD986="Total splenectomy",BD986="Partial splenectomy +/- splenopexy"),"Non-viable","Review"),IF(BB986="NR",IF(OR(BD986="Total splenectomy",BD986="Partial splenectomy +/- splenopexy"),"NR - removed, check reason","NR"),"Not applicable")))))</f>
        <v/>
      </c>
    </row>
    <row r="987">
      <c r="D987" s="8" t="n"/>
      <c r="E987" s="9">
        <f>IF(B987="","",IF(B987="OWN","Yes","No"))</f>
        <v/>
      </c>
      <c r="AF987" s="9">
        <f>IF(ISNUMBER(Z987),IF(Z987&lt;=2,"&lt;=2 d",IF(Z987&lt;=7,"3-7 d",IF(Z987&lt;=30,"8-30 d","&gt;30 d"))),IF(AE987&lt;&gt;"",AE987,IF(Z987="NR","NR","")))</f>
        <v/>
      </c>
      <c r="AX987" s="9">
        <f>IF(ISNUMBER(AW987),IF(AW987&gt;450,"Yes","No"),IF(AW987="NR","NR",""))</f>
        <v/>
      </c>
      <c r="BJ987" s="9">
        <f>IF(BB987="","",IF(BB987="Non-viable","Non-viable",IF(BB987="Viable","Viable",IF(BB987="Partially non-viable",IF(OR(BD987="Total splenectomy",BD987="Partial splenectomy +/- splenopexy"),"Non-viable","Review"),IF(BB987="NR",IF(OR(BD987="Total splenectomy",BD987="Partial splenectomy +/- splenopexy"),"NR - removed, check reason","NR"),"Not applicable")))))</f>
        <v/>
      </c>
    </row>
    <row r="988">
      <c r="D988" s="8" t="n"/>
      <c r="E988" s="9">
        <f>IF(B988="","",IF(B988="OWN","Yes","No"))</f>
        <v/>
      </c>
      <c r="AF988" s="9">
        <f>IF(ISNUMBER(Z988),IF(Z988&lt;=2,"&lt;=2 d",IF(Z988&lt;=7,"3-7 d",IF(Z988&lt;=30,"8-30 d","&gt;30 d"))),IF(AE988&lt;&gt;"",AE988,IF(Z988="NR","NR","")))</f>
        <v/>
      </c>
      <c r="AX988" s="9">
        <f>IF(ISNUMBER(AW988),IF(AW988&gt;450,"Yes","No"),IF(AW988="NR","NR",""))</f>
        <v/>
      </c>
      <c r="BJ988" s="9">
        <f>IF(BB988="","",IF(BB988="Non-viable","Non-viable",IF(BB988="Viable","Viable",IF(BB988="Partially non-viable",IF(OR(BD988="Total splenectomy",BD988="Partial splenectomy +/- splenopexy"),"Non-viable","Review"),IF(BB988="NR",IF(OR(BD988="Total splenectomy",BD988="Partial splenectomy +/- splenopexy"),"NR - removed, check reason","NR"),"Not applicable")))))</f>
        <v/>
      </c>
    </row>
    <row r="989">
      <c r="D989" s="8" t="n"/>
      <c r="E989" s="9">
        <f>IF(B989="","",IF(B989="OWN","Yes","No"))</f>
        <v/>
      </c>
      <c r="AF989" s="9">
        <f>IF(ISNUMBER(Z989),IF(Z989&lt;=2,"&lt;=2 d",IF(Z989&lt;=7,"3-7 d",IF(Z989&lt;=30,"8-30 d","&gt;30 d"))),IF(AE989&lt;&gt;"",AE989,IF(Z989="NR","NR","")))</f>
        <v/>
      </c>
      <c r="AX989" s="9">
        <f>IF(ISNUMBER(AW989),IF(AW989&gt;450,"Yes","No"),IF(AW989="NR","NR",""))</f>
        <v/>
      </c>
      <c r="BJ989" s="9">
        <f>IF(BB989="","",IF(BB989="Non-viable","Non-viable",IF(BB989="Viable","Viable",IF(BB989="Partially non-viable",IF(OR(BD989="Total splenectomy",BD989="Partial splenectomy +/- splenopexy"),"Non-viable","Review"),IF(BB989="NR",IF(OR(BD989="Total splenectomy",BD989="Partial splenectomy +/- splenopexy"),"NR - removed, check reason","NR"),"Not applicable")))))</f>
        <v/>
      </c>
    </row>
    <row r="990">
      <c r="D990" s="8" t="n"/>
      <c r="E990" s="9">
        <f>IF(B990="","",IF(B990="OWN","Yes","No"))</f>
        <v/>
      </c>
      <c r="AF990" s="9">
        <f>IF(ISNUMBER(Z990),IF(Z990&lt;=2,"&lt;=2 d",IF(Z990&lt;=7,"3-7 d",IF(Z990&lt;=30,"8-30 d","&gt;30 d"))),IF(AE990&lt;&gt;"",AE990,IF(Z990="NR","NR","")))</f>
        <v/>
      </c>
      <c r="AX990" s="9">
        <f>IF(ISNUMBER(AW990),IF(AW990&gt;450,"Yes","No"),IF(AW990="NR","NR",""))</f>
        <v/>
      </c>
      <c r="BJ990" s="9">
        <f>IF(BB990="","",IF(BB990="Non-viable","Non-viable",IF(BB990="Viable","Viable",IF(BB990="Partially non-viable",IF(OR(BD990="Total splenectomy",BD990="Partial splenectomy +/- splenopexy"),"Non-viable","Review"),IF(BB990="NR",IF(OR(BD990="Total splenectomy",BD990="Partial splenectomy +/- splenopexy"),"NR - removed, check reason","NR"),"Not applicable")))))</f>
        <v/>
      </c>
    </row>
    <row r="991">
      <c r="D991" s="8" t="n"/>
      <c r="E991" s="9">
        <f>IF(B991="","",IF(B991="OWN","Yes","No"))</f>
        <v/>
      </c>
      <c r="AF991" s="9">
        <f>IF(ISNUMBER(Z991),IF(Z991&lt;=2,"&lt;=2 d",IF(Z991&lt;=7,"3-7 d",IF(Z991&lt;=30,"8-30 d","&gt;30 d"))),IF(AE991&lt;&gt;"",AE991,IF(Z991="NR","NR","")))</f>
        <v/>
      </c>
      <c r="AX991" s="9">
        <f>IF(ISNUMBER(AW991),IF(AW991&gt;450,"Yes","No"),IF(AW991="NR","NR",""))</f>
        <v/>
      </c>
      <c r="BJ991" s="9">
        <f>IF(BB991="","",IF(BB991="Non-viable","Non-viable",IF(BB991="Viable","Viable",IF(BB991="Partially non-viable",IF(OR(BD991="Total splenectomy",BD991="Partial splenectomy +/- splenopexy"),"Non-viable","Review"),IF(BB991="NR",IF(OR(BD991="Total splenectomy",BD991="Partial splenectomy +/- splenopexy"),"NR - removed, check reason","NR"),"Not applicable")))))</f>
        <v/>
      </c>
    </row>
    <row r="992">
      <c r="D992" s="8" t="n"/>
      <c r="E992" s="9">
        <f>IF(B992="","",IF(B992="OWN","Yes","No"))</f>
        <v/>
      </c>
      <c r="AF992" s="9">
        <f>IF(ISNUMBER(Z992),IF(Z992&lt;=2,"&lt;=2 d",IF(Z992&lt;=7,"3-7 d",IF(Z992&lt;=30,"8-30 d","&gt;30 d"))),IF(AE992&lt;&gt;"",AE992,IF(Z992="NR","NR","")))</f>
        <v/>
      </c>
      <c r="AX992" s="9">
        <f>IF(ISNUMBER(AW992),IF(AW992&gt;450,"Yes","No"),IF(AW992="NR","NR",""))</f>
        <v/>
      </c>
      <c r="BJ992" s="9">
        <f>IF(BB992="","",IF(BB992="Non-viable","Non-viable",IF(BB992="Viable","Viable",IF(BB992="Partially non-viable",IF(OR(BD992="Total splenectomy",BD992="Partial splenectomy +/- splenopexy"),"Non-viable","Review"),IF(BB992="NR",IF(OR(BD992="Total splenectomy",BD992="Partial splenectomy +/- splenopexy"),"NR - removed, check reason","NR"),"Not applicable")))))</f>
        <v/>
      </c>
    </row>
    <row r="993">
      <c r="D993" s="8" t="n"/>
      <c r="E993" s="9">
        <f>IF(B993="","",IF(B993="OWN","Yes","No"))</f>
        <v/>
      </c>
      <c r="AF993" s="9">
        <f>IF(ISNUMBER(Z993),IF(Z993&lt;=2,"&lt;=2 d",IF(Z993&lt;=7,"3-7 d",IF(Z993&lt;=30,"8-30 d","&gt;30 d"))),IF(AE993&lt;&gt;"",AE993,IF(Z993="NR","NR","")))</f>
        <v/>
      </c>
      <c r="AX993" s="9">
        <f>IF(ISNUMBER(AW993),IF(AW993&gt;450,"Yes","No"),IF(AW993="NR","NR",""))</f>
        <v/>
      </c>
      <c r="BJ993" s="9">
        <f>IF(BB993="","",IF(BB993="Non-viable","Non-viable",IF(BB993="Viable","Viable",IF(BB993="Partially non-viable",IF(OR(BD993="Total splenectomy",BD993="Partial splenectomy +/- splenopexy"),"Non-viable","Review"),IF(BB993="NR",IF(OR(BD993="Total splenectomy",BD993="Partial splenectomy +/- splenopexy"),"NR - removed, check reason","NR"),"Not applicable")))))</f>
        <v/>
      </c>
    </row>
    <row r="994">
      <c r="D994" s="8" t="n"/>
      <c r="E994" s="9">
        <f>IF(B994="","",IF(B994="OWN","Yes","No"))</f>
        <v/>
      </c>
      <c r="AF994" s="9">
        <f>IF(ISNUMBER(Z994),IF(Z994&lt;=2,"&lt;=2 d",IF(Z994&lt;=7,"3-7 d",IF(Z994&lt;=30,"8-30 d","&gt;30 d"))),IF(AE994&lt;&gt;"",AE994,IF(Z994="NR","NR","")))</f>
        <v/>
      </c>
      <c r="AX994" s="9">
        <f>IF(ISNUMBER(AW994),IF(AW994&gt;450,"Yes","No"),IF(AW994="NR","NR",""))</f>
        <v/>
      </c>
      <c r="BJ994" s="9">
        <f>IF(BB994="","",IF(BB994="Non-viable","Non-viable",IF(BB994="Viable","Viable",IF(BB994="Partially non-viable",IF(OR(BD994="Total splenectomy",BD994="Partial splenectomy +/- splenopexy"),"Non-viable","Review"),IF(BB994="NR",IF(OR(BD994="Total splenectomy",BD994="Partial splenectomy +/- splenopexy"),"NR - removed, check reason","NR"),"Not applicable")))))</f>
        <v/>
      </c>
    </row>
    <row r="995">
      <c r="D995" s="8" t="n"/>
      <c r="E995" s="9">
        <f>IF(B995="","",IF(B995="OWN","Yes","No"))</f>
        <v/>
      </c>
      <c r="AF995" s="9">
        <f>IF(ISNUMBER(Z995),IF(Z995&lt;=2,"&lt;=2 d",IF(Z995&lt;=7,"3-7 d",IF(Z995&lt;=30,"8-30 d","&gt;30 d"))),IF(AE995&lt;&gt;"",AE995,IF(Z995="NR","NR","")))</f>
        <v/>
      </c>
      <c r="AX995" s="9">
        <f>IF(ISNUMBER(AW995),IF(AW995&gt;450,"Yes","No"),IF(AW995="NR","NR",""))</f>
        <v/>
      </c>
      <c r="BJ995" s="9">
        <f>IF(BB995="","",IF(BB995="Non-viable","Non-viable",IF(BB995="Viable","Viable",IF(BB995="Partially non-viable",IF(OR(BD995="Total splenectomy",BD995="Partial splenectomy +/- splenopexy"),"Non-viable","Review"),IF(BB995="NR",IF(OR(BD995="Total splenectomy",BD995="Partial splenectomy +/- splenopexy"),"NR - removed, check reason","NR"),"Not applicable")))))</f>
        <v/>
      </c>
    </row>
    <row r="996">
      <c r="D996" s="8" t="n"/>
      <c r="E996" s="9">
        <f>IF(B996="","",IF(B996="OWN","Yes","No"))</f>
        <v/>
      </c>
      <c r="AF996" s="9">
        <f>IF(ISNUMBER(Z996),IF(Z996&lt;=2,"&lt;=2 d",IF(Z996&lt;=7,"3-7 d",IF(Z996&lt;=30,"8-30 d","&gt;30 d"))),IF(AE996&lt;&gt;"",AE996,IF(Z996="NR","NR","")))</f>
        <v/>
      </c>
      <c r="AX996" s="9">
        <f>IF(ISNUMBER(AW996),IF(AW996&gt;450,"Yes","No"),IF(AW996="NR","NR",""))</f>
        <v/>
      </c>
      <c r="BJ996" s="9">
        <f>IF(BB996="","",IF(BB996="Non-viable","Non-viable",IF(BB996="Viable","Viable",IF(BB996="Partially non-viable",IF(OR(BD996="Total splenectomy",BD996="Partial splenectomy +/- splenopexy"),"Non-viable","Review"),IF(BB996="NR",IF(OR(BD996="Total splenectomy",BD996="Partial splenectomy +/- splenopexy"),"NR - removed, check reason","NR"),"Not applicable")))))</f>
        <v/>
      </c>
    </row>
    <row r="997">
      <c r="D997" s="8" t="n"/>
      <c r="E997" s="9">
        <f>IF(B997="","",IF(B997="OWN","Yes","No"))</f>
        <v/>
      </c>
      <c r="AF997" s="9">
        <f>IF(ISNUMBER(Z997),IF(Z997&lt;=2,"&lt;=2 d",IF(Z997&lt;=7,"3-7 d",IF(Z997&lt;=30,"8-30 d","&gt;30 d"))),IF(AE997&lt;&gt;"",AE997,IF(Z997="NR","NR","")))</f>
        <v/>
      </c>
      <c r="AX997" s="9">
        <f>IF(ISNUMBER(AW997),IF(AW997&gt;450,"Yes","No"),IF(AW997="NR","NR",""))</f>
        <v/>
      </c>
      <c r="BJ997" s="9">
        <f>IF(BB997="","",IF(BB997="Non-viable","Non-viable",IF(BB997="Viable","Viable",IF(BB997="Partially non-viable",IF(OR(BD997="Total splenectomy",BD997="Partial splenectomy +/- splenopexy"),"Non-viable","Review"),IF(BB997="NR",IF(OR(BD997="Total splenectomy",BD997="Partial splenectomy +/- splenopexy"),"NR - removed, check reason","NR"),"Not applicable")))))</f>
        <v/>
      </c>
    </row>
    <row r="998">
      <c r="D998" s="8" t="n"/>
      <c r="E998" s="9">
        <f>IF(B998="","",IF(B998="OWN","Yes","No"))</f>
        <v/>
      </c>
      <c r="AF998" s="9">
        <f>IF(ISNUMBER(Z998),IF(Z998&lt;=2,"&lt;=2 d",IF(Z998&lt;=7,"3-7 d",IF(Z998&lt;=30,"8-30 d","&gt;30 d"))),IF(AE998&lt;&gt;"",AE998,IF(Z998="NR","NR","")))</f>
        <v/>
      </c>
      <c r="AX998" s="9">
        <f>IF(ISNUMBER(AW998),IF(AW998&gt;450,"Yes","No"),IF(AW998="NR","NR",""))</f>
        <v/>
      </c>
      <c r="BJ998" s="9">
        <f>IF(BB998="","",IF(BB998="Non-viable","Non-viable",IF(BB998="Viable","Viable",IF(BB998="Partially non-viable",IF(OR(BD998="Total splenectomy",BD998="Partial splenectomy +/- splenopexy"),"Non-viable","Review"),IF(BB998="NR",IF(OR(BD998="Total splenectomy",BD998="Partial splenectomy +/- splenopexy"),"NR - removed, check reason","NR"),"Not applicable")))))</f>
        <v/>
      </c>
    </row>
    <row r="999">
      <c r="D999" s="8" t="n"/>
      <c r="E999" s="9">
        <f>IF(B999="","",IF(B999="OWN","Yes","No"))</f>
        <v/>
      </c>
      <c r="AF999" s="9">
        <f>IF(ISNUMBER(Z999),IF(Z999&lt;=2,"&lt;=2 d",IF(Z999&lt;=7,"3-7 d",IF(Z999&lt;=30,"8-30 d","&gt;30 d"))),IF(AE999&lt;&gt;"",AE999,IF(Z999="NR","NR","")))</f>
        <v/>
      </c>
      <c r="AX999" s="9">
        <f>IF(ISNUMBER(AW999),IF(AW999&gt;450,"Yes","No"),IF(AW999="NR","NR",""))</f>
        <v/>
      </c>
      <c r="BJ999" s="9">
        <f>IF(BB999="","",IF(BB999="Non-viable","Non-viable",IF(BB999="Viable","Viable",IF(BB999="Partially non-viable",IF(OR(BD999="Total splenectomy",BD999="Partial splenectomy +/- splenopexy"),"Non-viable","Review"),IF(BB999="NR",IF(OR(BD999="Total splenectomy",BD999="Partial splenectomy +/- splenopexy"),"NR - removed, check reason","NR"),"Not applicable")))))</f>
        <v/>
      </c>
    </row>
    <row r="1000">
      <c r="D1000" s="8" t="n"/>
      <c r="E1000" s="9">
        <f>IF(B1000="","",IF(B1000="OWN","Yes","No"))</f>
        <v/>
      </c>
      <c r="AF1000" s="9">
        <f>IF(ISNUMBER(Z1000),IF(Z1000&lt;=2,"&lt;=2 d",IF(Z1000&lt;=7,"3-7 d",IF(Z1000&lt;=30,"8-30 d","&gt;30 d"))),IF(AE1000&lt;&gt;"",AE1000,IF(Z1000="NR","NR","")))</f>
        <v/>
      </c>
      <c r="AX1000" s="9">
        <f>IF(ISNUMBER(AW1000),IF(AW1000&gt;450,"Yes","No"),IF(AW1000="NR","NR",""))</f>
        <v/>
      </c>
      <c r="BJ1000" s="9">
        <f>IF(BB1000="","",IF(BB1000="Non-viable","Non-viable",IF(BB1000="Viable","Viable",IF(BB1000="Partially non-viable",IF(OR(BD1000="Total splenectomy",BD1000="Partial splenectomy +/- splenopexy"),"Non-viable","Review"),IF(BB1000="NR",IF(OR(BD1000="Total splenectomy",BD1000="Partial splenectomy +/- splenopexy"),"NR - removed, check reason","NR"),"Not applicable")))))</f>
        <v/>
      </c>
    </row>
    <row r="1001">
      <c r="D1001" s="8" t="n"/>
      <c r="E1001" s="9">
        <f>IF(B1001="","",IF(B1001="OWN","Yes","No"))</f>
        <v/>
      </c>
      <c r="AF1001" s="9">
        <f>IF(ISNUMBER(Z1001),IF(Z1001&lt;=2,"&lt;=2 d",IF(Z1001&lt;=7,"3-7 d",IF(Z1001&lt;=30,"8-30 d","&gt;30 d"))),IF(AE1001&lt;&gt;"",AE1001,IF(Z1001="NR","NR","")))</f>
        <v/>
      </c>
      <c r="AX1001" s="9">
        <f>IF(ISNUMBER(AW1001),IF(AW1001&gt;450,"Yes","No"),IF(AW1001="NR","NR",""))</f>
        <v/>
      </c>
      <c r="BJ1001" s="9">
        <f>IF(BB1001="","",IF(BB1001="Non-viable","Non-viable",IF(BB1001="Viable","Viable",IF(BB1001="Partially non-viable",IF(OR(BD1001="Total splenectomy",BD1001="Partial splenectomy +/- splenopexy"),"Non-viable","Review"),IF(BB1001="NR",IF(OR(BD1001="Total splenectomy",BD1001="Partial splenectomy +/- splenopexy"),"NR - removed, check reason","NR"),"Not applicable")))))</f>
        <v/>
      </c>
    </row>
    <row r="1002">
      <c r="D1002" s="8" t="n"/>
      <c r="E1002" s="9">
        <f>IF(B1002="","",IF(B1002="OWN","Yes","No"))</f>
        <v/>
      </c>
      <c r="AF1002" s="9">
        <f>IF(ISNUMBER(Z1002),IF(Z1002&lt;=2,"&lt;=2 d",IF(Z1002&lt;=7,"3-7 d",IF(Z1002&lt;=30,"8-30 d","&gt;30 d"))),IF(AE1002&lt;&gt;"",AE1002,IF(Z1002="NR","NR","")))</f>
        <v/>
      </c>
      <c r="AX1002" s="9">
        <f>IF(ISNUMBER(AW1002),IF(AW1002&gt;450,"Yes","No"),IF(AW1002="NR","NR",""))</f>
        <v/>
      </c>
      <c r="BJ1002" s="9">
        <f>IF(BB1002="","",IF(BB1002="Non-viable","Non-viable",IF(BB1002="Viable","Viable",IF(BB1002="Partially non-viable",IF(OR(BD1002="Total splenectomy",BD1002="Partial splenectomy +/- splenopexy"),"Non-viable","Review"),IF(BB1002="NR",IF(OR(BD1002="Total splenectomy",BD1002="Partial splenectomy +/- splenopexy"),"NR - removed, check reason","NR"),"Not applicable")))))</f>
        <v/>
      </c>
    </row>
    <row r="1003">
      <c r="D1003" s="8" t="n"/>
      <c r="E1003" s="9">
        <f>IF(B1003="","",IF(B1003="OWN","Yes","No"))</f>
        <v/>
      </c>
      <c r="AF1003" s="9">
        <f>IF(ISNUMBER(Z1003),IF(Z1003&lt;=2,"&lt;=2 d",IF(Z1003&lt;=7,"3-7 d",IF(Z1003&lt;=30,"8-30 d","&gt;30 d"))),IF(AE1003&lt;&gt;"",AE1003,IF(Z1003="NR","NR","")))</f>
        <v/>
      </c>
      <c r="AX1003" s="9">
        <f>IF(ISNUMBER(AW1003),IF(AW1003&gt;450,"Yes","No"),IF(AW1003="NR","NR",""))</f>
        <v/>
      </c>
      <c r="BJ1003" s="9">
        <f>IF(BB1003="","",IF(BB1003="Non-viable","Non-viable",IF(BB1003="Viable","Viable",IF(BB1003="Partially non-viable",IF(OR(BD1003="Total splenectomy",BD1003="Partial splenectomy +/- splenopexy"),"Non-viable","Review"),IF(BB1003="NR",IF(OR(BD1003="Total splenectomy",BD1003="Partial splenectomy +/- splenopexy"),"NR - removed, check reason","NR"),"Not applicable")))))</f>
        <v/>
      </c>
    </row>
    <row r="1004">
      <c r="D1004" s="8" t="n"/>
      <c r="E1004" s="9">
        <f>IF(B1004="","",IF(B1004="OWN","Yes","No"))</f>
        <v/>
      </c>
      <c r="AF1004" s="9">
        <f>IF(ISNUMBER(Z1004),IF(Z1004&lt;=2,"&lt;=2 d",IF(Z1004&lt;=7,"3-7 d",IF(Z1004&lt;=30,"8-30 d","&gt;30 d"))),IF(AE1004&lt;&gt;"",AE1004,IF(Z1004="NR","NR","")))</f>
        <v/>
      </c>
      <c r="AX1004" s="9">
        <f>IF(ISNUMBER(AW1004),IF(AW1004&gt;450,"Yes","No"),IF(AW1004="NR","NR",""))</f>
        <v/>
      </c>
      <c r="BJ1004" s="9">
        <f>IF(BB1004="","",IF(BB1004="Non-viable","Non-viable",IF(BB1004="Viable","Viable",IF(BB1004="Partially non-viable",IF(OR(BD1004="Total splenectomy",BD1004="Partial splenectomy +/- splenopexy"),"Non-viable","Review"),IF(BB1004="NR",IF(OR(BD1004="Total splenectomy",BD1004="Partial splenectomy +/- splenopexy"),"NR - removed, check reason","NR"),"Not applicable")))))</f>
        <v/>
      </c>
    </row>
    <row r="1005">
      <c r="D1005" s="8" t="n"/>
      <c r="E1005" s="9">
        <f>IF(B1005="","",IF(B1005="OWN","Yes","No"))</f>
        <v/>
      </c>
      <c r="AF1005" s="9">
        <f>IF(ISNUMBER(Z1005),IF(Z1005&lt;=2,"&lt;=2 d",IF(Z1005&lt;=7,"3-7 d",IF(Z1005&lt;=30,"8-30 d","&gt;30 d"))),IF(AE1005&lt;&gt;"",AE1005,IF(Z1005="NR","NR","")))</f>
        <v/>
      </c>
      <c r="AX1005" s="9">
        <f>IF(ISNUMBER(AW1005),IF(AW1005&gt;450,"Yes","No"),IF(AW1005="NR","NR",""))</f>
        <v/>
      </c>
      <c r="BJ1005" s="9">
        <f>IF(BB1005="","",IF(BB1005="Non-viable","Non-viable",IF(BB1005="Viable","Viable",IF(BB1005="Partially non-viable",IF(OR(BD1005="Total splenectomy",BD1005="Partial splenectomy +/- splenopexy"),"Non-viable","Review"),IF(BB1005="NR",IF(OR(BD1005="Total splenectomy",BD1005="Partial splenectomy +/- splenopexy"),"NR - removed, check reason","NR"),"Not applicable")))))</f>
        <v/>
      </c>
    </row>
    <row r="1006">
      <c r="D1006" s="8" t="n"/>
      <c r="E1006" s="9">
        <f>IF(B1006="","",IF(B1006="OWN","Yes","No"))</f>
        <v/>
      </c>
      <c r="AF1006" s="9">
        <f>IF(ISNUMBER(Z1006),IF(Z1006&lt;=2,"&lt;=2 d",IF(Z1006&lt;=7,"3-7 d",IF(Z1006&lt;=30,"8-30 d","&gt;30 d"))),IF(AE1006&lt;&gt;"",AE1006,IF(Z1006="NR","NR","")))</f>
        <v/>
      </c>
      <c r="AX1006" s="9">
        <f>IF(ISNUMBER(AW1006),IF(AW1006&gt;450,"Yes","No"),IF(AW1006="NR","NR",""))</f>
        <v/>
      </c>
      <c r="BJ1006" s="9">
        <f>IF(BB1006="","",IF(BB1006="Non-viable","Non-viable",IF(BB1006="Viable","Viable",IF(BB1006="Partially non-viable",IF(OR(BD1006="Total splenectomy",BD1006="Partial splenectomy +/- splenopexy"),"Non-viable","Review"),IF(BB1006="NR",IF(OR(BD1006="Total splenectomy",BD1006="Partial splenectomy +/- splenopexy"),"NR - removed, check reason","NR"),"Not applicable")))))</f>
        <v/>
      </c>
    </row>
    <row r="1007">
      <c r="D1007" s="8" t="n"/>
      <c r="E1007" s="9">
        <f>IF(B1007="","",IF(B1007="OWN","Yes","No"))</f>
        <v/>
      </c>
      <c r="AF1007" s="9">
        <f>IF(ISNUMBER(Z1007),IF(Z1007&lt;=2,"&lt;=2 d",IF(Z1007&lt;=7,"3-7 d",IF(Z1007&lt;=30,"8-30 d","&gt;30 d"))),IF(AE1007&lt;&gt;"",AE1007,IF(Z1007="NR","NR","")))</f>
        <v/>
      </c>
      <c r="AX1007" s="9">
        <f>IF(ISNUMBER(AW1007),IF(AW1007&gt;450,"Yes","No"),IF(AW1007="NR","NR",""))</f>
        <v/>
      </c>
      <c r="BJ1007" s="9">
        <f>IF(BB1007="","",IF(BB1007="Non-viable","Non-viable",IF(BB1007="Viable","Viable",IF(BB1007="Partially non-viable",IF(OR(BD1007="Total splenectomy",BD1007="Partial splenectomy +/- splenopexy"),"Non-viable","Review"),IF(BB1007="NR",IF(OR(BD1007="Total splenectomy",BD1007="Partial splenectomy +/- splenopexy"),"NR - removed, check reason","NR"),"Not applicable")))))</f>
        <v/>
      </c>
    </row>
    <row r="1008">
      <c r="D1008" s="8" t="n"/>
      <c r="E1008" s="9">
        <f>IF(B1008="","",IF(B1008="OWN","Yes","No"))</f>
        <v/>
      </c>
      <c r="AF1008" s="9">
        <f>IF(ISNUMBER(Z1008),IF(Z1008&lt;=2,"&lt;=2 d",IF(Z1008&lt;=7,"3-7 d",IF(Z1008&lt;=30,"8-30 d","&gt;30 d"))),IF(AE1008&lt;&gt;"",AE1008,IF(Z1008="NR","NR","")))</f>
        <v/>
      </c>
      <c r="AX1008" s="9">
        <f>IF(ISNUMBER(AW1008),IF(AW1008&gt;450,"Yes","No"),IF(AW1008="NR","NR",""))</f>
        <v/>
      </c>
      <c r="BJ1008" s="9">
        <f>IF(BB1008="","",IF(BB1008="Non-viable","Non-viable",IF(BB1008="Viable","Viable",IF(BB1008="Partially non-viable",IF(OR(BD1008="Total splenectomy",BD1008="Partial splenectomy +/- splenopexy"),"Non-viable","Review"),IF(BB1008="NR",IF(OR(BD1008="Total splenectomy",BD1008="Partial splenectomy +/- splenopexy"),"NR - removed, check reason","NR"),"Not applicable")))))</f>
        <v/>
      </c>
    </row>
    <row r="1009">
      <c r="D1009" s="8" t="n"/>
      <c r="E1009" s="9">
        <f>IF(B1009="","",IF(B1009="OWN","Yes","No"))</f>
        <v/>
      </c>
      <c r="AF1009" s="9">
        <f>IF(ISNUMBER(Z1009),IF(Z1009&lt;=2,"&lt;=2 d",IF(Z1009&lt;=7,"3-7 d",IF(Z1009&lt;=30,"8-30 d","&gt;30 d"))),IF(AE1009&lt;&gt;"",AE1009,IF(Z1009="NR","NR","")))</f>
        <v/>
      </c>
      <c r="AX1009" s="9">
        <f>IF(ISNUMBER(AW1009),IF(AW1009&gt;450,"Yes","No"),IF(AW1009="NR","NR",""))</f>
        <v/>
      </c>
      <c r="BJ1009" s="9">
        <f>IF(BB1009="","",IF(BB1009="Non-viable","Non-viable",IF(BB1009="Viable","Viable",IF(BB1009="Partially non-viable",IF(OR(BD1009="Total splenectomy",BD1009="Partial splenectomy +/- splenopexy"),"Non-viable","Review"),IF(BB1009="NR",IF(OR(BD1009="Total splenectomy",BD1009="Partial splenectomy +/- splenopexy"),"NR - removed, check reason","NR"),"Not applicable")))))</f>
        <v/>
      </c>
    </row>
    <row r="1010">
      <c r="D1010" s="8" t="n"/>
      <c r="E1010" s="9">
        <f>IF(B1010="","",IF(B1010="OWN","Yes","No"))</f>
        <v/>
      </c>
      <c r="AF1010" s="9">
        <f>IF(ISNUMBER(Z1010),IF(Z1010&lt;=2,"&lt;=2 d",IF(Z1010&lt;=7,"3-7 d",IF(Z1010&lt;=30,"8-30 d","&gt;30 d"))),IF(AE1010&lt;&gt;"",AE1010,IF(Z1010="NR","NR","")))</f>
        <v/>
      </c>
      <c r="AX1010" s="9">
        <f>IF(ISNUMBER(AW1010),IF(AW1010&gt;450,"Yes","No"),IF(AW1010="NR","NR",""))</f>
        <v/>
      </c>
      <c r="BJ1010" s="9">
        <f>IF(BB1010="","",IF(BB1010="Non-viable","Non-viable",IF(BB1010="Viable","Viable",IF(BB1010="Partially non-viable",IF(OR(BD1010="Total splenectomy",BD1010="Partial splenectomy +/- splenopexy"),"Non-viable","Review"),IF(BB1010="NR",IF(OR(BD1010="Total splenectomy",BD1010="Partial splenectomy +/- splenopexy"),"NR - removed, check reason","NR"),"Not applicable")))))</f>
        <v/>
      </c>
    </row>
    <row r="1011">
      <c r="D1011" s="8" t="n"/>
      <c r="E1011" s="9">
        <f>IF(B1011="","",IF(B1011="OWN","Yes","No"))</f>
        <v/>
      </c>
      <c r="AF1011" s="9">
        <f>IF(ISNUMBER(Z1011),IF(Z1011&lt;=2,"&lt;=2 d",IF(Z1011&lt;=7,"3-7 d",IF(Z1011&lt;=30,"8-30 d","&gt;30 d"))),IF(AE1011&lt;&gt;"",AE1011,IF(Z1011="NR","NR","")))</f>
        <v/>
      </c>
      <c r="AX1011" s="9">
        <f>IF(ISNUMBER(AW1011),IF(AW1011&gt;450,"Yes","No"),IF(AW1011="NR","NR",""))</f>
        <v/>
      </c>
      <c r="BJ1011" s="9">
        <f>IF(BB1011="","",IF(BB1011="Non-viable","Non-viable",IF(BB1011="Viable","Viable",IF(BB1011="Partially non-viable",IF(OR(BD1011="Total splenectomy",BD1011="Partial splenectomy +/- splenopexy"),"Non-viable","Review"),IF(BB1011="NR",IF(OR(BD1011="Total splenectomy",BD1011="Partial splenectomy +/- splenopexy"),"NR - removed, check reason","NR"),"Not applicable")))))</f>
        <v/>
      </c>
    </row>
    <row r="1012">
      <c r="D1012" s="8" t="n"/>
      <c r="E1012" s="9">
        <f>IF(B1012="","",IF(B1012="OWN","Yes","No"))</f>
        <v/>
      </c>
      <c r="AF1012" s="9">
        <f>IF(ISNUMBER(Z1012),IF(Z1012&lt;=2,"&lt;=2 d",IF(Z1012&lt;=7,"3-7 d",IF(Z1012&lt;=30,"8-30 d","&gt;30 d"))),IF(AE1012&lt;&gt;"",AE1012,IF(Z1012="NR","NR","")))</f>
        <v/>
      </c>
      <c r="AX1012" s="9">
        <f>IF(ISNUMBER(AW1012),IF(AW1012&gt;450,"Yes","No"),IF(AW1012="NR","NR",""))</f>
        <v/>
      </c>
      <c r="BJ1012" s="9">
        <f>IF(BB1012="","",IF(BB1012="Non-viable","Non-viable",IF(BB1012="Viable","Viable",IF(BB1012="Partially non-viable",IF(OR(BD1012="Total splenectomy",BD1012="Partial splenectomy +/- splenopexy"),"Non-viable","Review"),IF(BB1012="NR",IF(OR(BD1012="Total splenectomy",BD1012="Partial splenectomy +/- splenopexy"),"NR - removed, check reason","NR"),"Not applicable")))))</f>
        <v/>
      </c>
    </row>
    <row r="1013">
      <c r="D1013" s="8" t="n"/>
      <c r="E1013" s="9">
        <f>IF(B1013="","",IF(B1013="OWN","Yes","No"))</f>
        <v/>
      </c>
      <c r="AF1013" s="9">
        <f>IF(ISNUMBER(Z1013),IF(Z1013&lt;=2,"&lt;=2 d",IF(Z1013&lt;=7,"3-7 d",IF(Z1013&lt;=30,"8-30 d","&gt;30 d"))),IF(AE1013&lt;&gt;"",AE1013,IF(Z1013="NR","NR","")))</f>
        <v/>
      </c>
      <c r="AX1013" s="9">
        <f>IF(ISNUMBER(AW1013),IF(AW1013&gt;450,"Yes","No"),IF(AW1013="NR","NR",""))</f>
        <v/>
      </c>
      <c r="BJ1013" s="9">
        <f>IF(BB1013="","",IF(BB1013="Non-viable","Non-viable",IF(BB1013="Viable","Viable",IF(BB1013="Partially non-viable",IF(OR(BD1013="Total splenectomy",BD1013="Partial splenectomy +/- splenopexy"),"Non-viable","Review"),IF(BB1013="NR",IF(OR(BD1013="Total splenectomy",BD1013="Partial splenectomy +/- splenopexy"),"NR - removed, check reason","NR"),"Not applicable")))))</f>
        <v/>
      </c>
    </row>
    <row r="1014">
      <c r="D1014" s="8" t="n"/>
      <c r="E1014" s="9">
        <f>IF(B1014="","",IF(B1014="OWN","Yes","No"))</f>
        <v/>
      </c>
      <c r="AF1014" s="9">
        <f>IF(ISNUMBER(Z1014),IF(Z1014&lt;=2,"&lt;=2 d",IF(Z1014&lt;=7,"3-7 d",IF(Z1014&lt;=30,"8-30 d","&gt;30 d"))),IF(AE1014&lt;&gt;"",AE1014,IF(Z1014="NR","NR","")))</f>
        <v/>
      </c>
      <c r="AX1014" s="9">
        <f>IF(ISNUMBER(AW1014),IF(AW1014&gt;450,"Yes","No"),IF(AW1014="NR","NR",""))</f>
        <v/>
      </c>
      <c r="BJ1014" s="9">
        <f>IF(BB1014="","",IF(BB1014="Non-viable","Non-viable",IF(BB1014="Viable","Viable",IF(BB1014="Partially non-viable",IF(OR(BD1014="Total splenectomy",BD1014="Partial splenectomy +/- splenopexy"),"Non-viable","Review"),IF(BB1014="NR",IF(OR(BD1014="Total splenectomy",BD1014="Partial splenectomy +/- splenopexy"),"NR - removed, check reason","NR"),"Not applicable")))))</f>
        <v/>
      </c>
    </row>
    <row r="1015">
      <c r="D1015" s="8" t="n"/>
      <c r="E1015" s="9">
        <f>IF(B1015="","",IF(B1015="OWN","Yes","No"))</f>
        <v/>
      </c>
      <c r="AF1015" s="9">
        <f>IF(ISNUMBER(Z1015),IF(Z1015&lt;=2,"&lt;=2 d",IF(Z1015&lt;=7,"3-7 d",IF(Z1015&lt;=30,"8-30 d","&gt;30 d"))),IF(AE1015&lt;&gt;"",AE1015,IF(Z1015="NR","NR","")))</f>
        <v/>
      </c>
      <c r="AX1015" s="9">
        <f>IF(ISNUMBER(AW1015),IF(AW1015&gt;450,"Yes","No"),IF(AW1015="NR","NR",""))</f>
        <v/>
      </c>
      <c r="BJ1015" s="9">
        <f>IF(BB1015="","",IF(BB1015="Non-viable","Non-viable",IF(BB1015="Viable","Viable",IF(BB1015="Partially non-viable",IF(OR(BD1015="Total splenectomy",BD1015="Partial splenectomy +/- splenopexy"),"Non-viable","Review"),IF(BB1015="NR",IF(OR(BD1015="Total splenectomy",BD1015="Partial splenectomy +/- splenopexy"),"NR - removed, check reason","NR"),"Not applicable")))))</f>
        <v/>
      </c>
    </row>
    <row r="1016">
      <c r="D1016" s="8" t="n"/>
      <c r="E1016" s="9">
        <f>IF(B1016="","",IF(B1016="OWN","Yes","No"))</f>
        <v/>
      </c>
      <c r="AF1016" s="9">
        <f>IF(ISNUMBER(Z1016),IF(Z1016&lt;=2,"&lt;=2 d",IF(Z1016&lt;=7,"3-7 d",IF(Z1016&lt;=30,"8-30 d","&gt;30 d"))),IF(AE1016&lt;&gt;"",AE1016,IF(Z1016="NR","NR","")))</f>
        <v/>
      </c>
      <c r="AX1016" s="9">
        <f>IF(ISNUMBER(AW1016),IF(AW1016&gt;450,"Yes","No"),IF(AW1016="NR","NR",""))</f>
        <v/>
      </c>
      <c r="BJ1016" s="9">
        <f>IF(BB1016="","",IF(BB1016="Non-viable","Non-viable",IF(BB1016="Viable","Viable",IF(BB1016="Partially non-viable",IF(OR(BD1016="Total splenectomy",BD1016="Partial splenectomy +/- splenopexy"),"Non-viable","Review"),IF(BB1016="NR",IF(OR(BD1016="Total splenectomy",BD1016="Partial splenectomy +/- splenopexy"),"NR - removed, check reason","NR"),"Not applicable")))))</f>
        <v/>
      </c>
    </row>
    <row r="1017">
      <c r="D1017" s="8" t="n"/>
      <c r="E1017" s="9">
        <f>IF(B1017="","",IF(B1017="OWN","Yes","No"))</f>
        <v/>
      </c>
      <c r="AF1017" s="9">
        <f>IF(ISNUMBER(Z1017),IF(Z1017&lt;=2,"&lt;=2 d",IF(Z1017&lt;=7,"3-7 d",IF(Z1017&lt;=30,"8-30 d","&gt;30 d"))),IF(AE1017&lt;&gt;"",AE1017,IF(Z1017="NR","NR","")))</f>
        <v/>
      </c>
      <c r="AX1017" s="9">
        <f>IF(ISNUMBER(AW1017),IF(AW1017&gt;450,"Yes","No"),IF(AW1017="NR","NR",""))</f>
        <v/>
      </c>
      <c r="BJ1017" s="9">
        <f>IF(BB1017="","",IF(BB1017="Non-viable","Non-viable",IF(BB1017="Viable","Viable",IF(BB1017="Partially non-viable",IF(OR(BD1017="Total splenectomy",BD1017="Partial splenectomy +/- splenopexy"),"Non-viable","Review"),IF(BB1017="NR",IF(OR(BD1017="Total splenectomy",BD1017="Partial splenectomy +/- splenopexy"),"NR - removed, check reason","NR"),"Not applicable")))))</f>
        <v/>
      </c>
    </row>
    <row r="1018">
      <c r="D1018" s="8" t="n"/>
      <c r="E1018" s="9">
        <f>IF(B1018="","",IF(B1018="OWN","Yes","No"))</f>
        <v/>
      </c>
      <c r="AF1018" s="9">
        <f>IF(ISNUMBER(Z1018),IF(Z1018&lt;=2,"&lt;=2 d",IF(Z1018&lt;=7,"3-7 d",IF(Z1018&lt;=30,"8-30 d","&gt;30 d"))),IF(AE1018&lt;&gt;"",AE1018,IF(Z1018="NR","NR","")))</f>
        <v/>
      </c>
      <c r="AX1018" s="9">
        <f>IF(ISNUMBER(AW1018),IF(AW1018&gt;450,"Yes","No"),IF(AW1018="NR","NR",""))</f>
        <v/>
      </c>
      <c r="BJ1018" s="9">
        <f>IF(BB1018="","",IF(BB1018="Non-viable","Non-viable",IF(BB1018="Viable","Viable",IF(BB1018="Partially non-viable",IF(OR(BD1018="Total splenectomy",BD1018="Partial splenectomy +/- splenopexy"),"Non-viable","Review"),IF(BB1018="NR",IF(OR(BD1018="Total splenectomy",BD1018="Partial splenectomy +/- splenopexy"),"NR - removed, check reason","NR"),"Not applicable")))))</f>
        <v/>
      </c>
    </row>
    <row r="1019">
      <c r="D1019" s="8" t="n"/>
      <c r="E1019" s="9">
        <f>IF(B1019="","",IF(B1019="OWN","Yes","No"))</f>
        <v/>
      </c>
      <c r="AF1019" s="9">
        <f>IF(ISNUMBER(Z1019),IF(Z1019&lt;=2,"&lt;=2 d",IF(Z1019&lt;=7,"3-7 d",IF(Z1019&lt;=30,"8-30 d","&gt;30 d"))),IF(AE1019&lt;&gt;"",AE1019,IF(Z1019="NR","NR","")))</f>
        <v/>
      </c>
      <c r="AX1019" s="9">
        <f>IF(ISNUMBER(AW1019),IF(AW1019&gt;450,"Yes","No"),IF(AW1019="NR","NR",""))</f>
        <v/>
      </c>
      <c r="BJ1019" s="9">
        <f>IF(BB1019="","",IF(BB1019="Non-viable","Non-viable",IF(BB1019="Viable","Viable",IF(BB1019="Partially non-viable",IF(OR(BD1019="Total splenectomy",BD1019="Partial splenectomy +/- splenopexy"),"Non-viable","Review"),IF(BB1019="NR",IF(OR(BD1019="Total splenectomy",BD1019="Partial splenectomy +/- splenopexy"),"NR - removed, check reason","NR"),"Not applicable")))))</f>
        <v/>
      </c>
    </row>
    <row r="1020">
      <c r="D1020" s="8" t="n"/>
      <c r="E1020" s="9">
        <f>IF(B1020="","",IF(B1020="OWN","Yes","No"))</f>
        <v/>
      </c>
      <c r="AF1020" s="9">
        <f>IF(ISNUMBER(Z1020),IF(Z1020&lt;=2,"&lt;=2 d",IF(Z1020&lt;=7,"3-7 d",IF(Z1020&lt;=30,"8-30 d","&gt;30 d"))),IF(AE1020&lt;&gt;"",AE1020,IF(Z1020="NR","NR","")))</f>
        <v/>
      </c>
      <c r="AX1020" s="9">
        <f>IF(ISNUMBER(AW1020),IF(AW1020&gt;450,"Yes","No"),IF(AW1020="NR","NR",""))</f>
        <v/>
      </c>
      <c r="BJ1020" s="9">
        <f>IF(BB1020="","",IF(BB1020="Non-viable","Non-viable",IF(BB1020="Viable","Viable",IF(BB1020="Partially non-viable",IF(OR(BD1020="Total splenectomy",BD1020="Partial splenectomy +/- splenopexy"),"Non-viable","Review"),IF(BB1020="NR",IF(OR(BD1020="Total splenectomy",BD1020="Partial splenectomy +/- splenopexy"),"NR - removed, check reason","NR"),"Not applicable")))))</f>
        <v/>
      </c>
    </row>
    <row r="1021">
      <c r="D1021" s="8" t="n"/>
      <c r="E1021" s="9">
        <f>IF(B1021="","",IF(B1021="OWN","Yes","No"))</f>
        <v/>
      </c>
      <c r="AF1021" s="9">
        <f>IF(ISNUMBER(Z1021),IF(Z1021&lt;=2,"&lt;=2 d",IF(Z1021&lt;=7,"3-7 d",IF(Z1021&lt;=30,"8-30 d","&gt;30 d"))),IF(AE1021&lt;&gt;"",AE1021,IF(Z1021="NR","NR","")))</f>
        <v/>
      </c>
      <c r="AX1021" s="9">
        <f>IF(ISNUMBER(AW1021),IF(AW1021&gt;450,"Yes","No"),IF(AW1021="NR","NR",""))</f>
        <v/>
      </c>
      <c r="BJ1021" s="9">
        <f>IF(BB1021="","",IF(BB1021="Non-viable","Non-viable",IF(BB1021="Viable","Viable",IF(BB1021="Partially non-viable",IF(OR(BD1021="Total splenectomy",BD1021="Partial splenectomy +/- splenopexy"),"Non-viable","Review"),IF(BB1021="NR",IF(OR(BD1021="Total splenectomy",BD1021="Partial splenectomy +/- splenopexy"),"NR - removed, check reason","NR"),"Not applicable")))))</f>
        <v/>
      </c>
    </row>
    <row r="1022">
      <c r="D1022" s="8" t="n"/>
      <c r="E1022" s="9">
        <f>IF(B1022="","",IF(B1022="OWN","Yes","No"))</f>
        <v/>
      </c>
      <c r="AF1022" s="9">
        <f>IF(ISNUMBER(Z1022),IF(Z1022&lt;=2,"&lt;=2 d",IF(Z1022&lt;=7,"3-7 d",IF(Z1022&lt;=30,"8-30 d","&gt;30 d"))),IF(AE1022&lt;&gt;"",AE1022,IF(Z1022="NR","NR","")))</f>
        <v/>
      </c>
      <c r="AX1022" s="9">
        <f>IF(ISNUMBER(AW1022),IF(AW1022&gt;450,"Yes","No"),IF(AW1022="NR","NR",""))</f>
        <v/>
      </c>
      <c r="BJ1022" s="9">
        <f>IF(BB1022="","",IF(BB1022="Non-viable","Non-viable",IF(BB1022="Viable","Viable",IF(BB1022="Partially non-viable",IF(OR(BD1022="Total splenectomy",BD1022="Partial splenectomy +/- splenopexy"),"Non-viable","Review"),IF(BB1022="NR",IF(OR(BD1022="Total splenectomy",BD1022="Partial splenectomy +/- splenopexy"),"NR - removed, check reason","NR"),"Not applicable")))))</f>
        <v/>
      </c>
    </row>
    <row r="1023">
      <c r="D1023" s="8" t="n"/>
      <c r="E1023" s="9">
        <f>IF(B1023="","",IF(B1023="OWN","Yes","No"))</f>
        <v/>
      </c>
      <c r="AF1023" s="9">
        <f>IF(ISNUMBER(Z1023),IF(Z1023&lt;=2,"&lt;=2 d",IF(Z1023&lt;=7,"3-7 d",IF(Z1023&lt;=30,"8-30 d","&gt;30 d"))),IF(AE1023&lt;&gt;"",AE1023,IF(Z1023="NR","NR","")))</f>
        <v/>
      </c>
      <c r="AX1023" s="9">
        <f>IF(ISNUMBER(AW1023),IF(AW1023&gt;450,"Yes","No"),IF(AW1023="NR","NR",""))</f>
        <v/>
      </c>
      <c r="BJ1023" s="9">
        <f>IF(BB1023="","",IF(BB1023="Non-viable","Non-viable",IF(BB1023="Viable","Viable",IF(BB1023="Partially non-viable",IF(OR(BD1023="Total splenectomy",BD1023="Partial splenectomy +/- splenopexy"),"Non-viable","Review"),IF(BB1023="NR",IF(OR(BD1023="Total splenectomy",BD1023="Partial splenectomy +/- splenopexy"),"NR - removed, check reason","NR"),"Not applicable")))))</f>
        <v/>
      </c>
    </row>
    <row r="1024">
      <c r="D1024" s="8" t="n"/>
      <c r="E1024" s="9">
        <f>IF(B1024="","",IF(B1024="OWN","Yes","No"))</f>
        <v/>
      </c>
      <c r="AF1024" s="9">
        <f>IF(ISNUMBER(Z1024),IF(Z1024&lt;=2,"&lt;=2 d",IF(Z1024&lt;=7,"3-7 d",IF(Z1024&lt;=30,"8-30 d","&gt;30 d"))),IF(AE1024&lt;&gt;"",AE1024,IF(Z1024="NR","NR","")))</f>
        <v/>
      </c>
      <c r="AX1024" s="9">
        <f>IF(ISNUMBER(AW1024),IF(AW1024&gt;450,"Yes","No"),IF(AW1024="NR","NR",""))</f>
        <v/>
      </c>
      <c r="BJ1024" s="9">
        <f>IF(BB1024="","",IF(BB1024="Non-viable","Non-viable",IF(BB1024="Viable","Viable",IF(BB1024="Partially non-viable",IF(OR(BD1024="Total splenectomy",BD1024="Partial splenectomy +/- splenopexy"),"Non-viable","Review"),IF(BB1024="NR",IF(OR(BD1024="Total splenectomy",BD1024="Partial splenectomy +/- splenopexy"),"NR - removed, check reason","NR"),"Not applicable")))))</f>
        <v/>
      </c>
    </row>
    <row r="1025">
      <c r="D1025" s="8" t="n"/>
      <c r="E1025" s="9">
        <f>IF(B1025="","",IF(B1025="OWN","Yes","No"))</f>
        <v/>
      </c>
      <c r="AF1025" s="9">
        <f>IF(ISNUMBER(Z1025),IF(Z1025&lt;=2,"&lt;=2 d",IF(Z1025&lt;=7,"3-7 d",IF(Z1025&lt;=30,"8-30 d","&gt;30 d"))),IF(AE1025&lt;&gt;"",AE1025,IF(Z1025="NR","NR","")))</f>
        <v/>
      </c>
      <c r="AX1025" s="9">
        <f>IF(ISNUMBER(AW1025),IF(AW1025&gt;450,"Yes","No"),IF(AW1025="NR","NR",""))</f>
        <v/>
      </c>
      <c r="BJ1025" s="9">
        <f>IF(BB1025="","",IF(BB1025="Non-viable","Non-viable",IF(BB1025="Viable","Viable",IF(BB1025="Partially non-viable",IF(OR(BD1025="Total splenectomy",BD1025="Partial splenectomy +/- splenopexy"),"Non-viable","Review"),IF(BB1025="NR",IF(OR(BD1025="Total splenectomy",BD1025="Partial splenectomy +/- splenopexy"),"NR - removed, check reason","NR"),"Not applicable")))))</f>
        <v/>
      </c>
    </row>
    <row r="1026">
      <c r="D1026" s="8" t="n"/>
      <c r="E1026" s="9">
        <f>IF(B1026="","",IF(B1026="OWN","Yes","No"))</f>
        <v/>
      </c>
      <c r="AF1026" s="9">
        <f>IF(ISNUMBER(Z1026),IF(Z1026&lt;=2,"&lt;=2 d",IF(Z1026&lt;=7,"3-7 d",IF(Z1026&lt;=30,"8-30 d","&gt;30 d"))),IF(AE1026&lt;&gt;"",AE1026,IF(Z1026="NR","NR","")))</f>
        <v/>
      </c>
      <c r="AX1026" s="9">
        <f>IF(ISNUMBER(AW1026),IF(AW1026&gt;450,"Yes","No"),IF(AW1026="NR","NR",""))</f>
        <v/>
      </c>
      <c r="BJ1026" s="9">
        <f>IF(BB1026="","",IF(BB1026="Non-viable","Non-viable",IF(BB1026="Viable","Viable",IF(BB1026="Partially non-viable",IF(OR(BD1026="Total splenectomy",BD1026="Partial splenectomy +/- splenopexy"),"Non-viable","Review"),IF(BB1026="NR",IF(OR(BD1026="Total splenectomy",BD1026="Partial splenectomy +/- splenopexy"),"NR - removed, check reason","NR"),"Not applicable")))))</f>
        <v/>
      </c>
    </row>
    <row r="1027">
      <c r="D1027" s="8" t="n"/>
      <c r="E1027" s="9">
        <f>IF(B1027="","",IF(B1027="OWN","Yes","No"))</f>
        <v/>
      </c>
      <c r="AF1027" s="9">
        <f>IF(ISNUMBER(Z1027),IF(Z1027&lt;=2,"&lt;=2 d",IF(Z1027&lt;=7,"3-7 d",IF(Z1027&lt;=30,"8-30 d","&gt;30 d"))),IF(AE1027&lt;&gt;"",AE1027,IF(Z1027="NR","NR","")))</f>
        <v/>
      </c>
      <c r="AX1027" s="9">
        <f>IF(ISNUMBER(AW1027),IF(AW1027&gt;450,"Yes","No"),IF(AW1027="NR","NR",""))</f>
        <v/>
      </c>
      <c r="BJ1027" s="9">
        <f>IF(BB1027="","",IF(BB1027="Non-viable","Non-viable",IF(BB1027="Viable","Viable",IF(BB1027="Partially non-viable",IF(OR(BD1027="Total splenectomy",BD1027="Partial splenectomy +/- splenopexy"),"Non-viable","Review"),IF(BB1027="NR",IF(OR(BD1027="Total splenectomy",BD1027="Partial splenectomy +/- splenopexy"),"NR - removed, check reason","NR"),"Not applicable")))))</f>
        <v/>
      </c>
    </row>
    <row r="1028">
      <c r="D1028" s="8" t="n"/>
      <c r="E1028" s="9">
        <f>IF(B1028="","",IF(B1028="OWN","Yes","No"))</f>
        <v/>
      </c>
      <c r="AF1028" s="9">
        <f>IF(ISNUMBER(Z1028),IF(Z1028&lt;=2,"&lt;=2 d",IF(Z1028&lt;=7,"3-7 d",IF(Z1028&lt;=30,"8-30 d","&gt;30 d"))),IF(AE1028&lt;&gt;"",AE1028,IF(Z1028="NR","NR","")))</f>
        <v/>
      </c>
      <c r="AX1028" s="9">
        <f>IF(ISNUMBER(AW1028),IF(AW1028&gt;450,"Yes","No"),IF(AW1028="NR","NR",""))</f>
        <v/>
      </c>
      <c r="BJ1028" s="9">
        <f>IF(BB1028="","",IF(BB1028="Non-viable","Non-viable",IF(BB1028="Viable","Viable",IF(BB1028="Partially non-viable",IF(OR(BD1028="Total splenectomy",BD1028="Partial splenectomy +/- splenopexy"),"Non-viable","Review"),IF(BB1028="NR",IF(OR(BD1028="Total splenectomy",BD1028="Partial splenectomy +/- splenopexy"),"NR - removed, check reason","NR"),"Not applicable")))))</f>
        <v/>
      </c>
    </row>
    <row r="1029">
      <c r="D1029" s="8" t="n"/>
      <c r="E1029" s="9">
        <f>IF(B1029="","",IF(B1029="OWN","Yes","No"))</f>
        <v/>
      </c>
      <c r="AF1029" s="9">
        <f>IF(ISNUMBER(Z1029),IF(Z1029&lt;=2,"&lt;=2 d",IF(Z1029&lt;=7,"3-7 d",IF(Z1029&lt;=30,"8-30 d","&gt;30 d"))),IF(AE1029&lt;&gt;"",AE1029,IF(Z1029="NR","NR","")))</f>
        <v/>
      </c>
      <c r="AX1029" s="9">
        <f>IF(ISNUMBER(AW1029),IF(AW1029&gt;450,"Yes","No"),IF(AW1029="NR","NR",""))</f>
        <v/>
      </c>
      <c r="BJ1029" s="9">
        <f>IF(BB1029="","",IF(BB1029="Non-viable","Non-viable",IF(BB1029="Viable","Viable",IF(BB1029="Partially non-viable",IF(OR(BD1029="Total splenectomy",BD1029="Partial splenectomy +/- splenopexy"),"Non-viable","Review"),IF(BB1029="NR",IF(OR(BD1029="Total splenectomy",BD1029="Partial splenectomy +/- splenopexy"),"NR - removed, check reason","NR"),"Not applicable")))))</f>
        <v/>
      </c>
    </row>
    <row r="1030">
      <c r="D1030" s="8" t="n"/>
      <c r="E1030" s="9">
        <f>IF(B1030="","",IF(B1030="OWN","Yes","No"))</f>
        <v/>
      </c>
      <c r="AF1030" s="9">
        <f>IF(ISNUMBER(Z1030),IF(Z1030&lt;=2,"&lt;=2 d",IF(Z1030&lt;=7,"3-7 d",IF(Z1030&lt;=30,"8-30 d","&gt;30 d"))),IF(AE1030&lt;&gt;"",AE1030,IF(Z1030="NR","NR","")))</f>
        <v/>
      </c>
      <c r="AX1030" s="9">
        <f>IF(ISNUMBER(AW1030),IF(AW1030&gt;450,"Yes","No"),IF(AW1030="NR","NR",""))</f>
        <v/>
      </c>
      <c r="BJ1030" s="9">
        <f>IF(BB1030="","",IF(BB1030="Non-viable","Non-viable",IF(BB1030="Viable","Viable",IF(BB1030="Partially non-viable",IF(OR(BD1030="Total splenectomy",BD1030="Partial splenectomy +/- splenopexy"),"Non-viable","Review"),IF(BB1030="NR",IF(OR(BD1030="Total splenectomy",BD1030="Partial splenectomy +/- splenopexy"),"NR - removed, check reason","NR"),"Not applicable")))))</f>
        <v/>
      </c>
    </row>
    <row r="1031">
      <c r="D1031" s="8" t="n"/>
      <c r="E1031" s="9">
        <f>IF(B1031="","",IF(B1031="OWN","Yes","No"))</f>
        <v/>
      </c>
      <c r="AF1031" s="9">
        <f>IF(ISNUMBER(Z1031),IF(Z1031&lt;=2,"&lt;=2 d",IF(Z1031&lt;=7,"3-7 d",IF(Z1031&lt;=30,"8-30 d","&gt;30 d"))),IF(AE1031&lt;&gt;"",AE1031,IF(Z1031="NR","NR","")))</f>
        <v/>
      </c>
      <c r="AX1031" s="9">
        <f>IF(ISNUMBER(AW1031),IF(AW1031&gt;450,"Yes","No"),IF(AW1031="NR","NR",""))</f>
        <v/>
      </c>
      <c r="BJ1031" s="9">
        <f>IF(BB1031="","",IF(BB1031="Non-viable","Non-viable",IF(BB1031="Viable","Viable",IF(BB1031="Partially non-viable",IF(OR(BD1031="Total splenectomy",BD1031="Partial splenectomy +/- splenopexy"),"Non-viable","Review"),IF(BB1031="NR",IF(OR(BD1031="Total splenectomy",BD1031="Partial splenectomy +/- splenopexy"),"NR - removed, check reason","NR"),"Not applicable")))))</f>
        <v/>
      </c>
    </row>
    <row r="1032">
      <c r="D1032" s="8" t="n"/>
      <c r="E1032" s="9">
        <f>IF(B1032="","",IF(B1032="OWN","Yes","No"))</f>
        <v/>
      </c>
      <c r="AF1032" s="9">
        <f>IF(ISNUMBER(Z1032),IF(Z1032&lt;=2,"&lt;=2 d",IF(Z1032&lt;=7,"3-7 d",IF(Z1032&lt;=30,"8-30 d","&gt;30 d"))),IF(AE1032&lt;&gt;"",AE1032,IF(Z1032="NR","NR","")))</f>
        <v/>
      </c>
      <c r="AX1032" s="9">
        <f>IF(ISNUMBER(AW1032),IF(AW1032&gt;450,"Yes","No"),IF(AW1032="NR","NR",""))</f>
        <v/>
      </c>
      <c r="BJ1032" s="9">
        <f>IF(BB1032="","",IF(BB1032="Non-viable","Non-viable",IF(BB1032="Viable","Viable",IF(BB1032="Partially non-viable",IF(OR(BD1032="Total splenectomy",BD1032="Partial splenectomy +/- splenopexy"),"Non-viable","Review"),IF(BB1032="NR",IF(OR(BD1032="Total splenectomy",BD1032="Partial splenectomy +/- splenopexy"),"NR - removed, check reason","NR"),"Not applicable")))))</f>
        <v/>
      </c>
    </row>
    <row r="1033">
      <c r="D1033" s="8" t="n"/>
      <c r="E1033" s="9">
        <f>IF(B1033="","",IF(B1033="OWN","Yes","No"))</f>
        <v/>
      </c>
      <c r="AF1033" s="9">
        <f>IF(ISNUMBER(Z1033),IF(Z1033&lt;=2,"&lt;=2 d",IF(Z1033&lt;=7,"3-7 d",IF(Z1033&lt;=30,"8-30 d","&gt;30 d"))),IF(AE1033&lt;&gt;"",AE1033,IF(Z1033="NR","NR","")))</f>
        <v/>
      </c>
      <c r="AX1033" s="9">
        <f>IF(ISNUMBER(AW1033),IF(AW1033&gt;450,"Yes","No"),IF(AW1033="NR","NR",""))</f>
        <v/>
      </c>
      <c r="BJ1033" s="9">
        <f>IF(BB1033="","",IF(BB1033="Non-viable","Non-viable",IF(BB1033="Viable","Viable",IF(BB1033="Partially non-viable",IF(OR(BD1033="Total splenectomy",BD1033="Partial splenectomy +/- splenopexy"),"Non-viable","Review"),IF(BB1033="NR",IF(OR(BD1033="Total splenectomy",BD1033="Partial splenectomy +/- splenopexy"),"NR - removed, check reason","NR"),"Not applicable")))))</f>
        <v/>
      </c>
    </row>
    <row r="1034">
      <c r="D1034" s="8" t="n"/>
      <c r="E1034" s="9">
        <f>IF(B1034="","",IF(B1034="OWN","Yes","No"))</f>
        <v/>
      </c>
      <c r="AF1034" s="9">
        <f>IF(ISNUMBER(Z1034),IF(Z1034&lt;=2,"&lt;=2 d",IF(Z1034&lt;=7,"3-7 d",IF(Z1034&lt;=30,"8-30 d","&gt;30 d"))),IF(AE1034&lt;&gt;"",AE1034,IF(Z1034="NR","NR","")))</f>
        <v/>
      </c>
      <c r="AX1034" s="9">
        <f>IF(ISNUMBER(AW1034),IF(AW1034&gt;450,"Yes","No"),IF(AW1034="NR","NR",""))</f>
        <v/>
      </c>
      <c r="BJ1034" s="9">
        <f>IF(BB1034="","",IF(BB1034="Non-viable","Non-viable",IF(BB1034="Viable","Viable",IF(BB1034="Partially non-viable",IF(OR(BD1034="Total splenectomy",BD1034="Partial splenectomy +/- splenopexy"),"Non-viable","Review"),IF(BB1034="NR",IF(OR(BD1034="Total splenectomy",BD1034="Partial splenectomy +/- splenopexy"),"NR - removed, check reason","NR"),"Not applicable")))))</f>
        <v/>
      </c>
    </row>
    <row r="1035">
      <c r="D1035" s="8" t="n"/>
      <c r="E1035" s="9">
        <f>IF(B1035="","",IF(B1035="OWN","Yes","No"))</f>
        <v/>
      </c>
      <c r="AF1035" s="9">
        <f>IF(ISNUMBER(Z1035),IF(Z1035&lt;=2,"&lt;=2 d",IF(Z1035&lt;=7,"3-7 d",IF(Z1035&lt;=30,"8-30 d","&gt;30 d"))),IF(AE1035&lt;&gt;"",AE1035,IF(Z1035="NR","NR","")))</f>
        <v/>
      </c>
      <c r="AX1035" s="9">
        <f>IF(ISNUMBER(AW1035),IF(AW1035&gt;450,"Yes","No"),IF(AW1035="NR","NR",""))</f>
        <v/>
      </c>
      <c r="BJ1035" s="9">
        <f>IF(BB1035="","",IF(BB1035="Non-viable","Non-viable",IF(BB1035="Viable","Viable",IF(BB1035="Partially non-viable",IF(OR(BD1035="Total splenectomy",BD1035="Partial splenectomy +/- splenopexy"),"Non-viable","Review"),IF(BB1035="NR",IF(OR(BD1035="Total splenectomy",BD1035="Partial splenectomy +/- splenopexy"),"NR - removed, check reason","NR"),"Not applicable")))))</f>
        <v/>
      </c>
    </row>
    <row r="1036">
      <c r="D1036" s="8" t="n"/>
      <c r="E1036" s="9">
        <f>IF(B1036="","",IF(B1036="OWN","Yes","No"))</f>
        <v/>
      </c>
      <c r="AF1036" s="9">
        <f>IF(ISNUMBER(Z1036),IF(Z1036&lt;=2,"&lt;=2 d",IF(Z1036&lt;=7,"3-7 d",IF(Z1036&lt;=30,"8-30 d","&gt;30 d"))),IF(AE1036&lt;&gt;"",AE1036,IF(Z1036="NR","NR","")))</f>
        <v/>
      </c>
      <c r="AX1036" s="9">
        <f>IF(ISNUMBER(AW1036),IF(AW1036&gt;450,"Yes","No"),IF(AW1036="NR","NR",""))</f>
        <v/>
      </c>
      <c r="BJ1036" s="9">
        <f>IF(BB1036="","",IF(BB1036="Non-viable","Non-viable",IF(BB1036="Viable","Viable",IF(BB1036="Partially non-viable",IF(OR(BD1036="Total splenectomy",BD1036="Partial splenectomy +/- splenopexy"),"Non-viable","Review"),IF(BB1036="NR",IF(OR(BD1036="Total splenectomy",BD1036="Partial splenectomy +/- splenopexy"),"NR - removed, check reason","NR"),"Not applicable")))))</f>
        <v/>
      </c>
    </row>
    <row r="1037">
      <c r="D1037" s="8" t="n"/>
      <c r="E1037" s="9">
        <f>IF(B1037="","",IF(B1037="OWN","Yes","No"))</f>
        <v/>
      </c>
      <c r="AF1037" s="9">
        <f>IF(ISNUMBER(Z1037),IF(Z1037&lt;=2,"&lt;=2 d",IF(Z1037&lt;=7,"3-7 d",IF(Z1037&lt;=30,"8-30 d","&gt;30 d"))),IF(AE1037&lt;&gt;"",AE1037,IF(Z1037="NR","NR","")))</f>
        <v/>
      </c>
      <c r="AX1037" s="9">
        <f>IF(ISNUMBER(AW1037),IF(AW1037&gt;450,"Yes","No"),IF(AW1037="NR","NR",""))</f>
        <v/>
      </c>
      <c r="BJ1037" s="9">
        <f>IF(BB1037="","",IF(BB1037="Non-viable","Non-viable",IF(BB1037="Viable","Viable",IF(BB1037="Partially non-viable",IF(OR(BD1037="Total splenectomy",BD1037="Partial splenectomy +/- splenopexy"),"Non-viable","Review"),IF(BB1037="NR",IF(OR(BD1037="Total splenectomy",BD1037="Partial splenectomy +/- splenopexy"),"NR - removed, check reason","NR"),"Not applicable")))))</f>
        <v/>
      </c>
    </row>
    <row r="1038">
      <c r="D1038" s="8" t="n"/>
      <c r="E1038" s="9">
        <f>IF(B1038="","",IF(B1038="OWN","Yes","No"))</f>
        <v/>
      </c>
      <c r="AF1038" s="9">
        <f>IF(ISNUMBER(Z1038),IF(Z1038&lt;=2,"&lt;=2 d",IF(Z1038&lt;=7,"3-7 d",IF(Z1038&lt;=30,"8-30 d","&gt;30 d"))),IF(AE1038&lt;&gt;"",AE1038,IF(Z1038="NR","NR","")))</f>
        <v/>
      </c>
      <c r="AX1038" s="9">
        <f>IF(ISNUMBER(AW1038),IF(AW1038&gt;450,"Yes","No"),IF(AW1038="NR","NR",""))</f>
        <v/>
      </c>
      <c r="BJ1038" s="9">
        <f>IF(BB1038="","",IF(BB1038="Non-viable","Non-viable",IF(BB1038="Viable","Viable",IF(BB1038="Partially non-viable",IF(OR(BD1038="Total splenectomy",BD1038="Partial splenectomy +/- splenopexy"),"Non-viable","Review"),IF(BB1038="NR",IF(OR(BD1038="Total splenectomy",BD1038="Partial splenectomy +/- splenopexy"),"NR - removed, check reason","NR"),"Not applicable")))))</f>
        <v/>
      </c>
    </row>
    <row r="1039">
      <c r="D1039" s="8" t="n"/>
      <c r="E1039" s="9">
        <f>IF(B1039="","",IF(B1039="OWN","Yes","No"))</f>
        <v/>
      </c>
      <c r="AF1039" s="9">
        <f>IF(ISNUMBER(Z1039),IF(Z1039&lt;=2,"&lt;=2 d",IF(Z1039&lt;=7,"3-7 d",IF(Z1039&lt;=30,"8-30 d","&gt;30 d"))),IF(AE1039&lt;&gt;"",AE1039,IF(Z1039="NR","NR","")))</f>
        <v/>
      </c>
      <c r="AX1039" s="9">
        <f>IF(ISNUMBER(AW1039),IF(AW1039&gt;450,"Yes","No"),IF(AW1039="NR","NR",""))</f>
        <v/>
      </c>
      <c r="BJ1039" s="9">
        <f>IF(BB1039="","",IF(BB1039="Non-viable","Non-viable",IF(BB1039="Viable","Viable",IF(BB1039="Partially non-viable",IF(OR(BD1039="Total splenectomy",BD1039="Partial splenectomy +/- splenopexy"),"Non-viable","Review"),IF(BB1039="NR",IF(OR(BD1039="Total splenectomy",BD1039="Partial splenectomy +/- splenopexy"),"NR - removed, check reason","NR"),"Not applicable")))))</f>
        <v/>
      </c>
    </row>
    <row r="1040">
      <c r="D1040" s="8" t="n"/>
      <c r="E1040" s="9">
        <f>IF(B1040="","",IF(B1040="OWN","Yes","No"))</f>
        <v/>
      </c>
      <c r="AF1040" s="9">
        <f>IF(ISNUMBER(Z1040),IF(Z1040&lt;=2,"&lt;=2 d",IF(Z1040&lt;=7,"3-7 d",IF(Z1040&lt;=30,"8-30 d","&gt;30 d"))),IF(AE1040&lt;&gt;"",AE1040,IF(Z1040="NR","NR","")))</f>
        <v/>
      </c>
      <c r="AX1040" s="9">
        <f>IF(ISNUMBER(AW1040),IF(AW1040&gt;450,"Yes","No"),IF(AW1040="NR","NR",""))</f>
        <v/>
      </c>
      <c r="BJ1040" s="9">
        <f>IF(BB1040="","",IF(BB1040="Non-viable","Non-viable",IF(BB1040="Viable","Viable",IF(BB1040="Partially non-viable",IF(OR(BD1040="Total splenectomy",BD1040="Partial splenectomy +/- splenopexy"),"Non-viable","Review"),IF(BB1040="NR",IF(OR(BD1040="Total splenectomy",BD1040="Partial splenectomy +/- splenopexy"),"NR - removed, check reason","NR"),"Not applicable")))))</f>
        <v/>
      </c>
    </row>
    <row r="1041">
      <c r="D1041" s="8" t="n"/>
      <c r="E1041" s="9">
        <f>IF(B1041="","",IF(B1041="OWN","Yes","No"))</f>
        <v/>
      </c>
      <c r="AF1041" s="9">
        <f>IF(ISNUMBER(Z1041),IF(Z1041&lt;=2,"&lt;=2 d",IF(Z1041&lt;=7,"3-7 d",IF(Z1041&lt;=30,"8-30 d","&gt;30 d"))),IF(AE1041&lt;&gt;"",AE1041,IF(Z1041="NR","NR","")))</f>
        <v/>
      </c>
      <c r="AX1041" s="9">
        <f>IF(ISNUMBER(AW1041),IF(AW1041&gt;450,"Yes","No"),IF(AW1041="NR","NR",""))</f>
        <v/>
      </c>
      <c r="BJ1041" s="9">
        <f>IF(BB1041="","",IF(BB1041="Non-viable","Non-viable",IF(BB1041="Viable","Viable",IF(BB1041="Partially non-viable",IF(OR(BD1041="Total splenectomy",BD1041="Partial splenectomy +/- splenopexy"),"Non-viable","Review"),IF(BB1041="NR",IF(OR(BD1041="Total splenectomy",BD1041="Partial splenectomy +/- splenopexy"),"NR - removed, check reason","NR"),"Not applicable")))))</f>
        <v/>
      </c>
    </row>
    <row r="1042">
      <c r="D1042" s="8" t="n"/>
      <c r="E1042" s="9">
        <f>IF(B1042="","",IF(B1042="OWN","Yes","No"))</f>
        <v/>
      </c>
      <c r="AF1042" s="9">
        <f>IF(ISNUMBER(Z1042),IF(Z1042&lt;=2,"&lt;=2 d",IF(Z1042&lt;=7,"3-7 d",IF(Z1042&lt;=30,"8-30 d","&gt;30 d"))),IF(AE1042&lt;&gt;"",AE1042,IF(Z1042="NR","NR","")))</f>
        <v/>
      </c>
      <c r="AX1042" s="9">
        <f>IF(ISNUMBER(AW1042),IF(AW1042&gt;450,"Yes","No"),IF(AW1042="NR","NR",""))</f>
        <v/>
      </c>
      <c r="BJ1042" s="9">
        <f>IF(BB1042="","",IF(BB1042="Non-viable","Non-viable",IF(BB1042="Viable","Viable",IF(BB1042="Partially non-viable",IF(OR(BD1042="Total splenectomy",BD1042="Partial splenectomy +/- splenopexy"),"Non-viable","Review"),IF(BB1042="NR",IF(OR(BD1042="Total splenectomy",BD1042="Partial splenectomy +/- splenopexy"),"NR - removed, check reason","NR"),"Not applicable")))))</f>
        <v/>
      </c>
    </row>
    <row r="1043">
      <c r="D1043" s="8" t="n"/>
      <c r="E1043" s="9">
        <f>IF(B1043="","",IF(B1043="OWN","Yes","No"))</f>
        <v/>
      </c>
      <c r="AF1043" s="9">
        <f>IF(ISNUMBER(Z1043),IF(Z1043&lt;=2,"&lt;=2 d",IF(Z1043&lt;=7,"3-7 d",IF(Z1043&lt;=30,"8-30 d","&gt;30 d"))),IF(AE1043&lt;&gt;"",AE1043,IF(Z1043="NR","NR","")))</f>
        <v/>
      </c>
      <c r="AX1043" s="9">
        <f>IF(ISNUMBER(AW1043),IF(AW1043&gt;450,"Yes","No"),IF(AW1043="NR","NR",""))</f>
        <v/>
      </c>
      <c r="BJ1043" s="9">
        <f>IF(BB1043="","",IF(BB1043="Non-viable","Non-viable",IF(BB1043="Viable","Viable",IF(BB1043="Partially non-viable",IF(OR(BD1043="Total splenectomy",BD1043="Partial splenectomy +/- splenopexy"),"Non-viable","Review"),IF(BB1043="NR",IF(OR(BD1043="Total splenectomy",BD1043="Partial splenectomy +/- splenopexy"),"NR - removed, check reason","NR"),"Not applicable")))))</f>
        <v/>
      </c>
    </row>
    <row r="1044">
      <c r="D1044" s="8" t="n"/>
      <c r="E1044" s="9">
        <f>IF(B1044="","",IF(B1044="OWN","Yes","No"))</f>
        <v/>
      </c>
      <c r="AF1044" s="9">
        <f>IF(ISNUMBER(Z1044),IF(Z1044&lt;=2,"&lt;=2 d",IF(Z1044&lt;=7,"3-7 d",IF(Z1044&lt;=30,"8-30 d","&gt;30 d"))),IF(AE1044&lt;&gt;"",AE1044,IF(Z1044="NR","NR","")))</f>
        <v/>
      </c>
      <c r="AX1044" s="9">
        <f>IF(ISNUMBER(AW1044),IF(AW1044&gt;450,"Yes","No"),IF(AW1044="NR","NR",""))</f>
        <v/>
      </c>
      <c r="BJ1044" s="9">
        <f>IF(BB1044="","",IF(BB1044="Non-viable","Non-viable",IF(BB1044="Viable","Viable",IF(BB1044="Partially non-viable",IF(OR(BD1044="Total splenectomy",BD1044="Partial splenectomy +/- splenopexy"),"Non-viable","Review"),IF(BB1044="NR",IF(OR(BD1044="Total splenectomy",BD1044="Partial splenectomy +/- splenopexy"),"NR - removed, check reason","NR"),"Not applicable")))))</f>
        <v/>
      </c>
    </row>
    <row r="1045">
      <c r="D1045" s="8" t="n"/>
      <c r="E1045" s="9">
        <f>IF(B1045="","",IF(B1045="OWN","Yes","No"))</f>
        <v/>
      </c>
      <c r="AF1045" s="9">
        <f>IF(ISNUMBER(Z1045),IF(Z1045&lt;=2,"&lt;=2 d",IF(Z1045&lt;=7,"3-7 d",IF(Z1045&lt;=30,"8-30 d","&gt;30 d"))),IF(AE1045&lt;&gt;"",AE1045,IF(Z1045="NR","NR","")))</f>
        <v/>
      </c>
      <c r="AX1045" s="9">
        <f>IF(ISNUMBER(AW1045),IF(AW1045&gt;450,"Yes","No"),IF(AW1045="NR","NR",""))</f>
        <v/>
      </c>
      <c r="BJ1045" s="9">
        <f>IF(BB1045="","",IF(BB1045="Non-viable","Non-viable",IF(BB1045="Viable","Viable",IF(BB1045="Partially non-viable",IF(OR(BD1045="Total splenectomy",BD1045="Partial splenectomy +/- splenopexy"),"Non-viable","Review"),IF(BB1045="NR",IF(OR(BD1045="Total splenectomy",BD1045="Partial splenectomy +/- splenopexy"),"NR - removed, check reason","NR"),"Not applicable")))))</f>
        <v/>
      </c>
    </row>
    <row r="1046">
      <c r="D1046" s="8" t="n"/>
      <c r="E1046" s="9">
        <f>IF(B1046="","",IF(B1046="OWN","Yes","No"))</f>
        <v/>
      </c>
      <c r="AF1046" s="9">
        <f>IF(ISNUMBER(Z1046),IF(Z1046&lt;=2,"&lt;=2 d",IF(Z1046&lt;=7,"3-7 d",IF(Z1046&lt;=30,"8-30 d","&gt;30 d"))),IF(AE1046&lt;&gt;"",AE1046,IF(Z1046="NR","NR","")))</f>
        <v/>
      </c>
      <c r="AX1046" s="9">
        <f>IF(ISNUMBER(AW1046),IF(AW1046&gt;450,"Yes","No"),IF(AW1046="NR","NR",""))</f>
        <v/>
      </c>
      <c r="BJ1046" s="9">
        <f>IF(BB1046="","",IF(BB1046="Non-viable","Non-viable",IF(BB1046="Viable","Viable",IF(BB1046="Partially non-viable",IF(OR(BD1046="Total splenectomy",BD1046="Partial splenectomy +/- splenopexy"),"Non-viable","Review"),IF(BB1046="NR",IF(OR(BD1046="Total splenectomy",BD1046="Partial splenectomy +/- splenopexy"),"NR - removed, check reason","NR"),"Not applicable")))))</f>
        <v/>
      </c>
    </row>
    <row r="1047">
      <c r="D1047" s="8" t="n"/>
      <c r="E1047" s="9">
        <f>IF(B1047="","",IF(B1047="OWN","Yes","No"))</f>
        <v/>
      </c>
      <c r="AF1047" s="9">
        <f>IF(ISNUMBER(Z1047),IF(Z1047&lt;=2,"&lt;=2 d",IF(Z1047&lt;=7,"3-7 d",IF(Z1047&lt;=30,"8-30 d","&gt;30 d"))),IF(AE1047&lt;&gt;"",AE1047,IF(Z1047="NR","NR","")))</f>
        <v/>
      </c>
      <c r="AX1047" s="9">
        <f>IF(ISNUMBER(AW1047),IF(AW1047&gt;450,"Yes","No"),IF(AW1047="NR","NR",""))</f>
        <v/>
      </c>
      <c r="BJ1047" s="9">
        <f>IF(BB1047="","",IF(BB1047="Non-viable","Non-viable",IF(BB1047="Viable","Viable",IF(BB1047="Partially non-viable",IF(OR(BD1047="Total splenectomy",BD1047="Partial splenectomy +/- splenopexy"),"Non-viable","Review"),IF(BB1047="NR",IF(OR(BD1047="Total splenectomy",BD1047="Partial splenectomy +/- splenopexy"),"NR - removed, check reason","NR"),"Not applicable")))))</f>
        <v/>
      </c>
    </row>
    <row r="1048">
      <c r="D1048" s="8" t="n"/>
      <c r="E1048" s="9">
        <f>IF(B1048="","",IF(B1048="OWN","Yes","No"))</f>
        <v/>
      </c>
      <c r="AF1048" s="9">
        <f>IF(ISNUMBER(Z1048),IF(Z1048&lt;=2,"&lt;=2 d",IF(Z1048&lt;=7,"3-7 d",IF(Z1048&lt;=30,"8-30 d","&gt;30 d"))),IF(AE1048&lt;&gt;"",AE1048,IF(Z1048="NR","NR","")))</f>
        <v/>
      </c>
      <c r="AX1048" s="9">
        <f>IF(ISNUMBER(AW1048),IF(AW1048&gt;450,"Yes","No"),IF(AW1048="NR","NR",""))</f>
        <v/>
      </c>
      <c r="BJ1048" s="9">
        <f>IF(BB1048="","",IF(BB1048="Non-viable","Non-viable",IF(BB1048="Viable","Viable",IF(BB1048="Partially non-viable",IF(OR(BD1048="Total splenectomy",BD1048="Partial splenectomy +/- splenopexy"),"Non-viable","Review"),IF(BB1048="NR",IF(OR(BD1048="Total splenectomy",BD1048="Partial splenectomy +/- splenopexy"),"NR - removed, check reason","NR"),"Not applicable")))))</f>
        <v/>
      </c>
    </row>
    <row r="1049">
      <c r="D1049" s="8" t="n"/>
      <c r="E1049" s="9">
        <f>IF(B1049="","",IF(B1049="OWN","Yes","No"))</f>
        <v/>
      </c>
      <c r="AF1049" s="9">
        <f>IF(ISNUMBER(Z1049),IF(Z1049&lt;=2,"&lt;=2 d",IF(Z1049&lt;=7,"3-7 d",IF(Z1049&lt;=30,"8-30 d","&gt;30 d"))),IF(AE1049&lt;&gt;"",AE1049,IF(Z1049="NR","NR","")))</f>
        <v/>
      </c>
      <c r="AX1049" s="9">
        <f>IF(ISNUMBER(AW1049),IF(AW1049&gt;450,"Yes","No"),IF(AW1049="NR","NR",""))</f>
        <v/>
      </c>
      <c r="BJ1049" s="9">
        <f>IF(BB1049="","",IF(BB1049="Non-viable","Non-viable",IF(BB1049="Viable","Viable",IF(BB1049="Partially non-viable",IF(OR(BD1049="Total splenectomy",BD1049="Partial splenectomy +/- splenopexy"),"Non-viable","Review"),IF(BB1049="NR",IF(OR(BD1049="Total splenectomy",BD1049="Partial splenectomy +/- splenopexy"),"NR - removed, check reason","NR"),"Not applicable")))))</f>
        <v/>
      </c>
    </row>
    <row r="1050">
      <c r="D1050" s="8" t="n"/>
      <c r="E1050" s="9">
        <f>IF(B1050="","",IF(B1050="OWN","Yes","No"))</f>
        <v/>
      </c>
      <c r="AF1050" s="9">
        <f>IF(ISNUMBER(Z1050),IF(Z1050&lt;=2,"&lt;=2 d",IF(Z1050&lt;=7,"3-7 d",IF(Z1050&lt;=30,"8-30 d","&gt;30 d"))),IF(AE1050&lt;&gt;"",AE1050,IF(Z1050="NR","NR","")))</f>
        <v/>
      </c>
      <c r="AX1050" s="9">
        <f>IF(ISNUMBER(AW1050),IF(AW1050&gt;450,"Yes","No"),IF(AW1050="NR","NR",""))</f>
        <v/>
      </c>
      <c r="BJ1050" s="9">
        <f>IF(BB1050="","",IF(BB1050="Non-viable","Non-viable",IF(BB1050="Viable","Viable",IF(BB1050="Partially non-viable",IF(OR(BD1050="Total splenectomy",BD1050="Partial splenectomy +/- splenopexy"),"Non-viable","Review"),IF(BB1050="NR",IF(OR(BD1050="Total splenectomy",BD1050="Partial splenectomy +/- splenopexy"),"NR - removed, check reason","NR"),"Not applicable")))))</f>
        <v/>
      </c>
    </row>
    <row r="1051">
      <c r="D1051" s="8" t="n"/>
      <c r="E1051" s="9">
        <f>IF(B1051="","",IF(B1051="OWN","Yes","No"))</f>
        <v/>
      </c>
      <c r="AF1051" s="9">
        <f>IF(ISNUMBER(Z1051),IF(Z1051&lt;=2,"&lt;=2 d",IF(Z1051&lt;=7,"3-7 d",IF(Z1051&lt;=30,"8-30 d","&gt;30 d"))),IF(AE1051&lt;&gt;"",AE1051,IF(Z1051="NR","NR","")))</f>
        <v/>
      </c>
      <c r="AX1051" s="9">
        <f>IF(ISNUMBER(AW1051),IF(AW1051&gt;450,"Yes","No"),IF(AW1051="NR","NR",""))</f>
        <v/>
      </c>
      <c r="BJ1051" s="9">
        <f>IF(BB1051="","",IF(BB1051="Non-viable","Non-viable",IF(BB1051="Viable","Viable",IF(BB1051="Partially non-viable",IF(OR(BD1051="Total splenectomy",BD1051="Partial splenectomy +/- splenopexy"),"Non-viable","Review"),IF(BB1051="NR",IF(OR(BD1051="Total splenectomy",BD1051="Partial splenectomy +/- splenopexy"),"NR - removed, check reason","NR"),"Not applicable")))))</f>
        <v/>
      </c>
    </row>
    <row r="1052">
      <c r="D1052" s="8" t="n"/>
      <c r="E1052" s="9">
        <f>IF(B1052="","",IF(B1052="OWN","Yes","No"))</f>
        <v/>
      </c>
      <c r="AF1052" s="9">
        <f>IF(ISNUMBER(Z1052),IF(Z1052&lt;=2,"&lt;=2 d",IF(Z1052&lt;=7,"3-7 d",IF(Z1052&lt;=30,"8-30 d","&gt;30 d"))),IF(AE1052&lt;&gt;"",AE1052,IF(Z1052="NR","NR","")))</f>
        <v/>
      </c>
      <c r="AX1052" s="9">
        <f>IF(ISNUMBER(AW1052),IF(AW1052&gt;450,"Yes","No"),IF(AW1052="NR","NR",""))</f>
        <v/>
      </c>
      <c r="BJ1052" s="9">
        <f>IF(BB1052="","",IF(BB1052="Non-viable","Non-viable",IF(BB1052="Viable","Viable",IF(BB1052="Partially non-viable",IF(OR(BD1052="Total splenectomy",BD1052="Partial splenectomy +/- splenopexy"),"Non-viable","Review"),IF(BB1052="NR",IF(OR(BD1052="Total splenectomy",BD1052="Partial splenectomy +/- splenopexy"),"NR - removed, check reason","NR"),"Not applicable")))))</f>
        <v/>
      </c>
    </row>
    <row r="1053">
      <c r="D1053" s="8" t="n"/>
      <c r="E1053" s="9">
        <f>IF(B1053="","",IF(B1053="OWN","Yes","No"))</f>
        <v/>
      </c>
      <c r="AF1053" s="9">
        <f>IF(ISNUMBER(Z1053),IF(Z1053&lt;=2,"&lt;=2 d",IF(Z1053&lt;=7,"3-7 d",IF(Z1053&lt;=30,"8-30 d","&gt;30 d"))),IF(AE1053&lt;&gt;"",AE1053,IF(Z1053="NR","NR","")))</f>
        <v/>
      </c>
      <c r="AX1053" s="9">
        <f>IF(ISNUMBER(AW1053),IF(AW1053&gt;450,"Yes","No"),IF(AW1053="NR","NR",""))</f>
        <v/>
      </c>
      <c r="BJ1053" s="9">
        <f>IF(BB1053="","",IF(BB1053="Non-viable","Non-viable",IF(BB1053="Viable","Viable",IF(BB1053="Partially non-viable",IF(OR(BD1053="Total splenectomy",BD1053="Partial splenectomy +/- splenopexy"),"Non-viable","Review"),IF(BB1053="NR",IF(OR(BD1053="Total splenectomy",BD1053="Partial splenectomy +/- splenopexy"),"NR - removed, check reason","NR"),"Not applicable")))))</f>
        <v/>
      </c>
    </row>
    <row r="1054">
      <c r="D1054" s="8" t="n"/>
      <c r="E1054" s="9">
        <f>IF(B1054="","",IF(B1054="OWN","Yes","No"))</f>
        <v/>
      </c>
      <c r="AF1054" s="9">
        <f>IF(ISNUMBER(Z1054),IF(Z1054&lt;=2,"&lt;=2 d",IF(Z1054&lt;=7,"3-7 d",IF(Z1054&lt;=30,"8-30 d","&gt;30 d"))),IF(AE1054&lt;&gt;"",AE1054,IF(Z1054="NR","NR","")))</f>
        <v/>
      </c>
      <c r="AX1054" s="9">
        <f>IF(ISNUMBER(AW1054),IF(AW1054&gt;450,"Yes","No"),IF(AW1054="NR","NR",""))</f>
        <v/>
      </c>
      <c r="BJ1054" s="9">
        <f>IF(BB1054="","",IF(BB1054="Non-viable","Non-viable",IF(BB1054="Viable","Viable",IF(BB1054="Partially non-viable",IF(OR(BD1054="Total splenectomy",BD1054="Partial splenectomy +/- splenopexy"),"Non-viable","Review"),IF(BB1054="NR",IF(OR(BD1054="Total splenectomy",BD1054="Partial splenectomy +/- splenopexy"),"NR - removed, check reason","NR"),"Not applicable")))))</f>
        <v/>
      </c>
    </row>
    <row r="1055">
      <c r="D1055" s="8" t="n"/>
      <c r="E1055" s="9">
        <f>IF(B1055="","",IF(B1055="OWN","Yes","No"))</f>
        <v/>
      </c>
      <c r="AF1055" s="9">
        <f>IF(ISNUMBER(Z1055),IF(Z1055&lt;=2,"&lt;=2 d",IF(Z1055&lt;=7,"3-7 d",IF(Z1055&lt;=30,"8-30 d","&gt;30 d"))),IF(AE1055&lt;&gt;"",AE1055,IF(Z1055="NR","NR","")))</f>
        <v/>
      </c>
      <c r="AX1055" s="9">
        <f>IF(ISNUMBER(AW1055),IF(AW1055&gt;450,"Yes","No"),IF(AW1055="NR","NR",""))</f>
        <v/>
      </c>
      <c r="BJ1055" s="9">
        <f>IF(BB1055="","",IF(BB1055="Non-viable","Non-viable",IF(BB1055="Viable","Viable",IF(BB1055="Partially non-viable",IF(OR(BD1055="Total splenectomy",BD1055="Partial splenectomy +/- splenopexy"),"Non-viable","Review"),IF(BB1055="NR",IF(OR(BD1055="Total splenectomy",BD1055="Partial splenectomy +/- splenopexy"),"NR - removed, check reason","NR"),"Not applicable")))))</f>
        <v/>
      </c>
    </row>
    <row r="1056">
      <c r="D1056" s="8" t="n"/>
      <c r="E1056" s="9">
        <f>IF(B1056="","",IF(B1056="OWN","Yes","No"))</f>
        <v/>
      </c>
      <c r="AF1056" s="9">
        <f>IF(ISNUMBER(Z1056),IF(Z1056&lt;=2,"&lt;=2 d",IF(Z1056&lt;=7,"3-7 d",IF(Z1056&lt;=30,"8-30 d","&gt;30 d"))),IF(AE1056&lt;&gt;"",AE1056,IF(Z1056="NR","NR","")))</f>
        <v/>
      </c>
      <c r="AX1056" s="9">
        <f>IF(ISNUMBER(AW1056),IF(AW1056&gt;450,"Yes","No"),IF(AW1056="NR","NR",""))</f>
        <v/>
      </c>
      <c r="BJ1056" s="9">
        <f>IF(BB1056="","",IF(BB1056="Non-viable","Non-viable",IF(BB1056="Viable","Viable",IF(BB1056="Partially non-viable",IF(OR(BD1056="Total splenectomy",BD1056="Partial splenectomy +/- splenopexy"),"Non-viable","Review"),IF(BB1056="NR",IF(OR(BD1056="Total splenectomy",BD1056="Partial splenectomy +/- splenopexy"),"NR - removed, check reason","NR"),"Not applicable")))))</f>
        <v/>
      </c>
    </row>
    <row r="1057">
      <c r="D1057" s="8" t="n"/>
      <c r="E1057" s="9">
        <f>IF(B1057="","",IF(B1057="OWN","Yes","No"))</f>
        <v/>
      </c>
      <c r="AF1057" s="9">
        <f>IF(ISNUMBER(Z1057),IF(Z1057&lt;=2,"&lt;=2 d",IF(Z1057&lt;=7,"3-7 d",IF(Z1057&lt;=30,"8-30 d","&gt;30 d"))),IF(AE1057&lt;&gt;"",AE1057,IF(Z1057="NR","NR","")))</f>
        <v/>
      </c>
      <c r="AX1057" s="9">
        <f>IF(ISNUMBER(AW1057),IF(AW1057&gt;450,"Yes","No"),IF(AW1057="NR","NR",""))</f>
        <v/>
      </c>
      <c r="BJ1057" s="9">
        <f>IF(BB1057="","",IF(BB1057="Non-viable","Non-viable",IF(BB1057="Viable","Viable",IF(BB1057="Partially non-viable",IF(OR(BD1057="Total splenectomy",BD1057="Partial splenectomy +/- splenopexy"),"Non-viable","Review"),IF(BB1057="NR",IF(OR(BD1057="Total splenectomy",BD1057="Partial splenectomy +/- splenopexy"),"NR - removed, check reason","NR"),"Not applicable")))))</f>
        <v/>
      </c>
    </row>
    <row r="1058">
      <c r="D1058" s="8" t="n"/>
      <c r="E1058" s="9">
        <f>IF(B1058="","",IF(B1058="OWN","Yes","No"))</f>
        <v/>
      </c>
      <c r="AF1058" s="9">
        <f>IF(ISNUMBER(Z1058),IF(Z1058&lt;=2,"&lt;=2 d",IF(Z1058&lt;=7,"3-7 d",IF(Z1058&lt;=30,"8-30 d","&gt;30 d"))),IF(AE1058&lt;&gt;"",AE1058,IF(Z1058="NR","NR","")))</f>
        <v/>
      </c>
      <c r="AX1058" s="9">
        <f>IF(ISNUMBER(AW1058),IF(AW1058&gt;450,"Yes","No"),IF(AW1058="NR","NR",""))</f>
        <v/>
      </c>
      <c r="BJ1058" s="9">
        <f>IF(BB1058="","",IF(BB1058="Non-viable","Non-viable",IF(BB1058="Viable","Viable",IF(BB1058="Partially non-viable",IF(OR(BD1058="Total splenectomy",BD1058="Partial splenectomy +/- splenopexy"),"Non-viable","Review"),IF(BB1058="NR",IF(OR(BD1058="Total splenectomy",BD1058="Partial splenectomy +/- splenopexy"),"NR - removed, check reason","NR"),"Not applicable")))))</f>
        <v/>
      </c>
    </row>
    <row r="1059">
      <c r="D1059" s="8" t="n"/>
      <c r="E1059" s="9">
        <f>IF(B1059="","",IF(B1059="OWN","Yes","No"))</f>
        <v/>
      </c>
      <c r="AF1059" s="9">
        <f>IF(ISNUMBER(Z1059),IF(Z1059&lt;=2,"&lt;=2 d",IF(Z1059&lt;=7,"3-7 d",IF(Z1059&lt;=30,"8-30 d","&gt;30 d"))),IF(AE1059&lt;&gt;"",AE1059,IF(Z1059="NR","NR","")))</f>
        <v/>
      </c>
      <c r="AX1059" s="9">
        <f>IF(ISNUMBER(AW1059),IF(AW1059&gt;450,"Yes","No"),IF(AW1059="NR","NR",""))</f>
        <v/>
      </c>
      <c r="BJ1059" s="9">
        <f>IF(BB1059="","",IF(BB1059="Non-viable","Non-viable",IF(BB1059="Viable","Viable",IF(BB1059="Partially non-viable",IF(OR(BD1059="Total splenectomy",BD1059="Partial splenectomy +/- splenopexy"),"Non-viable","Review"),IF(BB1059="NR",IF(OR(BD1059="Total splenectomy",BD1059="Partial splenectomy +/- splenopexy"),"NR - removed, check reason","NR"),"Not applicable")))))</f>
        <v/>
      </c>
    </row>
    <row r="1060">
      <c r="D1060" s="8" t="n"/>
      <c r="E1060" s="9">
        <f>IF(B1060="","",IF(B1060="OWN","Yes","No"))</f>
        <v/>
      </c>
      <c r="AF1060" s="9">
        <f>IF(ISNUMBER(Z1060),IF(Z1060&lt;=2,"&lt;=2 d",IF(Z1060&lt;=7,"3-7 d",IF(Z1060&lt;=30,"8-30 d","&gt;30 d"))),IF(AE1060&lt;&gt;"",AE1060,IF(Z1060="NR","NR","")))</f>
        <v/>
      </c>
      <c r="AX1060" s="9">
        <f>IF(ISNUMBER(AW1060),IF(AW1060&gt;450,"Yes","No"),IF(AW1060="NR","NR",""))</f>
        <v/>
      </c>
      <c r="BJ1060" s="9">
        <f>IF(BB1060="","",IF(BB1060="Non-viable","Non-viable",IF(BB1060="Viable","Viable",IF(BB1060="Partially non-viable",IF(OR(BD1060="Total splenectomy",BD1060="Partial splenectomy +/- splenopexy"),"Non-viable","Review"),IF(BB1060="NR",IF(OR(BD1060="Total splenectomy",BD1060="Partial splenectomy +/- splenopexy"),"NR - removed, check reason","NR"),"Not applicable")))))</f>
        <v/>
      </c>
    </row>
    <row r="1061">
      <c r="D1061" s="8" t="n"/>
      <c r="E1061" s="9">
        <f>IF(B1061="","",IF(B1061="OWN","Yes","No"))</f>
        <v/>
      </c>
      <c r="AF1061" s="9">
        <f>IF(ISNUMBER(Z1061),IF(Z1061&lt;=2,"&lt;=2 d",IF(Z1061&lt;=7,"3-7 d",IF(Z1061&lt;=30,"8-30 d","&gt;30 d"))),IF(AE1061&lt;&gt;"",AE1061,IF(Z1061="NR","NR","")))</f>
        <v/>
      </c>
      <c r="AX1061" s="9">
        <f>IF(ISNUMBER(AW1061),IF(AW1061&gt;450,"Yes","No"),IF(AW1061="NR","NR",""))</f>
        <v/>
      </c>
      <c r="BJ1061" s="9">
        <f>IF(BB1061="","",IF(BB1061="Non-viable","Non-viable",IF(BB1061="Viable","Viable",IF(BB1061="Partially non-viable",IF(OR(BD1061="Total splenectomy",BD1061="Partial splenectomy +/- splenopexy"),"Non-viable","Review"),IF(BB1061="NR",IF(OR(BD1061="Total splenectomy",BD1061="Partial splenectomy +/- splenopexy"),"NR - removed, check reason","NR"),"Not applicable")))))</f>
        <v/>
      </c>
    </row>
    <row r="1062">
      <c r="D1062" s="8" t="n"/>
      <c r="E1062" s="9">
        <f>IF(B1062="","",IF(B1062="OWN","Yes","No"))</f>
        <v/>
      </c>
      <c r="AF1062" s="9">
        <f>IF(ISNUMBER(Z1062),IF(Z1062&lt;=2,"&lt;=2 d",IF(Z1062&lt;=7,"3-7 d",IF(Z1062&lt;=30,"8-30 d","&gt;30 d"))),IF(AE1062&lt;&gt;"",AE1062,IF(Z1062="NR","NR","")))</f>
        <v/>
      </c>
      <c r="AX1062" s="9">
        <f>IF(ISNUMBER(AW1062),IF(AW1062&gt;450,"Yes","No"),IF(AW1062="NR","NR",""))</f>
        <v/>
      </c>
      <c r="BJ1062" s="9">
        <f>IF(BB1062="","",IF(BB1062="Non-viable","Non-viable",IF(BB1062="Viable","Viable",IF(BB1062="Partially non-viable",IF(OR(BD1062="Total splenectomy",BD1062="Partial splenectomy +/- splenopexy"),"Non-viable","Review"),IF(BB1062="NR",IF(OR(BD1062="Total splenectomy",BD1062="Partial splenectomy +/- splenopexy"),"NR - removed, check reason","NR"),"Not applicable")))))</f>
        <v/>
      </c>
    </row>
    <row r="1063">
      <c r="D1063" s="8" t="n"/>
      <c r="E1063" s="9">
        <f>IF(B1063="","",IF(B1063="OWN","Yes","No"))</f>
        <v/>
      </c>
      <c r="AF1063" s="9">
        <f>IF(ISNUMBER(Z1063),IF(Z1063&lt;=2,"&lt;=2 d",IF(Z1063&lt;=7,"3-7 d",IF(Z1063&lt;=30,"8-30 d","&gt;30 d"))),IF(AE1063&lt;&gt;"",AE1063,IF(Z1063="NR","NR","")))</f>
        <v/>
      </c>
      <c r="AX1063" s="9">
        <f>IF(ISNUMBER(AW1063),IF(AW1063&gt;450,"Yes","No"),IF(AW1063="NR","NR",""))</f>
        <v/>
      </c>
      <c r="BJ1063" s="9">
        <f>IF(BB1063="","",IF(BB1063="Non-viable","Non-viable",IF(BB1063="Viable","Viable",IF(BB1063="Partially non-viable",IF(OR(BD1063="Total splenectomy",BD1063="Partial splenectomy +/- splenopexy"),"Non-viable","Review"),IF(BB1063="NR",IF(OR(BD1063="Total splenectomy",BD1063="Partial splenectomy +/- splenopexy"),"NR - removed, check reason","NR"),"Not applicable")))))</f>
        <v/>
      </c>
    </row>
    <row r="1064">
      <c r="D1064" s="8" t="n"/>
      <c r="E1064" s="9">
        <f>IF(B1064="","",IF(B1064="OWN","Yes","No"))</f>
        <v/>
      </c>
      <c r="AF1064" s="9">
        <f>IF(ISNUMBER(Z1064),IF(Z1064&lt;=2,"&lt;=2 d",IF(Z1064&lt;=7,"3-7 d",IF(Z1064&lt;=30,"8-30 d","&gt;30 d"))),IF(AE1064&lt;&gt;"",AE1064,IF(Z1064="NR","NR","")))</f>
        <v/>
      </c>
      <c r="AX1064" s="9">
        <f>IF(ISNUMBER(AW1064),IF(AW1064&gt;450,"Yes","No"),IF(AW1064="NR","NR",""))</f>
        <v/>
      </c>
      <c r="BJ1064" s="9">
        <f>IF(BB1064="","",IF(BB1064="Non-viable","Non-viable",IF(BB1064="Viable","Viable",IF(BB1064="Partially non-viable",IF(OR(BD1064="Total splenectomy",BD1064="Partial splenectomy +/- splenopexy"),"Non-viable","Review"),IF(BB1064="NR",IF(OR(BD1064="Total splenectomy",BD1064="Partial splenectomy +/- splenopexy"),"NR - removed, check reason","NR"),"Not applicable")))))</f>
        <v/>
      </c>
    </row>
    <row r="1065">
      <c r="D1065" s="8" t="n"/>
      <c r="E1065" s="9">
        <f>IF(B1065="","",IF(B1065="OWN","Yes","No"))</f>
        <v/>
      </c>
      <c r="AF1065" s="9">
        <f>IF(ISNUMBER(Z1065),IF(Z1065&lt;=2,"&lt;=2 d",IF(Z1065&lt;=7,"3-7 d",IF(Z1065&lt;=30,"8-30 d","&gt;30 d"))),IF(AE1065&lt;&gt;"",AE1065,IF(Z1065="NR","NR","")))</f>
        <v/>
      </c>
      <c r="AX1065" s="9">
        <f>IF(ISNUMBER(AW1065),IF(AW1065&gt;450,"Yes","No"),IF(AW1065="NR","NR",""))</f>
        <v/>
      </c>
      <c r="BJ1065" s="9">
        <f>IF(BB1065="","",IF(BB1065="Non-viable","Non-viable",IF(BB1065="Viable","Viable",IF(BB1065="Partially non-viable",IF(OR(BD1065="Total splenectomy",BD1065="Partial splenectomy +/- splenopexy"),"Non-viable","Review"),IF(BB1065="NR",IF(OR(BD1065="Total splenectomy",BD1065="Partial splenectomy +/- splenopexy"),"NR - removed, check reason","NR"),"Not applicable")))))</f>
        <v/>
      </c>
    </row>
    <row r="1066">
      <c r="D1066" s="8" t="n"/>
      <c r="E1066" s="9">
        <f>IF(B1066="","",IF(B1066="OWN","Yes","No"))</f>
        <v/>
      </c>
      <c r="AF1066" s="9">
        <f>IF(ISNUMBER(Z1066),IF(Z1066&lt;=2,"&lt;=2 d",IF(Z1066&lt;=7,"3-7 d",IF(Z1066&lt;=30,"8-30 d","&gt;30 d"))),IF(AE1066&lt;&gt;"",AE1066,IF(Z1066="NR","NR","")))</f>
        <v/>
      </c>
      <c r="AX1066" s="9">
        <f>IF(ISNUMBER(AW1066),IF(AW1066&gt;450,"Yes","No"),IF(AW1066="NR","NR",""))</f>
        <v/>
      </c>
      <c r="BJ1066" s="9">
        <f>IF(BB1066="","",IF(BB1066="Non-viable","Non-viable",IF(BB1066="Viable","Viable",IF(BB1066="Partially non-viable",IF(OR(BD1066="Total splenectomy",BD1066="Partial splenectomy +/- splenopexy"),"Non-viable","Review"),IF(BB1066="NR",IF(OR(BD1066="Total splenectomy",BD1066="Partial splenectomy +/- splenopexy"),"NR - removed, check reason","NR"),"Not applicable")))))</f>
        <v/>
      </c>
    </row>
    <row r="1067">
      <c r="D1067" s="8" t="n"/>
      <c r="E1067" s="9">
        <f>IF(B1067="","",IF(B1067="OWN","Yes","No"))</f>
        <v/>
      </c>
      <c r="AF1067" s="9">
        <f>IF(ISNUMBER(Z1067),IF(Z1067&lt;=2,"&lt;=2 d",IF(Z1067&lt;=7,"3-7 d",IF(Z1067&lt;=30,"8-30 d","&gt;30 d"))),IF(AE1067&lt;&gt;"",AE1067,IF(Z1067="NR","NR","")))</f>
        <v/>
      </c>
      <c r="AX1067" s="9">
        <f>IF(ISNUMBER(AW1067),IF(AW1067&gt;450,"Yes","No"),IF(AW1067="NR","NR",""))</f>
        <v/>
      </c>
      <c r="BJ1067" s="9">
        <f>IF(BB1067="","",IF(BB1067="Non-viable","Non-viable",IF(BB1067="Viable","Viable",IF(BB1067="Partially non-viable",IF(OR(BD1067="Total splenectomy",BD1067="Partial splenectomy +/- splenopexy"),"Non-viable","Review"),IF(BB1067="NR",IF(OR(BD1067="Total splenectomy",BD1067="Partial splenectomy +/- splenopexy"),"NR - removed, check reason","NR"),"Not applicable")))))</f>
        <v/>
      </c>
    </row>
    <row r="1068">
      <c r="D1068" s="8" t="n"/>
      <c r="E1068" s="9">
        <f>IF(B1068="","",IF(B1068="OWN","Yes","No"))</f>
        <v/>
      </c>
      <c r="AF1068" s="9">
        <f>IF(ISNUMBER(Z1068),IF(Z1068&lt;=2,"&lt;=2 d",IF(Z1068&lt;=7,"3-7 d",IF(Z1068&lt;=30,"8-30 d","&gt;30 d"))),IF(AE1068&lt;&gt;"",AE1068,IF(Z1068="NR","NR","")))</f>
        <v/>
      </c>
      <c r="AX1068" s="9">
        <f>IF(ISNUMBER(AW1068),IF(AW1068&gt;450,"Yes","No"),IF(AW1068="NR","NR",""))</f>
        <v/>
      </c>
      <c r="BJ1068" s="9">
        <f>IF(BB1068="","",IF(BB1068="Non-viable","Non-viable",IF(BB1068="Viable","Viable",IF(BB1068="Partially non-viable",IF(OR(BD1068="Total splenectomy",BD1068="Partial splenectomy +/- splenopexy"),"Non-viable","Review"),IF(BB1068="NR",IF(OR(BD1068="Total splenectomy",BD1068="Partial splenectomy +/- splenopexy"),"NR - removed, check reason","NR"),"Not applicable")))))</f>
        <v/>
      </c>
    </row>
    <row r="1069">
      <c r="D1069" s="8" t="n"/>
      <c r="E1069" s="9">
        <f>IF(B1069="","",IF(B1069="OWN","Yes","No"))</f>
        <v/>
      </c>
      <c r="AF1069" s="9">
        <f>IF(ISNUMBER(Z1069),IF(Z1069&lt;=2,"&lt;=2 d",IF(Z1069&lt;=7,"3-7 d",IF(Z1069&lt;=30,"8-30 d","&gt;30 d"))),IF(AE1069&lt;&gt;"",AE1069,IF(Z1069="NR","NR","")))</f>
        <v/>
      </c>
      <c r="AX1069" s="9">
        <f>IF(ISNUMBER(AW1069),IF(AW1069&gt;450,"Yes","No"),IF(AW1069="NR","NR",""))</f>
        <v/>
      </c>
      <c r="BJ1069" s="9">
        <f>IF(BB1069="","",IF(BB1069="Non-viable","Non-viable",IF(BB1069="Viable","Viable",IF(BB1069="Partially non-viable",IF(OR(BD1069="Total splenectomy",BD1069="Partial splenectomy +/- splenopexy"),"Non-viable","Review"),IF(BB1069="NR",IF(OR(BD1069="Total splenectomy",BD1069="Partial splenectomy +/- splenopexy"),"NR - removed, check reason","NR"),"Not applicable")))))</f>
        <v/>
      </c>
    </row>
    <row r="1070">
      <c r="D1070" s="8" t="n"/>
      <c r="E1070" s="9">
        <f>IF(B1070="","",IF(B1070="OWN","Yes","No"))</f>
        <v/>
      </c>
      <c r="AF1070" s="9">
        <f>IF(ISNUMBER(Z1070),IF(Z1070&lt;=2,"&lt;=2 d",IF(Z1070&lt;=7,"3-7 d",IF(Z1070&lt;=30,"8-30 d","&gt;30 d"))),IF(AE1070&lt;&gt;"",AE1070,IF(Z1070="NR","NR","")))</f>
        <v/>
      </c>
      <c r="AX1070" s="9">
        <f>IF(ISNUMBER(AW1070),IF(AW1070&gt;450,"Yes","No"),IF(AW1070="NR","NR",""))</f>
        <v/>
      </c>
      <c r="BJ1070" s="9">
        <f>IF(BB1070="","",IF(BB1070="Non-viable","Non-viable",IF(BB1070="Viable","Viable",IF(BB1070="Partially non-viable",IF(OR(BD1070="Total splenectomy",BD1070="Partial splenectomy +/- splenopexy"),"Non-viable","Review"),IF(BB1070="NR",IF(OR(BD1070="Total splenectomy",BD1070="Partial splenectomy +/- splenopexy"),"NR - removed, check reason","NR"),"Not applicable")))))</f>
        <v/>
      </c>
    </row>
    <row r="1071">
      <c r="D1071" s="8" t="n"/>
      <c r="E1071" s="9">
        <f>IF(B1071="","",IF(B1071="OWN","Yes","No"))</f>
        <v/>
      </c>
      <c r="AF1071" s="9">
        <f>IF(ISNUMBER(Z1071),IF(Z1071&lt;=2,"&lt;=2 d",IF(Z1071&lt;=7,"3-7 d",IF(Z1071&lt;=30,"8-30 d","&gt;30 d"))),IF(AE1071&lt;&gt;"",AE1071,IF(Z1071="NR","NR","")))</f>
        <v/>
      </c>
      <c r="AX1071" s="9">
        <f>IF(ISNUMBER(AW1071),IF(AW1071&gt;450,"Yes","No"),IF(AW1071="NR","NR",""))</f>
        <v/>
      </c>
      <c r="BJ1071" s="9">
        <f>IF(BB1071="","",IF(BB1071="Non-viable","Non-viable",IF(BB1071="Viable","Viable",IF(BB1071="Partially non-viable",IF(OR(BD1071="Total splenectomy",BD1071="Partial splenectomy +/- splenopexy"),"Non-viable","Review"),IF(BB1071="NR",IF(OR(BD1071="Total splenectomy",BD1071="Partial splenectomy +/- splenopexy"),"NR - removed, check reason","NR"),"Not applicable")))))</f>
        <v/>
      </c>
    </row>
    <row r="1072">
      <c r="D1072" s="8" t="n"/>
      <c r="E1072" s="9">
        <f>IF(B1072="","",IF(B1072="OWN","Yes","No"))</f>
        <v/>
      </c>
      <c r="AF1072" s="9">
        <f>IF(ISNUMBER(Z1072),IF(Z1072&lt;=2,"&lt;=2 d",IF(Z1072&lt;=7,"3-7 d",IF(Z1072&lt;=30,"8-30 d","&gt;30 d"))),IF(AE1072&lt;&gt;"",AE1072,IF(Z1072="NR","NR","")))</f>
        <v/>
      </c>
      <c r="AX1072" s="9">
        <f>IF(ISNUMBER(AW1072),IF(AW1072&gt;450,"Yes","No"),IF(AW1072="NR","NR",""))</f>
        <v/>
      </c>
      <c r="BJ1072" s="9">
        <f>IF(BB1072="","",IF(BB1072="Non-viable","Non-viable",IF(BB1072="Viable","Viable",IF(BB1072="Partially non-viable",IF(OR(BD1072="Total splenectomy",BD1072="Partial splenectomy +/- splenopexy"),"Non-viable","Review"),IF(BB1072="NR",IF(OR(BD1072="Total splenectomy",BD1072="Partial splenectomy +/- splenopexy"),"NR - removed, check reason","NR"),"Not applicable")))))</f>
        <v/>
      </c>
    </row>
    <row r="1073">
      <c r="D1073" s="8" t="n"/>
      <c r="E1073" s="9">
        <f>IF(B1073="","",IF(B1073="OWN","Yes","No"))</f>
        <v/>
      </c>
      <c r="AF1073" s="9">
        <f>IF(ISNUMBER(Z1073),IF(Z1073&lt;=2,"&lt;=2 d",IF(Z1073&lt;=7,"3-7 d",IF(Z1073&lt;=30,"8-30 d","&gt;30 d"))),IF(AE1073&lt;&gt;"",AE1073,IF(Z1073="NR","NR","")))</f>
        <v/>
      </c>
      <c r="AX1073" s="9">
        <f>IF(ISNUMBER(AW1073),IF(AW1073&gt;450,"Yes","No"),IF(AW1073="NR","NR",""))</f>
        <v/>
      </c>
      <c r="BJ1073" s="9">
        <f>IF(BB1073="","",IF(BB1073="Non-viable","Non-viable",IF(BB1073="Viable","Viable",IF(BB1073="Partially non-viable",IF(OR(BD1073="Total splenectomy",BD1073="Partial splenectomy +/- splenopexy"),"Non-viable","Review"),IF(BB1073="NR",IF(OR(BD1073="Total splenectomy",BD1073="Partial splenectomy +/- splenopexy"),"NR - removed, check reason","NR"),"Not applicable")))))</f>
        <v/>
      </c>
    </row>
    <row r="1074">
      <c r="D1074" s="8" t="n"/>
      <c r="E1074" s="9">
        <f>IF(B1074="","",IF(B1074="OWN","Yes","No"))</f>
        <v/>
      </c>
      <c r="AF1074" s="9">
        <f>IF(ISNUMBER(Z1074),IF(Z1074&lt;=2,"&lt;=2 d",IF(Z1074&lt;=7,"3-7 d",IF(Z1074&lt;=30,"8-30 d","&gt;30 d"))),IF(AE1074&lt;&gt;"",AE1074,IF(Z1074="NR","NR","")))</f>
        <v/>
      </c>
      <c r="AX1074" s="9">
        <f>IF(ISNUMBER(AW1074),IF(AW1074&gt;450,"Yes","No"),IF(AW1074="NR","NR",""))</f>
        <v/>
      </c>
      <c r="BJ1074" s="9">
        <f>IF(BB1074="","",IF(BB1074="Non-viable","Non-viable",IF(BB1074="Viable","Viable",IF(BB1074="Partially non-viable",IF(OR(BD1074="Total splenectomy",BD1074="Partial splenectomy +/- splenopexy"),"Non-viable","Review"),IF(BB1074="NR",IF(OR(BD1074="Total splenectomy",BD1074="Partial splenectomy +/- splenopexy"),"NR - removed, check reason","NR"),"Not applicable")))))</f>
        <v/>
      </c>
    </row>
    <row r="1075">
      <c r="D1075" s="8" t="n"/>
      <c r="E1075" s="9">
        <f>IF(B1075="","",IF(B1075="OWN","Yes","No"))</f>
        <v/>
      </c>
      <c r="AF1075" s="9">
        <f>IF(ISNUMBER(Z1075),IF(Z1075&lt;=2,"&lt;=2 d",IF(Z1075&lt;=7,"3-7 d",IF(Z1075&lt;=30,"8-30 d","&gt;30 d"))),IF(AE1075&lt;&gt;"",AE1075,IF(Z1075="NR","NR","")))</f>
        <v/>
      </c>
      <c r="AX1075" s="9">
        <f>IF(ISNUMBER(AW1075),IF(AW1075&gt;450,"Yes","No"),IF(AW1075="NR","NR",""))</f>
        <v/>
      </c>
      <c r="BJ1075" s="9">
        <f>IF(BB1075="","",IF(BB1075="Non-viable","Non-viable",IF(BB1075="Viable","Viable",IF(BB1075="Partially non-viable",IF(OR(BD1075="Total splenectomy",BD1075="Partial splenectomy +/- splenopexy"),"Non-viable","Review"),IF(BB1075="NR",IF(OR(BD1075="Total splenectomy",BD1075="Partial splenectomy +/- splenopexy"),"NR - removed, check reason","NR"),"Not applicable")))))</f>
        <v/>
      </c>
    </row>
    <row r="1076">
      <c r="D1076" s="8" t="n"/>
      <c r="E1076" s="9">
        <f>IF(B1076="","",IF(B1076="OWN","Yes","No"))</f>
        <v/>
      </c>
      <c r="AF1076" s="9">
        <f>IF(ISNUMBER(Z1076),IF(Z1076&lt;=2,"&lt;=2 d",IF(Z1076&lt;=7,"3-7 d",IF(Z1076&lt;=30,"8-30 d","&gt;30 d"))),IF(AE1076&lt;&gt;"",AE1076,IF(Z1076="NR","NR","")))</f>
        <v/>
      </c>
      <c r="AX1076" s="9">
        <f>IF(ISNUMBER(AW1076),IF(AW1076&gt;450,"Yes","No"),IF(AW1076="NR","NR",""))</f>
        <v/>
      </c>
      <c r="BJ1076" s="9">
        <f>IF(BB1076="","",IF(BB1076="Non-viable","Non-viable",IF(BB1076="Viable","Viable",IF(BB1076="Partially non-viable",IF(OR(BD1076="Total splenectomy",BD1076="Partial splenectomy +/- splenopexy"),"Non-viable","Review"),IF(BB1076="NR",IF(OR(BD1076="Total splenectomy",BD1076="Partial splenectomy +/- splenopexy"),"NR - removed, check reason","NR"),"Not applicable")))))</f>
        <v/>
      </c>
    </row>
    <row r="1077">
      <c r="D1077" s="8" t="n"/>
      <c r="E1077" s="9">
        <f>IF(B1077="","",IF(B1077="OWN","Yes","No"))</f>
        <v/>
      </c>
      <c r="AF1077" s="9">
        <f>IF(ISNUMBER(Z1077),IF(Z1077&lt;=2,"&lt;=2 d",IF(Z1077&lt;=7,"3-7 d",IF(Z1077&lt;=30,"8-30 d","&gt;30 d"))),IF(AE1077&lt;&gt;"",AE1077,IF(Z1077="NR","NR","")))</f>
        <v/>
      </c>
      <c r="AX1077" s="9">
        <f>IF(ISNUMBER(AW1077),IF(AW1077&gt;450,"Yes","No"),IF(AW1077="NR","NR",""))</f>
        <v/>
      </c>
      <c r="BJ1077" s="9">
        <f>IF(BB1077="","",IF(BB1077="Non-viable","Non-viable",IF(BB1077="Viable","Viable",IF(BB1077="Partially non-viable",IF(OR(BD1077="Total splenectomy",BD1077="Partial splenectomy +/- splenopexy"),"Non-viable","Review"),IF(BB1077="NR",IF(OR(BD1077="Total splenectomy",BD1077="Partial splenectomy +/- splenopexy"),"NR - removed, check reason","NR"),"Not applicable")))))</f>
        <v/>
      </c>
    </row>
    <row r="1078">
      <c r="D1078" s="8" t="n"/>
      <c r="E1078" s="9">
        <f>IF(B1078="","",IF(B1078="OWN","Yes","No"))</f>
        <v/>
      </c>
      <c r="AF1078" s="9">
        <f>IF(ISNUMBER(Z1078),IF(Z1078&lt;=2,"&lt;=2 d",IF(Z1078&lt;=7,"3-7 d",IF(Z1078&lt;=30,"8-30 d","&gt;30 d"))),IF(AE1078&lt;&gt;"",AE1078,IF(Z1078="NR","NR","")))</f>
        <v/>
      </c>
      <c r="AX1078" s="9">
        <f>IF(ISNUMBER(AW1078),IF(AW1078&gt;450,"Yes","No"),IF(AW1078="NR","NR",""))</f>
        <v/>
      </c>
      <c r="BJ1078" s="9">
        <f>IF(BB1078="","",IF(BB1078="Non-viable","Non-viable",IF(BB1078="Viable","Viable",IF(BB1078="Partially non-viable",IF(OR(BD1078="Total splenectomy",BD1078="Partial splenectomy +/- splenopexy"),"Non-viable","Review"),IF(BB1078="NR",IF(OR(BD1078="Total splenectomy",BD1078="Partial splenectomy +/- splenopexy"),"NR - removed, check reason","NR"),"Not applicable")))))</f>
        <v/>
      </c>
    </row>
    <row r="1079">
      <c r="D1079" s="8" t="n"/>
      <c r="E1079" s="9">
        <f>IF(B1079="","",IF(B1079="OWN","Yes","No"))</f>
        <v/>
      </c>
      <c r="AF1079" s="9">
        <f>IF(ISNUMBER(Z1079),IF(Z1079&lt;=2,"&lt;=2 d",IF(Z1079&lt;=7,"3-7 d",IF(Z1079&lt;=30,"8-30 d","&gt;30 d"))),IF(AE1079&lt;&gt;"",AE1079,IF(Z1079="NR","NR","")))</f>
        <v/>
      </c>
      <c r="AX1079" s="9">
        <f>IF(ISNUMBER(AW1079),IF(AW1079&gt;450,"Yes","No"),IF(AW1079="NR","NR",""))</f>
        <v/>
      </c>
      <c r="BJ1079" s="9">
        <f>IF(BB1079="","",IF(BB1079="Non-viable","Non-viable",IF(BB1079="Viable","Viable",IF(BB1079="Partially non-viable",IF(OR(BD1079="Total splenectomy",BD1079="Partial splenectomy +/- splenopexy"),"Non-viable","Review"),IF(BB1079="NR",IF(OR(BD1079="Total splenectomy",BD1079="Partial splenectomy +/- splenopexy"),"NR - removed, check reason","NR"),"Not applicable")))))</f>
        <v/>
      </c>
    </row>
    <row r="1080">
      <c r="D1080" s="8" t="n"/>
      <c r="E1080" s="9">
        <f>IF(B1080="","",IF(B1080="OWN","Yes","No"))</f>
        <v/>
      </c>
      <c r="AF1080" s="9">
        <f>IF(ISNUMBER(Z1080),IF(Z1080&lt;=2,"&lt;=2 d",IF(Z1080&lt;=7,"3-7 d",IF(Z1080&lt;=30,"8-30 d","&gt;30 d"))),IF(AE1080&lt;&gt;"",AE1080,IF(Z1080="NR","NR","")))</f>
        <v/>
      </c>
      <c r="AX1080" s="9">
        <f>IF(ISNUMBER(AW1080),IF(AW1080&gt;450,"Yes","No"),IF(AW1080="NR","NR",""))</f>
        <v/>
      </c>
      <c r="BJ1080" s="9">
        <f>IF(BB1080="","",IF(BB1080="Non-viable","Non-viable",IF(BB1080="Viable","Viable",IF(BB1080="Partially non-viable",IF(OR(BD1080="Total splenectomy",BD1080="Partial splenectomy +/- splenopexy"),"Non-viable","Review"),IF(BB1080="NR",IF(OR(BD1080="Total splenectomy",BD1080="Partial splenectomy +/- splenopexy"),"NR - removed, check reason","NR"),"Not applicable")))))</f>
        <v/>
      </c>
    </row>
    <row r="1081">
      <c r="D1081" s="8" t="n"/>
      <c r="E1081" s="9">
        <f>IF(B1081="","",IF(B1081="OWN","Yes","No"))</f>
        <v/>
      </c>
      <c r="AF1081" s="9">
        <f>IF(ISNUMBER(Z1081),IF(Z1081&lt;=2,"&lt;=2 d",IF(Z1081&lt;=7,"3-7 d",IF(Z1081&lt;=30,"8-30 d","&gt;30 d"))),IF(AE1081&lt;&gt;"",AE1081,IF(Z1081="NR","NR","")))</f>
        <v/>
      </c>
      <c r="AX1081" s="9">
        <f>IF(ISNUMBER(AW1081),IF(AW1081&gt;450,"Yes","No"),IF(AW1081="NR","NR",""))</f>
        <v/>
      </c>
      <c r="BJ1081" s="9">
        <f>IF(BB1081="","",IF(BB1081="Non-viable","Non-viable",IF(BB1081="Viable","Viable",IF(BB1081="Partially non-viable",IF(OR(BD1081="Total splenectomy",BD1081="Partial splenectomy +/- splenopexy"),"Non-viable","Review"),IF(BB1081="NR",IF(OR(BD1081="Total splenectomy",BD1081="Partial splenectomy +/- splenopexy"),"NR - removed, check reason","NR"),"Not applicable")))))</f>
        <v/>
      </c>
    </row>
    <row r="1082">
      <c r="D1082" s="8" t="n"/>
      <c r="E1082" s="9">
        <f>IF(B1082="","",IF(B1082="OWN","Yes","No"))</f>
        <v/>
      </c>
      <c r="AF1082" s="9">
        <f>IF(ISNUMBER(Z1082),IF(Z1082&lt;=2,"&lt;=2 d",IF(Z1082&lt;=7,"3-7 d",IF(Z1082&lt;=30,"8-30 d","&gt;30 d"))),IF(AE1082&lt;&gt;"",AE1082,IF(Z1082="NR","NR","")))</f>
        <v/>
      </c>
      <c r="AX1082" s="9">
        <f>IF(ISNUMBER(AW1082),IF(AW1082&gt;450,"Yes","No"),IF(AW1082="NR","NR",""))</f>
        <v/>
      </c>
      <c r="BJ1082" s="9">
        <f>IF(BB1082="","",IF(BB1082="Non-viable","Non-viable",IF(BB1082="Viable","Viable",IF(BB1082="Partially non-viable",IF(OR(BD1082="Total splenectomy",BD1082="Partial splenectomy +/- splenopexy"),"Non-viable","Review"),IF(BB1082="NR",IF(OR(BD1082="Total splenectomy",BD1082="Partial splenectomy +/- splenopexy"),"NR - removed, check reason","NR"),"Not applicable")))))</f>
        <v/>
      </c>
    </row>
    <row r="1083">
      <c r="D1083" s="8" t="n"/>
      <c r="E1083" s="9">
        <f>IF(B1083="","",IF(B1083="OWN","Yes","No"))</f>
        <v/>
      </c>
      <c r="AF1083" s="9">
        <f>IF(ISNUMBER(Z1083),IF(Z1083&lt;=2,"&lt;=2 d",IF(Z1083&lt;=7,"3-7 d",IF(Z1083&lt;=30,"8-30 d","&gt;30 d"))),IF(AE1083&lt;&gt;"",AE1083,IF(Z1083="NR","NR","")))</f>
        <v/>
      </c>
      <c r="AX1083" s="9">
        <f>IF(ISNUMBER(AW1083),IF(AW1083&gt;450,"Yes","No"),IF(AW1083="NR","NR",""))</f>
        <v/>
      </c>
      <c r="BJ1083" s="9">
        <f>IF(BB1083="","",IF(BB1083="Non-viable","Non-viable",IF(BB1083="Viable","Viable",IF(BB1083="Partially non-viable",IF(OR(BD1083="Total splenectomy",BD1083="Partial splenectomy +/- splenopexy"),"Non-viable","Review"),IF(BB1083="NR",IF(OR(BD1083="Total splenectomy",BD1083="Partial splenectomy +/- splenopexy"),"NR - removed, check reason","NR"),"Not applicable")))))</f>
        <v/>
      </c>
    </row>
    <row r="1084">
      <c r="D1084" s="8" t="n"/>
      <c r="E1084" s="9">
        <f>IF(B1084="","",IF(B1084="OWN","Yes","No"))</f>
        <v/>
      </c>
      <c r="AF1084" s="9">
        <f>IF(ISNUMBER(Z1084),IF(Z1084&lt;=2,"&lt;=2 d",IF(Z1084&lt;=7,"3-7 d",IF(Z1084&lt;=30,"8-30 d","&gt;30 d"))),IF(AE1084&lt;&gt;"",AE1084,IF(Z1084="NR","NR","")))</f>
        <v/>
      </c>
      <c r="AX1084" s="9">
        <f>IF(ISNUMBER(AW1084),IF(AW1084&gt;450,"Yes","No"),IF(AW1084="NR","NR",""))</f>
        <v/>
      </c>
      <c r="BJ1084" s="9">
        <f>IF(BB1084="","",IF(BB1084="Non-viable","Non-viable",IF(BB1084="Viable","Viable",IF(BB1084="Partially non-viable",IF(OR(BD1084="Total splenectomy",BD1084="Partial splenectomy +/- splenopexy"),"Non-viable","Review"),IF(BB1084="NR",IF(OR(BD1084="Total splenectomy",BD1084="Partial splenectomy +/- splenopexy"),"NR - removed, check reason","NR"),"Not applicable")))))</f>
        <v/>
      </c>
    </row>
    <row r="1085">
      <c r="D1085" s="8" t="n"/>
      <c r="E1085" s="9">
        <f>IF(B1085="","",IF(B1085="OWN","Yes","No"))</f>
        <v/>
      </c>
      <c r="AF1085" s="9">
        <f>IF(ISNUMBER(Z1085),IF(Z1085&lt;=2,"&lt;=2 d",IF(Z1085&lt;=7,"3-7 d",IF(Z1085&lt;=30,"8-30 d","&gt;30 d"))),IF(AE1085&lt;&gt;"",AE1085,IF(Z1085="NR","NR","")))</f>
        <v/>
      </c>
      <c r="AX1085" s="9">
        <f>IF(ISNUMBER(AW1085),IF(AW1085&gt;450,"Yes","No"),IF(AW1085="NR","NR",""))</f>
        <v/>
      </c>
      <c r="BJ1085" s="9">
        <f>IF(BB1085="","",IF(BB1085="Non-viable","Non-viable",IF(BB1085="Viable","Viable",IF(BB1085="Partially non-viable",IF(OR(BD1085="Total splenectomy",BD1085="Partial splenectomy +/- splenopexy"),"Non-viable","Review"),IF(BB1085="NR",IF(OR(BD1085="Total splenectomy",BD1085="Partial splenectomy +/- splenopexy"),"NR - removed, check reason","NR"),"Not applicable")))))</f>
        <v/>
      </c>
    </row>
    <row r="1086">
      <c r="D1086" s="8" t="n"/>
      <c r="E1086" s="9">
        <f>IF(B1086="","",IF(B1086="OWN","Yes","No"))</f>
        <v/>
      </c>
      <c r="AF1086" s="9">
        <f>IF(ISNUMBER(Z1086),IF(Z1086&lt;=2,"&lt;=2 d",IF(Z1086&lt;=7,"3-7 d",IF(Z1086&lt;=30,"8-30 d","&gt;30 d"))),IF(AE1086&lt;&gt;"",AE1086,IF(Z1086="NR","NR","")))</f>
        <v/>
      </c>
      <c r="AX1086" s="9">
        <f>IF(ISNUMBER(AW1086),IF(AW1086&gt;450,"Yes","No"),IF(AW1086="NR","NR",""))</f>
        <v/>
      </c>
      <c r="BJ1086" s="9">
        <f>IF(BB1086="","",IF(BB1086="Non-viable","Non-viable",IF(BB1086="Viable","Viable",IF(BB1086="Partially non-viable",IF(OR(BD1086="Total splenectomy",BD1086="Partial splenectomy +/- splenopexy"),"Non-viable","Review"),IF(BB1086="NR",IF(OR(BD1086="Total splenectomy",BD1086="Partial splenectomy +/- splenopexy"),"NR - removed, check reason","NR"),"Not applicable")))))</f>
        <v/>
      </c>
    </row>
    <row r="1087">
      <c r="D1087" s="8" t="n"/>
      <c r="E1087" s="9">
        <f>IF(B1087="","",IF(B1087="OWN","Yes","No"))</f>
        <v/>
      </c>
      <c r="AF1087" s="9">
        <f>IF(ISNUMBER(Z1087),IF(Z1087&lt;=2,"&lt;=2 d",IF(Z1087&lt;=7,"3-7 d",IF(Z1087&lt;=30,"8-30 d","&gt;30 d"))),IF(AE1087&lt;&gt;"",AE1087,IF(Z1087="NR","NR","")))</f>
        <v/>
      </c>
      <c r="AX1087" s="9">
        <f>IF(ISNUMBER(AW1087),IF(AW1087&gt;450,"Yes","No"),IF(AW1087="NR","NR",""))</f>
        <v/>
      </c>
      <c r="BJ1087" s="9">
        <f>IF(BB1087="","",IF(BB1087="Non-viable","Non-viable",IF(BB1087="Viable","Viable",IF(BB1087="Partially non-viable",IF(OR(BD1087="Total splenectomy",BD1087="Partial splenectomy +/- splenopexy"),"Non-viable","Review"),IF(BB1087="NR",IF(OR(BD1087="Total splenectomy",BD1087="Partial splenectomy +/- splenopexy"),"NR - removed, check reason","NR"),"Not applicable")))))</f>
        <v/>
      </c>
    </row>
    <row r="1088">
      <c r="D1088" s="8" t="n"/>
      <c r="E1088" s="9">
        <f>IF(B1088="","",IF(B1088="OWN","Yes","No"))</f>
        <v/>
      </c>
      <c r="AF1088" s="9">
        <f>IF(ISNUMBER(Z1088),IF(Z1088&lt;=2,"&lt;=2 d",IF(Z1088&lt;=7,"3-7 d",IF(Z1088&lt;=30,"8-30 d","&gt;30 d"))),IF(AE1088&lt;&gt;"",AE1088,IF(Z1088="NR","NR","")))</f>
        <v/>
      </c>
      <c r="AX1088" s="9">
        <f>IF(ISNUMBER(AW1088),IF(AW1088&gt;450,"Yes","No"),IF(AW1088="NR","NR",""))</f>
        <v/>
      </c>
      <c r="BJ1088" s="9">
        <f>IF(BB1088="","",IF(BB1088="Non-viable","Non-viable",IF(BB1088="Viable","Viable",IF(BB1088="Partially non-viable",IF(OR(BD1088="Total splenectomy",BD1088="Partial splenectomy +/- splenopexy"),"Non-viable","Review"),IF(BB1088="NR",IF(OR(BD1088="Total splenectomy",BD1088="Partial splenectomy +/- splenopexy"),"NR - removed, check reason","NR"),"Not applicable")))))</f>
        <v/>
      </c>
    </row>
    <row r="1089">
      <c r="D1089" s="8" t="n"/>
      <c r="E1089" s="9">
        <f>IF(B1089="","",IF(B1089="OWN","Yes","No"))</f>
        <v/>
      </c>
      <c r="AF1089" s="9">
        <f>IF(ISNUMBER(Z1089),IF(Z1089&lt;=2,"&lt;=2 d",IF(Z1089&lt;=7,"3-7 d",IF(Z1089&lt;=30,"8-30 d","&gt;30 d"))),IF(AE1089&lt;&gt;"",AE1089,IF(Z1089="NR","NR","")))</f>
        <v/>
      </c>
      <c r="AX1089" s="9">
        <f>IF(ISNUMBER(AW1089),IF(AW1089&gt;450,"Yes","No"),IF(AW1089="NR","NR",""))</f>
        <v/>
      </c>
      <c r="BJ1089" s="9">
        <f>IF(BB1089="","",IF(BB1089="Non-viable","Non-viable",IF(BB1089="Viable","Viable",IF(BB1089="Partially non-viable",IF(OR(BD1089="Total splenectomy",BD1089="Partial splenectomy +/- splenopexy"),"Non-viable","Review"),IF(BB1089="NR",IF(OR(BD1089="Total splenectomy",BD1089="Partial splenectomy +/- splenopexy"),"NR - removed, check reason","NR"),"Not applicable")))))</f>
        <v/>
      </c>
    </row>
    <row r="1090">
      <c r="D1090" s="8" t="n"/>
      <c r="E1090" s="9">
        <f>IF(B1090="","",IF(B1090="OWN","Yes","No"))</f>
        <v/>
      </c>
      <c r="AF1090" s="9">
        <f>IF(ISNUMBER(Z1090),IF(Z1090&lt;=2,"&lt;=2 d",IF(Z1090&lt;=7,"3-7 d",IF(Z1090&lt;=30,"8-30 d","&gt;30 d"))),IF(AE1090&lt;&gt;"",AE1090,IF(Z1090="NR","NR","")))</f>
        <v/>
      </c>
      <c r="AX1090" s="9">
        <f>IF(ISNUMBER(AW1090),IF(AW1090&gt;450,"Yes","No"),IF(AW1090="NR","NR",""))</f>
        <v/>
      </c>
      <c r="BJ1090" s="9">
        <f>IF(BB1090="","",IF(BB1090="Non-viable","Non-viable",IF(BB1090="Viable","Viable",IF(BB1090="Partially non-viable",IF(OR(BD1090="Total splenectomy",BD1090="Partial splenectomy +/- splenopexy"),"Non-viable","Review"),IF(BB1090="NR",IF(OR(BD1090="Total splenectomy",BD1090="Partial splenectomy +/- splenopexy"),"NR - removed, check reason","NR"),"Not applicable")))))</f>
        <v/>
      </c>
    </row>
    <row r="1091">
      <c r="D1091" s="8" t="n"/>
      <c r="E1091" s="9">
        <f>IF(B1091="","",IF(B1091="OWN","Yes","No"))</f>
        <v/>
      </c>
      <c r="AF1091" s="9">
        <f>IF(ISNUMBER(Z1091),IF(Z1091&lt;=2,"&lt;=2 d",IF(Z1091&lt;=7,"3-7 d",IF(Z1091&lt;=30,"8-30 d","&gt;30 d"))),IF(AE1091&lt;&gt;"",AE1091,IF(Z1091="NR","NR","")))</f>
        <v/>
      </c>
      <c r="AX1091" s="9">
        <f>IF(ISNUMBER(AW1091),IF(AW1091&gt;450,"Yes","No"),IF(AW1091="NR","NR",""))</f>
        <v/>
      </c>
      <c r="BJ1091" s="9">
        <f>IF(BB1091="","",IF(BB1091="Non-viable","Non-viable",IF(BB1091="Viable","Viable",IF(BB1091="Partially non-viable",IF(OR(BD1091="Total splenectomy",BD1091="Partial splenectomy +/- splenopexy"),"Non-viable","Review"),IF(BB1091="NR",IF(OR(BD1091="Total splenectomy",BD1091="Partial splenectomy +/- splenopexy"),"NR - removed, check reason","NR"),"Not applicable")))))</f>
        <v/>
      </c>
    </row>
    <row r="1092">
      <c r="D1092" s="8" t="n"/>
      <c r="E1092" s="9">
        <f>IF(B1092="","",IF(B1092="OWN","Yes","No"))</f>
        <v/>
      </c>
      <c r="AF1092" s="9">
        <f>IF(ISNUMBER(Z1092),IF(Z1092&lt;=2,"&lt;=2 d",IF(Z1092&lt;=7,"3-7 d",IF(Z1092&lt;=30,"8-30 d","&gt;30 d"))),IF(AE1092&lt;&gt;"",AE1092,IF(Z1092="NR","NR","")))</f>
        <v/>
      </c>
      <c r="AX1092" s="9">
        <f>IF(ISNUMBER(AW1092),IF(AW1092&gt;450,"Yes","No"),IF(AW1092="NR","NR",""))</f>
        <v/>
      </c>
      <c r="BJ1092" s="9">
        <f>IF(BB1092="","",IF(BB1092="Non-viable","Non-viable",IF(BB1092="Viable","Viable",IF(BB1092="Partially non-viable",IF(OR(BD1092="Total splenectomy",BD1092="Partial splenectomy +/- splenopexy"),"Non-viable","Review"),IF(BB1092="NR",IF(OR(BD1092="Total splenectomy",BD1092="Partial splenectomy +/- splenopexy"),"NR - removed, check reason","NR"),"Not applicable")))))</f>
        <v/>
      </c>
    </row>
    <row r="1093">
      <c r="D1093" s="8" t="n"/>
      <c r="E1093" s="9">
        <f>IF(B1093="","",IF(B1093="OWN","Yes","No"))</f>
        <v/>
      </c>
      <c r="AF1093" s="9">
        <f>IF(ISNUMBER(Z1093),IF(Z1093&lt;=2,"&lt;=2 d",IF(Z1093&lt;=7,"3-7 d",IF(Z1093&lt;=30,"8-30 d","&gt;30 d"))),IF(AE1093&lt;&gt;"",AE1093,IF(Z1093="NR","NR","")))</f>
        <v/>
      </c>
      <c r="AX1093" s="9">
        <f>IF(ISNUMBER(AW1093),IF(AW1093&gt;450,"Yes","No"),IF(AW1093="NR","NR",""))</f>
        <v/>
      </c>
      <c r="BJ1093" s="9">
        <f>IF(BB1093="","",IF(BB1093="Non-viable","Non-viable",IF(BB1093="Viable","Viable",IF(BB1093="Partially non-viable",IF(OR(BD1093="Total splenectomy",BD1093="Partial splenectomy +/- splenopexy"),"Non-viable","Review"),IF(BB1093="NR",IF(OR(BD1093="Total splenectomy",BD1093="Partial splenectomy +/- splenopexy"),"NR - removed, check reason","NR"),"Not applicable")))))</f>
        <v/>
      </c>
    </row>
    <row r="1094">
      <c r="D1094" s="8" t="n"/>
      <c r="E1094" s="9">
        <f>IF(B1094="","",IF(B1094="OWN","Yes","No"))</f>
        <v/>
      </c>
      <c r="AF1094" s="9">
        <f>IF(ISNUMBER(Z1094),IF(Z1094&lt;=2,"&lt;=2 d",IF(Z1094&lt;=7,"3-7 d",IF(Z1094&lt;=30,"8-30 d","&gt;30 d"))),IF(AE1094&lt;&gt;"",AE1094,IF(Z1094="NR","NR","")))</f>
        <v/>
      </c>
      <c r="AX1094" s="9">
        <f>IF(ISNUMBER(AW1094),IF(AW1094&gt;450,"Yes","No"),IF(AW1094="NR","NR",""))</f>
        <v/>
      </c>
      <c r="BJ1094" s="9">
        <f>IF(BB1094="","",IF(BB1094="Non-viable","Non-viable",IF(BB1094="Viable","Viable",IF(BB1094="Partially non-viable",IF(OR(BD1094="Total splenectomy",BD1094="Partial splenectomy +/- splenopexy"),"Non-viable","Review"),IF(BB1094="NR",IF(OR(BD1094="Total splenectomy",BD1094="Partial splenectomy +/- splenopexy"),"NR - removed, check reason","NR"),"Not applicable")))))</f>
        <v/>
      </c>
    </row>
    <row r="1095">
      <c r="D1095" s="8" t="n"/>
      <c r="E1095" s="9">
        <f>IF(B1095="","",IF(B1095="OWN","Yes","No"))</f>
        <v/>
      </c>
      <c r="AF1095" s="9">
        <f>IF(ISNUMBER(Z1095),IF(Z1095&lt;=2,"&lt;=2 d",IF(Z1095&lt;=7,"3-7 d",IF(Z1095&lt;=30,"8-30 d","&gt;30 d"))),IF(AE1095&lt;&gt;"",AE1095,IF(Z1095="NR","NR","")))</f>
        <v/>
      </c>
      <c r="AX1095" s="9">
        <f>IF(ISNUMBER(AW1095),IF(AW1095&gt;450,"Yes","No"),IF(AW1095="NR","NR",""))</f>
        <v/>
      </c>
      <c r="BJ1095" s="9">
        <f>IF(BB1095="","",IF(BB1095="Non-viable","Non-viable",IF(BB1095="Viable","Viable",IF(BB1095="Partially non-viable",IF(OR(BD1095="Total splenectomy",BD1095="Partial splenectomy +/- splenopexy"),"Non-viable","Review"),IF(BB1095="NR",IF(OR(BD1095="Total splenectomy",BD1095="Partial splenectomy +/- splenopexy"),"NR - removed, check reason","NR"),"Not applicable")))))</f>
        <v/>
      </c>
    </row>
    <row r="1096">
      <c r="D1096" s="8" t="n"/>
      <c r="E1096" s="9">
        <f>IF(B1096="","",IF(B1096="OWN","Yes","No"))</f>
        <v/>
      </c>
      <c r="AF1096" s="9">
        <f>IF(ISNUMBER(Z1096),IF(Z1096&lt;=2,"&lt;=2 d",IF(Z1096&lt;=7,"3-7 d",IF(Z1096&lt;=30,"8-30 d","&gt;30 d"))),IF(AE1096&lt;&gt;"",AE1096,IF(Z1096="NR","NR","")))</f>
        <v/>
      </c>
      <c r="AX1096" s="9">
        <f>IF(ISNUMBER(AW1096),IF(AW1096&gt;450,"Yes","No"),IF(AW1096="NR","NR",""))</f>
        <v/>
      </c>
      <c r="BJ1096" s="9">
        <f>IF(BB1096="","",IF(BB1096="Non-viable","Non-viable",IF(BB1096="Viable","Viable",IF(BB1096="Partially non-viable",IF(OR(BD1096="Total splenectomy",BD1096="Partial splenectomy +/- splenopexy"),"Non-viable","Review"),IF(BB1096="NR",IF(OR(BD1096="Total splenectomy",BD1096="Partial splenectomy +/- splenopexy"),"NR - removed, check reason","NR"),"Not applicable")))))</f>
        <v/>
      </c>
    </row>
    <row r="1097">
      <c r="D1097" s="8" t="n"/>
      <c r="E1097" s="9">
        <f>IF(B1097="","",IF(B1097="OWN","Yes","No"))</f>
        <v/>
      </c>
      <c r="AF1097" s="9">
        <f>IF(ISNUMBER(Z1097),IF(Z1097&lt;=2,"&lt;=2 d",IF(Z1097&lt;=7,"3-7 d",IF(Z1097&lt;=30,"8-30 d","&gt;30 d"))),IF(AE1097&lt;&gt;"",AE1097,IF(Z1097="NR","NR","")))</f>
        <v/>
      </c>
      <c r="AX1097" s="9">
        <f>IF(ISNUMBER(AW1097),IF(AW1097&gt;450,"Yes","No"),IF(AW1097="NR","NR",""))</f>
        <v/>
      </c>
      <c r="BJ1097" s="9">
        <f>IF(BB1097="","",IF(BB1097="Non-viable","Non-viable",IF(BB1097="Viable","Viable",IF(BB1097="Partially non-viable",IF(OR(BD1097="Total splenectomy",BD1097="Partial splenectomy +/- splenopexy"),"Non-viable","Review"),IF(BB1097="NR",IF(OR(BD1097="Total splenectomy",BD1097="Partial splenectomy +/- splenopexy"),"NR - removed, check reason","NR"),"Not applicable")))))</f>
        <v/>
      </c>
    </row>
    <row r="1098">
      <c r="D1098" s="8" t="n"/>
      <c r="E1098" s="9">
        <f>IF(B1098="","",IF(B1098="OWN","Yes","No"))</f>
        <v/>
      </c>
      <c r="AF1098" s="9">
        <f>IF(ISNUMBER(Z1098),IF(Z1098&lt;=2,"&lt;=2 d",IF(Z1098&lt;=7,"3-7 d",IF(Z1098&lt;=30,"8-30 d","&gt;30 d"))),IF(AE1098&lt;&gt;"",AE1098,IF(Z1098="NR","NR","")))</f>
        <v/>
      </c>
      <c r="AX1098" s="9">
        <f>IF(ISNUMBER(AW1098),IF(AW1098&gt;450,"Yes","No"),IF(AW1098="NR","NR",""))</f>
        <v/>
      </c>
      <c r="BJ1098" s="9">
        <f>IF(BB1098="","",IF(BB1098="Non-viable","Non-viable",IF(BB1098="Viable","Viable",IF(BB1098="Partially non-viable",IF(OR(BD1098="Total splenectomy",BD1098="Partial splenectomy +/- splenopexy"),"Non-viable","Review"),IF(BB1098="NR",IF(OR(BD1098="Total splenectomy",BD1098="Partial splenectomy +/- splenopexy"),"NR - removed, check reason","NR"),"Not applicable")))))</f>
        <v/>
      </c>
    </row>
    <row r="1099">
      <c r="D1099" s="8" t="n"/>
      <c r="E1099" s="9">
        <f>IF(B1099="","",IF(B1099="OWN","Yes","No"))</f>
        <v/>
      </c>
      <c r="AF1099" s="9">
        <f>IF(ISNUMBER(Z1099),IF(Z1099&lt;=2,"&lt;=2 d",IF(Z1099&lt;=7,"3-7 d",IF(Z1099&lt;=30,"8-30 d","&gt;30 d"))),IF(AE1099&lt;&gt;"",AE1099,IF(Z1099="NR","NR","")))</f>
        <v/>
      </c>
      <c r="AX1099" s="9">
        <f>IF(ISNUMBER(AW1099),IF(AW1099&gt;450,"Yes","No"),IF(AW1099="NR","NR",""))</f>
        <v/>
      </c>
      <c r="BJ1099" s="9">
        <f>IF(BB1099="","",IF(BB1099="Non-viable","Non-viable",IF(BB1099="Viable","Viable",IF(BB1099="Partially non-viable",IF(OR(BD1099="Total splenectomy",BD1099="Partial splenectomy +/- splenopexy"),"Non-viable","Review"),IF(BB1099="NR",IF(OR(BD1099="Total splenectomy",BD1099="Partial splenectomy +/- splenopexy"),"NR - removed, check reason","NR"),"Not applicable")))))</f>
        <v/>
      </c>
    </row>
    <row r="1100">
      <c r="D1100" s="8" t="n"/>
      <c r="E1100" s="9">
        <f>IF(B1100="","",IF(B1100="OWN","Yes","No"))</f>
        <v/>
      </c>
      <c r="AF1100" s="9">
        <f>IF(ISNUMBER(Z1100),IF(Z1100&lt;=2,"&lt;=2 d",IF(Z1100&lt;=7,"3-7 d",IF(Z1100&lt;=30,"8-30 d","&gt;30 d"))),IF(AE1100&lt;&gt;"",AE1100,IF(Z1100="NR","NR","")))</f>
        <v/>
      </c>
      <c r="AX1100" s="9">
        <f>IF(ISNUMBER(AW1100),IF(AW1100&gt;450,"Yes","No"),IF(AW1100="NR","NR",""))</f>
        <v/>
      </c>
      <c r="BJ1100" s="9">
        <f>IF(BB1100="","",IF(BB1100="Non-viable","Non-viable",IF(BB1100="Viable","Viable",IF(BB1100="Partially non-viable",IF(OR(BD1100="Total splenectomy",BD1100="Partial splenectomy +/- splenopexy"),"Non-viable","Review"),IF(BB1100="NR",IF(OR(BD1100="Total splenectomy",BD1100="Partial splenectomy +/- splenopexy"),"NR - removed, check reason","NR"),"Not applicable")))))</f>
        <v/>
      </c>
    </row>
    <row r="1101">
      <c r="D1101" s="8" t="n"/>
      <c r="E1101" s="9">
        <f>IF(B1101="","",IF(B1101="OWN","Yes","No"))</f>
        <v/>
      </c>
      <c r="AF1101" s="9">
        <f>IF(ISNUMBER(Z1101),IF(Z1101&lt;=2,"&lt;=2 d",IF(Z1101&lt;=7,"3-7 d",IF(Z1101&lt;=30,"8-30 d","&gt;30 d"))),IF(AE1101&lt;&gt;"",AE1101,IF(Z1101="NR","NR","")))</f>
        <v/>
      </c>
      <c r="AX1101" s="9">
        <f>IF(ISNUMBER(AW1101),IF(AW1101&gt;450,"Yes","No"),IF(AW1101="NR","NR",""))</f>
        <v/>
      </c>
      <c r="BJ1101" s="9">
        <f>IF(BB1101="","",IF(BB1101="Non-viable","Non-viable",IF(BB1101="Viable","Viable",IF(BB1101="Partially non-viable",IF(OR(BD1101="Total splenectomy",BD1101="Partial splenectomy +/- splenopexy"),"Non-viable","Review"),IF(BB1101="NR",IF(OR(BD1101="Total splenectomy",BD1101="Partial splenectomy +/- splenopexy"),"NR - removed, check reason","NR"),"Not applicable")))))</f>
        <v/>
      </c>
    </row>
    <row r="1102">
      <c r="D1102" s="8" t="n"/>
      <c r="E1102" s="9">
        <f>IF(B1102="","",IF(B1102="OWN","Yes","No"))</f>
        <v/>
      </c>
      <c r="AF1102" s="9">
        <f>IF(ISNUMBER(Z1102),IF(Z1102&lt;=2,"&lt;=2 d",IF(Z1102&lt;=7,"3-7 d",IF(Z1102&lt;=30,"8-30 d","&gt;30 d"))),IF(AE1102&lt;&gt;"",AE1102,IF(Z1102="NR","NR","")))</f>
        <v/>
      </c>
      <c r="AX1102" s="9">
        <f>IF(ISNUMBER(AW1102),IF(AW1102&gt;450,"Yes","No"),IF(AW1102="NR","NR",""))</f>
        <v/>
      </c>
      <c r="BJ1102" s="9">
        <f>IF(BB1102="","",IF(BB1102="Non-viable","Non-viable",IF(BB1102="Viable","Viable",IF(BB1102="Partially non-viable",IF(OR(BD1102="Total splenectomy",BD1102="Partial splenectomy +/- splenopexy"),"Non-viable","Review"),IF(BB1102="NR",IF(OR(BD1102="Total splenectomy",BD1102="Partial splenectomy +/- splenopexy"),"NR - removed, check reason","NR"),"Not applicable")))))</f>
        <v/>
      </c>
    </row>
    <row r="1103">
      <c r="D1103" s="8" t="n"/>
      <c r="E1103" s="9">
        <f>IF(B1103="","",IF(B1103="OWN","Yes","No"))</f>
        <v/>
      </c>
      <c r="AF1103" s="9">
        <f>IF(ISNUMBER(Z1103),IF(Z1103&lt;=2,"&lt;=2 d",IF(Z1103&lt;=7,"3-7 d",IF(Z1103&lt;=30,"8-30 d","&gt;30 d"))),IF(AE1103&lt;&gt;"",AE1103,IF(Z1103="NR","NR","")))</f>
        <v/>
      </c>
      <c r="AX1103" s="9">
        <f>IF(ISNUMBER(AW1103),IF(AW1103&gt;450,"Yes","No"),IF(AW1103="NR","NR",""))</f>
        <v/>
      </c>
      <c r="BJ1103" s="9">
        <f>IF(BB1103="","",IF(BB1103="Non-viable","Non-viable",IF(BB1103="Viable","Viable",IF(BB1103="Partially non-viable",IF(OR(BD1103="Total splenectomy",BD1103="Partial splenectomy +/- splenopexy"),"Non-viable","Review"),IF(BB1103="NR",IF(OR(BD1103="Total splenectomy",BD1103="Partial splenectomy +/- splenopexy"),"NR - removed, check reason","NR"),"Not applicable")))))</f>
        <v/>
      </c>
    </row>
    <row r="1104">
      <c r="D1104" s="8" t="n"/>
      <c r="E1104" s="9">
        <f>IF(B1104="","",IF(B1104="OWN","Yes","No"))</f>
        <v/>
      </c>
      <c r="AF1104" s="9">
        <f>IF(ISNUMBER(Z1104),IF(Z1104&lt;=2,"&lt;=2 d",IF(Z1104&lt;=7,"3-7 d",IF(Z1104&lt;=30,"8-30 d","&gt;30 d"))),IF(AE1104&lt;&gt;"",AE1104,IF(Z1104="NR","NR","")))</f>
        <v/>
      </c>
      <c r="AX1104" s="9">
        <f>IF(ISNUMBER(AW1104),IF(AW1104&gt;450,"Yes","No"),IF(AW1104="NR","NR",""))</f>
        <v/>
      </c>
      <c r="BJ1104" s="9">
        <f>IF(BB1104="","",IF(BB1104="Non-viable","Non-viable",IF(BB1104="Viable","Viable",IF(BB1104="Partially non-viable",IF(OR(BD1104="Total splenectomy",BD1104="Partial splenectomy +/- splenopexy"),"Non-viable","Review"),IF(BB1104="NR",IF(OR(BD1104="Total splenectomy",BD1104="Partial splenectomy +/- splenopexy"),"NR - removed, check reason","NR"),"Not applicable")))))</f>
        <v/>
      </c>
    </row>
    <row r="1105">
      <c r="D1105" s="8" t="n"/>
      <c r="E1105" s="9">
        <f>IF(B1105="","",IF(B1105="OWN","Yes","No"))</f>
        <v/>
      </c>
      <c r="AF1105" s="9">
        <f>IF(ISNUMBER(Z1105),IF(Z1105&lt;=2,"&lt;=2 d",IF(Z1105&lt;=7,"3-7 d",IF(Z1105&lt;=30,"8-30 d","&gt;30 d"))),IF(AE1105&lt;&gt;"",AE1105,IF(Z1105="NR","NR","")))</f>
        <v/>
      </c>
      <c r="AX1105" s="9">
        <f>IF(ISNUMBER(AW1105),IF(AW1105&gt;450,"Yes","No"),IF(AW1105="NR","NR",""))</f>
        <v/>
      </c>
      <c r="BJ1105" s="9">
        <f>IF(BB1105="","",IF(BB1105="Non-viable","Non-viable",IF(BB1105="Viable","Viable",IF(BB1105="Partially non-viable",IF(OR(BD1105="Total splenectomy",BD1105="Partial splenectomy +/- splenopexy"),"Non-viable","Review"),IF(BB1105="NR",IF(OR(BD1105="Total splenectomy",BD1105="Partial splenectomy +/- splenopexy"),"NR - removed, check reason","NR"),"Not applicable")))))</f>
        <v/>
      </c>
    </row>
    <row r="1106">
      <c r="D1106" s="8" t="n"/>
      <c r="E1106" s="9">
        <f>IF(B1106="","",IF(B1106="OWN","Yes","No"))</f>
        <v/>
      </c>
      <c r="AF1106" s="9">
        <f>IF(ISNUMBER(Z1106),IF(Z1106&lt;=2,"&lt;=2 d",IF(Z1106&lt;=7,"3-7 d",IF(Z1106&lt;=30,"8-30 d","&gt;30 d"))),IF(AE1106&lt;&gt;"",AE1106,IF(Z1106="NR","NR","")))</f>
        <v/>
      </c>
      <c r="AX1106" s="9">
        <f>IF(ISNUMBER(AW1106),IF(AW1106&gt;450,"Yes","No"),IF(AW1106="NR","NR",""))</f>
        <v/>
      </c>
      <c r="BJ1106" s="9">
        <f>IF(BB1106="","",IF(BB1106="Non-viable","Non-viable",IF(BB1106="Viable","Viable",IF(BB1106="Partially non-viable",IF(OR(BD1106="Total splenectomy",BD1106="Partial splenectomy +/- splenopexy"),"Non-viable","Review"),IF(BB1106="NR",IF(OR(BD1106="Total splenectomy",BD1106="Partial splenectomy +/- splenopexy"),"NR - removed, check reason","NR"),"Not applicable")))))</f>
        <v/>
      </c>
    </row>
    <row r="1107">
      <c r="D1107" s="8" t="n"/>
      <c r="E1107" s="9">
        <f>IF(B1107="","",IF(B1107="OWN","Yes","No"))</f>
        <v/>
      </c>
      <c r="AF1107" s="9">
        <f>IF(ISNUMBER(Z1107),IF(Z1107&lt;=2,"&lt;=2 d",IF(Z1107&lt;=7,"3-7 d",IF(Z1107&lt;=30,"8-30 d","&gt;30 d"))),IF(AE1107&lt;&gt;"",AE1107,IF(Z1107="NR","NR","")))</f>
        <v/>
      </c>
      <c r="AX1107" s="9">
        <f>IF(ISNUMBER(AW1107),IF(AW1107&gt;450,"Yes","No"),IF(AW1107="NR","NR",""))</f>
        <v/>
      </c>
      <c r="BJ1107" s="9">
        <f>IF(BB1107="","",IF(BB1107="Non-viable","Non-viable",IF(BB1107="Viable","Viable",IF(BB1107="Partially non-viable",IF(OR(BD1107="Total splenectomy",BD1107="Partial splenectomy +/- splenopexy"),"Non-viable","Review"),IF(BB1107="NR",IF(OR(BD1107="Total splenectomy",BD1107="Partial splenectomy +/- splenopexy"),"NR - removed, check reason","NR"),"Not applicable")))))</f>
        <v/>
      </c>
    </row>
    <row r="1108">
      <c r="D1108" s="8" t="n"/>
      <c r="E1108" s="9">
        <f>IF(B1108="","",IF(B1108="OWN","Yes","No"))</f>
        <v/>
      </c>
      <c r="AF1108" s="9">
        <f>IF(ISNUMBER(Z1108),IF(Z1108&lt;=2,"&lt;=2 d",IF(Z1108&lt;=7,"3-7 d",IF(Z1108&lt;=30,"8-30 d","&gt;30 d"))),IF(AE1108&lt;&gt;"",AE1108,IF(Z1108="NR","NR","")))</f>
        <v/>
      </c>
      <c r="AX1108" s="9">
        <f>IF(ISNUMBER(AW1108),IF(AW1108&gt;450,"Yes","No"),IF(AW1108="NR","NR",""))</f>
        <v/>
      </c>
      <c r="BJ1108" s="9">
        <f>IF(BB1108="","",IF(BB1108="Non-viable","Non-viable",IF(BB1108="Viable","Viable",IF(BB1108="Partially non-viable",IF(OR(BD1108="Total splenectomy",BD1108="Partial splenectomy +/- splenopexy"),"Non-viable","Review"),IF(BB1108="NR",IF(OR(BD1108="Total splenectomy",BD1108="Partial splenectomy +/- splenopexy"),"NR - removed, check reason","NR"),"Not applicable")))))</f>
        <v/>
      </c>
    </row>
    <row r="1109">
      <c r="D1109" s="8" t="n"/>
      <c r="E1109" s="9">
        <f>IF(B1109="","",IF(B1109="OWN","Yes","No"))</f>
        <v/>
      </c>
      <c r="AF1109" s="9">
        <f>IF(ISNUMBER(Z1109),IF(Z1109&lt;=2,"&lt;=2 d",IF(Z1109&lt;=7,"3-7 d",IF(Z1109&lt;=30,"8-30 d","&gt;30 d"))),IF(AE1109&lt;&gt;"",AE1109,IF(Z1109="NR","NR","")))</f>
        <v/>
      </c>
      <c r="AX1109" s="9">
        <f>IF(ISNUMBER(AW1109),IF(AW1109&gt;450,"Yes","No"),IF(AW1109="NR","NR",""))</f>
        <v/>
      </c>
      <c r="BJ1109" s="9">
        <f>IF(BB1109="","",IF(BB1109="Non-viable","Non-viable",IF(BB1109="Viable","Viable",IF(BB1109="Partially non-viable",IF(OR(BD1109="Total splenectomy",BD1109="Partial splenectomy +/- splenopexy"),"Non-viable","Review"),IF(BB1109="NR",IF(OR(BD1109="Total splenectomy",BD1109="Partial splenectomy +/- splenopexy"),"NR - removed, check reason","NR"),"Not applicable")))))</f>
        <v/>
      </c>
    </row>
    <row r="1110">
      <c r="D1110" s="8" t="n"/>
      <c r="E1110" s="9">
        <f>IF(B1110="","",IF(B1110="OWN","Yes","No"))</f>
        <v/>
      </c>
      <c r="AF1110" s="9">
        <f>IF(ISNUMBER(Z1110),IF(Z1110&lt;=2,"&lt;=2 d",IF(Z1110&lt;=7,"3-7 d",IF(Z1110&lt;=30,"8-30 d","&gt;30 d"))),IF(AE1110&lt;&gt;"",AE1110,IF(Z1110="NR","NR","")))</f>
        <v/>
      </c>
      <c r="AX1110" s="9">
        <f>IF(ISNUMBER(AW1110),IF(AW1110&gt;450,"Yes","No"),IF(AW1110="NR","NR",""))</f>
        <v/>
      </c>
      <c r="BJ1110" s="9">
        <f>IF(BB1110="","",IF(BB1110="Non-viable","Non-viable",IF(BB1110="Viable","Viable",IF(BB1110="Partially non-viable",IF(OR(BD1110="Total splenectomy",BD1110="Partial splenectomy +/- splenopexy"),"Non-viable","Review"),IF(BB1110="NR",IF(OR(BD1110="Total splenectomy",BD1110="Partial splenectomy +/- splenopexy"),"NR - removed, check reason","NR"),"Not applicable")))))</f>
        <v/>
      </c>
    </row>
    <row r="1111">
      <c r="D1111" s="8" t="n"/>
      <c r="E1111" s="9">
        <f>IF(B1111="","",IF(B1111="OWN","Yes","No"))</f>
        <v/>
      </c>
      <c r="AF1111" s="9">
        <f>IF(ISNUMBER(Z1111),IF(Z1111&lt;=2,"&lt;=2 d",IF(Z1111&lt;=7,"3-7 d",IF(Z1111&lt;=30,"8-30 d","&gt;30 d"))),IF(AE1111&lt;&gt;"",AE1111,IF(Z1111="NR","NR","")))</f>
        <v/>
      </c>
      <c r="AX1111" s="9">
        <f>IF(ISNUMBER(AW1111),IF(AW1111&gt;450,"Yes","No"),IF(AW1111="NR","NR",""))</f>
        <v/>
      </c>
      <c r="BJ1111" s="9">
        <f>IF(BB1111="","",IF(BB1111="Non-viable","Non-viable",IF(BB1111="Viable","Viable",IF(BB1111="Partially non-viable",IF(OR(BD1111="Total splenectomy",BD1111="Partial splenectomy +/- splenopexy"),"Non-viable","Review"),IF(BB1111="NR",IF(OR(BD1111="Total splenectomy",BD1111="Partial splenectomy +/- splenopexy"),"NR - removed, check reason","NR"),"Not applicable")))))</f>
        <v/>
      </c>
    </row>
    <row r="1112">
      <c r="D1112" s="8" t="n"/>
      <c r="E1112" s="9">
        <f>IF(B1112="","",IF(B1112="OWN","Yes","No"))</f>
        <v/>
      </c>
      <c r="AF1112" s="9">
        <f>IF(ISNUMBER(Z1112),IF(Z1112&lt;=2,"&lt;=2 d",IF(Z1112&lt;=7,"3-7 d",IF(Z1112&lt;=30,"8-30 d","&gt;30 d"))),IF(AE1112&lt;&gt;"",AE1112,IF(Z1112="NR","NR","")))</f>
        <v/>
      </c>
      <c r="AX1112" s="9">
        <f>IF(ISNUMBER(AW1112),IF(AW1112&gt;450,"Yes","No"),IF(AW1112="NR","NR",""))</f>
        <v/>
      </c>
      <c r="BJ1112" s="9">
        <f>IF(BB1112="","",IF(BB1112="Non-viable","Non-viable",IF(BB1112="Viable","Viable",IF(BB1112="Partially non-viable",IF(OR(BD1112="Total splenectomy",BD1112="Partial splenectomy +/- splenopexy"),"Non-viable","Review"),IF(BB1112="NR",IF(OR(BD1112="Total splenectomy",BD1112="Partial splenectomy +/- splenopexy"),"NR - removed, check reason","NR"),"Not applicable")))))</f>
        <v/>
      </c>
    </row>
    <row r="1113">
      <c r="D1113" s="8" t="n"/>
      <c r="E1113" s="9">
        <f>IF(B1113="","",IF(B1113="OWN","Yes","No"))</f>
        <v/>
      </c>
      <c r="AF1113" s="9">
        <f>IF(ISNUMBER(Z1113),IF(Z1113&lt;=2,"&lt;=2 d",IF(Z1113&lt;=7,"3-7 d",IF(Z1113&lt;=30,"8-30 d","&gt;30 d"))),IF(AE1113&lt;&gt;"",AE1113,IF(Z1113="NR","NR","")))</f>
        <v/>
      </c>
      <c r="AX1113" s="9">
        <f>IF(ISNUMBER(AW1113),IF(AW1113&gt;450,"Yes","No"),IF(AW1113="NR","NR",""))</f>
        <v/>
      </c>
      <c r="BJ1113" s="9">
        <f>IF(BB1113="","",IF(BB1113="Non-viable","Non-viable",IF(BB1113="Viable","Viable",IF(BB1113="Partially non-viable",IF(OR(BD1113="Total splenectomy",BD1113="Partial splenectomy +/- splenopexy"),"Non-viable","Review"),IF(BB1113="NR",IF(OR(BD1113="Total splenectomy",BD1113="Partial splenectomy +/- splenopexy"),"NR - removed, check reason","NR"),"Not applicable")))))</f>
        <v/>
      </c>
    </row>
    <row r="1114">
      <c r="D1114" s="8" t="n"/>
      <c r="E1114" s="9">
        <f>IF(B1114="","",IF(B1114="OWN","Yes","No"))</f>
        <v/>
      </c>
      <c r="AF1114" s="9">
        <f>IF(ISNUMBER(Z1114),IF(Z1114&lt;=2,"&lt;=2 d",IF(Z1114&lt;=7,"3-7 d",IF(Z1114&lt;=30,"8-30 d","&gt;30 d"))),IF(AE1114&lt;&gt;"",AE1114,IF(Z1114="NR","NR","")))</f>
        <v/>
      </c>
      <c r="AX1114" s="9">
        <f>IF(ISNUMBER(AW1114),IF(AW1114&gt;450,"Yes","No"),IF(AW1114="NR","NR",""))</f>
        <v/>
      </c>
      <c r="BJ1114" s="9">
        <f>IF(BB1114="","",IF(BB1114="Non-viable","Non-viable",IF(BB1114="Viable","Viable",IF(BB1114="Partially non-viable",IF(OR(BD1114="Total splenectomy",BD1114="Partial splenectomy +/- splenopexy"),"Non-viable","Review"),IF(BB1114="NR",IF(OR(BD1114="Total splenectomy",BD1114="Partial splenectomy +/- splenopexy"),"NR - removed, check reason","NR"),"Not applicable")))))</f>
        <v/>
      </c>
    </row>
    <row r="1115">
      <c r="D1115" s="8" t="n"/>
      <c r="E1115" s="9">
        <f>IF(B1115="","",IF(B1115="OWN","Yes","No"))</f>
        <v/>
      </c>
      <c r="AF1115" s="9">
        <f>IF(ISNUMBER(Z1115),IF(Z1115&lt;=2,"&lt;=2 d",IF(Z1115&lt;=7,"3-7 d",IF(Z1115&lt;=30,"8-30 d","&gt;30 d"))),IF(AE1115&lt;&gt;"",AE1115,IF(Z1115="NR","NR","")))</f>
        <v/>
      </c>
      <c r="AX1115" s="9">
        <f>IF(ISNUMBER(AW1115),IF(AW1115&gt;450,"Yes","No"),IF(AW1115="NR","NR",""))</f>
        <v/>
      </c>
      <c r="BJ1115" s="9">
        <f>IF(BB1115="","",IF(BB1115="Non-viable","Non-viable",IF(BB1115="Viable","Viable",IF(BB1115="Partially non-viable",IF(OR(BD1115="Total splenectomy",BD1115="Partial splenectomy +/- splenopexy"),"Non-viable","Review"),IF(BB1115="NR",IF(OR(BD1115="Total splenectomy",BD1115="Partial splenectomy +/- splenopexy"),"NR - removed, check reason","NR"),"Not applicable")))))</f>
        <v/>
      </c>
    </row>
    <row r="1116">
      <c r="D1116" s="8" t="n"/>
      <c r="E1116" s="9">
        <f>IF(B1116="","",IF(B1116="OWN","Yes","No"))</f>
        <v/>
      </c>
      <c r="AF1116" s="9">
        <f>IF(ISNUMBER(Z1116),IF(Z1116&lt;=2,"&lt;=2 d",IF(Z1116&lt;=7,"3-7 d",IF(Z1116&lt;=30,"8-30 d","&gt;30 d"))),IF(AE1116&lt;&gt;"",AE1116,IF(Z1116="NR","NR","")))</f>
        <v/>
      </c>
      <c r="AX1116" s="9">
        <f>IF(ISNUMBER(AW1116),IF(AW1116&gt;450,"Yes","No"),IF(AW1116="NR","NR",""))</f>
        <v/>
      </c>
      <c r="BJ1116" s="9">
        <f>IF(BB1116="","",IF(BB1116="Non-viable","Non-viable",IF(BB1116="Viable","Viable",IF(BB1116="Partially non-viable",IF(OR(BD1116="Total splenectomy",BD1116="Partial splenectomy +/- splenopexy"),"Non-viable","Review"),IF(BB1116="NR",IF(OR(BD1116="Total splenectomy",BD1116="Partial splenectomy +/- splenopexy"),"NR - removed, check reason","NR"),"Not applicable")))))</f>
        <v/>
      </c>
    </row>
    <row r="1117">
      <c r="D1117" s="8" t="n"/>
      <c r="E1117" s="9">
        <f>IF(B1117="","",IF(B1117="OWN","Yes","No"))</f>
        <v/>
      </c>
      <c r="AF1117" s="9">
        <f>IF(ISNUMBER(Z1117),IF(Z1117&lt;=2,"&lt;=2 d",IF(Z1117&lt;=7,"3-7 d",IF(Z1117&lt;=30,"8-30 d","&gt;30 d"))),IF(AE1117&lt;&gt;"",AE1117,IF(Z1117="NR","NR","")))</f>
        <v/>
      </c>
      <c r="AX1117" s="9">
        <f>IF(ISNUMBER(AW1117),IF(AW1117&gt;450,"Yes","No"),IF(AW1117="NR","NR",""))</f>
        <v/>
      </c>
      <c r="BJ1117" s="9">
        <f>IF(BB1117="","",IF(BB1117="Non-viable","Non-viable",IF(BB1117="Viable","Viable",IF(BB1117="Partially non-viable",IF(OR(BD1117="Total splenectomy",BD1117="Partial splenectomy +/- splenopexy"),"Non-viable","Review"),IF(BB1117="NR",IF(OR(BD1117="Total splenectomy",BD1117="Partial splenectomy +/- splenopexy"),"NR - removed, check reason","NR"),"Not applicable")))))</f>
        <v/>
      </c>
    </row>
    <row r="1118">
      <c r="D1118" s="8" t="n"/>
      <c r="E1118" s="9">
        <f>IF(B1118="","",IF(B1118="OWN","Yes","No"))</f>
        <v/>
      </c>
      <c r="AF1118" s="9">
        <f>IF(ISNUMBER(Z1118),IF(Z1118&lt;=2,"&lt;=2 d",IF(Z1118&lt;=7,"3-7 d",IF(Z1118&lt;=30,"8-30 d","&gt;30 d"))),IF(AE1118&lt;&gt;"",AE1118,IF(Z1118="NR","NR","")))</f>
        <v/>
      </c>
      <c r="AX1118" s="9">
        <f>IF(ISNUMBER(AW1118),IF(AW1118&gt;450,"Yes","No"),IF(AW1118="NR","NR",""))</f>
        <v/>
      </c>
      <c r="BJ1118" s="9">
        <f>IF(BB1118="","",IF(BB1118="Non-viable","Non-viable",IF(BB1118="Viable","Viable",IF(BB1118="Partially non-viable",IF(OR(BD1118="Total splenectomy",BD1118="Partial splenectomy +/- splenopexy"),"Non-viable","Review"),IF(BB1118="NR",IF(OR(BD1118="Total splenectomy",BD1118="Partial splenectomy +/- splenopexy"),"NR - removed, check reason","NR"),"Not applicable")))))</f>
        <v/>
      </c>
    </row>
    <row r="1119">
      <c r="D1119" s="8" t="n"/>
      <c r="E1119" s="9">
        <f>IF(B1119="","",IF(B1119="OWN","Yes","No"))</f>
        <v/>
      </c>
      <c r="AF1119" s="9">
        <f>IF(ISNUMBER(Z1119),IF(Z1119&lt;=2,"&lt;=2 d",IF(Z1119&lt;=7,"3-7 d",IF(Z1119&lt;=30,"8-30 d","&gt;30 d"))),IF(AE1119&lt;&gt;"",AE1119,IF(Z1119="NR","NR","")))</f>
        <v/>
      </c>
      <c r="AX1119" s="9">
        <f>IF(ISNUMBER(AW1119),IF(AW1119&gt;450,"Yes","No"),IF(AW1119="NR","NR",""))</f>
        <v/>
      </c>
      <c r="BJ1119" s="9">
        <f>IF(BB1119="","",IF(BB1119="Non-viable","Non-viable",IF(BB1119="Viable","Viable",IF(BB1119="Partially non-viable",IF(OR(BD1119="Total splenectomy",BD1119="Partial splenectomy +/- splenopexy"),"Non-viable","Review"),IF(BB1119="NR",IF(OR(BD1119="Total splenectomy",BD1119="Partial splenectomy +/- splenopexy"),"NR - removed, check reason","NR"),"Not applicable")))))</f>
        <v/>
      </c>
    </row>
    <row r="1120">
      <c r="D1120" s="8" t="n"/>
      <c r="E1120" s="9">
        <f>IF(B1120="","",IF(B1120="OWN","Yes","No"))</f>
        <v/>
      </c>
      <c r="AF1120" s="9">
        <f>IF(ISNUMBER(Z1120),IF(Z1120&lt;=2,"&lt;=2 d",IF(Z1120&lt;=7,"3-7 d",IF(Z1120&lt;=30,"8-30 d","&gt;30 d"))),IF(AE1120&lt;&gt;"",AE1120,IF(Z1120="NR","NR","")))</f>
        <v/>
      </c>
      <c r="AX1120" s="9">
        <f>IF(ISNUMBER(AW1120),IF(AW1120&gt;450,"Yes","No"),IF(AW1120="NR","NR",""))</f>
        <v/>
      </c>
      <c r="BJ1120" s="9">
        <f>IF(BB1120="","",IF(BB1120="Non-viable","Non-viable",IF(BB1120="Viable","Viable",IF(BB1120="Partially non-viable",IF(OR(BD1120="Total splenectomy",BD1120="Partial splenectomy +/- splenopexy"),"Non-viable","Review"),IF(BB1120="NR",IF(OR(BD1120="Total splenectomy",BD1120="Partial splenectomy +/- splenopexy"),"NR - removed, check reason","NR"),"Not applicable")))))</f>
        <v/>
      </c>
    </row>
    <row r="1121">
      <c r="D1121" s="8" t="n"/>
      <c r="E1121" s="9">
        <f>IF(B1121="","",IF(B1121="OWN","Yes","No"))</f>
        <v/>
      </c>
      <c r="AF1121" s="9">
        <f>IF(ISNUMBER(Z1121),IF(Z1121&lt;=2,"&lt;=2 d",IF(Z1121&lt;=7,"3-7 d",IF(Z1121&lt;=30,"8-30 d","&gt;30 d"))),IF(AE1121&lt;&gt;"",AE1121,IF(Z1121="NR","NR","")))</f>
        <v/>
      </c>
      <c r="AX1121" s="9">
        <f>IF(ISNUMBER(AW1121),IF(AW1121&gt;450,"Yes","No"),IF(AW1121="NR","NR",""))</f>
        <v/>
      </c>
      <c r="BJ1121" s="9">
        <f>IF(BB1121="","",IF(BB1121="Non-viable","Non-viable",IF(BB1121="Viable","Viable",IF(BB1121="Partially non-viable",IF(OR(BD1121="Total splenectomy",BD1121="Partial splenectomy +/- splenopexy"),"Non-viable","Review"),IF(BB1121="NR",IF(OR(BD1121="Total splenectomy",BD1121="Partial splenectomy +/- splenopexy"),"NR - removed, check reason","NR"),"Not applicable")))))</f>
        <v/>
      </c>
    </row>
    <row r="1122">
      <c r="D1122" s="8" t="n"/>
      <c r="E1122" s="9">
        <f>IF(B1122="","",IF(B1122="OWN","Yes","No"))</f>
        <v/>
      </c>
      <c r="AF1122" s="9">
        <f>IF(ISNUMBER(Z1122),IF(Z1122&lt;=2,"&lt;=2 d",IF(Z1122&lt;=7,"3-7 d",IF(Z1122&lt;=30,"8-30 d","&gt;30 d"))),IF(AE1122&lt;&gt;"",AE1122,IF(Z1122="NR","NR","")))</f>
        <v/>
      </c>
      <c r="AX1122" s="9">
        <f>IF(ISNUMBER(AW1122),IF(AW1122&gt;450,"Yes","No"),IF(AW1122="NR","NR",""))</f>
        <v/>
      </c>
      <c r="BJ1122" s="9">
        <f>IF(BB1122="","",IF(BB1122="Non-viable","Non-viable",IF(BB1122="Viable","Viable",IF(BB1122="Partially non-viable",IF(OR(BD1122="Total splenectomy",BD1122="Partial splenectomy +/- splenopexy"),"Non-viable","Review"),IF(BB1122="NR",IF(OR(BD1122="Total splenectomy",BD1122="Partial splenectomy +/- splenopexy"),"NR - removed, check reason","NR"),"Not applicable")))))</f>
        <v/>
      </c>
    </row>
    <row r="1123">
      <c r="D1123" s="8" t="n"/>
      <c r="E1123" s="9">
        <f>IF(B1123="","",IF(B1123="OWN","Yes","No"))</f>
        <v/>
      </c>
      <c r="AF1123" s="9">
        <f>IF(ISNUMBER(Z1123),IF(Z1123&lt;=2,"&lt;=2 d",IF(Z1123&lt;=7,"3-7 d",IF(Z1123&lt;=30,"8-30 d","&gt;30 d"))),IF(AE1123&lt;&gt;"",AE1123,IF(Z1123="NR","NR","")))</f>
        <v/>
      </c>
      <c r="AX1123" s="9">
        <f>IF(ISNUMBER(AW1123),IF(AW1123&gt;450,"Yes","No"),IF(AW1123="NR","NR",""))</f>
        <v/>
      </c>
      <c r="BJ1123" s="9">
        <f>IF(BB1123="","",IF(BB1123="Non-viable","Non-viable",IF(BB1123="Viable","Viable",IF(BB1123="Partially non-viable",IF(OR(BD1123="Total splenectomy",BD1123="Partial splenectomy +/- splenopexy"),"Non-viable","Review"),IF(BB1123="NR",IF(OR(BD1123="Total splenectomy",BD1123="Partial splenectomy +/- splenopexy"),"NR - removed, check reason","NR"),"Not applicable")))))</f>
        <v/>
      </c>
    </row>
    <row r="1124">
      <c r="D1124" s="8" t="n"/>
      <c r="E1124" s="9">
        <f>IF(B1124="","",IF(B1124="OWN","Yes","No"))</f>
        <v/>
      </c>
      <c r="AF1124" s="9">
        <f>IF(ISNUMBER(Z1124),IF(Z1124&lt;=2,"&lt;=2 d",IF(Z1124&lt;=7,"3-7 d",IF(Z1124&lt;=30,"8-30 d","&gt;30 d"))),IF(AE1124&lt;&gt;"",AE1124,IF(Z1124="NR","NR","")))</f>
        <v/>
      </c>
      <c r="AX1124" s="9">
        <f>IF(ISNUMBER(AW1124),IF(AW1124&gt;450,"Yes","No"),IF(AW1124="NR","NR",""))</f>
        <v/>
      </c>
      <c r="BJ1124" s="9">
        <f>IF(BB1124="","",IF(BB1124="Non-viable","Non-viable",IF(BB1124="Viable","Viable",IF(BB1124="Partially non-viable",IF(OR(BD1124="Total splenectomy",BD1124="Partial splenectomy +/- splenopexy"),"Non-viable","Review"),IF(BB1124="NR",IF(OR(BD1124="Total splenectomy",BD1124="Partial splenectomy +/- splenopexy"),"NR - removed, check reason","NR"),"Not applicable")))))</f>
        <v/>
      </c>
    </row>
    <row r="1125">
      <c r="D1125" s="8" t="n"/>
      <c r="E1125" s="9">
        <f>IF(B1125="","",IF(B1125="OWN","Yes","No"))</f>
        <v/>
      </c>
      <c r="AF1125" s="9">
        <f>IF(ISNUMBER(Z1125),IF(Z1125&lt;=2,"&lt;=2 d",IF(Z1125&lt;=7,"3-7 d",IF(Z1125&lt;=30,"8-30 d","&gt;30 d"))),IF(AE1125&lt;&gt;"",AE1125,IF(Z1125="NR","NR","")))</f>
        <v/>
      </c>
      <c r="AX1125" s="9">
        <f>IF(ISNUMBER(AW1125),IF(AW1125&gt;450,"Yes","No"),IF(AW1125="NR","NR",""))</f>
        <v/>
      </c>
      <c r="BJ1125" s="9">
        <f>IF(BB1125="","",IF(BB1125="Non-viable","Non-viable",IF(BB1125="Viable","Viable",IF(BB1125="Partially non-viable",IF(OR(BD1125="Total splenectomy",BD1125="Partial splenectomy +/- splenopexy"),"Non-viable","Review"),IF(BB1125="NR",IF(OR(BD1125="Total splenectomy",BD1125="Partial splenectomy +/- splenopexy"),"NR - removed, check reason","NR"),"Not applicable")))))</f>
        <v/>
      </c>
    </row>
    <row r="1126">
      <c r="D1126" s="8" t="n"/>
      <c r="E1126" s="9">
        <f>IF(B1126="","",IF(B1126="OWN","Yes","No"))</f>
        <v/>
      </c>
      <c r="AF1126" s="9">
        <f>IF(ISNUMBER(Z1126),IF(Z1126&lt;=2,"&lt;=2 d",IF(Z1126&lt;=7,"3-7 d",IF(Z1126&lt;=30,"8-30 d","&gt;30 d"))),IF(AE1126&lt;&gt;"",AE1126,IF(Z1126="NR","NR","")))</f>
        <v/>
      </c>
      <c r="AX1126" s="9">
        <f>IF(ISNUMBER(AW1126),IF(AW1126&gt;450,"Yes","No"),IF(AW1126="NR","NR",""))</f>
        <v/>
      </c>
      <c r="BJ1126" s="9">
        <f>IF(BB1126="","",IF(BB1126="Non-viable","Non-viable",IF(BB1126="Viable","Viable",IF(BB1126="Partially non-viable",IF(OR(BD1126="Total splenectomy",BD1126="Partial splenectomy +/- splenopexy"),"Non-viable","Review"),IF(BB1126="NR",IF(OR(BD1126="Total splenectomy",BD1126="Partial splenectomy +/- splenopexy"),"NR - removed, check reason","NR"),"Not applicable")))))</f>
        <v/>
      </c>
    </row>
    <row r="1127">
      <c r="D1127" s="8" t="n"/>
      <c r="E1127" s="9">
        <f>IF(B1127="","",IF(B1127="OWN","Yes","No"))</f>
        <v/>
      </c>
      <c r="AF1127" s="9">
        <f>IF(ISNUMBER(Z1127),IF(Z1127&lt;=2,"&lt;=2 d",IF(Z1127&lt;=7,"3-7 d",IF(Z1127&lt;=30,"8-30 d","&gt;30 d"))),IF(AE1127&lt;&gt;"",AE1127,IF(Z1127="NR","NR","")))</f>
        <v/>
      </c>
      <c r="AX1127" s="9">
        <f>IF(ISNUMBER(AW1127),IF(AW1127&gt;450,"Yes","No"),IF(AW1127="NR","NR",""))</f>
        <v/>
      </c>
      <c r="BJ1127" s="9">
        <f>IF(BB1127="","",IF(BB1127="Non-viable","Non-viable",IF(BB1127="Viable","Viable",IF(BB1127="Partially non-viable",IF(OR(BD1127="Total splenectomy",BD1127="Partial splenectomy +/- splenopexy"),"Non-viable","Review"),IF(BB1127="NR",IF(OR(BD1127="Total splenectomy",BD1127="Partial splenectomy +/- splenopexy"),"NR - removed, check reason","NR"),"Not applicable")))))</f>
        <v/>
      </c>
    </row>
    <row r="1128">
      <c r="D1128" s="8" t="n"/>
      <c r="E1128" s="9">
        <f>IF(B1128="","",IF(B1128="OWN","Yes","No"))</f>
        <v/>
      </c>
      <c r="AF1128" s="9">
        <f>IF(ISNUMBER(Z1128),IF(Z1128&lt;=2,"&lt;=2 d",IF(Z1128&lt;=7,"3-7 d",IF(Z1128&lt;=30,"8-30 d","&gt;30 d"))),IF(AE1128&lt;&gt;"",AE1128,IF(Z1128="NR","NR","")))</f>
        <v/>
      </c>
      <c r="AX1128" s="9">
        <f>IF(ISNUMBER(AW1128),IF(AW1128&gt;450,"Yes","No"),IF(AW1128="NR","NR",""))</f>
        <v/>
      </c>
      <c r="BJ1128" s="9">
        <f>IF(BB1128="","",IF(BB1128="Non-viable","Non-viable",IF(BB1128="Viable","Viable",IF(BB1128="Partially non-viable",IF(OR(BD1128="Total splenectomy",BD1128="Partial splenectomy +/- splenopexy"),"Non-viable","Review"),IF(BB1128="NR",IF(OR(BD1128="Total splenectomy",BD1128="Partial splenectomy +/- splenopexy"),"NR - removed, check reason","NR"),"Not applicable")))))</f>
        <v/>
      </c>
    </row>
    <row r="1129">
      <c r="D1129" s="8" t="n"/>
      <c r="E1129" s="9">
        <f>IF(B1129="","",IF(B1129="OWN","Yes","No"))</f>
        <v/>
      </c>
      <c r="AF1129" s="9">
        <f>IF(ISNUMBER(Z1129),IF(Z1129&lt;=2,"&lt;=2 d",IF(Z1129&lt;=7,"3-7 d",IF(Z1129&lt;=30,"8-30 d","&gt;30 d"))),IF(AE1129&lt;&gt;"",AE1129,IF(Z1129="NR","NR","")))</f>
        <v/>
      </c>
      <c r="AX1129" s="9">
        <f>IF(ISNUMBER(AW1129),IF(AW1129&gt;450,"Yes","No"),IF(AW1129="NR","NR",""))</f>
        <v/>
      </c>
      <c r="BJ1129" s="9">
        <f>IF(BB1129="","",IF(BB1129="Non-viable","Non-viable",IF(BB1129="Viable","Viable",IF(BB1129="Partially non-viable",IF(OR(BD1129="Total splenectomy",BD1129="Partial splenectomy +/- splenopexy"),"Non-viable","Review"),IF(BB1129="NR",IF(OR(BD1129="Total splenectomy",BD1129="Partial splenectomy +/- splenopexy"),"NR - removed, check reason","NR"),"Not applicable")))))</f>
        <v/>
      </c>
    </row>
    <row r="1130">
      <c r="D1130" s="8" t="n"/>
      <c r="E1130" s="9">
        <f>IF(B1130="","",IF(B1130="OWN","Yes","No"))</f>
        <v/>
      </c>
      <c r="AF1130" s="9">
        <f>IF(ISNUMBER(Z1130),IF(Z1130&lt;=2,"&lt;=2 d",IF(Z1130&lt;=7,"3-7 d",IF(Z1130&lt;=30,"8-30 d","&gt;30 d"))),IF(AE1130&lt;&gt;"",AE1130,IF(Z1130="NR","NR","")))</f>
        <v/>
      </c>
      <c r="AX1130" s="9">
        <f>IF(ISNUMBER(AW1130),IF(AW1130&gt;450,"Yes","No"),IF(AW1130="NR","NR",""))</f>
        <v/>
      </c>
      <c r="BJ1130" s="9">
        <f>IF(BB1130="","",IF(BB1130="Non-viable","Non-viable",IF(BB1130="Viable","Viable",IF(BB1130="Partially non-viable",IF(OR(BD1130="Total splenectomy",BD1130="Partial splenectomy +/- splenopexy"),"Non-viable","Review"),IF(BB1130="NR",IF(OR(BD1130="Total splenectomy",BD1130="Partial splenectomy +/- splenopexy"),"NR - removed, check reason","NR"),"Not applicable")))))</f>
        <v/>
      </c>
    </row>
    <row r="1131">
      <c r="D1131" s="8" t="n"/>
      <c r="E1131" s="9">
        <f>IF(B1131="","",IF(B1131="OWN","Yes","No"))</f>
        <v/>
      </c>
      <c r="AF1131" s="9">
        <f>IF(ISNUMBER(Z1131),IF(Z1131&lt;=2,"&lt;=2 d",IF(Z1131&lt;=7,"3-7 d",IF(Z1131&lt;=30,"8-30 d","&gt;30 d"))),IF(AE1131&lt;&gt;"",AE1131,IF(Z1131="NR","NR","")))</f>
        <v/>
      </c>
      <c r="AX1131" s="9">
        <f>IF(ISNUMBER(AW1131),IF(AW1131&gt;450,"Yes","No"),IF(AW1131="NR","NR",""))</f>
        <v/>
      </c>
      <c r="BJ1131" s="9">
        <f>IF(BB1131="","",IF(BB1131="Non-viable","Non-viable",IF(BB1131="Viable","Viable",IF(BB1131="Partially non-viable",IF(OR(BD1131="Total splenectomy",BD1131="Partial splenectomy +/- splenopexy"),"Non-viable","Review"),IF(BB1131="NR",IF(OR(BD1131="Total splenectomy",BD1131="Partial splenectomy +/- splenopexy"),"NR - removed, check reason","NR"),"Not applicable")))))</f>
        <v/>
      </c>
    </row>
    <row r="1132">
      <c r="D1132" s="8" t="n"/>
      <c r="E1132" s="9">
        <f>IF(B1132="","",IF(B1132="OWN","Yes","No"))</f>
        <v/>
      </c>
      <c r="AF1132" s="9">
        <f>IF(ISNUMBER(Z1132),IF(Z1132&lt;=2,"&lt;=2 d",IF(Z1132&lt;=7,"3-7 d",IF(Z1132&lt;=30,"8-30 d","&gt;30 d"))),IF(AE1132&lt;&gt;"",AE1132,IF(Z1132="NR","NR","")))</f>
        <v/>
      </c>
      <c r="AX1132" s="9">
        <f>IF(ISNUMBER(AW1132),IF(AW1132&gt;450,"Yes","No"),IF(AW1132="NR","NR",""))</f>
        <v/>
      </c>
      <c r="BJ1132" s="9">
        <f>IF(BB1132="","",IF(BB1132="Non-viable","Non-viable",IF(BB1132="Viable","Viable",IF(BB1132="Partially non-viable",IF(OR(BD1132="Total splenectomy",BD1132="Partial splenectomy +/- splenopexy"),"Non-viable","Review"),IF(BB1132="NR",IF(OR(BD1132="Total splenectomy",BD1132="Partial splenectomy +/- splenopexy"),"NR - removed, check reason","NR"),"Not applicable")))))</f>
        <v/>
      </c>
    </row>
    <row r="1133">
      <c r="D1133" s="8" t="n"/>
      <c r="E1133" s="9">
        <f>IF(B1133="","",IF(B1133="OWN","Yes","No"))</f>
        <v/>
      </c>
      <c r="AF1133" s="9">
        <f>IF(ISNUMBER(Z1133),IF(Z1133&lt;=2,"&lt;=2 d",IF(Z1133&lt;=7,"3-7 d",IF(Z1133&lt;=30,"8-30 d","&gt;30 d"))),IF(AE1133&lt;&gt;"",AE1133,IF(Z1133="NR","NR","")))</f>
        <v/>
      </c>
      <c r="AX1133" s="9">
        <f>IF(ISNUMBER(AW1133),IF(AW1133&gt;450,"Yes","No"),IF(AW1133="NR","NR",""))</f>
        <v/>
      </c>
      <c r="BJ1133" s="9">
        <f>IF(BB1133="","",IF(BB1133="Non-viable","Non-viable",IF(BB1133="Viable","Viable",IF(BB1133="Partially non-viable",IF(OR(BD1133="Total splenectomy",BD1133="Partial splenectomy +/- splenopexy"),"Non-viable","Review"),IF(BB1133="NR",IF(OR(BD1133="Total splenectomy",BD1133="Partial splenectomy +/- splenopexy"),"NR - removed, check reason","NR"),"Not applicable")))))</f>
        <v/>
      </c>
    </row>
    <row r="1134">
      <c r="D1134" s="8" t="n"/>
      <c r="E1134" s="9">
        <f>IF(B1134="","",IF(B1134="OWN","Yes","No"))</f>
        <v/>
      </c>
      <c r="AF1134" s="9">
        <f>IF(ISNUMBER(Z1134),IF(Z1134&lt;=2,"&lt;=2 d",IF(Z1134&lt;=7,"3-7 d",IF(Z1134&lt;=30,"8-30 d","&gt;30 d"))),IF(AE1134&lt;&gt;"",AE1134,IF(Z1134="NR","NR","")))</f>
        <v/>
      </c>
      <c r="AX1134" s="9">
        <f>IF(ISNUMBER(AW1134),IF(AW1134&gt;450,"Yes","No"),IF(AW1134="NR","NR",""))</f>
        <v/>
      </c>
      <c r="BJ1134" s="9">
        <f>IF(BB1134="","",IF(BB1134="Non-viable","Non-viable",IF(BB1134="Viable","Viable",IF(BB1134="Partially non-viable",IF(OR(BD1134="Total splenectomy",BD1134="Partial splenectomy +/- splenopexy"),"Non-viable","Review"),IF(BB1134="NR",IF(OR(BD1134="Total splenectomy",BD1134="Partial splenectomy +/- splenopexy"),"NR - removed, check reason","NR"),"Not applicable")))))</f>
        <v/>
      </c>
    </row>
    <row r="1135">
      <c r="D1135" s="8" t="n"/>
      <c r="E1135" s="9">
        <f>IF(B1135="","",IF(B1135="OWN","Yes","No"))</f>
        <v/>
      </c>
      <c r="AF1135" s="9">
        <f>IF(ISNUMBER(Z1135),IF(Z1135&lt;=2,"&lt;=2 d",IF(Z1135&lt;=7,"3-7 d",IF(Z1135&lt;=30,"8-30 d","&gt;30 d"))),IF(AE1135&lt;&gt;"",AE1135,IF(Z1135="NR","NR","")))</f>
        <v/>
      </c>
      <c r="AX1135" s="9">
        <f>IF(ISNUMBER(AW1135),IF(AW1135&gt;450,"Yes","No"),IF(AW1135="NR","NR",""))</f>
        <v/>
      </c>
      <c r="BJ1135" s="9">
        <f>IF(BB1135="","",IF(BB1135="Non-viable","Non-viable",IF(BB1135="Viable","Viable",IF(BB1135="Partially non-viable",IF(OR(BD1135="Total splenectomy",BD1135="Partial splenectomy +/- splenopexy"),"Non-viable","Review"),IF(BB1135="NR",IF(OR(BD1135="Total splenectomy",BD1135="Partial splenectomy +/- splenopexy"),"NR - removed, check reason","NR"),"Not applicable")))))</f>
        <v/>
      </c>
    </row>
    <row r="1136">
      <c r="D1136" s="8" t="n"/>
      <c r="E1136" s="9">
        <f>IF(B1136="","",IF(B1136="OWN","Yes","No"))</f>
        <v/>
      </c>
      <c r="AF1136" s="9">
        <f>IF(ISNUMBER(Z1136),IF(Z1136&lt;=2,"&lt;=2 d",IF(Z1136&lt;=7,"3-7 d",IF(Z1136&lt;=30,"8-30 d","&gt;30 d"))),IF(AE1136&lt;&gt;"",AE1136,IF(Z1136="NR","NR","")))</f>
        <v/>
      </c>
      <c r="AX1136" s="9">
        <f>IF(ISNUMBER(AW1136),IF(AW1136&gt;450,"Yes","No"),IF(AW1136="NR","NR",""))</f>
        <v/>
      </c>
      <c r="BJ1136" s="9">
        <f>IF(BB1136="","",IF(BB1136="Non-viable","Non-viable",IF(BB1136="Viable","Viable",IF(BB1136="Partially non-viable",IF(OR(BD1136="Total splenectomy",BD1136="Partial splenectomy +/- splenopexy"),"Non-viable","Review"),IF(BB1136="NR",IF(OR(BD1136="Total splenectomy",BD1136="Partial splenectomy +/- splenopexy"),"NR - removed, check reason","NR"),"Not applicable")))))</f>
        <v/>
      </c>
    </row>
    <row r="1137">
      <c r="D1137" s="8" t="n"/>
      <c r="E1137" s="9">
        <f>IF(B1137="","",IF(B1137="OWN","Yes","No"))</f>
        <v/>
      </c>
      <c r="AF1137" s="9">
        <f>IF(ISNUMBER(Z1137),IF(Z1137&lt;=2,"&lt;=2 d",IF(Z1137&lt;=7,"3-7 d",IF(Z1137&lt;=30,"8-30 d","&gt;30 d"))),IF(AE1137&lt;&gt;"",AE1137,IF(Z1137="NR","NR","")))</f>
        <v/>
      </c>
      <c r="AX1137" s="9">
        <f>IF(ISNUMBER(AW1137),IF(AW1137&gt;450,"Yes","No"),IF(AW1137="NR","NR",""))</f>
        <v/>
      </c>
      <c r="BJ1137" s="9">
        <f>IF(BB1137="","",IF(BB1137="Non-viable","Non-viable",IF(BB1137="Viable","Viable",IF(BB1137="Partially non-viable",IF(OR(BD1137="Total splenectomy",BD1137="Partial splenectomy +/- splenopexy"),"Non-viable","Review"),IF(BB1137="NR",IF(OR(BD1137="Total splenectomy",BD1137="Partial splenectomy +/- splenopexy"),"NR - removed, check reason","NR"),"Not applicable")))))</f>
        <v/>
      </c>
    </row>
    <row r="1138">
      <c r="D1138" s="8" t="n"/>
      <c r="E1138" s="9">
        <f>IF(B1138="","",IF(B1138="OWN","Yes","No"))</f>
        <v/>
      </c>
      <c r="AF1138" s="9">
        <f>IF(ISNUMBER(Z1138),IF(Z1138&lt;=2,"&lt;=2 d",IF(Z1138&lt;=7,"3-7 d",IF(Z1138&lt;=30,"8-30 d","&gt;30 d"))),IF(AE1138&lt;&gt;"",AE1138,IF(Z1138="NR","NR","")))</f>
        <v/>
      </c>
      <c r="AX1138" s="9">
        <f>IF(ISNUMBER(AW1138),IF(AW1138&gt;450,"Yes","No"),IF(AW1138="NR","NR",""))</f>
        <v/>
      </c>
      <c r="BJ1138" s="9">
        <f>IF(BB1138="","",IF(BB1138="Non-viable","Non-viable",IF(BB1138="Viable","Viable",IF(BB1138="Partially non-viable",IF(OR(BD1138="Total splenectomy",BD1138="Partial splenectomy +/- splenopexy"),"Non-viable","Review"),IF(BB1138="NR",IF(OR(BD1138="Total splenectomy",BD1138="Partial splenectomy +/- splenopexy"),"NR - removed, check reason","NR"),"Not applicable")))))</f>
        <v/>
      </c>
    </row>
    <row r="1139">
      <c r="D1139" s="8" t="n"/>
      <c r="E1139" s="9">
        <f>IF(B1139="","",IF(B1139="OWN","Yes","No"))</f>
        <v/>
      </c>
      <c r="AF1139" s="9">
        <f>IF(ISNUMBER(Z1139),IF(Z1139&lt;=2,"&lt;=2 d",IF(Z1139&lt;=7,"3-7 d",IF(Z1139&lt;=30,"8-30 d","&gt;30 d"))),IF(AE1139&lt;&gt;"",AE1139,IF(Z1139="NR","NR","")))</f>
        <v/>
      </c>
      <c r="AX1139" s="9">
        <f>IF(ISNUMBER(AW1139),IF(AW1139&gt;450,"Yes","No"),IF(AW1139="NR","NR",""))</f>
        <v/>
      </c>
      <c r="BJ1139" s="9">
        <f>IF(BB1139="","",IF(BB1139="Non-viable","Non-viable",IF(BB1139="Viable","Viable",IF(BB1139="Partially non-viable",IF(OR(BD1139="Total splenectomy",BD1139="Partial splenectomy +/- splenopexy"),"Non-viable","Review"),IF(BB1139="NR",IF(OR(BD1139="Total splenectomy",BD1139="Partial splenectomy +/- splenopexy"),"NR - removed, check reason","NR"),"Not applicable")))))</f>
        <v/>
      </c>
    </row>
    <row r="1140">
      <c r="D1140" s="8" t="n"/>
      <c r="E1140" s="9">
        <f>IF(B1140="","",IF(B1140="OWN","Yes","No"))</f>
        <v/>
      </c>
      <c r="AF1140" s="9">
        <f>IF(ISNUMBER(Z1140),IF(Z1140&lt;=2,"&lt;=2 d",IF(Z1140&lt;=7,"3-7 d",IF(Z1140&lt;=30,"8-30 d","&gt;30 d"))),IF(AE1140&lt;&gt;"",AE1140,IF(Z1140="NR","NR","")))</f>
        <v/>
      </c>
      <c r="AX1140" s="9">
        <f>IF(ISNUMBER(AW1140),IF(AW1140&gt;450,"Yes","No"),IF(AW1140="NR","NR",""))</f>
        <v/>
      </c>
      <c r="BJ1140" s="9">
        <f>IF(BB1140="","",IF(BB1140="Non-viable","Non-viable",IF(BB1140="Viable","Viable",IF(BB1140="Partially non-viable",IF(OR(BD1140="Total splenectomy",BD1140="Partial splenectomy +/- splenopexy"),"Non-viable","Review"),IF(BB1140="NR",IF(OR(BD1140="Total splenectomy",BD1140="Partial splenectomy +/- splenopexy"),"NR - removed, check reason","NR"),"Not applicable")))))</f>
        <v/>
      </c>
    </row>
    <row r="1141">
      <c r="D1141" s="8" t="n"/>
      <c r="E1141" s="9">
        <f>IF(B1141="","",IF(B1141="OWN","Yes","No"))</f>
        <v/>
      </c>
      <c r="AF1141" s="9">
        <f>IF(ISNUMBER(Z1141),IF(Z1141&lt;=2,"&lt;=2 d",IF(Z1141&lt;=7,"3-7 d",IF(Z1141&lt;=30,"8-30 d","&gt;30 d"))),IF(AE1141&lt;&gt;"",AE1141,IF(Z1141="NR","NR","")))</f>
        <v/>
      </c>
      <c r="AX1141" s="9">
        <f>IF(ISNUMBER(AW1141),IF(AW1141&gt;450,"Yes","No"),IF(AW1141="NR","NR",""))</f>
        <v/>
      </c>
      <c r="BJ1141" s="9">
        <f>IF(BB1141="","",IF(BB1141="Non-viable","Non-viable",IF(BB1141="Viable","Viable",IF(BB1141="Partially non-viable",IF(OR(BD1141="Total splenectomy",BD1141="Partial splenectomy +/- splenopexy"),"Non-viable","Review"),IF(BB1141="NR",IF(OR(BD1141="Total splenectomy",BD1141="Partial splenectomy +/- splenopexy"),"NR - removed, check reason","NR"),"Not applicable")))))</f>
        <v/>
      </c>
    </row>
    <row r="1142">
      <c r="D1142" s="8" t="n"/>
      <c r="E1142" s="9">
        <f>IF(B1142="","",IF(B1142="OWN","Yes","No"))</f>
        <v/>
      </c>
      <c r="AF1142" s="9">
        <f>IF(ISNUMBER(Z1142),IF(Z1142&lt;=2,"&lt;=2 d",IF(Z1142&lt;=7,"3-7 d",IF(Z1142&lt;=30,"8-30 d","&gt;30 d"))),IF(AE1142&lt;&gt;"",AE1142,IF(Z1142="NR","NR","")))</f>
        <v/>
      </c>
      <c r="AX1142" s="9">
        <f>IF(ISNUMBER(AW1142),IF(AW1142&gt;450,"Yes","No"),IF(AW1142="NR","NR",""))</f>
        <v/>
      </c>
      <c r="BJ1142" s="9">
        <f>IF(BB1142="","",IF(BB1142="Non-viable","Non-viable",IF(BB1142="Viable","Viable",IF(BB1142="Partially non-viable",IF(OR(BD1142="Total splenectomy",BD1142="Partial splenectomy +/- splenopexy"),"Non-viable","Review"),IF(BB1142="NR",IF(OR(BD1142="Total splenectomy",BD1142="Partial splenectomy +/- splenopexy"),"NR - removed, check reason","NR"),"Not applicable")))))</f>
        <v/>
      </c>
    </row>
    <row r="1143">
      <c r="D1143" s="8" t="n"/>
      <c r="E1143" s="9">
        <f>IF(B1143="","",IF(B1143="OWN","Yes","No"))</f>
        <v/>
      </c>
      <c r="AF1143" s="9">
        <f>IF(ISNUMBER(Z1143),IF(Z1143&lt;=2,"&lt;=2 d",IF(Z1143&lt;=7,"3-7 d",IF(Z1143&lt;=30,"8-30 d","&gt;30 d"))),IF(AE1143&lt;&gt;"",AE1143,IF(Z1143="NR","NR","")))</f>
        <v/>
      </c>
      <c r="AX1143" s="9">
        <f>IF(ISNUMBER(AW1143),IF(AW1143&gt;450,"Yes","No"),IF(AW1143="NR","NR",""))</f>
        <v/>
      </c>
      <c r="BJ1143" s="9">
        <f>IF(BB1143="","",IF(BB1143="Non-viable","Non-viable",IF(BB1143="Viable","Viable",IF(BB1143="Partially non-viable",IF(OR(BD1143="Total splenectomy",BD1143="Partial splenectomy +/- splenopexy"),"Non-viable","Review"),IF(BB1143="NR",IF(OR(BD1143="Total splenectomy",BD1143="Partial splenectomy +/- splenopexy"),"NR - removed, check reason","NR"),"Not applicable")))))</f>
        <v/>
      </c>
    </row>
    <row r="1144">
      <c r="D1144" s="8" t="n"/>
      <c r="E1144" s="9">
        <f>IF(B1144="","",IF(B1144="OWN","Yes","No"))</f>
        <v/>
      </c>
      <c r="AF1144" s="9">
        <f>IF(ISNUMBER(Z1144),IF(Z1144&lt;=2,"&lt;=2 d",IF(Z1144&lt;=7,"3-7 d",IF(Z1144&lt;=30,"8-30 d","&gt;30 d"))),IF(AE1144&lt;&gt;"",AE1144,IF(Z1144="NR","NR","")))</f>
        <v/>
      </c>
      <c r="AX1144" s="9">
        <f>IF(ISNUMBER(AW1144),IF(AW1144&gt;450,"Yes","No"),IF(AW1144="NR","NR",""))</f>
        <v/>
      </c>
      <c r="BJ1144" s="9">
        <f>IF(BB1144="","",IF(BB1144="Non-viable","Non-viable",IF(BB1144="Viable","Viable",IF(BB1144="Partially non-viable",IF(OR(BD1144="Total splenectomy",BD1144="Partial splenectomy +/- splenopexy"),"Non-viable","Review"),IF(BB1144="NR",IF(OR(BD1144="Total splenectomy",BD1144="Partial splenectomy +/- splenopexy"),"NR - removed, check reason","NR"),"Not applicable")))))</f>
        <v/>
      </c>
    </row>
    <row r="1145">
      <c r="D1145" s="8" t="n"/>
      <c r="E1145" s="9">
        <f>IF(B1145="","",IF(B1145="OWN","Yes","No"))</f>
        <v/>
      </c>
      <c r="AF1145" s="9">
        <f>IF(ISNUMBER(Z1145),IF(Z1145&lt;=2,"&lt;=2 d",IF(Z1145&lt;=7,"3-7 d",IF(Z1145&lt;=30,"8-30 d","&gt;30 d"))),IF(AE1145&lt;&gt;"",AE1145,IF(Z1145="NR","NR","")))</f>
        <v/>
      </c>
      <c r="AX1145" s="9">
        <f>IF(ISNUMBER(AW1145),IF(AW1145&gt;450,"Yes","No"),IF(AW1145="NR","NR",""))</f>
        <v/>
      </c>
      <c r="BJ1145" s="9">
        <f>IF(BB1145="","",IF(BB1145="Non-viable","Non-viable",IF(BB1145="Viable","Viable",IF(BB1145="Partially non-viable",IF(OR(BD1145="Total splenectomy",BD1145="Partial splenectomy +/- splenopexy"),"Non-viable","Review"),IF(BB1145="NR",IF(OR(BD1145="Total splenectomy",BD1145="Partial splenectomy +/- splenopexy"),"NR - removed, check reason","NR"),"Not applicable")))))</f>
        <v/>
      </c>
    </row>
    <row r="1146">
      <c r="D1146" s="8" t="n"/>
      <c r="E1146" s="9">
        <f>IF(B1146="","",IF(B1146="OWN","Yes","No"))</f>
        <v/>
      </c>
      <c r="AF1146" s="9">
        <f>IF(ISNUMBER(Z1146),IF(Z1146&lt;=2,"&lt;=2 d",IF(Z1146&lt;=7,"3-7 d",IF(Z1146&lt;=30,"8-30 d","&gt;30 d"))),IF(AE1146&lt;&gt;"",AE1146,IF(Z1146="NR","NR","")))</f>
        <v/>
      </c>
      <c r="AX1146" s="9">
        <f>IF(ISNUMBER(AW1146),IF(AW1146&gt;450,"Yes","No"),IF(AW1146="NR","NR",""))</f>
        <v/>
      </c>
      <c r="BJ1146" s="9">
        <f>IF(BB1146="","",IF(BB1146="Non-viable","Non-viable",IF(BB1146="Viable","Viable",IF(BB1146="Partially non-viable",IF(OR(BD1146="Total splenectomy",BD1146="Partial splenectomy +/- splenopexy"),"Non-viable","Review"),IF(BB1146="NR",IF(OR(BD1146="Total splenectomy",BD1146="Partial splenectomy +/- splenopexy"),"NR - removed, check reason","NR"),"Not applicable")))))</f>
        <v/>
      </c>
    </row>
    <row r="1147">
      <c r="D1147" s="8" t="n"/>
      <c r="E1147" s="9">
        <f>IF(B1147="","",IF(B1147="OWN","Yes","No"))</f>
        <v/>
      </c>
      <c r="AF1147" s="9">
        <f>IF(ISNUMBER(Z1147),IF(Z1147&lt;=2,"&lt;=2 d",IF(Z1147&lt;=7,"3-7 d",IF(Z1147&lt;=30,"8-30 d","&gt;30 d"))),IF(AE1147&lt;&gt;"",AE1147,IF(Z1147="NR","NR","")))</f>
        <v/>
      </c>
      <c r="AX1147" s="9">
        <f>IF(ISNUMBER(AW1147),IF(AW1147&gt;450,"Yes","No"),IF(AW1147="NR","NR",""))</f>
        <v/>
      </c>
      <c r="BJ1147" s="9">
        <f>IF(BB1147="","",IF(BB1147="Non-viable","Non-viable",IF(BB1147="Viable","Viable",IF(BB1147="Partially non-viable",IF(OR(BD1147="Total splenectomy",BD1147="Partial splenectomy +/- splenopexy"),"Non-viable","Review"),IF(BB1147="NR",IF(OR(BD1147="Total splenectomy",BD1147="Partial splenectomy +/- splenopexy"),"NR - removed, check reason","NR"),"Not applicable")))))</f>
        <v/>
      </c>
    </row>
    <row r="1148">
      <c r="D1148" s="8" t="n"/>
      <c r="E1148" s="9">
        <f>IF(B1148="","",IF(B1148="OWN","Yes","No"))</f>
        <v/>
      </c>
      <c r="AF1148" s="9">
        <f>IF(ISNUMBER(Z1148),IF(Z1148&lt;=2,"&lt;=2 d",IF(Z1148&lt;=7,"3-7 d",IF(Z1148&lt;=30,"8-30 d","&gt;30 d"))),IF(AE1148&lt;&gt;"",AE1148,IF(Z1148="NR","NR","")))</f>
        <v/>
      </c>
      <c r="AX1148" s="9">
        <f>IF(ISNUMBER(AW1148),IF(AW1148&gt;450,"Yes","No"),IF(AW1148="NR","NR",""))</f>
        <v/>
      </c>
      <c r="BJ1148" s="9">
        <f>IF(BB1148="","",IF(BB1148="Non-viable","Non-viable",IF(BB1148="Viable","Viable",IF(BB1148="Partially non-viable",IF(OR(BD1148="Total splenectomy",BD1148="Partial splenectomy +/- splenopexy"),"Non-viable","Review"),IF(BB1148="NR",IF(OR(BD1148="Total splenectomy",BD1148="Partial splenectomy +/- splenopexy"),"NR - removed, check reason","NR"),"Not applicable")))))</f>
        <v/>
      </c>
    </row>
    <row r="1149">
      <c r="D1149" s="8" t="n"/>
      <c r="E1149" s="9">
        <f>IF(B1149="","",IF(B1149="OWN","Yes","No"))</f>
        <v/>
      </c>
      <c r="AF1149" s="9">
        <f>IF(ISNUMBER(Z1149),IF(Z1149&lt;=2,"&lt;=2 d",IF(Z1149&lt;=7,"3-7 d",IF(Z1149&lt;=30,"8-30 d","&gt;30 d"))),IF(AE1149&lt;&gt;"",AE1149,IF(Z1149="NR","NR","")))</f>
        <v/>
      </c>
      <c r="AX1149" s="9">
        <f>IF(ISNUMBER(AW1149),IF(AW1149&gt;450,"Yes","No"),IF(AW1149="NR","NR",""))</f>
        <v/>
      </c>
      <c r="BJ1149" s="9">
        <f>IF(BB1149="","",IF(BB1149="Non-viable","Non-viable",IF(BB1149="Viable","Viable",IF(BB1149="Partially non-viable",IF(OR(BD1149="Total splenectomy",BD1149="Partial splenectomy +/- splenopexy"),"Non-viable","Review"),IF(BB1149="NR",IF(OR(BD1149="Total splenectomy",BD1149="Partial splenectomy +/- splenopexy"),"NR - removed, check reason","NR"),"Not applicable")))))</f>
        <v/>
      </c>
    </row>
    <row r="1150">
      <c r="D1150" s="8" t="n"/>
      <c r="E1150" s="9">
        <f>IF(B1150="","",IF(B1150="OWN","Yes","No"))</f>
        <v/>
      </c>
      <c r="AF1150" s="9">
        <f>IF(ISNUMBER(Z1150),IF(Z1150&lt;=2,"&lt;=2 d",IF(Z1150&lt;=7,"3-7 d",IF(Z1150&lt;=30,"8-30 d","&gt;30 d"))),IF(AE1150&lt;&gt;"",AE1150,IF(Z1150="NR","NR","")))</f>
        <v/>
      </c>
      <c r="AX1150" s="9">
        <f>IF(ISNUMBER(AW1150),IF(AW1150&gt;450,"Yes","No"),IF(AW1150="NR","NR",""))</f>
        <v/>
      </c>
      <c r="BJ1150" s="9">
        <f>IF(BB1150="","",IF(BB1150="Non-viable","Non-viable",IF(BB1150="Viable","Viable",IF(BB1150="Partially non-viable",IF(OR(BD1150="Total splenectomy",BD1150="Partial splenectomy +/- splenopexy"),"Non-viable","Review"),IF(BB1150="NR",IF(OR(BD1150="Total splenectomy",BD1150="Partial splenectomy +/- splenopexy"),"NR - removed, check reason","NR"),"Not applicable")))))</f>
        <v/>
      </c>
    </row>
    <row r="1151">
      <c r="D1151" s="8" t="n"/>
      <c r="E1151" s="9">
        <f>IF(B1151="","",IF(B1151="OWN","Yes","No"))</f>
        <v/>
      </c>
      <c r="AF1151" s="9">
        <f>IF(ISNUMBER(Z1151),IF(Z1151&lt;=2,"&lt;=2 d",IF(Z1151&lt;=7,"3-7 d",IF(Z1151&lt;=30,"8-30 d","&gt;30 d"))),IF(AE1151&lt;&gt;"",AE1151,IF(Z1151="NR","NR","")))</f>
        <v/>
      </c>
      <c r="AX1151" s="9">
        <f>IF(ISNUMBER(AW1151),IF(AW1151&gt;450,"Yes","No"),IF(AW1151="NR","NR",""))</f>
        <v/>
      </c>
      <c r="BJ1151" s="9">
        <f>IF(BB1151="","",IF(BB1151="Non-viable","Non-viable",IF(BB1151="Viable","Viable",IF(BB1151="Partially non-viable",IF(OR(BD1151="Total splenectomy",BD1151="Partial splenectomy +/- splenopexy"),"Non-viable","Review"),IF(BB1151="NR",IF(OR(BD1151="Total splenectomy",BD1151="Partial splenectomy +/- splenopexy"),"NR - removed, check reason","NR"),"Not applicable")))))</f>
        <v/>
      </c>
    </row>
    <row r="1152">
      <c r="D1152" s="8" t="n"/>
      <c r="E1152" s="9">
        <f>IF(B1152="","",IF(B1152="OWN","Yes","No"))</f>
        <v/>
      </c>
      <c r="AF1152" s="9">
        <f>IF(ISNUMBER(Z1152),IF(Z1152&lt;=2,"&lt;=2 d",IF(Z1152&lt;=7,"3-7 d",IF(Z1152&lt;=30,"8-30 d","&gt;30 d"))),IF(AE1152&lt;&gt;"",AE1152,IF(Z1152="NR","NR","")))</f>
        <v/>
      </c>
      <c r="AX1152" s="9">
        <f>IF(ISNUMBER(AW1152),IF(AW1152&gt;450,"Yes","No"),IF(AW1152="NR","NR",""))</f>
        <v/>
      </c>
      <c r="BJ1152" s="9">
        <f>IF(BB1152="","",IF(BB1152="Non-viable","Non-viable",IF(BB1152="Viable","Viable",IF(BB1152="Partially non-viable",IF(OR(BD1152="Total splenectomy",BD1152="Partial splenectomy +/- splenopexy"),"Non-viable","Review"),IF(BB1152="NR",IF(OR(BD1152="Total splenectomy",BD1152="Partial splenectomy +/- splenopexy"),"NR - removed, check reason","NR"),"Not applicable")))))</f>
        <v/>
      </c>
    </row>
    <row r="1153">
      <c r="D1153" s="8" t="n"/>
      <c r="E1153" s="9">
        <f>IF(B1153="","",IF(B1153="OWN","Yes","No"))</f>
        <v/>
      </c>
      <c r="AF1153" s="9">
        <f>IF(ISNUMBER(Z1153),IF(Z1153&lt;=2,"&lt;=2 d",IF(Z1153&lt;=7,"3-7 d",IF(Z1153&lt;=30,"8-30 d","&gt;30 d"))),IF(AE1153&lt;&gt;"",AE1153,IF(Z1153="NR","NR","")))</f>
        <v/>
      </c>
      <c r="AX1153" s="9">
        <f>IF(ISNUMBER(AW1153),IF(AW1153&gt;450,"Yes","No"),IF(AW1153="NR","NR",""))</f>
        <v/>
      </c>
      <c r="BJ1153" s="9">
        <f>IF(BB1153="","",IF(BB1153="Non-viable","Non-viable",IF(BB1153="Viable","Viable",IF(BB1153="Partially non-viable",IF(OR(BD1153="Total splenectomy",BD1153="Partial splenectomy +/- splenopexy"),"Non-viable","Review"),IF(BB1153="NR",IF(OR(BD1153="Total splenectomy",BD1153="Partial splenectomy +/- splenopexy"),"NR - removed, check reason","NR"),"Not applicable")))))</f>
        <v/>
      </c>
    </row>
    <row r="1154">
      <c r="D1154" s="8" t="n"/>
      <c r="E1154" s="9">
        <f>IF(B1154="","",IF(B1154="OWN","Yes","No"))</f>
        <v/>
      </c>
      <c r="AF1154" s="9">
        <f>IF(ISNUMBER(Z1154),IF(Z1154&lt;=2,"&lt;=2 d",IF(Z1154&lt;=7,"3-7 d",IF(Z1154&lt;=30,"8-30 d","&gt;30 d"))),IF(AE1154&lt;&gt;"",AE1154,IF(Z1154="NR","NR","")))</f>
        <v/>
      </c>
      <c r="AX1154" s="9">
        <f>IF(ISNUMBER(AW1154),IF(AW1154&gt;450,"Yes","No"),IF(AW1154="NR","NR",""))</f>
        <v/>
      </c>
      <c r="BJ1154" s="9">
        <f>IF(BB1154="","",IF(BB1154="Non-viable","Non-viable",IF(BB1154="Viable","Viable",IF(BB1154="Partially non-viable",IF(OR(BD1154="Total splenectomy",BD1154="Partial splenectomy +/- splenopexy"),"Non-viable","Review"),IF(BB1154="NR",IF(OR(BD1154="Total splenectomy",BD1154="Partial splenectomy +/- splenopexy"),"NR - removed, check reason","NR"),"Not applicable")))))</f>
        <v/>
      </c>
    </row>
    <row r="1155">
      <c r="D1155" s="8" t="n"/>
      <c r="E1155" s="9">
        <f>IF(B1155="","",IF(B1155="OWN","Yes","No"))</f>
        <v/>
      </c>
      <c r="AF1155" s="9">
        <f>IF(ISNUMBER(Z1155),IF(Z1155&lt;=2,"&lt;=2 d",IF(Z1155&lt;=7,"3-7 d",IF(Z1155&lt;=30,"8-30 d","&gt;30 d"))),IF(AE1155&lt;&gt;"",AE1155,IF(Z1155="NR","NR","")))</f>
        <v/>
      </c>
      <c r="AX1155" s="9">
        <f>IF(ISNUMBER(AW1155),IF(AW1155&gt;450,"Yes","No"),IF(AW1155="NR","NR",""))</f>
        <v/>
      </c>
      <c r="BJ1155" s="9">
        <f>IF(BB1155="","",IF(BB1155="Non-viable","Non-viable",IF(BB1155="Viable","Viable",IF(BB1155="Partially non-viable",IF(OR(BD1155="Total splenectomy",BD1155="Partial splenectomy +/- splenopexy"),"Non-viable","Review"),IF(BB1155="NR",IF(OR(BD1155="Total splenectomy",BD1155="Partial splenectomy +/- splenopexy"),"NR - removed, check reason","NR"),"Not applicable")))))</f>
        <v/>
      </c>
    </row>
    <row r="1156">
      <c r="D1156" s="8" t="n"/>
      <c r="E1156" s="9">
        <f>IF(B1156="","",IF(B1156="OWN","Yes","No"))</f>
        <v/>
      </c>
      <c r="AF1156" s="9">
        <f>IF(ISNUMBER(Z1156),IF(Z1156&lt;=2,"&lt;=2 d",IF(Z1156&lt;=7,"3-7 d",IF(Z1156&lt;=30,"8-30 d","&gt;30 d"))),IF(AE1156&lt;&gt;"",AE1156,IF(Z1156="NR","NR","")))</f>
        <v/>
      </c>
      <c r="AX1156" s="9">
        <f>IF(ISNUMBER(AW1156),IF(AW1156&gt;450,"Yes","No"),IF(AW1156="NR","NR",""))</f>
        <v/>
      </c>
      <c r="BJ1156" s="9">
        <f>IF(BB1156="","",IF(BB1156="Non-viable","Non-viable",IF(BB1156="Viable","Viable",IF(BB1156="Partially non-viable",IF(OR(BD1156="Total splenectomy",BD1156="Partial splenectomy +/- splenopexy"),"Non-viable","Review"),IF(BB1156="NR",IF(OR(BD1156="Total splenectomy",BD1156="Partial splenectomy +/- splenopexy"),"NR - removed, check reason","NR"),"Not applicable")))))</f>
        <v/>
      </c>
    </row>
    <row r="1157">
      <c r="D1157" s="8" t="n"/>
      <c r="E1157" s="9">
        <f>IF(B1157="","",IF(B1157="OWN","Yes","No"))</f>
        <v/>
      </c>
      <c r="AF1157" s="9">
        <f>IF(ISNUMBER(Z1157),IF(Z1157&lt;=2,"&lt;=2 d",IF(Z1157&lt;=7,"3-7 d",IF(Z1157&lt;=30,"8-30 d","&gt;30 d"))),IF(AE1157&lt;&gt;"",AE1157,IF(Z1157="NR","NR","")))</f>
        <v/>
      </c>
      <c r="AX1157" s="9">
        <f>IF(ISNUMBER(AW1157),IF(AW1157&gt;450,"Yes","No"),IF(AW1157="NR","NR",""))</f>
        <v/>
      </c>
      <c r="BJ1157" s="9">
        <f>IF(BB1157="","",IF(BB1157="Non-viable","Non-viable",IF(BB1157="Viable","Viable",IF(BB1157="Partially non-viable",IF(OR(BD1157="Total splenectomy",BD1157="Partial splenectomy +/- splenopexy"),"Non-viable","Review"),IF(BB1157="NR",IF(OR(BD1157="Total splenectomy",BD1157="Partial splenectomy +/- splenopexy"),"NR - removed, check reason","NR"),"Not applicable")))))</f>
        <v/>
      </c>
    </row>
    <row r="1158">
      <c r="D1158" s="8" t="n"/>
      <c r="E1158" s="9">
        <f>IF(B1158="","",IF(B1158="OWN","Yes","No"))</f>
        <v/>
      </c>
      <c r="AF1158" s="9">
        <f>IF(ISNUMBER(Z1158),IF(Z1158&lt;=2,"&lt;=2 d",IF(Z1158&lt;=7,"3-7 d",IF(Z1158&lt;=30,"8-30 d","&gt;30 d"))),IF(AE1158&lt;&gt;"",AE1158,IF(Z1158="NR","NR","")))</f>
        <v/>
      </c>
      <c r="AX1158" s="9">
        <f>IF(ISNUMBER(AW1158),IF(AW1158&gt;450,"Yes","No"),IF(AW1158="NR","NR",""))</f>
        <v/>
      </c>
      <c r="BJ1158" s="9">
        <f>IF(BB1158="","",IF(BB1158="Non-viable","Non-viable",IF(BB1158="Viable","Viable",IF(BB1158="Partially non-viable",IF(OR(BD1158="Total splenectomy",BD1158="Partial splenectomy +/- splenopexy"),"Non-viable","Review"),IF(BB1158="NR",IF(OR(BD1158="Total splenectomy",BD1158="Partial splenectomy +/- splenopexy"),"NR - removed, check reason","NR"),"Not applicable")))))</f>
        <v/>
      </c>
    </row>
    <row r="1159">
      <c r="D1159" s="8" t="n"/>
      <c r="E1159" s="9">
        <f>IF(B1159="","",IF(B1159="OWN","Yes","No"))</f>
        <v/>
      </c>
      <c r="AF1159" s="9">
        <f>IF(ISNUMBER(Z1159),IF(Z1159&lt;=2,"&lt;=2 d",IF(Z1159&lt;=7,"3-7 d",IF(Z1159&lt;=30,"8-30 d","&gt;30 d"))),IF(AE1159&lt;&gt;"",AE1159,IF(Z1159="NR","NR","")))</f>
        <v/>
      </c>
      <c r="AX1159" s="9">
        <f>IF(ISNUMBER(AW1159),IF(AW1159&gt;450,"Yes","No"),IF(AW1159="NR","NR",""))</f>
        <v/>
      </c>
      <c r="BJ1159" s="9">
        <f>IF(BB1159="","",IF(BB1159="Non-viable","Non-viable",IF(BB1159="Viable","Viable",IF(BB1159="Partially non-viable",IF(OR(BD1159="Total splenectomy",BD1159="Partial splenectomy +/- splenopexy"),"Non-viable","Review"),IF(BB1159="NR",IF(OR(BD1159="Total splenectomy",BD1159="Partial splenectomy +/- splenopexy"),"NR - removed, check reason","NR"),"Not applicable")))))</f>
        <v/>
      </c>
    </row>
    <row r="1160">
      <c r="D1160" s="8" t="n"/>
      <c r="E1160" s="9">
        <f>IF(B1160="","",IF(B1160="OWN","Yes","No"))</f>
        <v/>
      </c>
      <c r="AF1160" s="9">
        <f>IF(ISNUMBER(Z1160),IF(Z1160&lt;=2,"&lt;=2 d",IF(Z1160&lt;=7,"3-7 d",IF(Z1160&lt;=30,"8-30 d","&gt;30 d"))),IF(AE1160&lt;&gt;"",AE1160,IF(Z1160="NR","NR","")))</f>
        <v/>
      </c>
      <c r="AX1160" s="9">
        <f>IF(ISNUMBER(AW1160),IF(AW1160&gt;450,"Yes","No"),IF(AW1160="NR","NR",""))</f>
        <v/>
      </c>
      <c r="BJ1160" s="9">
        <f>IF(BB1160="","",IF(BB1160="Non-viable","Non-viable",IF(BB1160="Viable","Viable",IF(BB1160="Partially non-viable",IF(OR(BD1160="Total splenectomy",BD1160="Partial splenectomy +/- splenopexy"),"Non-viable","Review"),IF(BB1160="NR",IF(OR(BD1160="Total splenectomy",BD1160="Partial splenectomy +/- splenopexy"),"NR - removed, check reason","NR"),"Not applicable")))))</f>
        <v/>
      </c>
    </row>
    <row r="1161">
      <c r="D1161" s="8" t="n"/>
      <c r="E1161" s="9">
        <f>IF(B1161="","",IF(B1161="OWN","Yes","No"))</f>
        <v/>
      </c>
      <c r="AF1161" s="9">
        <f>IF(ISNUMBER(Z1161),IF(Z1161&lt;=2,"&lt;=2 d",IF(Z1161&lt;=7,"3-7 d",IF(Z1161&lt;=30,"8-30 d","&gt;30 d"))),IF(AE1161&lt;&gt;"",AE1161,IF(Z1161="NR","NR","")))</f>
        <v/>
      </c>
      <c r="AX1161" s="9">
        <f>IF(ISNUMBER(AW1161),IF(AW1161&gt;450,"Yes","No"),IF(AW1161="NR","NR",""))</f>
        <v/>
      </c>
      <c r="BJ1161" s="9">
        <f>IF(BB1161="","",IF(BB1161="Non-viable","Non-viable",IF(BB1161="Viable","Viable",IF(BB1161="Partially non-viable",IF(OR(BD1161="Total splenectomy",BD1161="Partial splenectomy +/- splenopexy"),"Non-viable","Review"),IF(BB1161="NR",IF(OR(BD1161="Total splenectomy",BD1161="Partial splenectomy +/- splenopexy"),"NR - removed, check reason","NR"),"Not applicable")))))</f>
        <v/>
      </c>
    </row>
    <row r="1162">
      <c r="D1162" s="8" t="n"/>
      <c r="E1162" s="9">
        <f>IF(B1162="","",IF(B1162="OWN","Yes","No"))</f>
        <v/>
      </c>
      <c r="AF1162" s="9">
        <f>IF(ISNUMBER(Z1162),IF(Z1162&lt;=2,"&lt;=2 d",IF(Z1162&lt;=7,"3-7 d",IF(Z1162&lt;=30,"8-30 d","&gt;30 d"))),IF(AE1162&lt;&gt;"",AE1162,IF(Z1162="NR","NR","")))</f>
        <v/>
      </c>
      <c r="AX1162" s="9">
        <f>IF(ISNUMBER(AW1162),IF(AW1162&gt;450,"Yes","No"),IF(AW1162="NR","NR",""))</f>
        <v/>
      </c>
      <c r="BJ1162" s="9">
        <f>IF(BB1162="","",IF(BB1162="Non-viable","Non-viable",IF(BB1162="Viable","Viable",IF(BB1162="Partially non-viable",IF(OR(BD1162="Total splenectomy",BD1162="Partial splenectomy +/- splenopexy"),"Non-viable","Review"),IF(BB1162="NR",IF(OR(BD1162="Total splenectomy",BD1162="Partial splenectomy +/- splenopexy"),"NR - removed, check reason","NR"),"Not applicable")))))</f>
        <v/>
      </c>
    </row>
    <row r="1163">
      <c r="D1163" s="8" t="n"/>
      <c r="E1163" s="9">
        <f>IF(B1163="","",IF(B1163="OWN","Yes","No"))</f>
        <v/>
      </c>
      <c r="AF1163" s="9">
        <f>IF(ISNUMBER(Z1163),IF(Z1163&lt;=2,"&lt;=2 d",IF(Z1163&lt;=7,"3-7 d",IF(Z1163&lt;=30,"8-30 d","&gt;30 d"))),IF(AE1163&lt;&gt;"",AE1163,IF(Z1163="NR","NR","")))</f>
        <v/>
      </c>
      <c r="AX1163" s="9">
        <f>IF(ISNUMBER(AW1163),IF(AW1163&gt;450,"Yes","No"),IF(AW1163="NR","NR",""))</f>
        <v/>
      </c>
      <c r="BJ1163" s="9">
        <f>IF(BB1163="","",IF(BB1163="Non-viable","Non-viable",IF(BB1163="Viable","Viable",IF(BB1163="Partially non-viable",IF(OR(BD1163="Total splenectomy",BD1163="Partial splenectomy +/- splenopexy"),"Non-viable","Review"),IF(BB1163="NR",IF(OR(BD1163="Total splenectomy",BD1163="Partial splenectomy +/- splenopexy"),"NR - removed, check reason","NR"),"Not applicable")))))</f>
        <v/>
      </c>
    </row>
    <row r="1164">
      <c r="D1164" s="8" t="n"/>
      <c r="E1164" s="9">
        <f>IF(B1164="","",IF(B1164="OWN","Yes","No"))</f>
        <v/>
      </c>
      <c r="AF1164" s="9">
        <f>IF(ISNUMBER(Z1164),IF(Z1164&lt;=2,"&lt;=2 d",IF(Z1164&lt;=7,"3-7 d",IF(Z1164&lt;=30,"8-30 d","&gt;30 d"))),IF(AE1164&lt;&gt;"",AE1164,IF(Z1164="NR","NR","")))</f>
        <v/>
      </c>
      <c r="AX1164" s="9">
        <f>IF(ISNUMBER(AW1164),IF(AW1164&gt;450,"Yes","No"),IF(AW1164="NR","NR",""))</f>
        <v/>
      </c>
      <c r="BJ1164" s="9">
        <f>IF(BB1164="","",IF(BB1164="Non-viable","Non-viable",IF(BB1164="Viable","Viable",IF(BB1164="Partially non-viable",IF(OR(BD1164="Total splenectomy",BD1164="Partial splenectomy +/- splenopexy"),"Non-viable","Review"),IF(BB1164="NR",IF(OR(BD1164="Total splenectomy",BD1164="Partial splenectomy +/- splenopexy"),"NR - removed, check reason","NR"),"Not applicable")))))</f>
        <v/>
      </c>
    </row>
    <row r="1165">
      <c r="D1165" s="8" t="n"/>
      <c r="E1165" s="9">
        <f>IF(B1165="","",IF(B1165="OWN","Yes","No"))</f>
        <v/>
      </c>
      <c r="AF1165" s="9">
        <f>IF(ISNUMBER(Z1165),IF(Z1165&lt;=2,"&lt;=2 d",IF(Z1165&lt;=7,"3-7 d",IF(Z1165&lt;=30,"8-30 d","&gt;30 d"))),IF(AE1165&lt;&gt;"",AE1165,IF(Z1165="NR","NR","")))</f>
        <v/>
      </c>
      <c r="AX1165" s="9">
        <f>IF(ISNUMBER(AW1165),IF(AW1165&gt;450,"Yes","No"),IF(AW1165="NR","NR",""))</f>
        <v/>
      </c>
      <c r="BJ1165" s="9">
        <f>IF(BB1165="","",IF(BB1165="Non-viable","Non-viable",IF(BB1165="Viable","Viable",IF(BB1165="Partially non-viable",IF(OR(BD1165="Total splenectomy",BD1165="Partial splenectomy +/- splenopexy"),"Non-viable","Review"),IF(BB1165="NR",IF(OR(BD1165="Total splenectomy",BD1165="Partial splenectomy +/- splenopexy"),"NR - removed, check reason","NR"),"Not applicable")))))</f>
        <v/>
      </c>
    </row>
    <row r="1166">
      <c r="D1166" s="8" t="n"/>
      <c r="E1166" s="9">
        <f>IF(B1166="","",IF(B1166="OWN","Yes","No"))</f>
        <v/>
      </c>
      <c r="AF1166" s="9">
        <f>IF(ISNUMBER(Z1166),IF(Z1166&lt;=2,"&lt;=2 d",IF(Z1166&lt;=7,"3-7 d",IF(Z1166&lt;=30,"8-30 d","&gt;30 d"))),IF(AE1166&lt;&gt;"",AE1166,IF(Z1166="NR","NR","")))</f>
        <v/>
      </c>
      <c r="AX1166" s="9">
        <f>IF(ISNUMBER(AW1166),IF(AW1166&gt;450,"Yes","No"),IF(AW1166="NR","NR",""))</f>
        <v/>
      </c>
      <c r="BJ1166" s="9">
        <f>IF(BB1166="","",IF(BB1166="Non-viable","Non-viable",IF(BB1166="Viable","Viable",IF(BB1166="Partially non-viable",IF(OR(BD1166="Total splenectomy",BD1166="Partial splenectomy +/- splenopexy"),"Non-viable","Review"),IF(BB1166="NR",IF(OR(BD1166="Total splenectomy",BD1166="Partial splenectomy +/- splenopexy"),"NR - removed, check reason","NR"),"Not applicable")))))</f>
        <v/>
      </c>
    </row>
    <row r="1167">
      <c r="D1167" s="8" t="n"/>
      <c r="E1167" s="9">
        <f>IF(B1167="","",IF(B1167="OWN","Yes","No"))</f>
        <v/>
      </c>
      <c r="AF1167" s="9">
        <f>IF(ISNUMBER(Z1167),IF(Z1167&lt;=2,"&lt;=2 d",IF(Z1167&lt;=7,"3-7 d",IF(Z1167&lt;=30,"8-30 d","&gt;30 d"))),IF(AE1167&lt;&gt;"",AE1167,IF(Z1167="NR","NR","")))</f>
        <v/>
      </c>
      <c r="AX1167" s="9">
        <f>IF(ISNUMBER(AW1167),IF(AW1167&gt;450,"Yes","No"),IF(AW1167="NR","NR",""))</f>
        <v/>
      </c>
      <c r="BJ1167" s="9">
        <f>IF(BB1167="","",IF(BB1167="Non-viable","Non-viable",IF(BB1167="Viable","Viable",IF(BB1167="Partially non-viable",IF(OR(BD1167="Total splenectomy",BD1167="Partial splenectomy +/- splenopexy"),"Non-viable","Review"),IF(BB1167="NR",IF(OR(BD1167="Total splenectomy",BD1167="Partial splenectomy +/- splenopexy"),"NR - removed, check reason","NR"),"Not applicable")))))</f>
        <v/>
      </c>
    </row>
    <row r="1168">
      <c r="D1168" s="8" t="n"/>
      <c r="E1168" s="9">
        <f>IF(B1168="","",IF(B1168="OWN","Yes","No"))</f>
        <v/>
      </c>
      <c r="AF1168" s="9">
        <f>IF(ISNUMBER(Z1168),IF(Z1168&lt;=2,"&lt;=2 d",IF(Z1168&lt;=7,"3-7 d",IF(Z1168&lt;=30,"8-30 d","&gt;30 d"))),IF(AE1168&lt;&gt;"",AE1168,IF(Z1168="NR","NR","")))</f>
        <v/>
      </c>
      <c r="AX1168" s="9">
        <f>IF(ISNUMBER(AW1168),IF(AW1168&gt;450,"Yes","No"),IF(AW1168="NR","NR",""))</f>
        <v/>
      </c>
      <c r="BJ1168" s="9">
        <f>IF(BB1168="","",IF(BB1168="Non-viable","Non-viable",IF(BB1168="Viable","Viable",IF(BB1168="Partially non-viable",IF(OR(BD1168="Total splenectomy",BD1168="Partial splenectomy +/- splenopexy"),"Non-viable","Review"),IF(BB1168="NR",IF(OR(BD1168="Total splenectomy",BD1168="Partial splenectomy +/- splenopexy"),"NR - removed, check reason","NR"),"Not applicable")))))</f>
        <v/>
      </c>
    </row>
    <row r="1169">
      <c r="D1169" s="8" t="n"/>
      <c r="E1169" s="9">
        <f>IF(B1169="","",IF(B1169="OWN","Yes","No"))</f>
        <v/>
      </c>
      <c r="AF1169" s="9">
        <f>IF(ISNUMBER(Z1169),IF(Z1169&lt;=2,"&lt;=2 d",IF(Z1169&lt;=7,"3-7 d",IF(Z1169&lt;=30,"8-30 d","&gt;30 d"))),IF(AE1169&lt;&gt;"",AE1169,IF(Z1169="NR","NR","")))</f>
        <v/>
      </c>
      <c r="AX1169" s="9">
        <f>IF(ISNUMBER(AW1169),IF(AW1169&gt;450,"Yes","No"),IF(AW1169="NR","NR",""))</f>
        <v/>
      </c>
      <c r="BJ1169" s="9">
        <f>IF(BB1169="","",IF(BB1169="Non-viable","Non-viable",IF(BB1169="Viable","Viable",IF(BB1169="Partially non-viable",IF(OR(BD1169="Total splenectomy",BD1169="Partial splenectomy +/- splenopexy"),"Non-viable","Review"),IF(BB1169="NR",IF(OR(BD1169="Total splenectomy",BD1169="Partial splenectomy +/- splenopexy"),"NR - removed, check reason","NR"),"Not applicable")))))</f>
        <v/>
      </c>
    </row>
    <row r="1170">
      <c r="D1170" s="8" t="n"/>
      <c r="E1170" s="9">
        <f>IF(B1170="","",IF(B1170="OWN","Yes","No"))</f>
        <v/>
      </c>
      <c r="AF1170" s="9">
        <f>IF(ISNUMBER(Z1170),IF(Z1170&lt;=2,"&lt;=2 d",IF(Z1170&lt;=7,"3-7 d",IF(Z1170&lt;=30,"8-30 d","&gt;30 d"))),IF(AE1170&lt;&gt;"",AE1170,IF(Z1170="NR","NR","")))</f>
        <v/>
      </c>
      <c r="AX1170" s="9">
        <f>IF(ISNUMBER(AW1170),IF(AW1170&gt;450,"Yes","No"),IF(AW1170="NR","NR",""))</f>
        <v/>
      </c>
      <c r="BJ1170" s="9">
        <f>IF(BB1170="","",IF(BB1170="Non-viable","Non-viable",IF(BB1170="Viable","Viable",IF(BB1170="Partially non-viable",IF(OR(BD1170="Total splenectomy",BD1170="Partial splenectomy +/- splenopexy"),"Non-viable","Review"),IF(BB1170="NR",IF(OR(BD1170="Total splenectomy",BD1170="Partial splenectomy +/- splenopexy"),"NR - removed, check reason","NR"),"Not applicable")))))</f>
        <v/>
      </c>
    </row>
    <row r="1171">
      <c r="D1171" s="8" t="n"/>
      <c r="E1171" s="9">
        <f>IF(B1171="","",IF(B1171="OWN","Yes","No"))</f>
        <v/>
      </c>
      <c r="AF1171" s="9">
        <f>IF(ISNUMBER(Z1171),IF(Z1171&lt;=2,"&lt;=2 d",IF(Z1171&lt;=7,"3-7 d",IF(Z1171&lt;=30,"8-30 d","&gt;30 d"))),IF(AE1171&lt;&gt;"",AE1171,IF(Z1171="NR","NR","")))</f>
        <v/>
      </c>
      <c r="AX1171" s="9">
        <f>IF(ISNUMBER(AW1171),IF(AW1171&gt;450,"Yes","No"),IF(AW1171="NR","NR",""))</f>
        <v/>
      </c>
      <c r="BJ1171" s="9">
        <f>IF(BB1171="","",IF(BB1171="Non-viable","Non-viable",IF(BB1171="Viable","Viable",IF(BB1171="Partially non-viable",IF(OR(BD1171="Total splenectomy",BD1171="Partial splenectomy +/- splenopexy"),"Non-viable","Review"),IF(BB1171="NR",IF(OR(BD1171="Total splenectomy",BD1171="Partial splenectomy +/- splenopexy"),"NR - removed, check reason","NR"),"Not applicable")))))</f>
        <v/>
      </c>
    </row>
    <row r="1172">
      <c r="D1172" s="8" t="n"/>
      <c r="E1172" s="9">
        <f>IF(B1172="","",IF(B1172="OWN","Yes","No"))</f>
        <v/>
      </c>
      <c r="AF1172" s="9">
        <f>IF(ISNUMBER(Z1172),IF(Z1172&lt;=2,"&lt;=2 d",IF(Z1172&lt;=7,"3-7 d",IF(Z1172&lt;=30,"8-30 d","&gt;30 d"))),IF(AE1172&lt;&gt;"",AE1172,IF(Z1172="NR","NR","")))</f>
        <v/>
      </c>
      <c r="AX1172" s="9">
        <f>IF(ISNUMBER(AW1172),IF(AW1172&gt;450,"Yes","No"),IF(AW1172="NR","NR",""))</f>
        <v/>
      </c>
      <c r="BJ1172" s="9">
        <f>IF(BB1172="","",IF(BB1172="Non-viable","Non-viable",IF(BB1172="Viable","Viable",IF(BB1172="Partially non-viable",IF(OR(BD1172="Total splenectomy",BD1172="Partial splenectomy +/- splenopexy"),"Non-viable","Review"),IF(BB1172="NR",IF(OR(BD1172="Total splenectomy",BD1172="Partial splenectomy +/- splenopexy"),"NR - removed, check reason","NR"),"Not applicable")))))</f>
        <v/>
      </c>
    </row>
    <row r="1173">
      <c r="D1173" s="8" t="n"/>
      <c r="E1173" s="9">
        <f>IF(B1173="","",IF(B1173="OWN","Yes","No"))</f>
        <v/>
      </c>
      <c r="AF1173" s="9">
        <f>IF(ISNUMBER(Z1173),IF(Z1173&lt;=2,"&lt;=2 d",IF(Z1173&lt;=7,"3-7 d",IF(Z1173&lt;=30,"8-30 d","&gt;30 d"))),IF(AE1173&lt;&gt;"",AE1173,IF(Z1173="NR","NR","")))</f>
        <v/>
      </c>
      <c r="AX1173" s="9">
        <f>IF(ISNUMBER(AW1173),IF(AW1173&gt;450,"Yes","No"),IF(AW1173="NR","NR",""))</f>
        <v/>
      </c>
      <c r="BJ1173" s="9">
        <f>IF(BB1173="","",IF(BB1173="Non-viable","Non-viable",IF(BB1173="Viable","Viable",IF(BB1173="Partially non-viable",IF(OR(BD1173="Total splenectomy",BD1173="Partial splenectomy +/- splenopexy"),"Non-viable","Review"),IF(BB1173="NR",IF(OR(BD1173="Total splenectomy",BD1173="Partial splenectomy +/- splenopexy"),"NR - removed, check reason","NR"),"Not applicable")))))</f>
        <v/>
      </c>
    </row>
    <row r="1174">
      <c r="D1174" s="8" t="n"/>
      <c r="E1174" s="9">
        <f>IF(B1174="","",IF(B1174="OWN","Yes","No"))</f>
        <v/>
      </c>
      <c r="AF1174" s="9">
        <f>IF(ISNUMBER(Z1174),IF(Z1174&lt;=2,"&lt;=2 d",IF(Z1174&lt;=7,"3-7 d",IF(Z1174&lt;=30,"8-30 d","&gt;30 d"))),IF(AE1174&lt;&gt;"",AE1174,IF(Z1174="NR","NR","")))</f>
        <v/>
      </c>
      <c r="AX1174" s="9">
        <f>IF(ISNUMBER(AW1174),IF(AW1174&gt;450,"Yes","No"),IF(AW1174="NR","NR",""))</f>
        <v/>
      </c>
      <c r="BJ1174" s="9">
        <f>IF(BB1174="","",IF(BB1174="Non-viable","Non-viable",IF(BB1174="Viable","Viable",IF(BB1174="Partially non-viable",IF(OR(BD1174="Total splenectomy",BD1174="Partial splenectomy +/- splenopexy"),"Non-viable","Review"),IF(BB1174="NR",IF(OR(BD1174="Total splenectomy",BD1174="Partial splenectomy +/- splenopexy"),"NR - removed, check reason","NR"),"Not applicable")))))</f>
        <v/>
      </c>
    </row>
    <row r="1175">
      <c r="D1175" s="8" t="n"/>
      <c r="E1175" s="9">
        <f>IF(B1175="","",IF(B1175="OWN","Yes","No"))</f>
        <v/>
      </c>
      <c r="AF1175" s="9">
        <f>IF(ISNUMBER(Z1175),IF(Z1175&lt;=2,"&lt;=2 d",IF(Z1175&lt;=7,"3-7 d",IF(Z1175&lt;=30,"8-30 d","&gt;30 d"))),IF(AE1175&lt;&gt;"",AE1175,IF(Z1175="NR","NR","")))</f>
        <v/>
      </c>
      <c r="AX1175" s="9">
        <f>IF(ISNUMBER(AW1175),IF(AW1175&gt;450,"Yes","No"),IF(AW1175="NR","NR",""))</f>
        <v/>
      </c>
      <c r="BJ1175" s="9">
        <f>IF(BB1175="","",IF(BB1175="Non-viable","Non-viable",IF(BB1175="Viable","Viable",IF(BB1175="Partially non-viable",IF(OR(BD1175="Total splenectomy",BD1175="Partial splenectomy +/- splenopexy"),"Non-viable","Review"),IF(BB1175="NR",IF(OR(BD1175="Total splenectomy",BD1175="Partial splenectomy +/- splenopexy"),"NR - removed, check reason","NR"),"Not applicable")))))</f>
        <v/>
      </c>
    </row>
    <row r="1176">
      <c r="D1176" s="8" t="n"/>
      <c r="E1176" s="9">
        <f>IF(B1176="","",IF(B1176="OWN","Yes","No"))</f>
        <v/>
      </c>
      <c r="AF1176" s="9">
        <f>IF(ISNUMBER(Z1176),IF(Z1176&lt;=2,"&lt;=2 d",IF(Z1176&lt;=7,"3-7 d",IF(Z1176&lt;=30,"8-30 d","&gt;30 d"))),IF(AE1176&lt;&gt;"",AE1176,IF(Z1176="NR","NR","")))</f>
        <v/>
      </c>
      <c r="AX1176" s="9">
        <f>IF(ISNUMBER(AW1176),IF(AW1176&gt;450,"Yes","No"),IF(AW1176="NR","NR",""))</f>
        <v/>
      </c>
      <c r="BJ1176" s="9">
        <f>IF(BB1176="","",IF(BB1176="Non-viable","Non-viable",IF(BB1176="Viable","Viable",IF(BB1176="Partially non-viable",IF(OR(BD1176="Total splenectomy",BD1176="Partial splenectomy +/- splenopexy"),"Non-viable","Review"),IF(BB1176="NR",IF(OR(BD1176="Total splenectomy",BD1176="Partial splenectomy +/- splenopexy"),"NR - removed, check reason","NR"),"Not applicable")))))</f>
        <v/>
      </c>
    </row>
    <row r="1177">
      <c r="D1177" s="8" t="n"/>
      <c r="E1177" s="9">
        <f>IF(B1177="","",IF(B1177="OWN","Yes","No"))</f>
        <v/>
      </c>
      <c r="AF1177" s="9">
        <f>IF(ISNUMBER(Z1177),IF(Z1177&lt;=2,"&lt;=2 d",IF(Z1177&lt;=7,"3-7 d",IF(Z1177&lt;=30,"8-30 d","&gt;30 d"))),IF(AE1177&lt;&gt;"",AE1177,IF(Z1177="NR","NR","")))</f>
        <v/>
      </c>
      <c r="AX1177" s="9">
        <f>IF(ISNUMBER(AW1177),IF(AW1177&gt;450,"Yes","No"),IF(AW1177="NR","NR",""))</f>
        <v/>
      </c>
      <c r="BJ1177" s="9">
        <f>IF(BB1177="","",IF(BB1177="Non-viable","Non-viable",IF(BB1177="Viable","Viable",IF(BB1177="Partially non-viable",IF(OR(BD1177="Total splenectomy",BD1177="Partial splenectomy +/- splenopexy"),"Non-viable","Review"),IF(BB1177="NR",IF(OR(BD1177="Total splenectomy",BD1177="Partial splenectomy +/- splenopexy"),"NR - removed, check reason","NR"),"Not applicable")))))</f>
        <v/>
      </c>
    </row>
    <row r="1178">
      <c r="D1178" s="8" t="n"/>
      <c r="E1178" s="9">
        <f>IF(B1178="","",IF(B1178="OWN","Yes","No"))</f>
        <v/>
      </c>
      <c r="AF1178" s="9">
        <f>IF(ISNUMBER(Z1178),IF(Z1178&lt;=2,"&lt;=2 d",IF(Z1178&lt;=7,"3-7 d",IF(Z1178&lt;=30,"8-30 d","&gt;30 d"))),IF(AE1178&lt;&gt;"",AE1178,IF(Z1178="NR","NR","")))</f>
        <v/>
      </c>
      <c r="AX1178" s="9">
        <f>IF(ISNUMBER(AW1178),IF(AW1178&gt;450,"Yes","No"),IF(AW1178="NR","NR",""))</f>
        <v/>
      </c>
      <c r="BJ1178" s="9">
        <f>IF(BB1178="","",IF(BB1178="Non-viable","Non-viable",IF(BB1178="Viable","Viable",IF(BB1178="Partially non-viable",IF(OR(BD1178="Total splenectomy",BD1178="Partial splenectomy +/- splenopexy"),"Non-viable","Review"),IF(BB1178="NR",IF(OR(BD1178="Total splenectomy",BD1178="Partial splenectomy +/- splenopexy"),"NR - removed, check reason","NR"),"Not applicable")))))</f>
        <v/>
      </c>
    </row>
    <row r="1179">
      <c r="D1179" s="8" t="n"/>
      <c r="E1179" s="9">
        <f>IF(B1179="","",IF(B1179="OWN","Yes","No"))</f>
        <v/>
      </c>
      <c r="AF1179" s="9">
        <f>IF(ISNUMBER(Z1179),IF(Z1179&lt;=2,"&lt;=2 d",IF(Z1179&lt;=7,"3-7 d",IF(Z1179&lt;=30,"8-30 d","&gt;30 d"))),IF(AE1179&lt;&gt;"",AE1179,IF(Z1179="NR","NR","")))</f>
        <v/>
      </c>
      <c r="AX1179" s="9">
        <f>IF(ISNUMBER(AW1179),IF(AW1179&gt;450,"Yes","No"),IF(AW1179="NR","NR",""))</f>
        <v/>
      </c>
      <c r="BJ1179" s="9">
        <f>IF(BB1179="","",IF(BB1179="Non-viable","Non-viable",IF(BB1179="Viable","Viable",IF(BB1179="Partially non-viable",IF(OR(BD1179="Total splenectomy",BD1179="Partial splenectomy +/- splenopexy"),"Non-viable","Review"),IF(BB1179="NR",IF(OR(BD1179="Total splenectomy",BD1179="Partial splenectomy +/- splenopexy"),"NR - removed, check reason","NR"),"Not applicable")))))</f>
        <v/>
      </c>
    </row>
    <row r="1180">
      <c r="D1180" s="8" t="n"/>
      <c r="E1180" s="9">
        <f>IF(B1180="","",IF(B1180="OWN","Yes","No"))</f>
        <v/>
      </c>
      <c r="AF1180" s="9">
        <f>IF(ISNUMBER(Z1180),IF(Z1180&lt;=2,"&lt;=2 d",IF(Z1180&lt;=7,"3-7 d",IF(Z1180&lt;=30,"8-30 d","&gt;30 d"))),IF(AE1180&lt;&gt;"",AE1180,IF(Z1180="NR","NR","")))</f>
        <v/>
      </c>
      <c r="AX1180" s="9">
        <f>IF(ISNUMBER(AW1180),IF(AW1180&gt;450,"Yes","No"),IF(AW1180="NR","NR",""))</f>
        <v/>
      </c>
      <c r="BJ1180" s="9">
        <f>IF(BB1180="","",IF(BB1180="Non-viable","Non-viable",IF(BB1180="Viable","Viable",IF(BB1180="Partially non-viable",IF(OR(BD1180="Total splenectomy",BD1180="Partial splenectomy +/- splenopexy"),"Non-viable","Review"),IF(BB1180="NR",IF(OR(BD1180="Total splenectomy",BD1180="Partial splenectomy +/- splenopexy"),"NR - removed, check reason","NR"),"Not applicable")))))</f>
        <v/>
      </c>
    </row>
    <row r="1181">
      <c r="D1181" s="8" t="n"/>
      <c r="E1181" s="9">
        <f>IF(B1181="","",IF(B1181="OWN","Yes","No"))</f>
        <v/>
      </c>
      <c r="AF1181" s="9">
        <f>IF(ISNUMBER(Z1181),IF(Z1181&lt;=2,"&lt;=2 d",IF(Z1181&lt;=7,"3-7 d",IF(Z1181&lt;=30,"8-30 d","&gt;30 d"))),IF(AE1181&lt;&gt;"",AE1181,IF(Z1181="NR","NR","")))</f>
        <v/>
      </c>
      <c r="AX1181" s="9">
        <f>IF(ISNUMBER(AW1181),IF(AW1181&gt;450,"Yes","No"),IF(AW1181="NR","NR",""))</f>
        <v/>
      </c>
      <c r="BJ1181" s="9">
        <f>IF(BB1181="","",IF(BB1181="Non-viable","Non-viable",IF(BB1181="Viable","Viable",IF(BB1181="Partially non-viable",IF(OR(BD1181="Total splenectomy",BD1181="Partial splenectomy +/- splenopexy"),"Non-viable","Review"),IF(BB1181="NR",IF(OR(BD1181="Total splenectomy",BD1181="Partial splenectomy +/- splenopexy"),"NR - removed, check reason","NR"),"Not applicable")))))</f>
        <v/>
      </c>
    </row>
    <row r="1182">
      <c r="D1182" s="8" t="n"/>
      <c r="E1182" s="9">
        <f>IF(B1182="","",IF(B1182="OWN","Yes","No"))</f>
        <v/>
      </c>
      <c r="AF1182" s="9">
        <f>IF(ISNUMBER(Z1182),IF(Z1182&lt;=2,"&lt;=2 d",IF(Z1182&lt;=7,"3-7 d",IF(Z1182&lt;=30,"8-30 d","&gt;30 d"))),IF(AE1182&lt;&gt;"",AE1182,IF(Z1182="NR","NR","")))</f>
        <v/>
      </c>
      <c r="AX1182" s="9">
        <f>IF(ISNUMBER(AW1182),IF(AW1182&gt;450,"Yes","No"),IF(AW1182="NR","NR",""))</f>
        <v/>
      </c>
      <c r="BJ1182" s="9">
        <f>IF(BB1182="","",IF(BB1182="Non-viable","Non-viable",IF(BB1182="Viable","Viable",IF(BB1182="Partially non-viable",IF(OR(BD1182="Total splenectomy",BD1182="Partial splenectomy +/- splenopexy"),"Non-viable","Review"),IF(BB1182="NR",IF(OR(BD1182="Total splenectomy",BD1182="Partial splenectomy +/- splenopexy"),"NR - removed, check reason","NR"),"Not applicable")))))</f>
        <v/>
      </c>
    </row>
    <row r="1183">
      <c r="D1183" s="8" t="n"/>
      <c r="E1183" s="9">
        <f>IF(B1183="","",IF(B1183="OWN","Yes","No"))</f>
        <v/>
      </c>
      <c r="AF1183" s="9">
        <f>IF(ISNUMBER(Z1183),IF(Z1183&lt;=2,"&lt;=2 d",IF(Z1183&lt;=7,"3-7 d",IF(Z1183&lt;=30,"8-30 d","&gt;30 d"))),IF(AE1183&lt;&gt;"",AE1183,IF(Z1183="NR","NR","")))</f>
        <v/>
      </c>
      <c r="AX1183" s="9">
        <f>IF(ISNUMBER(AW1183),IF(AW1183&gt;450,"Yes","No"),IF(AW1183="NR","NR",""))</f>
        <v/>
      </c>
      <c r="BJ1183" s="9">
        <f>IF(BB1183="","",IF(BB1183="Non-viable","Non-viable",IF(BB1183="Viable","Viable",IF(BB1183="Partially non-viable",IF(OR(BD1183="Total splenectomy",BD1183="Partial splenectomy +/- splenopexy"),"Non-viable","Review"),IF(BB1183="NR",IF(OR(BD1183="Total splenectomy",BD1183="Partial splenectomy +/- splenopexy"),"NR - removed, check reason","NR"),"Not applicable")))))</f>
        <v/>
      </c>
    </row>
    <row r="1184">
      <c r="D1184" s="8" t="n"/>
      <c r="E1184" s="9">
        <f>IF(B1184="","",IF(B1184="OWN","Yes","No"))</f>
        <v/>
      </c>
      <c r="AF1184" s="9">
        <f>IF(ISNUMBER(Z1184),IF(Z1184&lt;=2,"&lt;=2 d",IF(Z1184&lt;=7,"3-7 d",IF(Z1184&lt;=30,"8-30 d","&gt;30 d"))),IF(AE1184&lt;&gt;"",AE1184,IF(Z1184="NR","NR","")))</f>
        <v/>
      </c>
      <c r="AX1184" s="9">
        <f>IF(ISNUMBER(AW1184),IF(AW1184&gt;450,"Yes","No"),IF(AW1184="NR","NR",""))</f>
        <v/>
      </c>
      <c r="BJ1184" s="9">
        <f>IF(BB1184="","",IF(BB1184="Non-viable","Non-viable",IF(BB1184="Viable","Viable",IF(BB1184="Partially non-viable",IF(OR(BD1184="Total splenectomy",BD1184="Partial splenectomy +/- splenopexy"),"Non-viable","Review"),IF(BB1184="NR",IF(OR(BD1184="Total splenectomy",BD1184="Partial splenectomy +/- splenopexy"),"NR - removed, check reason","NR"),"Not applicable")))))</f>
        <v/>
      </c>
    </row>
    <row r="1185">
      <c r="D1185" s="8" t="n"/>
      <c r="E1185" s="9">
        <f>IF(B1185="","",IF(B1185="OWN","Yes","No"))</f>
        <v/>
      </c>
      <c r="AF1185" s="9">
        <f>IF(ISNUMBER(Z1185),IF(Z1185&lt;=2,"&lt;=2 d",IF(Z1185&lt;=7,"3-7 d",IF(Z1185&lt;=30,"8-30 d","&gt;30 d"))),IF(AE1185&lt;&gt;"",AE1185,IF(Z1185="NR","NR","")))</f>
        <v/>
      </c>
      <c r="AX1185" s="9">
        <f>IF(ISNUMBER(AW1185),IF(AW1185&gt;450,"Yes","No"),IF(AW1185="NR","NR",""))</f>
        <v/>
      </c>
      <c r="BJ1185" s="9">
        <f>IF(BB1185="","",IF(BB1185="Non-viable","Non-viable",IF(BB1185="Viable","Viable",IF(BB1185="Partially non-viable",IF(OR(BD1185="Total splenectomy",BD1185="Partial splenectomy +/- splenopexy"),"Non-viable","Review"),IF(BB1185="NR",IF(OR(BD1185="Total splenectomy",BD1185="Partial splenectomy +/- splenopexy"),"NR - removed, check reason","NR"),"Not applicable")))))</f>
        <v/>
      </c>
    </row>
    <row r="1186">
      <c r="D1186" s="8" t="n"/>
      <c r="E1186" s="9">
        <f>IF(B1186="","",IF(B1186="OWN","Yes","No"))</f>
        <v/>
      </c>
      <c r="AF1186" s="9">
        <f>IF(ISNUMBER(Z1186),IF(Z1186&lt;=2,"&lt;=2 d",IF(Z1186&lt;=7,"3-7 d",IF(Z1186&lt;=30,"8-30 d","&gt;30 d"))),IF(AE1186&lt;&gt;"",AE1186,IF(Z1186="NR","NR","")))</f>
        <v/>
      </c>
      <c r="AX1186" s="9">
        <f>IF(ISNUMBER(AW1186),IF(AW1186&gt;450,"Yes","No"),IF(AW1186="NR","NR",""))</f>
        <v/>
      </c>
      <c r="BJ1186" s="9">
        <f>IF(BB1186="","",IF(BB1186="Non-viable","Non-viable",IF(BB1186="Viable","Viable",IF(BB1186="Partially non-viable",IF(OR(BD1186="Total splenectomy",BD1186="Partial splenectomy +/- splenopexy"),"Non-viable","Review"),IF(BB1186="NR",IF(OR(BD1186="Total splenectomy",BD1186="Partial splenectomy +/- splenopexy"),"NR - removed, check reason","NR"),"Not applicable")))))</f>
        <v/>
      </c>
    </row>
    <row r="1187">
      <c r="D1187" s="8" t="n"/>
      <c r="E1187" s="9">
        <f>IF(B1187="","",IF(B1187="OWN","Yes","No"))</f>
        <v/>
      </c>
      <c r="AF1187" s="9">
        <f>IF(ISNUMBER(Z1187),IF(Z1187&lt;=2,"&lt;=2 d",IF(Z1187&lt;=7,"3-7 d",IF(Z1187&lt;=30,"8-30 d","&gt;30 d"))),IF(AE1187&lt;&gt;"",AE1187,IF(Z1187="NR","NR","")))</f>
        <v/>
      </c>
      <c r="AX1187" s="9">
        <f>IF(ISNUMBER(AW1187),IF(AW1187&gt;450,"Yes","No"),IF(AW1187="NR","NR",""))</f>
        <v/>
      </c>
      <c r="BJ1187" s="9">
        <f>IF(BB1187="","",IF(BB1187="Non-viable","Non-viable",IF(BB1187="Viable","Viable",IF(BB1187="Partially non-viable",IF(OR(BD1187="Total splenectomy",BD1187="Partial splenectomy +/- splenopexy"),"Non-viable","Review"),IF(BB1187="NR",IF(OR(BD1187="Total splenectomy",BD1187="Partial splenectomy +/- splenopexy"),"NR - removed, check reason","NR"),"Not applicable")))))</f>
        <v/>
      </c>
    </row>
    <row r="1188">
      <c r="D1188" s="8" t="n"/>
      <c r="E1188" s="9">
        <f>IF(B1188="","",IF(B1188="OWN","Yes","No"))</f>
        <v/>
      </c>
      <c r="AF1188" s="9">
        <f>IF(ISNUMBER(Z1188),IF(Z1188&lt;=2,"&lt;=2 d",IF(Z1188&lt;=7,"3-7 d",IF(Z1188&lt;=30,"8-30 d","&gt;30 d"))),IF(AE1188&lt;&gt;"",AE1188,IF(Z1188="NR","NR","")))</f>
        <v/>
      </c>
      <c r="AX1188" s="9">
        <f>IF(ISNUMBER(AW1188),IF(AW1188&gt;450,"Yes","No"),IF(AW1188="NR","NR",""))</f>
        <v/>
      </c>
      <c r="BJ1188" s="9">
        <f>IF(BB1188="","",IF(BB1188="Non-viable","Non-viable",IF(BB1188="Viable","Viable",IF(BB1188="Partially non-viable",IF(OR(BD1188="Total splenectomy",BD1188="Partial splenectomy +/- splenopexy"),"Non-viable","Review"),IF(BB1188="NR",IF(OR(BD1188="Total splenectomy",BD1188="Partial splenectomy +/- splenopexy"),"NR - removed, check reason","NR"),"Not applicable")))))</f>
        <v/>
      </c>
    </row>
    <row r="1189">
      <c r="D1189" s="8" t="n"/>
      <c r="E1189" s="9">
        <f>IF(B1189="","",IF(B1189="OWN","Yes","No"))</f>
        <v/>
      </c>
      <c r="AF1189" s="9">
        <f>IF(ISNUMBER(Z1189),IF(Z1189&lt;=2,"&lt;=2 d",IF(Z1189&lt;=7,"3-7 d",IF(Z1189&lt;=30,"8-30 d","&gt;30 d"))),IF(AE1189&lt;&gt;"",AE1189,IF(Z1189="NR","NR","")))</f>
        <v/>
      </c>
      <c r="AX1189" s="9">
        <f>IF(ISNUMBER(AW1189),IF(AW1189&gt;450,"Yes","No"),IF(AW1189="NR","NR",""))</f>
        <v/>
      </c>
      <c r="BJ1189" s="9">
        <f>IF(BB1189="","",IF(BB1189="Non-viable","Non-viable",IF(BB1189="Viable","Viable",IF(BB1189="Partially non-viable",IF(OR(BD1189="Total splenectomy",BD1189="Partial splenectomy +/- splenopexy"),"Non-viable","Review"),IF(BB1189="NR",IF(OR(BD1189="Total splenectomy",BD1189="Partial splenectomy +/- splenopexy"),"NR - removed, check reason","NR"),"Not applicable")))))</f>
        <v/>
      </c>
    </row>
    <row r="1190">
      <c r="D1190" s="8" t="n"/>
      <c r="E1190" s="9">
        <f>IF(B1190="","",IF(B1190="OWN","Yes","No"))</f>
        <v/>
      </c>
      <c r="AF1190" s="9">
        <f>IF(ISNUMBER(Z1190),IF(Z1190&lt;=2,"&lt;=2 d",IF(Z1190&lt;=7,"3-7 d",IF(Z1190&lt;=30,"8-30 d","&gt;30 d"))),IF(AE1190&lt;&gt;"",AE1190,IF(Z1190="NR","NR","")))</f>
        <v/>
      </c>
      <c r="AX1190" s="9">
        <f>IF(ISNUMBER(AW1190),IF(AW1190&gt;450,"Yes","No"),IF(AW1190="NR","NR",""))</f>
        <v/>
      </c>
      <c r="BJ1190" s="9">
        <f>IF(BB1190="","",IF(BB1190="Non-viable","Non-viable",IF(BB1190="Viable","Viable",IF(BB1190="Partially non-viable",IF(OR(BD1190="Total splenectomy",BD1190="Partial splenectomy +/- splenopexy"),"Non-viable","Review"),IF(BB1190="NR",IF(OR(BD1190="Total splenectomy",BD1190="Partial splenectomy +/- splenopexy"),"NR - removed, check reason","NR"),"Not applicable")))))</f>
        <v/>
      </c>
    </row>
    <row r="1191">
      <c r="D1191" s="8" t="n"/>
      <c r="E1191" s="9">
        <f>IF(B1191="","",IF(B1191="OWN","Yes","No"))</f>
        <v/>
      </c>
      <c r="AF1191" s="9">
        <f>IF(ISNUMBER(Z1191),IF(Z1191&lt;=2,"&lt;=2 d",IF(Z1191&lt;=7,"3-7 d",IF(Z1191&lt;=30,"8-30 d","&gt;30 d"))),IF(AE1191&lt;&gt;"",AE1191,IF(Z1191="NR","NR","")))</f>
        <v/>
      </c>
      <c r="AX1191" s="9">
        <f>IF(ISNUMBER(AW1191),IF(AW1191&gt;450,"Yes","No"),IF(AW1191="NR","NR",""))</f>
        <v/>
      </c>
      <c r="BJ1191" s="9">
        <f>IF(BB1191="","",IF(BB1191="Non-viable","Non-viable",IF(BB1191="Viable","Viable",IF(BB1191="Partially non-viable",IF(OR(BD1191="Total splenectomy",BD1191="Partial splenectomy +/- splenopexy"),"Non-viable","Review"),IF(BB1191="NR",IF(OR(BD1191="Total splenectomy",BD1191="Partial splenectomy +/- splenopexy"),"NR - removed, check reason","NR"),"Not applicable")))))</f>
        <v/>
      </c>
    </row>
    <row r="1192">
      <c r="D1192" s="8" t="n"/>
      <c r="E1192" s="9">
        <f>IF(B1192="","",IF(B1192="OWN","Yes","No"))</f>
        <v/>
      </c>
      <c r="AF1192" s="9">
        <f>IF(ISNUMBER(Z1192),IF(Z1192&lt;=2,"&lt;=2 d",IF(Z1192&lt;=7,"3-7 d",IF(Z1192&lt;=30,"8-30 d","&gt;30 d"))),IF(AE1192&lt;&gt;"",AE1192,IF(Z1192="NR","NR","")))</f>
        <v/>
      </c>
      <c r="AX1192" s="9">
        <f>IF(ISNUMBER(AW1192),IF(AW1192&gt;450,"Yes","No"),IF(AW1192="NR","NR",""))</f>
        <v/>
      </c>
      <c r="BJ1192" s="9">
        <f>IF(BB1192="","",IF(BB1192="Non-viable","Non-viable",IF(BB1192="Viable","Viable",IF(BB1192="Partially non-viable",IF(OR(BD1192="Total splenectomy",BD1192="Partial splenectomy +/- splenopexy"),"Non-viable","Review"),IF(BB1192="NR",IF(OR(BD1192="Total splenectomy",BD1192="Partial splenectomy +/- splenopexy"),"NR - removed, check reason","NR"),"Not applicable")))))</f>
        <v/>
      </c>
    </row>
    <row r="1193">
      <c r="D1193" s="8" t="n"/>
      <c r="E1193" s="9">
        <f>IF(B1193="","",IF(B1193="OWN","Yes","No"))</f>
        <v/>
      </c>
      <c r="AF1193" s="9">
        <f>IF(ISNUMBER(Z1193),IF(Z1193&lt;=2,"&lt;=2 d",IF(Z1193&lt;=7,"3-7 d",IF(Z1193&lt;=30,"8-30 d","&gt;30 d"))),IF(AE1193&lt;&gt;"",AE1193,IF(Z1193="NR","NR","")))</f>
        <v/>
      </c>
      <c r="AX1193" s="9">
        <f>IF(ISNUMBER(AW1193),IF(AW1193&gt;450,"Yes","No"),IF(AW1193="NR","NR",""))</f>
        <v/>
      </c>
      <c r="BJ1193" s="9">
        <f>IF(BB1193="","",IF(BB1193="Non-viable","Non-viable",IF(BB1193="Viable","Viable",IF(BB1193="Partially non-viable",IF(OR(BD1193="Total splenectomy",BD1193="Partial splenectomy +/- splenopexy"),"Non-viable","Review"),IF(BB1193="NR",IF(OR(BD1193="Total splenectomy",BD1193="Partial splenectomy +/- splenopexy"),"NR - removed, check reason","NR"),"Not applicable")))))</f>
        <v/>
      </c>
    </row>
    <row r="1194">
      <c r="D1194" s="8" t="n"/>
      <c r="E1194" s="9">
        <f>IF(B1194="","",IF(B1194="OWN","Yes","No"))</f>
        <v/>
      </c>
      <c r="AF1194" s="9">
        <f>IF(ISNUMBER(Z1194),IF(Z1194&lt;=2,"&lt;=2 d",IF(Z1194&lt;=7,"3-7 d",IF(Z1194&lt;=30,"8-30 d","&gt;30 d"))),IF(AE1194&lt;&gt;"",AE1194,IF(Z1194="NR","NR","")))</f>
        <v/>
      </c>
      <c r="AX1194" s="9">
        <f>IF(ISNUMBER(AW1194),IF(AW1194&gt;450,"Yes","No"),IF(AW1194="NR","NR",""))</f>
        <v/>
      </c>
      <c r="BJ1194" s="9">
        <f>IF(BB1194="","",IF(BB1194="Non-viable","Non-viable",IF(BB1194="Viable","Viable",IF(BB1194="Partially non-viable",IF(OR(BD1194="Total splenectomy",BD1194="Partial splenectomy +/- splenopexy"),"Non-viable","Review"),IF(BB1194="NR",IF(OR(BD1194="Total splenectomy",BD1194="Partial splenectomy +/- splenopexy"),"NR - removed, check reason","NR"),"Not applicable")))))</f>
        <v/>
      </c>
    </row>
    <row r="1195">
      <c r="D1195" s="8" t="n"/>
      <c r="E1195" s="9">
        <f>IF(B1195="","",IF(B1195="OWN","Yes","No"))</f>
        <v/>
      </c>
      <c r="AF1195" s="9">
        <f>IF(ISNUMBER(Z1195),IF(Z1195&lt;=2,"&lt;=2 d",IF(Z1195&lt;=7,"3-7 d",IF(Z1195&lt;=30,"8-30 d","&gt;30 d"))),IF(AE1195&lt;&gt;"",AE1195,IF(Z1195="NR","NR","")))</f>
        <v/>
      </c>
      <c r="AX1195" s="9">
        <f>IF(ISNUMBER(AW1195),IF(AW1195&gt;450,"Yes","No"),IF(AW1195="NR","NR",""))</f>
        <v/>
      </c>
      <c r="BJ1195" s="9">
        <f>IF(BB1195="","",IF(BB1195="Non-viable","Non-viable",IF(BB1195="Viable","Viable",IF(BB1195="Partially non-viable",IF(OR(BD1195="Total splenectomy",BD1195="Partial splenectomy +/- splenopexy"),"Non-viable","Review"),IF(BB1195="NR",IF(OR(BD1195="Total splenectomy",BD1195="Partial splenectomy +/- splenopexy"),"NR - removed, check reason","NR"),"Not applicable")))))</f>
        <v/>
      </c>
    </row>
    <row r="1196">
      <c r="D1196" s="8" t="n"/>
      <c r="E1196" s="9">
        <f>IF(B1196="","",IF(B1196="OWN","Yes","No"))</f>
        <v/>
      </c>
      <c r="AF1196" s="9">
        <f>IF(ISNUMBER(Z1196),IF(Z1196&lt;=2,"&lt;=2 d",IF(Z1196&lt;=7,"3-7 d",IF(Z1196&lt;=30,"8-30 d","&gt;30 d"))),IF(AE1196&lt;&gt;"",AE1196,IF(Z1196="NR","NR","")))</f>
        <v/>
      </c>
      <c r="AX1196" s="9">
        <f>IF(ISNUMBER(AW1196),IF(AW1196&gt;450,"Yes","No"),IF(AW1196="NR","NR",""))</f>
        <v/>
      </c>
      <c r="BJ1196" s="9">
        <f>IF(BB1196="","",IF(BB1196="Non-viable","Non-viable",IF(BB1196="Viable","Viable",IF(BB1196="Partially non-viable",IF(OR(BD1196="Total splenectomy",BD1196="Partial splenectomy +/- splenopexy"),"Non-viable","Review"),IF(BB1196="NR",IF(OR(BD1196="Total splenectomy",BD1196="Partial splenectomy +/- splenopexy"),"NR - removed, check reason","NR"),"Not applicable")))))</f>
        <v/>
      </c>
    </row>
    <row r="1197">
      <c r="D1197" s="8" t="n"/>
      <c r="E1197" s="9">
        <f>IF(B1197="","",IF(B1197="OWN","Yes","No"))</f>
        <v/>
      </c>
      <c r="AF1197" s="9">
        <f>IF(ISNUMBER(Z1197),IF(Z1197&lt;=2,"&lt;=2 d",IF(Z1197&lt;=7,"3-7 d",IF(Z1197&lt;=30,"8-30 d","&gt;30 d"))),IF(AE1197&lt;&gt;"",AE1197,IF(Z1197="NR","NR","")))</f>
        <v/>
      </c>
      <c r="AX1197" s="9">
        <f>IF(ISNUMBER(AW1197),IF(AW1197&gt;450,"Yes","No"),IF(AW1197="NR","NR",""))</f>
        <v/>
      </c>
      <c r="BJ1197" s="9">
        <f>IF(BB1197="","",IF(BB1197="Non-viable","Non-viable",IF(BB1197="Viable","Viable",IF(BB1197="Partially non-viable",IF(OR(BD1197="Total splenectomy",BD1197="Partial splenectomy +/- splenopexy"),"Non-viable","Review"),IF(BB1197="NR",IF(OR(BD1197="Total splenectomy",BD1197="Partial splenectomy +/- splenopexy"),"NR - removed, check reason","NR"),"Not applicable")))))</f>
        <v/>
      </c>
    </row>
    <row r="1198">
      <c r="D1198" s="8" t="n"/>
      <c r="E1198" s="9">
        <f>IF(B1198="","",IF(B1198="OWN","Yes","No"))</f>
        <v/>
      </c>
      <c r="AF1198" s="9">
        <f>IF(ISNUMBER(Z1198),IF(Z1198&lt;=2,"&lt;=2 d",IF(Z1198&lt;=7,"3-7 d",IF(Z1198&lt;=30,"8-30 d","&gt;30 d"))),IF(AE1198&lt;&gt;"",AE1198,IF(Z1198="NR","NR","")))</f>
        <v/>
      </c>
      <c r="AX1198" s="9">
        <f>IF(ISNUMBER(AW1198),IF(AW1198&gt;450,"Yes","No"),IF(AW1198="NR","NR",""))</f>
        <v/>
      </c>
      <c r="BJ1198" s="9">
        <f>IF(BB1198="","",IF(BB1198="Non-viable","Non-viable",IF(BB1198="Viable","Viable",IF(BB1198="Partially non-viable",IF(OR(BD1198="Total splenectomy",BD1198="Partial splenectomy +/- splenopexy"),"Non-viable","Review"),IF(BB1198="NR",IF(OR(BD1198="Total splenectomy",BD1198="Partial splenectomy +/- splenopexy"),"NR - removed, check reason","NR"),"Not applicable")))))</f>
        <v/>
      </c>
    </row>
    <row r="1199">
      <c r="D1199" s="8" t="n"/>
      <c r="E1199" s="9">
        <f>IF(B1199="","",IF(B1199="OWN","Yes","No"))</f>
        <v/>
      </c>
      <c r="AF1199" s="9">
        <f>IF(ISNUMBER(Z1199),IF(Z1199&lt;=2,"&lt;=2 d",IF(Z1199&lt;=7,"3-7 d",IF(Z1199&lt;=30,"8-30 d","&gt;30 d"))),IF(AE1199&lt;&gt;"",AE1199,IF(Z1199="NR","NR","")))</f>
        <v/>
      </c>
      <c r="AX1199" s="9">
        <f>IF(ISNUMBER(AW1199),IF(AW1199&gt;450,"Yes","No"),IF(AW1199="NR","NR",""))</f>
        <v/>
      </c>
      <c r="BJ1199" s="9">
        <f>IF(BB1199="","",IF(BB1199="Non-viable","Non-viable",IF(BB1199="Viable","Viable",IF(BB1199="Partially non-viable",IF(OR(BD1199="Total splenectomy",BD1199="Partial splenectomy +/- splenopexy"),"Non-viable","Review"),IF(BB1199="NR",IF(OR(BD1199="Total splenectomy",BD1199="Partial splenectomy +/- splenopexy"),"NR - removed, check reason","NR"),"Not applicable")))))</f>
        <v/>
      </c>
    </row>
    <row r="1200">
      <c r="D1200" s="8" t="n"/>
      <c r="E1200" s="9">
        <f>IF(B1200="","",IF(B1200="OWN","Yes","No"))</f>
        <v/>
      </c>
      <c r="AF1200" s="9">
        <f>IF(ISNUMBER(Z1200),IF(Z1200&lt;=2,"&lt;=2 d",IF(Z1200&lt;=7,"3-7 d",IF(Z1200&lt;=30,"8-30 d","&gt;30 d"))),IF(AE1200&lt;&gt;"",AE1200,IF(Z1200="NR","NR","")))</f>
        <v/>
      </c>
      <c r="AX1200" s="9">
        <f>IF(ISNUMBER(AW1200),IF(AW1200&gt;450,"Yes","No"),IF(AW1200="NR","NR",""))</f>
        <v/>
      </c>
      <c r="BJ1200" s="9">
        <f>IF(BB1200="","",IF(BB1200="Non-viable","Non-viable",IF(BB1200="Viable","Viable",IF(BB1200="Partially non-viable",IF(OR(BD1200="Total splenectomy",BD1200="Partial splenectomy +/- splenopexy"),"Non-viable","Review"),IF(BB1200="NR",IF(OR(BD1200="Total splenectomy",BD1200="Partial splenectomy +/- splenopexy"),"NR - removed, check reason","NR"),"Not applicable")))))</f>
        <v/>
      </c>
    </row>
    <row r="1201">
      <c r="D1201" s="8" t="n"/>
      <c r="E1201" s="9">
        <f>IF(B1201="","",IF(B1201="OWN","Yes","No"))</f>
        <v/>
      </c>
      <c r="AF1201" s="9">
        <f>IF(ISNUMBER(Z1201),IF(Z1201&lt;=2,"&lt;=2 d",IF(Z1201&lt;=7,"3-7 d",IF(Z1201&lt;=30,"8-30 d","&gt;30 d"))),IF(AE1201&lt;&gt;"",AE1201,IF(Z1201="NR","NR","")))</f>
        <v/>
      </c>
      <c r="AX1201" s="9">
        <f>IF(ISNUMBER(AW1201),IF(AW1201&gt;450,"Yes","No"),IF(AW1201="NR","NR",""))</f>
        <v/>
      </c>
      <c r="BJ1201" s="9">
        <f>IF(BB1201="","",IF(BB1201="Non-viable","Non-viable",IF(BB1201="Viable","Viable",IF(BB1201="Partially non-viable",IF(OR(BD1201="Total splenectomy",BD1201="Partial splenectomy +/- splenopexy"),"Non-viable","Review"),IF(BB1201="NR",IF(OR(BD1201="Total splenectomy",BD1201="Partial splenectomy +/- splenopexy"),"NR - removed, check reason","NR"),"Not applicable")))))</f>
        <v/>
      </c>
    </row>
    <row r="1202">
      <c r="D1202" s="8" t="n"/>
      <c r="E1202" s="9">
        <f>IF(B1202="","",IF(B1202="OWN","Yes","No"))</f>
        <v/>
      </c>
      <c r="AF1202" s="9">
        <f>IF(ISNUMBER(Z1202),IF(Z1202&lt;=2,"&lt;=2 d",IF(Z1202&lt;=7,"3-7 d",IF(Z1202&lt;=30,"8-30 d","&gt;30 d"))),IF(AE1202&lt;&gt;"",AE1202,IF(Z1202="NR","NR","")))</f>
        <v/>
      </c>
      <c r="AX1202" s="9">
        <f>IF(ISNUMBER(AW1202),IF(AW1202&gt;450,"Yes","No"),IF(AW1202="NR","NR",""))</f>
        <v/>
      </c>
      <c r="BJ1202" s="9">
        <f>IF(BB1202="","",IF(BB1202="Non-viable","Non-viable",IF(BB1202="Viable","Viable",IF(BB1202="Partially non-viable",IF(OR(BD1202="Total splenectomy",BD1202="Partial splenectomy +/- splenopexy"),"Non-viable","Review"),IF(BB1202="NR",IF(OR(BD1202="Total splenectomy",BD1202="Partial splenectomy +/- splenopexy"),"NR - removed, check reason","NR"),"Not applicable")))))</f>
        <v/>
      </c>
    </row>
    <row r="1203">
      <c r="D1203" s="8" t="n"/>
      <c r="E1203" s="9">
        <f>IF(B1203="","",IF(B1203="OWN","Yes","No"))</f>
        <v/>
      </c>
      <c r="AF1203" s="9">
        <f>IF(ISNUMBER(Z1203),IF(Z1203&lt;=2,"&lt;=2 d",IF(Z1203&lt;=7,"3-7 d",IF(Z1203&lt;=30,"8-30 d","&gt;30 d"))),IF(AE1203&lt;&gt;"",AE1203,IF(Z1203="NR","NR","")))</f>
        <v/>
      </c>
      <c r="AX1203" s="9">
        <f>IF(ISNUMBER(AW1203),IF(AW1203&gt;450,"Yes","No"),IF(AW1203="NR","NR",""))</f>
        <v/>
      </c>
      <c r="BJ1203" s="9">
        <f>IF(BB1203="","",IF(BB1203="Non-viable","Non-viable",IF(BB1203="Viable","Viable",IF(BB1203="Partially non-viable",IF(OR(BD1203="Total splenectomy",BD1203="Partial splenectomy +/- splenopexy"),"Non-viable","Review"),IF(BB1203="NR",IF(OR(BD1203="Total splenectomy",BD1203="Partial splenectomy +/- splenopexy"),"NR - removed, check reason","NR"),"Not applicable")))))</f>
        <v/>
      </c>
    </row>
    <row r="1204">
      <c r="D1204" s="8" t="n"/>
      <c r="E1204" s="9">
        <f>IF(B1204="","",IF(B1204="OWN","Yes","No"))</f>
        <v/>
      </c>
      <c r="AF1204" s="9">
        <f>IF(ISNUMBER(Z1204),IF(Z1204&lt;=2,"&lt;=2 d",IF(Z1204&lt;=7,"3-7 d",IF(Z1204&lt;=30,"8-30 d","&gt;30 d"))),IF(AE1204&lt;&gt;"",AE1204,IF(Z1204="NR","NR","")))</f>
        <v/>
      </c>
      <c r="AX1204" s="9">
        <f>IF(ISNUMBER(AW1204),IF(AW1204&gt;450,"Yes","No"),IF(AW1204="NR","NR",""))</f>
        <v/>
      </c>
      <c r="BJ1204" s="9">
        <f>IF(BB1204="","",IF(BB1204="Non-viable","Non-viable",IF(BB1204="Viable","Viable",IF(BB1204="Partially non-viable",IF(OR(BD1204="Total splenectomy",BD1204="Partial splenectomy +/- splenopexy"),"Non-viable","Review"),IF(BB1204="NR",IF(OR(BD1204="Total splenectomy",BD1204="Partial splenectomy +/- splenopexy"),"NR - removed, check reason","NR"),"Not applicable")))))</f>
        <v/>
      </c>
    </row>
    <row r="1205">
      <c r="D1205" s="8" t="n"/>
      <c r="E1205" s="9">
        <f>IF(B1205="","",IF(B1205="OWN","Yes","No"))</f>
        <v/>
      </c>
      <c r="AF1205" s="9">
        <f>IF(ISNUMBER(Z1205),IF(Z1205&lt;=2,"&lt;=2 d",IF(Z1205&lt;=7,"3-7 d",IF(Z1205&lt;=30,"8-30 d","&gt;30 d"))),IF(AE1205&lt;&gt;"",AE1205,IF(Z1205="NR","NR","")))</f>
        <v/>
      </c>
      <c r="AX1205" s="9">
        <f>IF(ISNUMBER(AW1205),IF(AW1205&gt;450,"Yes","No"),IF(AW1205="NR","NR",""))</f>
        <v/>
      </c>
      <c r="BJ1205" s="9">
        <f>IF(BB1205="","",IF(BB1205="Non-viable","Non-viable",IF(BB1205="Viable","Viable",IF(BB1205="Partially non-viable",IF(OR(BD1205="Total splenectomy",BD1205="Partial splenectomy +/- splenopexy"),"Non-viable","Review"),IF(BB1205="NR",IF(OR(BD1205="Total splenectomy",BD1205="Partial splenectomy +/- splenopexy"),"NR - removed, check reason","NR"),"Not applicable")))))</f>
        <v/>
      </c>
    </row>
    <row r="1206">
      <c r="D1206" s="8" t="n"/>
      <c r="E1206" s="9">
        <f>IF(B1206="","",IF(B1206="OWN","Yes","No"))</f>
        <v/>
      </c>
      <c r="AF1206" s="9">
        <f>IF(ISNUMBER(Z1206),IF(Z1206&lt;=2,"&lt;=2 d",IF(Z1206&lt;=7,"3-7 d",IF(Z1206&lt;=30,"8-30 d","&gt;30 d"))),IF(AE1206&lt;&gt;"",AE1206,IF(Z1206="NR","NR","")))</f>
        <v/>
      </c>
      <c r="AX1206" s="9">
        <f>IF(ISNUMBER(AW1206),IF(AW1206&gt;450,"Yes","No"),IF(AW1206="NR","NR",""))</f>
        <v/>
      </c>
      <c r="BJ1206" s="9">
        <f>IF(BB1206="","",IF(BB1206="Non-viable","Non-viable",IF(BB1206="Viable","Viable",IF(BB1206="Partially non-viable",IF(OR(BD1206="Total splenectomy",BD1206="Partial splenectomy +/- splenopexy"),"Non-viable","Review"),IF(BB1206="NR",IF(OR(BD1206="Total splenectomy",BD1206="Partial splenectomy +/- splenopexy"),"NR - removed, check reason","NR"),"Not applicable")))))</f>
        <v/>
      </c>
    </row>
    <row r="1207">
      <c r="D1207" s="8" t="n"/>
      <c r="E1207" s="9">
        <f>IF(B1207="","",IF(B1207="OWN","Yes","No"))</f>
        <v/>
      </c>
      <c r="AF1207" s="9">
        <f>IF(ISNUMBER(Z1207),IF(Z1207&lt;=2,"&lt;=2 d",IF(Z1207&lt;=7,"3-7 d",IF(Z1207&lt;=30,"8-30 d","&gt;30 d"))),IF(AE1207&lt;&gt;"",AE1207,IF(Z1207="NR","NR","")))</f>
        <v/>
      </c>
      <c r="AX1207" s="9">
        <f>IF(ISNUMBER(AW1207),IF(AW1207&gt;450,"Yes","No"),IF(AW1207="NR","NR",""))</f>
        <v/>
      </c>
      <c r="BJ1207" s="9">
        <f>IF(BB1207="","",IF(BB1207="Non-viable","Non-viable",IF(BB1207="Viable","Viable",IF(BB1207="Partially non-viable",IF(OR(BD1207="Total splenectomy",BD1207="Partial splenectomy +/- splenopexy"),"Non-viable","Review"),IF(BB1207="NR",IF(OR(BD1207="Total splenectomy",BD1207="Partial splenectomy +/- splenopexy"),"NR - removed, check reason","NR"),"Not applicable")))))</f>
        <v/>
      </c>
    </row>
    <row r="1208">
      <c r="D1208" s="8" t="n"/>
      <c r="E1208" s="9">
        <f>IF(B1208="","",IF(B1208="OWN","Yes","No"))</f>
        <v/>
      </c>
      <c r="AF1208" s="9">
        <f>IF(ISNUMBER(Z1208),IF(Z1208&lt;=2,"&lt;=2 d",IF(Z1208&lt;=7,"3-7 d",IF(Z1208&lt;=30,"8-30 d","&gt;30 d"))),IF(AE1208&lt;&gt;"",AE1208,IF(Z1208="NR","NR","")))</f>
        <v/>
      </c>
      <c r="AX1208" s="9">
        <f>IF(ISNUMBER(AW1208),IF(AW1208&gt;450,"Yes","No"),IF(AW1208="NR","NR",""))</f>
        <v/>
      </c>
      <c r="BJ1208" s="9">
        <f>IF(BB1208="","",IF(BB1208="Non-viable","Non-viable",IF(BB1208="Viable","Viable",IF(BB1208="Partially non-viable",IF(OR(BD1208="Total splenectomy",BD1208="Partial splenectomy +/- splenopexy"),"Non-viable","Review"),IF(BB1208="NR",IF(OR(BD1208="Total splenectomy",BD1208="Partial splenectomy +/- splenopexy"),"NR - removed, check reason","NR"),"Not applicable")))))</f>
        <v/>
      </c>
    </row>
    <row r="1209">
      <c r="D1209" s="8" t="n"/>
      <c r="E1209" s="9">
        <f>IF(B1209="","",IF(B1209="OWN","Yes","No"))</f>
        <v/>
      </c>
      <c r="AF1209" s="9">
        <f>IF(ISNUMBER(Z1209),IF(Z1209&lt;=2,"&lt;=2 d",IF(Z1209&lt;=7,"3-7 d",IF(Z1209&lt;=30,"8-30 d","&gt;30 d"))),IF(AE1209&lt;&gt;"",AE1209,IF(Z1209="NR","NR","")))</f>
        <v/>
      </c>
      <c r="AX1209" s="9">
        <f>IF(ISNUMBER(AW1209),IF(AW1209&gt;450,"Yes","No"),IF(AW1209="NR","NR",""))</f>
        <v/>
      </c>
      <c r="BJ1209" s="9">
        <f>IF(BB1209="","",IF(BB1209="Non-viable","Non-viable",IF(BB1209="Viable","Viable",IF(BB1209="Partially non-viable",IF(OR(BD1209="Total splenectomy",BD1209="Partial splenectomy +/- splenopexy"),"Non-viable","Review"),IF(BB1209="NR",IF(OR(BD1209="Total splenectomy",BD1209="Partial splenectomy +/- splenopexy"),"NR - removed, check reason","NR"),"Not applicable")))))</f>
        <v/>
      </c>
    </row>
    <row r="1210">
      <c r="D1210" s="8" t="n"/>
      <c r="E1210" s="9">
        <f>IF(B1210="","",IF(B1210="OWN","Yes","No"))</f>
        <v/>
      </c>
      <c r="AF1210" s="9">
        <f>IF(ISNUMBER(Z1210),IF(Z1210&lt;=2,"&lt;=2 d",IF(Z1210&lt;=7,"3-7 d",IF(Z1210&lt;=30,"8-30 d","&gt;30 d"))),IF(AE1210&lt;&gt;"",AE1210,IF(Z1210="NR","NR","")))</f>
        <v/>
      </c>
      <c r="AX1210" s="9">
        <f>IF(ISNUMBER(AW1210),IF(AW1210&gt;450,"Yes","No"),IF(AW1210="NR","NR",""))</f>
        <v/>
      </c>
      <c r="BJ1210" s="9">
        <f>IF(BB1210="","",IF(BB1210="Non-viable","Non-viable",IF(BB1210="Viable","Viable",IF(BB1210="Partially non-viable",IF(OR(BD1210="Total splenectomy",BD1210="Partial splenectomy +/- splenopexy"),"Non-viable","Review"),IF(BB1210="NR",IF(OR(BD1210="Total splenectomy",BD1210="Partial splenectomy +/- splenopexy"),"NR - removed, check reason","NR"),"Not applicable")))))</f>
        <v/>
      </c>
    </row>
    <row r="1211">
      <c r="D1211" s="8" t="n"/>
      <c r="E1211" s="9">
        <f>IF(B1211="","",IF(B1211="OWN","Yes","No"))</f>
        <v/>
      </c>
      <c r="AF1211" s="9">
        <f>IF(ISNUMBER(Z1211),IF(Z1211&lt;=2,"&lt;=2 d",IF(Z1211&lt;=7,"3-7 d",IF(Z1211&lt;=30,"8-30 d","&gt;30 d"))),IF(AE1211&lt;&gt;"",AE1211,IF(Z1211="NR","NR","")))</f>
        <v/>
      </c>
      <c r="AX1211" s="9">
        <f>IF(ISNUMBER(AW1211),IF(AW1211&gt;450,"Yes","No"),IF(AW1211="NR","NR",""))</f>
        <v/>
      </c>
      <c r="BJ1211" s="9">
        <f>IF(BB1211="","",IF(BB1211="Non-viable","Non-viable",IF(BB1211="Viable","Viable",IF(BB1211="Partially non-viable",IF(OR(BD1211="Total splenectomy",BD1211="Partial splenectomy +/- splenopexy"),"Non-viable","Review"),IF(BB1211="NR",IF(OR(BD1211="Total splenectomy",BD1211="Partial splenectomy +/- splenopexy"),"NR - removed, check reason","NR"),"Not applicable")))))</f>
        <v/>
      </c>
    </row>
    <row r="1212">
      <c r="D1212" s="8" t="n"/>
      <c r="E1212" s="9">
        <f>IF(B1212="","",IF(B1212="OWN","Yes","No"))</f>
        <v/>
      </c>
      <c r="AF1212" s="9">
        <f>IF(ISNUMBER(Z1212),IF(Z1212&lt;=2,"&lt;=2 d",IF(Z1212&lt;=7,"3-7 d",IF(Z1212&lt;=30,"8-30 d","&gt;30 d"))),IF(AE1212&lt;&gt;"",AE1212,IF(Z1212="NR","NR","")))</f>
        <v/>
      </c>
      <c r="AX1212" s="9">
        <f>IF(ISNUMBER(AW1212),IF(AW1212&gt;450,"Yes","No"),IF(AW1212="NR","NR",""))</f>
        <v/>
      </c>
      <c r="BJ1212" s="9">
        <f>IF(BB1212="","",IF(BB1212="Non-viable","Non-viable",IF(BB1212="Viable","Viable",IF(BB1212="Partially non-viable",IF(OR(BD1212="Total splenectomy",BD1212="Partial splenectomy +/- splenopexy"),"Non-viable","Review"),IF(BB1212="NR",IF(OR(BD1212="Total splenectomy",BD1212="Partial splenectomy +/- splenopexy"),"NR - removed, check reason","NR"),"Not applicable")))))</f>
        <v/>
      </c>
    </row>
    <row r="1213">
      <c r="D1213" s="8" t="n"/>
      <c r="E1213" s="9">
        <f>IF(B1213="","",IF(B1213="OWN","Yes","No"))</f>
        <v/>
      </c>
      <c r="AF1213" s="9">
        <f>IF(ISNUMBER(Z1213),IF(Z1213&lt;=2,"&lt;=2 d",IF(Z1213&lt;=7,"3-7 d",IF(Z1213&lt;=30,"8-30 d","&gt;30 d"))),IF(AE1213&lt;&gt;"",AE1213,IF(Z1213="NR","NR","")))</f>
        <v/>
      </c>
      <c r="AX1213" s="9">
        <f>IF(ISNUMBER(AW1213),IF(AW1213&gt;450,"Yes","No"),IF(AW1213="NR","NR",""))</f>
        <v/>
      </c>
      <c r="BJ1213" s="9">
        <f>IF(BB1213="","",IF(BB1213="Non-viable","Non-viable",IF(BB1213="Viable","Viable",IF(BB1213="Partially non-viable",IF(OR(BD1213="Total splenectomy",BD1213="Partial splenectomy +/- splenopexy"),"Non-viable","Review"),IF(BB1213="NR",IF(OR(BD1213="Total splenectomy",BD1213="Partial splenectomy +/- splenopexy"),"NR - removed, check reason","NR"),"Not applicable")))))</f>
        <v/>
      </c>
    </row>
    <row r="1214">
      <c r="D1214" s="8" t="n"/>
      <c r="E1214" s="9">
        <f>IF(B1214="","",IF(B1214="OWN","Yes","No"))</f>
        <v/>
      </c>
      <c r="AF1214" s="9">
        <f>IF(ISNUMBER(Z1214),IF(Z1214&lt;=2,"&lt;=2 d",IF(Z1214&lt;=7,"3-7 d",IF(Z1214&lt;=30,"8-30 d","&gt;30 d"))),IF(AE1214&lt;&gt;"",AE1214,IF(Z1214="NR","NR","")))</f>
        <v/>
      </c>
      <c r="AX1214" s="9">
        <f>IF(ISNUMBER(AW1214),IF(AW1214&gt;450,"Yes","No"),IF(AW1214="NR","NR",""))</f>
        <v/>
      </c>
      <c r="BJ1214" s="9">
        <f>IF(BB1214="","",IF(BB1214="Non-viable","Non-viable",IF(BB1214="Viable","Viable",IF(BB1214="Partially non-viable",IF(OR(BD1214="Total splenectomy",BD1214="Partial splenectomy +/- splenopexy"),"Non-viable","Review"),IF(BB1214="NR",IF(OR(BD1214="Total splenectomy",BD1214="Partial splenectomy +/- splenopexy"),"NR - removed, check reason","NR"),"Not applicable")))))</f>
        <v/>
      </c>
    </row>
    <row r="1215">
      <c r="D1215" s="8" t="n"/>
      <c r="E1215" s="9">
        <f>IF(B1215="","",IF(B1215="OWN","Yes","No"))</f>
        <v/>
      </c>
      <c r="AF1215" s="9">
        <f>IF(ISNUMBER(Z1215),IF(Z1215&lt;=2,"&lt;=2 d",IF(Z1215&lt;=7,"3-7 d",IF(Z1215&lt;=30,"8-30 d","&gt;30 d"))),IF(AE1215&lt;&gt;"",AE1215,IF(Z1215="NR","NR","")))</f>
        <v/>
      </c>
      <c r="AX1215" s="9">
        <f>IF(ISNUMBER(AW1215),IF(AW1215&gt;450,"Yes","No"),IF(AW1215="NR","NR",""))</f>
        <v/>
      </c>
      <c r="BJ1215" s="9">
        <f>IF(BB1215="","",IF(BB1215="Non-viable","Non-viable",IF(BB1215="Viable","Viable",IF(BB1215="Partially non-viable",IF(OR(BD1215="Total splenectomy",BD1215="Partial splenectomy +/- splenopexy"),"Non-viable","Review"),IF(BB1215="NR",IF(OR(BD1215="Total splenectomy",BD1215="Partial splenectomy +/- splenopexy"),"NR - removed, check reason","NR"),"Not applicable")))))</f>
        <v/>
      </c>
    </row>
    <row r="1216">
      <c r="D1216" s="8" t="n"/>
      <c r="E1216" s="9">
        <f>IF(B1216="","",IF(B1216="OWN","Yes","No"))</f>
        <v/>
      </c>
      <c r="AF1216" s="9">
        <f>IF(ISNUMBER(Z1216),IF(Z1216&lt;=2,"&lt;=2 d",IF(Z1216&lt;=7,"3-7 d",IF(Z1216&lt;=30,"8-30 d","&gt;30 d"))),IF(AE1216&lt;&gt;"",AE1216,IF(Z1216="NR","NR","")))</f>
        <v/>
      </c>
      <c r="AX1216" s="9">
        <f>IF(ISNUMBER(AW1216),IF(AW1216&gt;450,"Yes","No"),IF(AW1216="NR","NR",""))</f>
        <v/>
      </c>
      <c r="BJ1216" s="9">
        <f>IF(BB1216="","",IF(BB1216="Non-viable","Non-viable",IF(BB1216="Viable","Viable",IF(BB1216="Partially non-viable",IF(OR(BD1216="Total splenectomy",BD1216="Partial splenectomy +/- splenopexy"),"Non-viable","Review"),IF(BB1216="NR",IF(OR(BD1216="Total splenectomy",BD1216="Partial splenectomy +/- splenopexy"),"NR - removed, check reason","NR"),"Not applicable")))))</f>
        <v/>
      </c>
    </row>
    <row r="1217">
      <c r="D1217" s="8" t="n"/>
      <c r="E1217" s="9">
        <f>IF(B1217="","",IF(B1217="OWN","Yes","No"))</f>
        <v/>
      </c>
      <c r="AF1217" s="9">
        <f>IF(ISNUMBER(Z1217),IF(Z1217&lt;=2,"&lt;=2 d",IF(Z1217&lt;=7,"3-7 d",IF(Z1217&lt;=30,"8-30 d","&gt;30 d"))),IF(AE1217&lt;&gt;"",AE1217,IF(Z1217="NR","NR","")))</f>
        <v/>
      </c>
      <c r="AX1217" s="9">
        <f>IF(ISNUMBER(AW1217),IF(AW1217&gt;450,"Yes","No"),IF(AW1217="NR","NR",""))</f>
        <v/>
      </c>
      <c r="BJ1217" s="9">
        <f>IF(BB1217="","",IF(BB1217="Non-viable","Non-viable",IF(BB1217="Viable","Viable",IF(BB1217="Partially non-viable",IF(OR(BD1217="Total splenectomy",BD1217="Partial splenectomy +/- splenopexy"),"Non-viable","Review"),IF(BB1217="NR",IF(OR(BD1217="Total splenectomy",BD1217="Partial splenectomy +/- splenopexy"),"NR - removed, check reason","NR"),"Not applicable")))))</f>
        <v/>
      </c>
    </row>
    <row r="1218">
      <c r="D1218" s="8" t="n"/>
      <c r="E1218" s="9">
        <f>IF(B1218="","",IF(B1218="OWN","Yes","No"))</f>
        <v/>
      </c>
      <c r="AF1218" s="9">
        <f>IF(ISNUMBER(Z1218),IF(Z1218&lt;=2,"&lt;=2 d",IF(Z1218&lt;=7,"3-7 d",IF(Z1218&lt;=30,"8-30 d","&gt;30 d"))),IF(AE1218&lt;&gt;"",AE1218,IF(Z1218="NR","NR","")))</f>
        <v/>
      </c>
      <c r="AX1218" s="9">
        <f>IF(ISNUMBER(AW1218),IF(AW1218&gt;450,"Yes","No"),IF(AW1218="NR","NR",""))</f>
        <v/>
      </c>
      <c r="BJ1218" s="9">
        <f>IF(BB1218="","",IF(BB1218="Non-viable","Non-viable",IF(BB1218="Viable","Viable",IF(BB1218="Partially non-viable",IF(OR(BD1218="Total splenectomy",BD1218="Partial splenectomy +/- splenopexy"),"Non-viable","Review"),IF(BB1218="NR",IF(OR(BD1218="Total splenectomy",BD1218="Partial splenectomy +/- splenopexy"),"NR - removed, check reason","NR"),"Not applicable")))))</f>
        <v/>
      </c>
    </row>
    <row r="1219">
      <c r="D1219" s="8" t="n"/>
      <c r="E1219" s="9">
        <f>IF(B1219="","",IF(B1219="OWN","Yes","No"))</f>
        <v/>
      </c>
      <c r="AF1219" s="9">
        <f>IF(ISNUMBER(Z1219),IF(Z1219&lt;=2,"&lt;=2 d",IF(Z1219&lt;=7,"3-7 d",IF(Z1219&lt;=30,"8-30 d","&gt;30 d"))),IF(AE1219&lt;&gt;"",AE1219,IF(Z1219="NR","NR","")))</f>
        <v/>
      </c>
      <c r="AX1219" s="9">
        <f>IF(ISNUMBER(AW1219),IF(AW1219&gt;450,"Yes","No"),IF(AW1219="NR","NR",""))</f>
        <v/>
      </c>
      <c r="BJ1219" s="9">
        <f>IF(BB1219="","",IF(BB1219="Non-viable","Non-viable",IF(BB1219="Viable","Viable",IF(BB1219="Partially non-viable",IF(OR(BD1219="Total splenectomy",BD1219="Partial splenectomy +/- splenopexy"),"Non-viable","Review"),IF(BB1219="NR",IF(OR(BD1219="Total splenectomy",BD1219="Partial splenectomy +/- splenopexy"),"NR - removed, check reason","NR"),"Not applicable")))))</f>
        <v/>
      </c>
    </row>
    <row r="1220">
      <c r="D1220" s="8" t="n"/>
      <c r="E1220" s="9">
        <f>IF(B1220="","",IF(B1220="OWN","Yes","No"))</f>
        <v/>
      </c>
      <c r="AF1220" s="9">
        <f>IF(ISNUMBER(Z1220),IF(Z1220&lt;=2,"&lt;=2 d",IF(Z1220&lt;=7,"3-7 d",IF(Z1220&lt;=30,"8-30 d","&gt;30 d"))),IF(AE1220&lt;&gt;"",AE1220,IF(Z1220="NR","NR","")))</f>
        <v/>
      </c>
      <c r="AX1220" s="9">
        <f>IF(ISNUMBER(AW1220),IF(AW1220&gt;450,"Yes","No"),IF(AW1220="NR","NR",""))</f>
        <v/>
      </c>
      <c r="BJ1220" s="9">
        <f>IF(BB1220="","",IF(BB1220="Non-viable","Non-viable",IF(BB1220="Viable","Viable",IF(BB1220="Partially non-viable",IF(OR(BD1220="Total splenectomy",BD1220="Partial splenectomy +/- splenopexy"),"Non-viable","Review"),IF(BB1220="NR",IF(OR(BD1220="Total splenectomy",BD1220="Partial splenectomy +/- splenopexy"),"NR - removed, check reason","NR"),"Not applicable")))))</f>
        <v/>
      </c>
    </row>
    <row r="1221">
      <c r="D1221" s="8" t="n"/>
      <c r="E1221" s="9">
        <f>IF(B1221="","",IF(B1221="OWN","Yes","No"))</f>
        <v/>
      </c>
      <c r="AF1221" s="9">
        <f>IF(ISNUMBER(Z1221),IF(Z1221&lt;=2,"&lt;=2 d",IF(Z1221&lt;=7,"3-7 d",IF(Z1221&lt;=30,"8-30 d","&gt;30 d"))),IF(AE1221&lt;&gt;"",AE1221,IF(Z1221="NR","NR","")))</f>
        <v/>
      </c>
      <c r="AX1221" s="9">
        <f>IF(ISNUMBER(AW1221),IF(AW1221&gt;450,"Yes","No"),IF(AW1221="NR","NR",""))</f>
        <v/>
      </c>
      <c r="BJ1221" s="9">
        <f>IF(BB1221="","",IF(BB1221="Non-viable","Non-viable",IF(BB1221="Viable","Viable",IF(BB1221="Partially non-viable",IF(OR(BD1221="Total splenectomy",BD1221="Partial splenectomy +/- splenopexy"),"Non-viable","Review"),IF(BB1221="NR",IF(OR(BD1221="Total splenectomy",BD1221="Partial splenectomy +/- splenopexy"),"NR - removed, check reason","NR"),"Not applicable")))))</f>
        <v/>
      </c>
    </row>
    <row r="1222">
      <c r="D1222" s="8" t="n"/>
      <c r="E1222" s="9">
        <f>IF(B1222="","",IF(B1222="OWN","Yes","No"))</f>
        <v/>
      </c>
      <c r="AF1222" s="9">
        <f>IF(ISNUMBER(Z1222),IF(Z1222&lt;=2,"&lt;=2 d",IF(Z1222&lt;=7,"3-7 d",IF(Z1222&lt;=30,"8-30 d","&gt;30 d"))),IF(AE1222&lt;&gt;"",AE1222,IF(Z1222="NR","NR","")))</f>
        <v/>
      </c>
      <c r="AX1222" s="9">
        <f>IF(ISNUMBER(AW1222),IF(AW1222&gt;450,"Yes","No"),IF(AW1222="NR","NR",""))</f>
        <v/>
      </c>
      <c r="BJ1222" s="9">
        <f>IF(BB1222="","",IF(BB1222="Non-viable","Non-viable",IF(BB1222="Viable","Viable",IF(BB1222="Partially non-viable",IF(OR(BD1222="Total splenectomy",BD1222="Partial splenectomy +/- splenopexy"),"Non-viable","Review"),IF(BB1222="NR",IF(OR(BD1222="Total splenectomy",BD1222="Partial splenectomy +/- splenopexy"),"NR - removed, check reason","NR"),"Not applicable")))))</f>
        <v/>
      </c>
    </row>
    <row r="1223">
      <c r="D1223" s="8" t="n"/>
      <c r="E1223" s="9">
        <f>IF(B1223="","",IF(B1223="OWN","Yes","No"))</f>
        <v/>
      </c>
      <c r="AF1223" s="9">
        <f>IF(ISNUMBER(Z1223),IF(Z1223&lt;=2,"&lt;=2 d",IF(Z1223&lt;=7,"3-7 d",IF(Z1223&lt;=30,"8-30 d","&gt;30 d"))),IF(AE1223&lt;&gt;"",AE1223,IF(Z1223="NR","NR","")))</f>
        <v/>
      </c>
      <c r="AX1223" s="9">
        <f>IF(ISNUMBER(AW1223),IF(AW1223&gt;450,"Yes","No"),IF(AW1223="NR","NR",""))</f>
        <v/>
      </c>
      <c r="BJ1223" s="9">
        <f>IF(BB1223="","",IF(BB1223="Non-viable","Non-viable",IF(BB1223="Viable","Viable",IF(BB1223="Partially non-viable",IF(OR(BD1223="Total splenectomy",BD1223="Partial splenectomy +/- splenopexy"),"Non-viable","Review"),IF(BB1223="NR",IF(OR(BD1223="Total splenectomy",BD1223="Partial splenectomy +/- splenopexy"),"NR - removed, check reason","NR"),"Not applicable")))))</f>
        <v/>
      </c>
    </row>
    <row r="1224">
      <c r="D1224" s="8" t="n"/>
      <c r="E1224" s="9">
        <f>IF(B1224="","",IF(B1224="OWN","Yes","No"))</f>
        <v/>
      </c>
      <c r="AF1224" s="9">
        <f>IF(ISNUMBER(Z1224),IF(Z1224&lt;=2,"&lt;=2 d",IF(Z1224&lt;=7,"3-7 d",IF(Z1224&lt;=30,"8-30 d","&gt;30 d"))),IF(AE1224&lt;&gt;"",AE1224,IF(Z1224="NR","NR","")))</f>
        <v/>
      </c>
      <c r="AX1224" s="9">
        <f>IF(ISNUMBER(AW1224),IF(AW1224&gt;450,"Yes","No"),IF(AW1224="NR","NR",""))</f>
        <v/>
      </c>
      <c r="BJ1224" s="9">
        <f>IF(BB1224="","",IF(BB1224="Non-viable","Non-viable",IF(BB1224="Viable","Viable",IF(BB1224="Partially non-viable",IF(OR(BD1224="Total splenectomy",BD1224="Partial splenectomy +/- splenopexy"),"Non-viable","Review"),IF(BB1224="NR",IF(OR(BD1224="Total splenectomy",BD1224="Partial splenectomy +/- splenopexy"),"NR - removed, check reason","NR"),"Not applicable")))))</f>
        <v/>
      </c>
    </row>
    <row r="1225">
      <c r="D1225" s="8" t="n"/>
      <c r="E1225" s="9">
        <f>IF(B1225="","",IF(B1225="OWN","Yes","No"))</f>
        <v/>
      </c>
      <c r="AF1225" s="9">
        <f>IF(ISNUMBER(Z1225),IF(Z1225&lt;=2,"&lt;=2 d",IF(Z1225&lt;=7,"3-7 d",IF(Z1225&lt;=30,"8-30 d","&gt;30 d"))),IF(AE1225&lt;&gt;"",AE1225,IF(Z1225="NR","NR","")))</f>
        <v/>
      </c>
      <c r="AX1225" s="9">
        <f>IF(ISNUMBER(AW1225),IF(AW1225&gt;450,"Yes","No"),IF(AW1225="NR","NR",""))</f>
        <v/>
      </c>
      <c r="BJ1225" s="9">
        <f>IF(BB1225="","",IF(BB1225="Non-viable","Non-viable",IF(BB1225="Viable","Viable",IF(BB1225="Partially non-viable",IF(OR(BD1225="Total splenectomy",BD1225="Partial splenectomy +/- splenopexy"),"Non-viable","Review"),IF(BB1225="NR",IF(OR(BD1225="Total splenectomy",BD1225="Partial splenectomy +/- splenopexy"),"NR - removed, check reason","NR"),"Not applicable")))))</f>
        <v/>
      </c>
    </row>
    <row r="1226">
      <c r="D1226" s="8" t="n"/>
      <c r="E1226" s="9">
        <f>IF(B1226="","",IF(B1226="OWN","Yes","No"))</f>
        <v/>
      </c>
      <c r="AF1226" s="9">
        <f>IF(ISNUMBER(Z1226),IF(Z1226&lt;=2,"&lt;=2 d",IF(Z1226&lt;=7,"3-7 d",IF(Z1226&lt;=30,"8-30 d","&gt;30 d"))),IF(AE1226&lt;&gt;"",AE1226,IF(Z1226="NR","NR","")))</f>
        <v/>
      </c>
      <c r="AX1226" s="9">
        <f>IF(ISNUMBER(AW1226),IF(AW1226&gt;450,"Yes","No"),IF(AW1226="NR","NR",""))</f>
        <v/>
      </c>
      <c r="BJ1226" s="9">
        <f>IF(BB1226="","",IF(BB1226="Non-viable","Non-viable",IF(BB1226="Viable","Viable",IF(BB1226="Partially non-viable",IF(OR(BD1226="Total splenectomy",BD1226="Partial splenectomy +/- splenopexy"),"Non-viable","Review"),IF(BB1226="NR",IF(OR(BD1226="Total splenectomy",BD1226="Partial splenectomy +/- splenopexy"),"NR - removed, check reason","NR"),"Not applicable")))))</f>
        <v/>
      </c>
    </row>
    <row r="1227">
      <c r="D1227" s="8" t="n"/>
      <c r="E1227" s="9">
        <f>IF(B1227="","",IF(B1227="OWN","Yes","No"))</f>
        <v/>
      </c>
      <c r="AF1227" s="9">
        <f>IF(ISNUMBER(Z1227),IF(Z1227&lt;=2,"&lt;=2 d",IF(Z1227&lt;=7,"3-7 d",IF(Z1227&lt;=30,"8-30 d","&gt;30 d"))),IF(AE1227&lt;&gt;"",AE1227,IF(Z1227="NR","NR","")))</f>
        <v/>
      </c>
      <c r="AX1227" s="9">
        <f>IF(ISNUMBER(AW1227),IF(AW1227&gt;450,"Yes","No"),IF(AW1227="NR","NR",""))</f>
        <v/>
      </c>
      <c r="BJ1227" s="9">
        <f>IF(BB1227="","",IF(BB1227="Non-viable","Non-viable",IF(BB1227="Viable","Viable",IF(BB1227="Partially non-viable",IF(OR(BD1227="Total splenectomy",BD1227="Partial splenectomy +/- splenopexy"),"Non-viable","Review"),IF(BB1227="NR",IF(OR(BD1227="Total splenectomy",BD1227="Partial splenectomy +/- splenopexy"),"NR - removed, check reason","NR"),"Not applicable")))))</f>
        <v/>
      </c>
    </row>
    <row r="1228">
      <c r="D1228" s="8" t="n"/>
      <c r="E1228" s="9">
        <f>IF(B1228="","",IF(B1228="OWN","Yes","No"))</f>
        <v/>
      </c>
      <c r="AF1228" s="9">
        <f>IF(ISNUMBER(Z1228),IF(Z1228&lt;=2,"&lt;=2 d",IF(Z1228&lt;=7,"3-7 d",IF(Z1228&lt;=30,"8-30 d","&gt;30 d"))),IF(AE1228&lt;&gt;"",AE1228,IF(Z1228="NR","NR","")))</f>
        <v/>
      </c>
      <c r="AX1228" s="9">
        <f>IF(ISNUMBER(AW1228),IF(AW1228&gt;450,"Yes","No"),IF(AW1228="NR","NR",""))</f>
        <v/>
      </c>
      <c r="BJ1228" s="9">
        <f>IF(BB1228="","",IF(BB1228="Non-viable","Non-viable",IF(BB1228="Viable","Viable",IF(BB1228="Partially non-viable",IF(OR(BD1228="Total splenectomy",BD1228="Partial splenectomy +/- splenopexy"),"Non-viable","Review"),IF(BB1228="NR",IF(OR(BD1228="Total splenectomy",BD1228="Partial splenectomy +/- splenopexy"),"NR - removed, check reason","NR"),"Not applicable")))))</f>
        <v/>
      </c>
    </row>
    <row r="1229">
      <c r="D1229" s="8" t="n"/>
      <c r="E1229" s="9">
        <f>IF(B1229="","",IF(B1229="OWN","Yes","No"))</f>
        <v/>
      </c>
      <c r="AF1229" s="9">
        <f>IF(ISNUMBER(Z1229),IF(Z1229&lt;=2,"&lt;=2 d",IF(Z1229&lt;=7,"3-7 d",IF(Z1229&lt;=30,"8-30 d","&gt;30 d"))),IF(AE1229&lt;&gt;"",AE1229,IF(Z1229="NR","NR","")))</f>
        <v/>
      </c>
      <c r="AX1229" s="9">
        <f>IF(ISNUMBER(AW1229),IF(AW1229&gt;450,"Yes","No"),IF(AW1229="NR","NR",""))</f>
        <v/>
      </c>
      <c r="BJ1229" s="9">
        <f>IF(BB1229="","",IF(BB1229="Non-viable","Non-viable",IF(BB1229="Viable","Viable",IF(BB1229="Partially non-viable",IF(OR(BD1229="Total splenectomy",BD1229="Partial splenectomy +/- splenopexy"),"Non-viable","Review"),IF(BB1229="NR",IF(OR(BD1229="Total splenectomy",BD1229="Partial splenectomy +/- splenopexy"),"NR - removed, check reason","NR"),"Not applicable")))))</f>
        <v/>
      </c>
    </row>
    <row r="1230">
      <c r="D1230" s="8" t="n"/>
      <c r="E1230" s="9">
        <f>IF(B1230="","",IF(B1230="OWN","Yes","No"))</f>
        <v/>
      </c>
      <c r="AF1230" s="9">
        <f>IF(ISNUMBER(Z1230),IF(Z1230&lt;=2,"&lt;=2 d",IF(Z1230&lt;=7,"3-7 d",IF(Z1230&lt;=30,"8-30 d","&gt;30 d"))),IF(AE1230&lt;&gt;"",AE1230,IF(Z1230="NR","NR","")))</f>
        <v/>
      </c>
      <c r="AX1230" s="9">
        <f>IF(ISNUMBER(AW1230),IF(AW1230&gt;450,"Yes","No"),IF(AW1230="NR","NR",""))</f>
        <v/>
      </c>
      <c r="BJ1230" s="9">
        <f>IF(BB1230="","",IF(BB1230="Non-viable","Non-viable",IF(BB1230="Viable","Viable",IF(BB1230="Partially non-viable",IF(OR(BD1230="Total splenectomy",BD1230="Partial splenectomy +/- splenopexy"),"Non-viable","Review"),IF(BB1230="NR",IF(OR(BD1230="Total splenectomy",BD1230="Partial splenectomy +/- splenopexy"),"NR - removed, check reason","NR"),"Not applicable")))))</f>
        <v/>
      </c>
    </row>
    <row r="1231">
      <c r="D1231" s="8" t="n"/>
      <c r="E1231" s="9">
        <f>IF(B1231="","",IF(B1231="OWN","Yes","No"))</f>
        <v/>
      </c>
      <c r="AF1231" s="9">
        <f>IF(ISNUMBER(Z1231),IF(Z1231&lt;=2,"&lt;=2 d",IF(Z1231&lt;=7,"3-7 d",IF(Z1231&lt;=30,"8-30 d","&gt;30 d"))),IF(AE1231&lt;&gt;"",AE1231,IF(Z1231="NR","NR","")))</f>
        <v/>
      </c>
      <c r="AX1231" s="9">
        <f>IF(ISNUMBER(AW1231),IF(AW1231&gt;450,"Yes","No"),IF(AW1231="NR","NR",""))</f>
        <v/>
      </c>
      <c r="BJ1231" s="9">
        <f>IF(BB1231="","",IF(BB1231="Non-viable","Non-viable",IF(BB1231="Viable","Viable",IF(BB1231="Partially non-viable",IF(OR(BD1231="Total splenectomy",BD1231="Partial splenectomy +/- splenopexy"),"Non-viable","Review"),IF(BB1231="NR",IF(OR(BD1231="Total splenectomy",BD1231="Partial splenectomy +/- splenopexy"),"NR - removed, check reason","NR"),"Not applicable")))))</f>
        <v/>
      </c>
    </row>
    <row r="1232">
      <c r="D1232" s="8" t="n"/>
      <c r="E1232" s="9">
        <f>IF(B1232="","",IF(B1232="OWN","Yes","No"))</f>
        <v/>
      </c>
      <c r="AF1232" s="9">
        <f>IF(ISNUMBER(Z1232),IF(Z1232&lt;=2,"&lt;=2 d",IF(Z1232&lt;=7,"3-7 d",IF(Z1232&lt;=30,"8-30 d","&gt;30 d"))),IF(AE1232&lt;&gt;"",AE1232,IF(Z1232="NR","NR","")))</f>
        <v/>
      </c>
      <c r="AX1232" s="9">
        <f>IF(ISNUMBER(AW1232),IF(AW1232&gt;450,"Yes","No"),IF(AW1232="NR","NR",""))</f>
        <v/>
      </c>
      <c r="BJ1232" s="9">
        <f>IF(BB1232="","",IF(BB1232="Non-viable","Non-viable",IF(BB1232="Viable","Viable",IF(BB1232="Partially non-viable",IF(OR(BD1232="Total splenectomy",BD1232="Partial splenectomy +/- splenopexy"),"Non-viable","Review"),IF(BB1232="NR",IF(OR(BD1232="Total splenectomy",BD1232="Partial splenectomy +/- splenopexy"),"NR - removed, check reason","NR"),"Not applicable")))))</f>
        <v/>
      </c>
    </row>
    <row r="1233">
      <c r="D1233" s="8" t="n"/>
      <c r="E1233" s="9">
        <f>IF(B1233="","",IF(B1233="OWN","Yes","No"))</f>
        <v/>
      </c>
      <c r="AF1233" s="9">
        <f>IF(ISNUMBER(Z1233),IF(Z1233&lt;=2,"&lt;=2 d",IF(Z1233&lt;=7,"3-7 d",IF(Z1233&lt;=30,"8-30 d","&gt;30 d"))),IF(AE1233&lt;&gt;"",AE1233,IF(Z1233="NR","NR","")))</f>
        <v/>
      </c>
      <c r="AX1233" s="9">
        <f>IF(ISNUMBER(AW1233),IF(AW1233&gt;450,"Yes","No"),IF(AW1233="NR","NR",""))</f>
        <v/>
      </c>
      <c r="BJ1233" s="9">
        <f>IF(BB1233="","",IF(BB1233="Non-viable","Non-viable",IF(BB1233="Viable","Viable",IF(BB1233="Partially non-viable",IF(OR(BD1233="Total splenectomy",BD1233="Partial splenectomy +/- splenopexy"),"Non-viable","Review"),IF(BB1233="NR",IF(OR(BD1233="Total splenectomy",BD1233="Partial splenectomy +/- splenopexy"),"NR - removed, check reason","NR"),"Not applicable")))))</f>
        <v/>
      </c>
    </row>
    <row r="1234">
      <c r="D1234" s="8" t="n"/>
      <c r="E1234" s="9">
        <f>IF(B1234="","",IF(B1234="OWN","Yes","No"))</f>
        <v/>
      </c>
      <c r="AF1234" s="9">
        <f>IF(ISNUMBER(Z1234),IF(Z1234&lt;=2,"&lt;=2 d",IF(Z1234&lt;=7,"3-7 d",IF(Z1234&lt;=30,"8-30 d","&gt;30 d"))),IF(AE1234&lt;&gt;"",AE1234,IF(Z1234="NR","NR","")))</f>
        <v/>
      </c>
      <c r="AX1234" s="9">
        <f>IF(ISNUMBER(AW1234),IF(AW1234&gt;450,"Yes","No"),IF(AW1234="NR","NR",""))</f>
        <v/>
      </c>
      <c r="BJ1234" s="9">
        <f>IF(BB1234="","",IF(BB1234="Non-viable","Non-viable",IF(BB1234="Viable","Viable",IF(BB1234="Partially non-viable",IF(OR(BD1234="Total splenectomy",BD1234="Partial splenectomy +/- splenopexy"),"Non-viable","Review"),IF(BB1234="NR",IF(OR(BD1234="Total splenectomy",BD1234="Partial splenectomy +/- splenopexy"),"NR - removed, check reason","NR"),"Not applicable")))))</f>
        <v/>
      </c>
    </row>
    <row r="1235">
      <c r="D1235" s="8" t="n"/>
      <c r="E1235" s="9">
        <f>IF(B1235="","",IF(B1235="OWN","Yes","No"))</f>
        <v/>
      </c>
      <c r="AF1235" s="9">
        <f>IF(ISNUMBER(Z1235),IF(Z1235&lt;=2,"&lt;=2 d",IF(Z1235&lt;=7,"3-7 d",IF(Z1235&lt;=30,"8-30 d","&gt;30 d"))),IF(AE1235&lt;&gt;"",AE1235,IF(Z1235="NR","NR","")))</f>
        <v/>
      </c>
      <c r="AX1235" s="9">
        <f>IF(ISNUMBER(AW1235),IF(AW1235&gt;450,"Yes","No"),IF(AW1235="NR","NR",""))</f>
        <v/>
      </c>
      <c r="BJ1235" s="9">
        <f>IF(BB1235="","",IF(BB1235="Non-viable","Non-viable",IF(BB1235="Viable","Viable",IF(BB1235="Partially non-viable",IF(OR(BD1235="Total splenectomy",BD1235="Partial splenectomy +/- splenopexy"),"Non-viable","Review"),IF(BB1235="NR",IF(OR(BD1235="Total splenectomy",BD1235="Partial splenectomy +/- splenopexy"),"NR - removed, check reason","NR"),"Not applicable")))))</f>
        <v/>
      </c>
    </row>
    <row r="1236">
      <c r="D1236" s="8" t="n"/>
      <c r="E1236" s="9">
        <f>IF(B1236="","",IF(B1236="OWN","Yes","No"))</f>
        <v/>
      </c>
      <c r="AF1236" s="9">
        <f>IF(ISNUMBER(Z1236),IF(Z1236&lt;=2,"&lt;=2 d",IF(Z1236&lt;=7,"3-7 d",IF(Z1236&lt;=30,"8-30 d","&gt;30 d"))),IF(AE1236&lt;&gt;"",AE1236,IF(Z1236="NR","NR","")))</f>
        <v/>
      </c>
      <c r="AX1236" s="9">
        <f>IF(ISNUMBER(AW1236),IF(AW1236&gt;450,"Yes","No"),IF(AW1236="NR","NR",""))</f>
        <v/>
      </c>
      <c r="BJ1236" s="9">
        <f>IF(BB1236="","",IF(BB1236="Non-viable","Non-viable",IF(BB1236="Viable","Viable",IF(BB1236="Partially non-viable",IF(OR(BD1236="Total splenectomy",BD1236="Partial splenectomy +/- splenopexy"),"Non-viable","Review"),IF(BB1236="NR",IF(OR(BD1236="Total splenectomy",BD1236="Partial splenectomy +/- splenopexy"),"NR - removed, check reason","NR"),"Not applicable")))))</f>
        <v/>
      </c>
    </row>
    <row r="1237">
      <c r="D1237" s="8" t="n"/>
      <c r="E1237" s="9">
        <f>IF(B1237="","",IF(B1237="OWN","Yes","No"))</f>
        <v/>
      </c>
      <c r="AF1237" s="9">
        <f>IF(ISNUMBER(Z1237),IF(Z1237&lt;=2,"&lt;=2 d",IF(Z1237&lt;=7,"3-7 d",IF(Z1237&lt;=30,"8-30 d","&gt;30 d"))),IF(AE1237&lt;&gt;"",AE1237,IF(Z1237="NR","NR","")))</f>
        <v/>
      </c>
      <c r="AX1237" s="9">
        <f>IF(ISNUMBER(AW1237),IF(AW1237&gt;450,"Yes","No"),IF(AW1237="NR","NR",""))</f>
        <v/>
      </c>
      <c r="BJ1237" s="9">
        <f>IF(BB1237="","",IF(BB1237="Non-viable","Non-viable",IF(BB1237="Viable","Viable",IF(BB1237="Partially non-viable",IF(OR(BD1237="Total splenectomy",BD1237="Partial splenectomy +/- splenopexy"),"Non-viable","Review"),IF(BB1237="NR",IF(OR(BD1237="Total splenectomy",BD1237="Partial splenectomy +/- splenopexy"),"NR - removed, check reason","NR"),"Not applicable")))))</f>
        <v/>
      </c>
    </row>
    <row r="1238">
      <c r="D1238" s="8" t="n"/>
      <c r="E1238" s="9">
        <f>IF(B1238="","",IF(B1238="OWN","Yes","No"))</f>
        <v/>
      </c>
      <c r="AF1238" s="9">
        <f>IF(ISNUMBER(Z1238),IF(Z1238&lt;=2,"&lt;=2 d",IF(Z1238&lt;=7,"3-7 d",IF(Z1238&lt;=30,"8-30 d","&gt;30 d"))),IF(AE1238&lt;&gt;"",AE1238,IF(Z1238="NR","NR","")))</f>
        <v/>
      </c>
      <c r="AX1238" s="9">
        <f>IF(ISNUMBER(AW1238),IF(AW1238&gt;450,"Yes","No"),IF(AW1238="NR","NR",""))</f>
        <v/>
      </c>
      <c r="BJ1238" s="9">
        <f>IF(BB1238="","",IF(BB1238="Non-viable","Non-viable",IF(BB1238="Viable","Viable",IF(BB1238="Partially non-viable",IF(OR(BD1238="Total splenectomy",BD1238="Partial splenectomy +/- splenopexy"),"Non-viable","Review"),IF(BB1238="NR",IF(OR(BD1238="Total splenectomy",BD1238="Partial splenectomy +/- splenopexy"),"NR - removed, check reason","NR"),"Not applicable")))))</f>
        <v/>
      </c>
    </row>
    <row r="1239">
      <c r="D1239" s="8" t="n"/>
      <c r="E1239" s="9">
        <f>IF(B1239="","",IF(B1239="OWN","Yes","No"))</f>
        <v/>
      </c>
      <c r="AF1239" s="9">
        <f>IF(ISNUMBER(Z1239),IF(Z1239&lt;=2,"&lt;=2 d",IF(Z1239&lt;=7,"3-7 d",IF(Z1239&lt;=30,"8-30 d","&gt;30 d"))),IF(AE1239&lt;&gt;"",AE1239,IF(Z1239="NR","NR","")))</f>
        <v/>
      </c>
      <c r="AX1239" s="9">
        <f>IF(ISNUMBER(AW1239),IF(AW1239&gt;450,"Yes","No"),IF(AW1239="NR","NR",""))</f>
        <v/>
      </c>
      <c r="BJ1239" s="9">
        <f>IF(BB1239="","",IF(BB1239="Non-viable","Non-viable",IF(BB1239="Viable","Viable",IF(BB1239="Partially non-viable",IF(OR(BD1239="Total splenectomy",BD1239="Partial splenectomy +/- splenopexy"),"Non-viable","Review"),IF(BB1239="NR",IF(OR(BD1239="Total splenectomy",BD1239="Partial splenectomy +/- splenopexy"),"NR - removed, check reason","NR"),"Not applicable")))))</f>
        <v/>
      </c>
    </row>
    <row r="1240">
      <c r="D1240" s="8" t="n"/>
      <c r="E1240" s="9">
        <f>IF(B1240="","",IF(B1240="OWN","Yes","No"))</f>
        <v/>
      </c>
      <c r="AF1240" s="9">
        <f>IF(ISNUMBER(Z1240),IF(Z1240&lt;=2,"&lt;=2 d",IF(Z1240&lt;=7,"3-7 d",IF(Z1240&lt;=30,"8-30 d","&gt;30 d"))),IF(AE1240&lt;&gt;"",AE1240,IF(Z1240="NR","NR","")))</f>
        <v/>
      </c>
      <c r="AX1240" s="9">
        <f>IF(ISNUMBER(AW1240),IF(AW1240&gt;450,"Yes","No"),IF(AW1240="NR","NR",""))</f>
        <v/>
      </c>
      <c r="BJ1240" s="9">
        <f>IF(BB1240="","",IF(BB1240="Non-viable","Non-viable",IF(BB1240="Viable","Viable",IF(BB1240="Partially non-viable",IF(OR(BD1240="Total splenectomy",BD1240="Partial splenectomy +/- splenopexy"),"Non-viable","Review"),IF(BB1240="NR",IF(OR(BD1240="Total splenectomy",BD1240="Partial splenectomy +/- splenopexy"),"NR - removed, check reason","NR"),"Not applicable")))))</f>
        <v/>
      </c>
    </row>
    <row r="1241">
      <c r="D1241" s="8" t="n"/>
      <c r="E1241" s="9">
        <f>IF(B1241="","",IF(B1241="OWN","Yes","No"))</f>
        <v/>
      </c>
      <c r="AF1241" s="9">
        <f>IF(ISNUMBER(Z1241),IF(Z1241&lt;=2,"&lt;=2 d",IF(Z1241&lt;=7,"3-7 d",IF(Z1241&lt;=30,"8-30 d","&gt;30 d"))),IF(AE1241&lt;&gt;"",AE1241,IF(Z1241="NR","NR","")))</f>
        <v/>
      </c>
      <c r="AX1241" s="9">
        <f>IF(ISNUMBER(AW1241),IF(AW1241&gt;450,"Yes","No"),IF(AW1241="NR","NR",""))</f>
        <v/>
      </c>
      <c r="BJ1241" s="9">
        <f>IF(BB1241="","",IF(BB1241="Non-viable","Non-viable",IF(BB1241="Viable","Viable",IF(BB1241="Partially non-viable",IF(OR(BD1241="Total splenectomy",BD1241="Partial splenectomy +/- splenopexy"),"Non-viable","Review"),IF(BB1241="NR",IF(OR(BD1241="Total splenectomy",BD1241="Partial splenectomy +/- splenopexy"),"NR - removed, check reason","NR"),"Not applicable")))))</f>
        <v/>
      </c>
    </row>
    <row r="1242">
      <c r="D1242" s="8" t="n"/>
      <c r="E1242" s="9">
        <f>IF(B1242="","",IF(B1242="OWN","Yes","No"))</f>
        <v/>
      </c>
      <c r="AF1242" s="9">
        <f>IF(ISNUMBER(Z1242),IF(Z1242&lt;=2,"&lt;=2 d",IF(Z1242&lt;=7,"3-7 d",IF(Z1242&lt;=30,"8-30 d","&gt;30 d"))),IF(AE1242&lt;&gt;"",AE1242,IF(Z1242="NR","NR","")))</f>
        <v/>
      </c>
      <c r="AX1242" s="9">
        <f>IF(ISNUMBER(AW1242),IF(AW1242&gt;450,"Yes","No"),IF(AW1242="NR","NR",""))</f>
        <v/>
      </c>
      <c r="BJ1242" s="9">
        <f>IF(BB1242="","",IF(BB1242="Non-viable","Non-viable",IF(BB1242="Viable","Viable",IF(BB1242="Partially non-viable",IF(OR(BD1242="Total splenectomy",BD1242="Partial splenectomy +/- splenopexy"),"Non-viable","Review"),IF(BB1242="NR",IF(OR(BD1242="Total splenectomy",BD1242="Partial splenectomy +/- splenopexy"),"NR - removed, check reason","NR"),"Not applicable")))))</f>
        <v/>
      </c>
    </row>
    <row r="1243">
      <c r="D1243" s="8" t="n"/>
      <c r="E1243" s="9">
        <f>IF(B1243="","",IF(B1243="OWN","Yes","No"))</f>
        <v/>
      </c>
      <c r="AF1243" s="9">
        <f>IF(ISNUMBER(Z1243),IF(Z1243&lt;=2,"&lt;=2 d",IF(Z1243&lt;=7,"3-7 d",IF(Z1243&lt;=30,"8-30 d","&gt;30 d"))),IF(AE1243&lt;&gt;"",AE1243,IF(Z1243="NR","NR","")))</f>
        <v/>
      </c>
      <c r="AX1243" s="9">
        <f>IF(ISNUMBER(AW1243),IF(AW1243&gt;450,"Yes","No"),IF(AW1243="NR","NR",""))</f>
        <v/>
      </c>
      <c r="BJ1243" s="9">
        <f>IF(BB1243="","",IF(BB1243="Non-viable","Non-viable",IF(BB1243="Viable","Viable",IF(BB1243="Partially non-viable",IF(OR(BD1243="Total splenectomy",BD1243="Partial splenectomy +/- splenopexy"),"Non-viable","Review"),IF(BB1243="NR",IF(OR(BD1243="Total splenectomy",BD1243="Partial splenectomy +/- splenopexy"),"NR - removed, check reason","NR"),"Not applicable")))))</f>
        <v/>
      </c>
    </row>
    <row r="1244">
      <c r="D1244" s="8" t="n"/>
      <c r="E1244" s="9">
        <f>IF(B1244="","",IF(B1244="OWN","Yes","No"))</f>
        <v/>
      </c>
      <c r="AF1244" s="9">
        <f>IF(ISNUMBER(Z1244),IF(Z1244&lt;=2,"&lt;=2 d",IF(Z1244&lt;=7,"3-7 d",IF(Z1244&lt;=30,"8-30 d","&gt;30 d"))),IF(AE1244&lt;&gt;"",AE1244,IF(Z1244="NR","NR","")))</f>
        <v/>
      </c>
      <c r="AX1244" s="9">
        <f>IF(ISNUMBER(AW1244),IF(AW1244&gt;450,"Yes","No"),IF(AW1244="NR","NR",""))</f>
        <v/>
      </c>
      <c r="BJ1244" s="9">
        <f>IF(BB1244="","",IF(BB1244="Non-viable","Non-viable",IF(BB1244="Viable","Viable",IF(BB1244="Partially non-viable",IF(OR(BD1244="Total splenectomy",BD1244="Partial splenectomy +/- splenopexy"),"Non-viable","Review"),IF(BB1244="NR",IF(OR(BD1244="Total splenectomy",BD1244="Partial splenectomy +/- splenopexy"),"NR - removed, check reason","NR"),"Not applicable")))))</f>
        <v/>
      </c>
    </row>
    <row r="1245">
      <c r="D1245" s="8" t="n"/>
      <c r="E1245" s="9">
        <f>IF(B1245="","",IF(B1245="OWN","Yes","No"))</f>
        <v/>
      </c>
      <c r="AF1245" s="9">
        <f>IF(ISNUMBER(Z1245),IF(Z1245&lt;=2,"&lt;=2 d",IF(Z1245&lt;=7,"3-7 d",IF(Z1245&lt;=30,"8-30 d","&gt;30 d"))),IF(AE1245&lt;&gt;"",AE1245,IF(Z1245="NR","NR","")))</f>
        <v/>
      </c>
      <c r="AX1245" s="9">
        <f>IF(ISNUMBER(AW1245),IF(AW1245&gt;450,"Yes","No"),IF(AW1245="NR","NR",""))</f>
        <v/>
      </c>
      <c r="BJ1245" s="9">
        <f>IF(BB1245="","",IF(BB1245="Non-viable","Non-viable",IF(BB1245="Viable","Viable",IF(BB1245="Partially non-viable",IF(OR(BD1245="Total splenectomy",BD1245="Partial splenectomy +/- splenopexy"),"Non-viable","Review"),IF(BB1245="NR",IF(OR(BD1245="Total splenectomy",BD1245="Partial splenectomy +/- splenopexy"),"NR - removed, check reason","NR"),"Not applicable")))))</f>
        <v/>
      </c>
    </row>
    <row r="1246">
      <c r="D1246" s="8" t="n"/>
      <c r="E1246" s="9">
        <f>IF(B1246="","",IF(B1246="OWN","Yes","No"))</f>
        <v/>
      </c>
      <c r="AF1246" s="9">
        <f>IF(ISNUMBER(Z1246),IF(Z1246&lt;=2,"&lt;=2 d",IF(Z1246&lt;=7,"3-7 d",IF(Z1246&lt;=30,"8-30 d","&gt;30 d"))),IF(AE1246&lt;&gt;"",AE1246,IF(Z1246="NR","NR","")))</f>
        <v/>
      </c>
      <c r="AX1246" s="9">
        <f>IF(ISNUMBER(AW1246),IF(AW1246&gt;450,"Yes","No"),IF(AW1246="NR","NR",""))</f>
        <v/>
      </c>
      <c r="BJ1246" s="9">
        <f>IF(BB1246="","",IF(BB1246="Non-viable","Non-viable",IF(BB1246="Viable","Viable",IF(BB1246="Partially non-viable",IF(OR(BD1246="Total splenectomy",BD1246="Partial splenectomy +/- splenopexy"),"Non-viable","Review"),IF(BB1246="NR",IF(OR(BD1246="Total splenectomy",BD1246="Partial splenectomy +/- splenopexy"),"NR - removed, check reason","NR"),"Not applicable")))))</f>
        <v/>
      </c>
    </row>
    <row r="1247">
      <c r="D1247" s="8" t="n"/>
      <c r="E1247" s="9">
        <f>IF(B1247="","",IF(B1247="OWN","Yes","No"))</f>
        <v/>
      </c>
      <c r="AF1247" s="9">
        <f>IF(ISNUMBER(Z1247),IF(Z1247&lt;=2,"&lt;=2 d",IF(Z1247&lt;=7,"3-7 d",IF(Z1247&lt;=30,"8-30 d","&gt;30 d"))),IF(AE1247&lt;&gt;"",AE1247,IF(Z1247="NR","NR","")))</f>
        <v/>
      </c>
      <c r="AX1247" s="9">
        <f>IF(ISNUMBER(AW1247),IF(AW1247&gt;450,"Yes","No"),IF(AW1247="NR","NR",""))</f>
        <v/>
      </c>
      <c r="BJ1247" s="9">
        <f>IF(BB1247="","",IF(BB1247="Non-viable","Non-viable",IF(BB1247="Viable","Viable",IF(BB1247="Partially non-viable",IF(OR(BD1247="Total splenectomy",BD1247="Partial splenectomy +/- splenopexy"),"Non-viable","Review"),IF(BB1247="NR",IF(OR(BD1247="Total splenectomy",BD1247="Partial splenectomy +/- splenopexy"),"NR - removed, check reason","NR"),"Not applicable")))))</f>
        <v/>
      </c>
    </row>
    <row r="1248">
      <c r="D1248" s="8" t="n"/>
      <c r="E1248" s="9">
        <f>IF(B1248="","",IF(B1248="OWN","Yes","No"))</f>
        <v/>
      </c>
      <c r="AF1248" s="9">
        <f>IF(ISNUMBER(Z1248),IF(Z1248&lt;=2,"&lt;=2 d",IF(Z1248&lt;=7,"3-7 d",IF(Z1248&lt;=30,"8-30 d","&gt;30 d"))),IF(AE1248&lt;&gt;"",AE1248,IF(Z1248="NR","NR","")))</f>
        <v/>
      </c>
      <c r="AX1248" s="9">
        <f>IF(ISNUMBER(AW1248),IF(AW1248&gt;450,"Yes","No"),IF(AW1248="NR","NR",""))</f>
        <v/>
      </c>
      <c r="BJ1248" s="9">
        <f>IF(BB1248="","",IF(BB1248="Non-viable","Non-viable",IF(BB1248="Viable","Viable",IF(BB1248="Partially non-viable",IF(OR(BD1248="Total splenectomy",BD1248="Partial splenectomy +/- splenopexy"),"Non-viable","Review"),IF(BB1248="NR",IF(OR(BD1248="Total splenectomy",BD1248="Partial splenectomy +/- splenopexy"),"NR - removed, check reason","NR"),"Not applicable")))))</f>
        <v/>
      </c>
    </row>
    <row r="1249">
      <c r="D1249" s="8" t="n"/>
      <c r="E1249" s="9">
        <f>IF(B1249="","",IF(B1249="OWN","Yes","No"))</f>
        <v/>
      </c>
      <c r="AF1249" s="9">
        <f>IF(ISNUMBER(Z1249),IF(Z1249&lt;=2,"&lt;=2 d",IF(Z1249&lt;=7,"3-7 d",IF(Z1249&lt;=30,"8-30 d","&gt;30 d"))),IF(AE1249&lt;&gt;"",AE1249,IF(Z1249="NR","NR","")))</f>
        <v/>
      </c>
      <c r="AX1249" s="9">
        <f>IF(ISNUMBER(AW1249),IF(AW1249&gt;450,"Yes","No"),IF(AW1249="NR","NR",""))</f>
        <v/>
      </c>
      <c r="BJ1249" s="9">
        <f>IF(BB1249="","",IF(BB1249="Non-viable","Non-viable",IF(BB1249="Viable","Viable",IF(BB1249="Partially non-viable",IF(OR(BD1249="Total splenectomy",BD1249="Partial splenectomy +/- splenopexy"),"Non-viable","Review"),IF(BB1249="NR",IF(OR(BD1249="Total splenectomy",BD1249="Partial splenectomy +/- splenopexy"),"NR - removed, check reason","NR"),"Not applicable")))))</f>
        <v/>
      </c>
    </row>
    <row r="1250">
      <c r="D1250" s="8" t="n"/>
      <c r="E1250" s="9">
        <f>IF(B1250="","",IF(B1250="OWN","Yes","No"))</f>
        <v/>
      </c>
      <c r="AF1250" s="9">
        <f>IF(ISNUMBER(Z1250),IF(Z1250&lt;=2,"&lt;=2 d",IF(Z1250&lt;=7,"3-7 d",IF(Z1250&lt;=30,"8-30 d","&gt;30 d"))),IF(AE1250&lt;&gt;"",AE1250,IF(Z1250="NR","NR","")))</f>
        <v/>
      </c>
      <c r="AX1250" s="9">
        <f>IF(ISNUMBER(AW1250),IF(AW1250&gt;450,"Yes","No"),IF(AW1250="NR","NR",""))</f>
        <v/>
      </c>
      <c r="BJ1250" s="9">
        <f>IF(BB1250="","",IF(BB1250="Non-viable","Non-viable",IF(BB1250="Viable","Viable",IF(BB1250="Partially non-viable",IF(OR(BD1250="Total splenectomy",BD1250="Partial splenectomy +/- splenopexy"),"Non-viable","Review"),IF(BB1250="NR",IF(OR(BD1250="Total splenectomy",BD1250="Partial splenectomy +/- splenopexy"),"NR - removed, check reason","NR"),"Not applicable")))))</f>
        <v/>
      </c>
    </row>
    <row r="1251">
      <c r="D1251" s="8" t="n"/>
      <c r="E1251" s="9">
        <f>IF(B1251="","",IF(B1251="OWN","Yes","No"))</f>
        <v/>
      </c>
      <c r="AF1251" s="9">
        <f>IF(ISNUMBER(Z1251),IF(Z1251&lt;=2,"&lt;=2 d",IF(Z1251&lt;=7,"3-7 d",IF(Z1251&lt;=30,"8-30 d","&gt;30 d"))),IF(AE1251&lt;&gt;"",AE1251,IF(Z1251="NR","NR","")))</f>
        <v/>
      </c>
      <c r="AX1251" s="9">
        <f>IF(ISNUMBER(AW1251),IF(AW1251&gt;450,"Yes","No"),IF(AW1251="NR","NR",""))</f>
        <v/>
      </c>
      <c r="BJ1251" s="9">
        <f>IF(BB1251="","",IF(BB1251="Non-viable","Non-viable",IF(BB1251="Viable","Viable",IF(BB1251="Partially non-viable",IF(OR(BD1251="Total splenectomy",BD1251="Partial splenectomy +/- splenopexy"),"Non-viable","Review"),IF(BB1251="NR",IF(OR(BD1251="Total splenectomy",BD1251="Partial splenectomy +/- splenopexy"),"NR - removed, check reason","NR"),"Not applicable")))))</f>
        <v/>
      </c>
    </row>
    <row r="1252">
      <c r="D1252" s="8" t="n"/>
      <c r="E1252" s="9">
        <f>IF(B1252="","",IF(B1252="OWN","Yes","No"))</f>
        <v/>
      </c>
      <c r="AF1252" s="9">
        <f>IF(ISNUMBER(Z1252),IF(Z1252&lt;=2,"&lt;=2 d",IF(Z1252&lt;=7,"3-7 d",IF(Z1252&lt;=30,"8-30 d","&gt;30 d"))),IF(AE1252&lt;&gt;"",AE1252,IF(Z1252="NR","NR","")))</f>
        <v/>
      </c>
      <c r="AX1252" s="9">
        <f>IF(ISNUMBER(AW1252),IF(AW1252&gt;450,"Yes","No"),IF(AW1252="NR","NR",""))</f>
        <v/>
      </c>
      <c r="BJ1252" s="9">
        <f>IF(BB1252="","",IF(BB1252="Non-viable","Non-viable",IF(BB1252="Viable","Viable",IF(BB1252="Partially non-viable",IF(OR(BD1252="Total splenectomy",BD1252="Partial splenectomy +/- splenopexy"),"Non-viable","Review"),IF(BB1252="NR",IF(OR(BD1252="Total splenectomy",BD1252="Partial splenectomy +/- splenopexy"),"NR - removed, check reason","NR"),"Not applicable")))))</f>
        <v/>
      </c>
    </row>
    <row r="1253">
      <c r="D1253" s="8" t="n"/>
      <c r="E1253" s="9">
        <f>IF(B1253="","",IF(B1253="OWN","Yes","No"))</f>
        <v/>
      </c>
      <c r="AF1253" s="9">
        <f>IF(ISNUMBER(Z1253),IF(Z1253&lt;=2,"&lt;=2 d",IF(Z1253&lt;=7,"3-7 d",IF(Z1253&lt;=30,"8-30 d","&gt;30 d"))),IF(AE1253&lt;&gt;"",AE1253,IF(Z1253="NR","NR","")))</f>
        <v/>
      </c>
      <c r="AX1253" s="9">
        <f>IF(ISNUMBER(AW1253),IF(AW1253&gt;450,"Yes","No"),IF(AW1253="NR","NR",""))</f>
        <v/>
      </c>
      <c r="BJ1253" s="9">
        <f>IF(BB1253="","",IF(BB1253="Non-viable","Non-viable",IF(BB1253="Viable","Viable",IF(BB1253="Partially non-viable",IF(OR(BD1253="Total splenectomy",BD1253="Partial splenectomy +/- splenopexy"),"Non-viable","Review"),IF(BB1253="NR",IF(OR(BD1253="Total splenectomy",BD1253="Partial splenectomy +/- splenopexy"),"NR - removed, check reason","NR"),"Not applicable")))))</f>
        <v/>
      </c>
    </row>
    <row r="1254">
      <c r="D1254" s="8" t="n"/>
      <c r="E1254" s="9">
        <f>IF(B1254="","",IF(B1254="OWN","Yes","No"))</f>
        <v/>
      </c>
      <c r="AF1254" s="9">
        <f>IF(ISNUMBER(Z1254),IF(Z1254&lt;=2,"&lt;=2 d",IF(Z1254&lt;=7,"3-7 d",IF(Z1254&lt;=30,"8-30 d","&gt;30 d"))),IF(AE1254&lt;&gt;"",AE1254,IF(Z1254="NR","NR","")))</f>
        <v/>
      </c>
      <c r="AX1254" s="9">
        <f>IF(ISNUMBER(AW1254),IF(AW1254&gt;450,"Yes","No"),IF(AW1254="NR","NR",""))</f>
        <v/>
      </c>
      <c r="BJ1254" s="9">
        <f>IF(BB1254="","",IF(BB1254="Non-viable","Non-viable",IF(BB1254="Viable","Viable",IF(BB1254="Partially non-viable",IF(OR(BD1254="Total splenectomy",BD1254="Partial splenectomy +/- splenopexy"),"Non-viable","Review"),IF(BB1254="NR",IF(OR(BD1254="Total splenectomy",BD1254="Partial splenectomy +/- splenopexy"),"NR - removed, check reason","NR"),"Not applicable")))))</f>
        <v/>
      </c>
    </row>
    <row r="1255">
      <c r="D1255" s="8" t="n"/>
      <c r="E1255" s="9">
        <f>IF(B1255="","",IF(B1255="OWN","Yes","No"))</f>
        <v/>
      </c>
      <c r="AF1255" s="9">
        <f>IF(ISNUMBER(Z1255),IF(Z1255&lt;=2,"&lt;=2 d",IF(Z1255&lt;=7,"3-7 d",IF(Z1255&lt;=30,"8-30 d","&gt;30 d"))),IF(AE1255&lt;&gt;"",AE1255,IF(Z1255="NR","NR","")))</f>
        <v/>
      </c>
      <c r="AX1255" s="9">
        <f>IF(ISNUMBER(AW1255),IF(AW1255&gt;450,"Yes","No"),IF(AW1255="NR","NR",""))</f>
        <v/>
      </c>
      <c r="BJ1255" s="9">
        <f>IF(BB1255="","",IF(BB1255="Non-viable","Non-viable",IF(BB1255="Viable","Viable",IF(BB1255="Partially non-viable",IF(OR(BD1255="Total splenectomy",BD1255="Partial splenectomy +/- splenopexy"),"Non-viable","Review"),IF(BB1255="NR",IF(OR(BD1255="Total splenectomy",BD1255="Partial splenectomy +/- splenopexy"),"NR - removed, check reason","NR"),"Not applicable")))))</f>
        <v/>
      </c>
    </row>
    <row r="1256">
      <c r="D1256" s="8" t="n"/>
      <c r="E1256" s="9">
        <f>IF(B1256="","",IF(B1256="OWN","Yes","No"))</f>
        <v/>
      </c>
      <c r="AF1256" s="9">
        <f>IF(ISNUMBER(Z1256),IF(Z1256&lt;=2,"&lt;=2 d",IF(Z1256&lt;=7,"3-7 d",IF(Z1256&lt;=30,"8-30 d","&gt;30 d"))),IF(AE1256&lt;&gt;"",AE1256,IF(Z1256="NR","NR","")))</f>
        <v/>
      </c>
      <c r="AX1256" s="9">
        <f>IF(ISNUMBER(AW1256),IF(AW1256&gt;450,"Yes","No"),IF(AW1256="NR","NR",""))</f>
        <v/>
      </c>
      <c r="BJ1256" s="9">
        <f>IF(BB1256="","",IF(BB1256="Non-viable","Non-viable",IF(BB1256="Viable","Viable",IF(BB1256="Partially non-viable",IF(OR(BD1256="Total splenectomy",BD1256="Partial splenectomy +/- splenopexy"),"Non-viable","Review"),IF(BB1256="NR",IF(OR(BD1256="Total splenectomy",BD1256="Partial splenectomy +/- splenopexy"),"NR - removed, check reason","NR"),"Not applicable")))))</f>
        <v/>
      </c>
    </row>
    <row r="1257">
      <c r="D1257" s="8" t="n"/>
      <c r="E1257" s="9">
        <f>IF(B1257="","",IF(B1257="OWN","Yes","No"))</f>
        <v/>
      </c>
      <c r="AF1257" s="9">
        <f>IF(ISNUMBER(Z1257),IF(Z1257&lt;=2,"&lt;=2 d",IF(Z1257&lt;=7,"3-7 d",IF(Z1257&lt;=30,"8-30 d","&gt;30 d"))),IF(AE1257&lt;&gt;"",AE1257,IF(Z1257="NR","NR","")))</f>
        <v/>
      </c>
      <c r="AX1257" s="9">
        <f>IF(ISNUMBER(AW1257),IF(AW1257&gt;450,"Yes","No"),IF(AW1257="NR","NR",""))</f>
        <v/>
      </c>
      <c r="BJ1257" s="9">
        <f>IF(BB1257="","",IF(BB1257="Non-viable","Non-viable",IF(BB1257="Viable","Viable",IF(BB1257="Partially non-viable",IF(OR(BD1257="Total splenectomy",BD1257="Partial splenectomy +/- splenopexy"),"Non-viable","Review"),IF(BB1257="NR",IF(OR(BD1257="Total splenectomy",BD1257="Partial splenectomy +/- splenopexy"),"NR - removed, check reason","NR"),"Not applicable")))))</f>
        <v/>
      </c>
    </row>
    <row r="1258">
      <c r="D1258" s="8" t="n"/>
      <c r="E1258" s="9">
        <f>IF(B1258="","",IF(B1258="OWN","Yes","No"))</f>
        <v/>
      </c>
      <c r="AF1258" s="9">
        <f>IF(ISNUMBER(Z1258),IF(Z1258&lt;=2,"&lt;=2 d",IF(Z1258&lt;=7,"3-7 d",IF(Z1258&lt;=30,"8-30 d","&gt;30 d"))),IF(AE1258&lt;&gt;"",AE1258,IF(Z1258="NR","NR","")))</f>
        <v/>
      </c>
      <c r="AX1258" s="9">
        <f>IF(ISNUMBER(AW1258),IF(AW1258&gt;450,"Yes","No"),IF(AW1258="NR","NR",""))</f>
        <v/>
      </c>
      <c r="BJ1258" s="9">
        <f>IF(BB1258="","",IF(BB1258="Non-viable","Non-viable",IF(BB1258="Viable","Viable",IF(BB1258="Partially non-viable",IF(OR(BD1258="Total splenectomy",BD1258="Partial splenectomy +/- splenopexy"),"Non-viable","Review"),IF(BB1258="NR",IF(OR(BD1258="Total splenectomy",BD1258="Partial splenectomy +/- splenopexy"),"NR - removed, check reason","NR"),"Not applicable")))))</f>
        <v/>
      </c>
    </row>
    <row r="1259">
      <c r="D1259" s="8" t="n"/>
      <c r="E1259" s="9">
        <f>IF(B1259="","",IF(B1259="OWN","Yes","No"))</f>
        <v/>
      </c>
      <c r="AF1259" s="9">
        <f>IF(ISNUMBER(Z1259),IF(Z1259&lt;=2,"&lt;=2 d",IF(Z1259&lt;=7,"3-7 d",IF(Z1259&lt;=30,"8-30 d","&gt;30 d"))),IF(AE1259&lt;&gt;"",AE1259,IF(Z1259="NR","NR","")))</f>
        <v/>
      </c>
      <c r="AX1259" s="9">
        <f>IF(ISNUMBER(AW1259),IF(AW1259&gt;450,"Yes","No"),IF(AW1259="NR","NR",""))</f>
        <v/>
      </c>
      <c r="BJ1259" s="9">
        <f>IF(BB1259="","",IF(BB1259="Non-viable","Non-viable",IF(BB1259="Viable","Viable",IF(BB1259="Partially non-viable",IF(OR(BD1259="Total splenectomy",BD1259="Partial splenectomy +/- splenopexy"),"Non-viable","Review"),IF(BB1259="NR",IF(OR(BD1259="Total splenectomy",BD1259="Partial splenectomy +/- splenopexy"),"NR - removed, check reason","NR"),"Not applicable")))))</f>
        <v/>
      </c>
    </row>
    <row r="1260">
      <c r="D1260" s="8" t="n"/>
      <c r="E1260" s="9">
        <f>IF(B1260="","",IF(B1260="OWN","Yes","No"))</f>
        <v/>
      </c>
      <c r="AF1260" s="9">
        <f>IF(ISNUMBER(Z1260),IF(Z1260&lt;=2,"&lt;=2 d",IF(Z1260&lt;=7,"3-7 d",IF(Z1260&lt;=30,"8-30 d","&gt;30 d"))),IF(AE1260&lt;&gt;"",AE1260,IF(Z1260="NR","NR","")))</f>
        <v/>
      </c>
      <c r="AX1260" s="9">
        <f>IF(ISNUMBER(AW1260),IF(AW1260&gt;450,"Yes","No"),IF(AW1260="NR","NR",""))</f>
        <v/>
      </c>
      <c r="BJ1260" s="9">
        <f>IF(BB1260="","",IF(BB1260="Non-viable","Non-viable",IF(BB1260="Viable","Viable",IF(BB1260="Partially non-viable",IF(OR(BD1260="Total splenectomy",BD1260="Partial splenectomy +/- splenopexy"),"Non-viable","Review"),IF(BB1260="NR",IF(OR(BD1260="Total splenectomy",BD1260="Partial splenectomy +/- splenopexy"),"NR - removed, check reason","NR"),"Not applicable")))))</f>
        <v/>
      </c>
    </row>
    <row r="1261">
      <c r="D1261" s="8" t="n"/>
      <c r="E1261" s="9">
        <f>IF(B1261="","",IF(B1261="OWN","Yes","No"))</f>
        <v/>
      </c>
      <c r="AF1261" s="9">
        <f>IF(ISNUMBER(Z1261),IF(Z1261&lt;=2,"&lt;=2 d",IF(Z1261&lt;=7,"3-7 d",IF(Z1261&lt;=30,"8-30 d","&gt;30 d"))),IF(AE1261&lt;&gt;"",AE1261,IF(Z1261="NR","NR","")))</f>
        <v/>
      </c>
      <c r="AX1261" s="9">
        <f>IF(ISNUMBER(AW1261),IF(AW1261&gt;450,"Yes","No"),IF(AW1261="NR","NR",""))</f>
        <v/>
      </c>
      <c r="BJ1261" s="9">
        <f>IF(BB1261="","",IF(BB1261="Non-viable","Non-viable",IF(BB1261="Viable","Viable",IF(BB1261="Partially non-viable",IF(OR(BD1261="Total splenectomy",BD1261="Partial splenectomy +/- splenopexy"),"Non-viable","Review"),IF(BB1261="NR",IF(OR(BD1261="Total splenectomy",BD1261="Partial splenectomy +/- splenopexy"),"NR - removed, check reason","NR"),"Not applicable")))))</f>
        <v/>
      </c>
    </row>
    <row r="1262">
      <c r="D1262" s="8" t="n"/>
      <c r="E1262" s="9">
        <f>IF(B1262="","",IF(B1262="OWN","Yes","No"))</f>
        <v/>
      </c>
      <c r="AF1262" s="9">
        <f>IF(ISNUMBER(Z1262),IF(Z1262&lt;=2,"&lt;=2 d",IF(Z1262&lt;=7,"3-7 d",IF(Z1262&lt;=30,"8-30 d","&gt;30 d"))),IF(AE1262&lt;&gt;"",AE1262,IF(Z1262="NR","NR","")))</f>
        <v/>
      </c>
      <c r="AX1262" s="9">
        <f>IF(ISNUMBER(AW1262),IF(AW1262&gt;450,"Yes","No"),IF(AW1262="NR","NR",""))</f>
        <v/>
      </c>
      <c r="BJ1262" s="9">
        <f>IF(BB1262="","",IF(BB1262="Non-viable","Non-viable",IF(BB1262="Viable","Viable",IF(BB1262="Partially non-viable",IF(OR(BD1262="Total splenectomy",BD1262="Partial splenectomy +/- splenopexy"),"Non-viable","Review"),IF(BB1262="NR",IF(OR(BD1262="Total splenectomy",BD1262="Partial splenectomy +/- splenopexy"),"NR - removed, check reason","NR"),"Not applicable")))))</f>
        <v/>
      </c>
    </row>
    <row r="1263">
      <c r="D1263" s="8" t="n"/>
      <c r="E1263" s="9">
        <f>IF(B1263="","",IF(B1263="OWN","Yes","No"))</f>
        <v/>
      </c>
      <c r="AF1263" s="9">
        <f>IF(ISNUMBER(Z1263),IF(Z1263&lt;=2,"&lt;=2 d",IF(Z1263&lt;=7,"3-7 d",IF(Z1263&lt;=30,"8-30 d","&gt;30 d"))),IF(AE1263&lt;&gt;"",AE1263,IF(Z1263="NR","NR","")))</f>
        <v/>
      </c>
      <c r="AX1263" s="9">
        <f>IF(ISNUMBER(AW1263),IF(AW1263&gt;450,"Yes","No"),IF(AW1263="NR","NR",""))</f>
        <v/>
      </c>
      <c r="BJ1263" s="9">
        <f>IF(BB1263="","",IF(BB1263="Non-viable","Non-viable",IF(BB1263="Viable","Viable",IF(BB1263="Partially non-viable",IF(OR(BD1263="Total splenectomy",BD1263="Partial splenectomy +/- splenopexy"),"Non-viable","Review"),IF(BB1263="NR",IF(OR(BD1263="Total splenectomy",BD1263="Partial splenectomy +/- splenopexy"),"NR - removed, check reason","NR"),"Not applicable")))))</f>
        <v/>
      </c>
    </row>
    <row r="1264">
      <c r="D1264" s="8" t="n"/>
      <c r="E1264" s="9">
        <f>IF(B1264="","",IF(B1264="OWN","Yes","No"))</f>
        <v/>
      </c>
      <c r="AF1264" s="9">
        <f>IF(ISNUMBER(Z1264),IF(Z1264&lt;=2,"&lt;=2 d",IF(Z1264&lt;=7,"3-7 d",IF(Z1264&lt;=30,"8-30 d","&gt;30 d"))),IF(AE1264&lt;&gt;"",AE1264,IF(Z1264="NR","NR","")))</f>
        <v/>
      </c>
      <c r="AX1264" s="9">
        <f>IF(ISNUMBER(AW1264),IF(AW1264&gt;450,"Yes","No"),IF(AW1264="NR","NR",""))</f>
        <v/>
      </c>
      <c r="BJ1264" s="9">
        <f>IF(BB1264="","",IF(BB1264="Non-viable","Non-viable",IF(BB1264="Viable","Viable",IF(BB1264="Partially non-viable",IF(OR(BD1264="Total splenectomy",BD1264="Partial splenectomy +/- splenopexy"),"Non-viable","Review"),IF(BB1264="NR",IF(OR(BD1264="Total splenectomy",BD1264="Partial splenectomy +/- splenopexy"),"NR - removed, check reason","NR"),"Not applicable")))))</f>
        <v/>
      </c>
    </row>
    <row r="1265">
      <c r="D1265" s="8" t="n"/>
      <c r="E1265" s="9">
        <f>IF(B1265="","",IF(B1265="OWN","Yes","No"))</f>
        <v/>
      </c>
      <c r="AF1265" s="9">
        <f>IF(ISNUMBER(Z1265),IF(Z1265&lt;=2,"&lt;=2 d",IF(Z1265&lt;=7,"3-7 d",IF(Z1265&lt;=30,"8-30 d","&gt;30 d"))),IF(AE1265&lt;&gt;"",AE1265,IF(Z1265="NR","NR","")))</f>
        <v/>
      </c>
      <c r="AX1265" s="9">
        <f>IF(ISNUMBER(AW1265),IF(AW1265&gt;450,"Yes","No"),IF(AW1265="NR","NR",""))</f>
        <v/>
      </c>
      <c r="BJ1265" s="9">
        <f>IF(BB1265="","",IF(BB1265="Non-viable","Non-viable",IF(BB1265="Viable","Viable",IF(BB1265="Partially non-viable",IF(OR(BD1265="Total splenectomy",BD1265="Partial splenectomy +/- splenopexy"),"Non-viable","Review"),IF(BB1265="NR",IF(OR(BD1265="Total splenectomy",BD1265="Partial splenectomy +/- splenopexy"),"NR - removed, check reason","NR"),"Not applicable")))))</f>
        <v/>
      </c>
    </row>
    <row r="1266">
      <c r="D1266" s="8" t="n"/>
      <c r="E1266" s="9">
        <f>IF(B1266="","",IF(B1266="OWN","Yes","No"))</f>
        <v/>
      </c>
      <c r="AF1266" s="9">
        <f>IF(ISNUMBER(Z1266),IF(Z1266&lt;=2,"&lt;=2 d",IF(Z1266&lt;=7,"3-7 d",IF(Z1266&lt;=30,"8-30 d","&gt;30 d"))),IF(AE1266&lt;&gt;"",AE1266,IF(Z1266="NR","NR","")))</f>
        <v/>
      </c>
      <c r="AX1266" s="9">
        <f>IF(ISNUMBER(AW1266),IF(AW1266&gt;450,"Yes","No"),IF(AW1266="NR","NR",""))</f>
        <v/>
      </c>
      <c r="BJ1266" s="9">
        <f>IF(BB1266="","",IF(BB1266="Non-viable","Non-viable",IF(BB1266="Viable","Viable",IF(BB1266="Partially non-viable",IF(OR(BD1266="Total splenectomy",BD1266="Partial splenectomy +/- splenopexy"),"Non-viable","Review"),IF(BB1266="NR",IF(OR(BD1266="Total splenectomy",BD1266="Partial splenectomy +/- splenopexy"),"NR - removed, check reason","NR"),"Not applicable")))))</f>
        <v/>
      </c>
    </row>
    <row r="1267">
      <c r="D1267" s="8" t="n"/>
      <c r="E1267" s="9">
        <f>IF(B1267="","",IF(B1267="OWN","Yes","No"))</f>
        <v/>
      </c>
      <c r="AF1267" s="9">
        <f>IF(ISNUMBER(Z1267),IF(Z1267&lt;=2,"&lt;=2 d",IF(Z1267&lt;=7,"3-7 d",IF(Z1267&lt;=30,"8-30 d","&gt;30 d"))),IF(AE1267&lt;&gt;"",AE1267,IF(Z1267="NR","NR","")))</f>
        <v/>
      </c>
      <c r="AX1267" s="9">
        <f>IF(ISNUMBER(AW1267),IF(AW1267&gt;450,"Yes","No"),IF(AW1267="NR","NR",""))</f>
        <v/>
      </c>
      <c r="BJ1267" s="9">
        <f>IF(BB1267="","",IF(BB1267="Non-viable","Non-viable",IF(BB1267="Viable","Viable",IF(BB1267="Partially non-viable",IF(OR(BD1267="Total splenectomy",BD1267="Partial splenectomy +/- splenopexy"),"Non-viable","Review"),IF(BB1267="NR",IF(OR(BD1267="Total splenectomy",BD1267="Partial splenectomy +/- splenopexy"),"NR - removed, check reason","NR"),"Not applicable")))))</f>
        <v/>
      </c>
    </row>
    <row r="1268">
      <c r="D1268" s="8" t="n"/>
      <c r="E1268" s="9">
        <f>IF(B1268="","",IF(B1268="OWN","Yes","No"))</f>
        <v/>
      </c>
      <c r="AF1268" s="9">
        <f>IF(ISNUMBER(Z1268),IF(Z1268&lt;=2,"&lt;=2 d",IF(Z1268&lt;=7,"3-7 d",IF(Z1268&lt;=30,"8-30 d","&gt;30 d"))),IF(AE1268&lt;&gt;"",AE1268,IF(Z1268="NR","NR","")))</f>
        <v/>
      </c>
      <c r="AX1268" s="9">
        <f>IF(ISNUMBER(AW1268),IF(AW1268&gt;450,"Yes","No"),IF(AW1268="NR","NR",""))</f>
        <v/>
      </c>
      <c r="BJ1268" s="9">
        <f>IF(BB1268="","",IF(BB1268="Non-viable","Non-viable",IF(BB1268="Viable","Viable",IF(BB1268="Partially non-viable",IF(OR(BD1268="Total splenectomy",BD1268="Partial splenectomy +/- splenopexy"),"Non-viable","Review"),IF(BB1268="NR",IF(OR(BD1268="Total splenectomy",BD1268="Partial splenectomy +/- splenopexy"),"NR - removed, check reason","NR"),"Not applicable")))))</f>
        <v/>
      </c>
    </row>
    <row r="1269">
      <c r="D1269" s="8" t="n"/>
      <c r="E1269" s="9">
        <f>IF(B1269="","",IF(B1269="OWN","Yes","No"))</f>
        <v/>
      </c>
      <c r="AF1269" s="9">
        <f>IF(ISNUMBER(Z1269),IF(Z1269&lt;=2,"&lt;=2 d",IF(Z1269&lt;=7,"3-7 d",IF(Z1269&lt;=30,"8-30 d","&gt;30 d"))),IF(AE1269&lt;&gt;"",AE1269,IF(Z1269="NR","NR","")))</f>
        <v/>
      </c>
      <c r="AX1269" s="9">
        <f>IF(ISNUMBER(AW1269),IF(AW1269&gt;450,"Yes","No"),IF(AW1269="NR","NR",""))</f>
        <v/>
      </c>
      <c r="BJ1269" s="9">
        <f>IF(BB1269="","",IF(BB1269="Non-viable","Non-viable",IF(BB1269="Viable","Viable",IF(BB1269="Partially non-viable",IF(OR(BD1269="Total splenectomy",BD1269="Partial splenectomy +/- splenopexy"),"Non-viable","Review"),IF(BB1269="NR",IF(OR(BD1269="Total splenectomy",BD1269="Partial splenectomy +/- splenopexy"),"NR - removed, check reason","NR"),"Not applicable")))))</f>
        <v/>
      </c>
    </row>
    <row r="1270">
      <c r="D1270" s="8" t="n"/>
      <c r="E1270" s="9">
        <f>IF(B1270="","",IF(B1270="OWN","Yes","No"))</f>
        <v/>
      </c>
      <c r="AF1270" s="9">
        <f>IF(ISNUMBER(Z1270),IF(Z1270&lt;=2,"&lt;=2 d",IF(Z1270&lt;=7,"3-7 d",IF(Z1270&lt;=30,"8-30 d","&gt;30 d"))),IF(AE1270&lt;&gt;"",AE1270,IF(Z1270="NR","NR","")))</f>
        <v/>
      </c>
      <c r="AX1270" s="9">
        <f>IF(ISNUMBER(AW1270),IF(AW1270&gt;450,"Yes","No"),IF(AW1270="NR","NR",""))</f>
        <v/>
      </c>
      <c r="BJ1270" s="9">
        <f>IF(BB1270="","",IF(BB1270="Non-viable","Non-viable",IF(BB1270="Viable","Viable",IF(BB1270="Partially non-viable",IF(OR(BD1270="Total splenectomy",BD1270="Partial splenectomy +/- splenopexy"),"Non-viable","Review"),IF(BB1270="NR",IF(OR(BD1270="Total splenectomy",BD1270="Partial splenectomy +/- splenopexy"),"NR - removed, check reason","NR"),"Not applicable")))))</f>
        <v/>
      </c>
    </row>
    <row r="1271">
      <c r="D1271" s="8" t="n"/>
      <c r="E1271" s="9">
        <f>IF(B1271="","",IF(B1271="OWN","Yes","No"))</f>
        <v/>
      </c>
      <c r="AF1271" s="9">
        <f>IF(ISNUMBER(Z1271),IF(Z1271&lt;=2,"&lt;=2 d",IF(Z1271&lt;=7,"3-7 d",IF(Z1271&lt;=30,"8-30 d","&gt;30 d"))),IF(AE1271&lt;&gt;"",AE1271,IF(Z1271="NR","NR","")))</f>
        <v/>
      </c>
      <c r="AX1271" s="9">
        <f>IF(ISNUMBER(AW1271),IF(AW1271&gt;450,"Yes","No"),IF(AW1271="NR","NR",""))</f>
        <v/>
      </c>
      <c r="BJ1271" s="9">
        <f>IF(BB1271="","",IF(BB1271="Non-viable","Non-viable",IF(BB1271="Viable","Viable",IF(BB1271="Partially non-viable",IF(OR(BD1271="Total splenectomy",BD1271="Partial splenectomy +/- splenopexy"),"Non-viable","Review"),IF(BB1271="NR",IF(OR(BD1271="Total splenectomy",BD1271="Partial splenectomy +/- splenopexy"),"NR - removed, check reason","NR"),"Not applicable")))))</f>
        <v/>
      </c>
    </row>
    <row r="1272">
      <c r="D1272" s="8" t="n"/>
      <c r="E1272" s="9">
        <f>IF(B1272="","",IF(B1272="OWN","Yes","No"))</f>
        <v/>
      </c>
      <c r="AF1272" s="9">
        <f>IF(ISNUMBER(Z1272),IF(Z1272&lt;=2,"&lt;=2 d",IF(Z1272&lt;=7,"3-7 d",IF(Z1272&lt;=30,"8-30 d","&gt;30 d"))),IF(AE1272&lt;&gt;"",AE1272,IF(Z1272="NR","NR","")))</f>
        <v/>
      </c>
      <c r="AX1272" s="9">
        <f>IF(ISNUMBER(AW1272),IF(AW1272&gt;450,"Yes","No"),IF(AW1272="NR","NR",""))</f>
        <v/>
      </c>
      <c r="BJ1272" s="9">
        <f>IF(BB1272="","",IF(BB1272="Non-viable","Non-viable",IF(BB1272="Viable","Viable",IF(BB1272="Partially non-viable",IF(OR(BD1272="Total splenectomy",BD1272="Partial splenectomy +/- splenopexy"),"Non-viable","Review"),IF(BB1272="NR",IF(OR(BD1272="Total splenectomy",BD1272="Partial splenectomy +/- splenopexy"),"NR - removed, check reason","NR"),"Not applicable")))))</f>
        <v/>
      </c>
    </row>
    <row r="1273">
      <c r="D1273" s="8" t="n"/>
      <c r="E1273" s="9">
        <f>IF(B1273="","",IF(B1273="OWN","Yes","No"))</f>
        <v/>
      </c>
      <c r="AF1273" s="9">
        <f>IF(ISNUMBER(Z1273),IF(Z1273&lt;=2,"&lt;=2 d",IF(Z1273&lt;=7,"3-7 d",IF(Z1273&lt;=30,"8-30 d","&gt;30 d"))),IF(AE1273&lt;&gt;"",AE1273,IF(Z1273="NR","NR","")))</f>
        <v/>
      </c>
      <c r="AX1273" s="9">
        <f>IF(ISNUMBER(AW1273),IF(AW1273&gt;450,"Yes","No"),IF(AW1273="NR","NR",""))</f>
        <v/>
      </c>
      <c r="BJ1273" s="9">
        <f>IF(BB1273="","",IF(BB1273="Non-viable","Non-viable",IF(BB1273="Viable","Viable",IF(BB1273="Partially non-viable",IF(OR(BD1273="Total splenectomy",BD1273="Partial splenectomy +/- splenopexy"),"Non-viable","Review"),IF(BB1273="NR",IF(OR(BD1273="Total splenectomy",BD1273="Partial splenectomy +/- splenopexy"),"NR - removed, check reason","NR"),"Not applicable")))))</f>
        <v/>
      </c>
    </row>
    <row r="1274">
      <c r="D1274" s="8" t="n"/>
      <c r="E1274" s="9">
        <f>IF(B1274="","",IF(B1274="OWN","Yes","No"))</f>
        <v/>
      </c>
      <c r="AF1274" s="9">
        <f>IF(ISNUMBER(Z1274),IF(Z1274&lt;=2,"&lt;=2 d",IF(Z1274&lt;=7,"3-7 d",IF(Z1274&lt;=30,"8-30 d","&gt;30 d"))),IF(AE1274&lt;&gt;"",AE1274,IF(Z1274="NR","NR","")))</f>
        <v/>
      </c>
      <c r="AX1274" s="9">
        <f>IF(ISNUMBER(AW1274),IF(AW1274&gt;450,"Yes","No"),IF(AW1274="NR","NR",""))</f>
        <v/>
      </c>
      <c r="BJ1274" s="9">
        <f>IF(BB1274="","",IF(BB1274="Non-viable","Non-viable",IF(BB1274="Viable","Viable",IF(BB1274="Partially non-viable",IF(OR(BD1274="Total splenectomy",BD1274="Partial splenectomy +/- splenopexy"),"Non-viable","Review"),IF(BB1274="NR",IF(OR(BD1274="Total splenectomy",BD1274="Partial splenectomy +/- splenopexy"),"NR - removed, check reason","NR"),"Not applicable")))))</f>
        <v/>
      </c>
    </row>
    <row r="1275">
      <c r="D1275" s="8" t="n"/>
      <c r="E1275" s="9">
        <f>IF(B1275="","",IF(B1275="OWN","Yes","No"))</f>
        <v/>
      </c>
      <c r="AF1275" s="9">
        <f>IF(ISNUMBER(Z1275),IF(Z1275&lt;=2,"&lt;=2 d",IF(Z1275&lt;=7,"3-7 d",IF(Z1275&lt;=30,"8-30 d","&gt;30 d"))),IF(AE1275&lt;&gt;"",AE1275,IF(Z1275="NR","NR","")))</f>
        <v/>
      </c>
      <c r="AX1275" s="9">
        <f>IF(ISNUMBER(AW1275),IF(AW1275&gt;450,"Yes","No"),IF(AW1275="NR","NR",""))</f>
        <v/>
      </c>
      <c r="BJ1275" s="9">
        <f>IF(BB1275="","",IF(BB1275="Non-viable","Non-viable",IF(BB1275="Viable","Viable",IF(BB1275="Partially non-viable",IF(OR(BD1275="Total splenectomy",BD1275="Partial splenectomy +/- splenopexy"),"Non-viable","Review"),IF(BB1275="NR",IF(OR(BD1275="Total splenectomy",BD1275="Partial splenectomy +/- splenopexy"),"NR - removed, check reason","NR"),"Not applicable")))))</f>
        <v/>
      </c>
    </row>
    <row r="1276">
      <c r="D1276" s="8" t="n"/>
      <c r="E1276" s="9">
        <f>IF(B1276="","",IF(B1276="OWN","Yes","No"))</f>
        <v/>
      </c>
      <c r="AF1276" s="9">
        <f>IF(ISNUMBER(Z1276),IF(Z1276&lt;=2,"&lt;=2 d",IF(Z1276&lt;=7,"3-7 d",IF(Z1276&lt;=30,"8-30 d","&gt;30 d"))),IF(AE1276&lt;&gt;"",AE1276,IF(Z1276="NR","NR","")))</f>
        <v/>
      </c>
      <c r="AX1276" s="9">
        <f>IF(ISNUMBER(AW1276),IF(AW1276&gt;450,"Yes","No"),IF(AW1276="NR","NR",""))</f>
        <v/>
      </c>
      <c r="BJ1276" s="9">
        <f>IF(BB1276="","",IF(BB1276="Non-viable","Non-viable",IF(BB1276="Viable","Viable",IF(BB1276="Partially non-viable",IF(OR(BD1276="Total splenectomy",BD1276="Partial splenectomy +/- splenopexy"),"Non-viable","Review"),IF(BB1276="NR",IF(OR(BD1276="Total splenectomy",BD1276="Partial splenectomy +/- splenopexy"),"NR - removed, check reason","NR"),"Not applicable")))))</f>
        <v/>
      </c>
    </row>
    <row r="1277">
      <c r="D1277" s="8" t="n"/>
      <c r="E1277" s="9">
        <f>IF(B1277="","",IF(B1277="OWN","Yes","No"))</f>
        <v/>
      </c>
      <c r="AF1277" s="9">
        <f>IF(ISNUMBER(Z1277),IF(Z1277&lt;=2,"&lt;=2 d",IF(Z1277&lt;=7,"3-7 d",IF(Z1277&lt;=30,"8-30 d","&gt;30 d"))),IF(AE1277&lt;&gt;"",AE1277,IF(Z1277="NR","NR","")))</f>
        <v/>
      </c>
      <c r="AX1277" s="9">
        <f>IF(ISNUMBER(AW1277),IF(AW1277&gt;450,"Yes","No"),IF(AW1277="NR","NR",""))</f>
        <v/>
      </c>
      <c r="BJ1277" s="9">
        <f>IF(BB1277="","",IF(BB1277="Non-viable","Non-viable",IF(BB1277="Viable","Viable",IF(BB1277="Partially non-viable",IF(OR(BD1277="Total splenectomy",BD1277="Partial splenectomy +/- splenopexy"),"Non-viable","Review"),IF(BB1277="NR",IF(OR(BD1277="Total splenectomy",BD1277="Partial splenectomy +/- splenopexy"),"NR - removed, check reason","NR"),"Not applicable")))))</f>
        <v/>
      </c>
    </row>
    <row r="1278">
      <c r="D1278" s="8" t="n"/>
      <c r="E1278" s="9">
        <f>IF(B1278="","",IF(B1278="OWN","Yes","No"))</f>
        <v/>
      </c>
      <c r="AF1278" s="9">
        <f>IF(ISNUMBER(Z1278),IF(Z1278&lt;=2,"&lt;=2 d",IF(Z1278&lt;=7,"3-7 d",IF(Z1278&lt;=30,"8-30 d","&gt;30 d"))),IF(AE1278&lt;&gt;"",AE1278,IF(Z1278="NR","NR","")))</f>
        <v/>
      </c>
      <c r="AX1278" s="9">
        <f>IF(ISNUMBER(AW1278),IF(AW1278&gt;450,"Yes","No"),IF(AW1278="NR","NR",""))</f>
        <v/>
      </c>
      <c r="BJ1278" s="9">
        <f>IF(BB1278="","",IF(BB1278="Non-viable","Non-viable",IF(BB1278="Viable","Viable",IF(BB1278="Partially non-viable",IF(OR(BD1278="Total splenectomy",BD1278="Partial splenectomy +/- splenopexy"),"Non-viable","Review"),IF(BB1278="NR",IF(OR(BD1278="Total splenectomy",BD1278="Partial splenectomy +/- splenopexy"),"NR - removed, check reason","NR"),"Not applicable")))))</f>
        <v/>
      </c>
    </row>
    <row r="1279">
      <c r="D1279" s="8" t="n"/>
      <c r="E1279" s="9">
        <f>IF(B1279="","",IF(B1279="OWN","Yes","No"))</f>
        <v/>
      </c>
      <c r="AF1279" s="9">
        <f>IF(ISNUMBER(Z1279),IF(Z1279&lt;=2,"&lt;=2 d",IF(Z1279&lt;=7,"3-7 d",IF(Z1279&lt;=30,"8-30 d","&gt;30 d"))),IF(AE1279&lt;&gt;"",AE1279,IF(Z1279="NR","NR","")))</f>
        <v/>
      </c>
      <c r="AX1279" s="9">
        <f>IF(ISNUMBER(AW1279),IF(AW1279&gt;450,"Yes","No"),IF(AW1279="NR","NR",""))</f>
        <v/>
      </c>
      <c r="BJ1279" s="9">
        <f>IF(BB1279="","",IF(BB1279="Non-viable","Non-viable",IF(BB1279="Viable","Viable",IF(BB1279="Partially non-viable",IF(OR(BD1279="Total splenectomy",BD1279="Partial splenectomy +/- splenopexy"),"Non-viable","Review"),IF(BB1279="NR",IF(OR(BD1279="Total splenectomy",BD1279="Partial splenectomy +/- splenopexy"),"NR - removed, check reason","NR"),"Not applicable")))))</f>
        <v/>
      </c>
    </row>
    <row r="1280">
      <c r="D1280" s="8" t="n"/>
      <c r="E1280" s="9">
        <f>IF(B1280="","",IF(B1280="OWN","Yes","No"))</f>
        <v/>
      </c>
      <c r="AF1280" s="9">
        <f>IF(ISNUMBER(Z1280),IF(Z1280&lt;=2,"&lt;=2 d",IF(Z1280&lt;=7,"3-7 d",IF(Z1280&lt;=30,"8-30 d","&gt;30 d"))),IF(AE1280&lt;&gt;"",AE1280,IF(Z1280="NR","NR","")))</f>
        <v/>
      </c>
      <c r="AX1280" s="9">
        <f>IF(ISNUMBER(AW1280),IF(AW1280&gt;450,"Yes","No"),IF(AW1280="NR","NR",""))</f>
        <v/>
      </c>
      <c r="BJ1280" s="9">
        <f>IF(BB1280="","",IF(BB1280="Non-viable","Non-viable",IF(BB1280="Viable","Viable",IF(BB1280="Partially non-viable",IF(OR(BD1280="Total splenectomy",BD1280="Partial splenectomy +/- splenopexy"),"Non-viable","Review"),IF(BB1280="NR",IF(OR(BD1280="Total splenectomy",BD1280="Partial splenectomy +/- splenopexy"),"NR - removed, check reason","NR"),"Not applicable")))))</f>
        <v/>
      </c>
    </row>
    <row r="1281">
      <c r="D1281" s="8" t="n"/>
      <c r="E1281" s="9">
        <f>IF(B1281="","",IF(B1281="OWN","Yes","No"))</f>
        <v/>
      </c>
      <c r="AF1281" s="9">
        <f>IF(ISNUMBER(Z1281),IF(Z1281&lt;=2,"&lt;=2 d",IF(Z1281&lt;=7,"3-7 d",IF(Z1281&lt;=30,"8-30 d","&gt;30 d"))),IF(AE1281&lt;&gt;"",AE1281,IF(Z1281="NR","NR","")))</f>
        <v/>
      </c>
      <c r="AX1281" s="9">
        <f>IF(ISNUMBER(AW1281),IF(AW1281&gt;450,"Yes","No"),IF(AW1281="NR","NR",""))</f>
        <v/>
      </c>
      <c r="BJ1281" s="9">
        <f>IF(BB1281="","",IF(BB1281="Non-viable","Non-viable",IF(BB1281="Viable","Viable",IF(BB1281="Partially non-viable",IF(OR(BD1281="Total splenectomy",BD1281="Partial splenectomy +/- splenopexy"),"Non-viable","Review"),IF(BB1281="NR",IF(OR(BD1281="Total splenectomy",BD1281="Partial splenectomy +/- splenopexy"),"NR - removed, check reason","NR"),"Not applicable")))))</f>
        <v/>
      </c>
    </row>
    <row r="1282">
      <c r="D1282" s="8" t="n"/>
      <c r="E1282" s="9">
        <f>IF(B1282="","",IF(B1282="OWN","Yes","No"))</f>
        <v/>
      </c>
      <c r="AF1282" s="9">
        <f>IF(ISNUMBER(Z1282),IF(Z1282&lt;=2,"&lt;=2 d",IF(Z1282&lt;=7,"3-7 d",IF(Z1282&lt;=30,"8-30 d","&gt;30 d"))),IF(AE1282&lt;&gt;"",AE1282,IF(Z1282="NR","NR","")))</f>
        <v/>
      </c>
      <c r="AX1282" s="9">
        <f>IF(ISNUMBER(AW1282),IF(AW1282&gt;450,"Yes","No"),IF(AW1282="NR","NR",""))</f>
        <v/>
      </c>
      <c r="BJ1282" s="9">
        <f>IF(BB1282="","",IF(BB1282="Non-viable","Non-viable",IF(BB1282="Viable","Viable",IF(BB1282="Partially non-viable",IF(OR(BD1282="Total splenectomy",BD1282="Partial splenectomy +/- splenopexy"),"Non-viable","Review"),IF(BB1282="NR",IF(OR(BD1282="Total splenectomy",BD1282="Partial splenectomy +/- splenopexy"),"NR - removed, check reason","NR"),"Not applicable")))))</f>
        <v/>
      </c>
    </row>
    <row r="1283">
      <c r="D1283" s="8" t="n"/>
      <c r="E1283" s="9">
        <f>IF(B1283="","",IF(B1283="OWN","Yes","No"))</f>
        <v/>
      </c>
      <c r="AF1283" s="9">
        <f>IF(ISNUMBER(Z1283),IF(Z1283&lt;=2,"&lt;=2 d",IF(Z1283&lt;=7,"3-7 d",IF(Z1283&lt;=30,"8-30 d","&gt;30 d"))),IF(AE1283&lt;&gt;"",AE1283,IF(Z1283="NR","NR","")))</f>
        <v/>
      </c>
      <c r="AX1283" s="9">
        <f>IF(ISNUMBER(AW1283),IF(AW1283&gt;450,"Yes","No"),IF(AW1283="NR","NR",""))</f>
        <v/>
      </c>
      <c r="BJ1283" s="9">
        <f>IF(BB1283="","",IF(BB1283="Non-viable","Non-viable",IF(BB1283="Viable","Viable",IF(BB1283="Partially non-viable",IF(OR(BD1283="Total splenectomy",BD1283="Partial splenectomy +/- splenopexy"),"Non-viable","Review"),IF(BB1283="NR",IF(OR(BD1283="Total splenectomy",BD1283="Partial splenectomy +/- splenopexy"),"NR - removed, check reason","NR"),"Not applicable")))))</f>
        <v/>
      </c>
    </row>
    <row r="1284">
      <c r="D1284" s="8" t="n"/>
      <c r="E1284" s="9">
        <f>IF(B1284="","",IF(B1284="OWN","Yes","No"))</f>
        <v/>
      </c>
      <c r="AF1284" s="9">
        <f>IF(ISNUMBER(Z1284),IF(Z1284&lt;=2,"&lt;=2 d",IF(Z1284&lt;=7,"3-7 d",IF(Z1284&lt;=30,"8-30 d","&gt;30 d"))),IF(AE1284&lt;&gt;"",AE1284,IF(Z1284="NR","NR","")))</f>
        <v/>
      </c>
      <c r="AX1284" s="9">
        <f>IF(ISNUMBER(AW1284),IF(AW1284&gt;450,"Yes","No"),IF(AW1284="NR","NR",""))</f>
        <v/>
      </c>
      <c r="BJ1284" s="9">
        <f>IF(BB1284="","",IF(BB1284="Non-viable","Non-viable",IF(BB1284="Viable","Viable",IF(BB1284="Partially non-viable",IF(OR(BD1284="Total splenectomy",BD1284="Partial splenectomy +/- splenopexy"),"Non-viable","Review"),IF(BB1284="NR",IF(OR(BD1284="Total splenectomy",BD1284="Partial splenectomy +/- splenopexy"),"NR - removed, check reason","NR"),"Not applicable")))))</f>
        <v/>
      </c>
    </row>
    <row r="1285">
      <c r="D1285" s="8" t="n"/>
      <c r="E1285" s="9">
        <f>IF(B1285="","",IF(B1285="OWN","Yes","No"))</f>
        <v/>
      </c>
      <c r="AF1285" s="9">
        <f>IF(ISNUMBER(Z1285),IF(Z1285&lt;=2,"&lt;=2 d",IF(Z1285&lt;=7,"3-7 d",IF(Z1285&lt;=30,"8-30 d","&gt;30 d"))),IF(AE1285&lt;&gt;"",AE1285,IF(Z1285="NR","NR","")))</f>
        <v/>
      </c>
      <c r="AX1285" s="9">
        <f>IF(ISNUMBER(AW1285),IF(AW1285&gt;450,"Yes","No"),IF(AW1285="NR","NR",""))</f>
        <v/>
      </c>
      <c r="BJ1285" s="9">
        <f>IF(BB1285="","",IF(BB1285="Non-viable","Non-viable",IF(BB1285="Viable","Viable",IF(BB1285="Partially non-viable",IF(OR(BD1285="Total splenectomy",BD1285="Partial splenectomy +/- splenopexy"),"Non-viable","Review"),IF(BB1285="NR",IF(OR(BD1285="Total splenectomy",BD1285="Partial splenectomy +/- splenopexy"),"NR - removed, check reason","NR"),"Not applicable")))))</f>
        <v/>
      </c>
    </row>
    <row r="1286">
      <c r="D1286" s="8" t="n"/>
      <c r="E1286" s="9">
        <f>IF(B1286="","",IF(B1286="OWN","Yes","No"))</f>
        <v/>
      </c>
      <c r="AF1286" s="9">
        <f>IF(ISNUMBER(Z1286),IF(Z1286&lt;=2,"&lt;=2 d",IF(Z1286&lt;=7,"3-7 d",IF(Z1286&lt;=30,"8-30 d","&gt;30 d"))),IF(AE1286&lt;&gt;"",AE1286,IF(Z1286="NR","NR","")))</f>
        <v/>
      </c>
      <c r="AX1286" s="9">
        <f>IF(ISNUMBER(AW1286),IF(AW1286&gt;450,"Yes","No"),IF(AW1286="NR","NR",""))</f>
        <v/>
      </c>
      <c r="BJ1286" s="9">
        <f>IF(BB1286="","",IF(BB1286="Non-viable","Non-viable",IF(BB1286="Viable","Viable",IF(BB1286="Partially non-viable",IF(OR(BD1286="Total splenectomy",BD1286="Partial splenectomy +/- splenopexy"),"Non-viable","Review"),IF(BB1286="NR",IF(OR(BD1286="Total splenectomy",BD1286="Partial splenectomy +/- splenopexy"),"NR - removed, check reason","NR"),"Not applicable")))))</f>
        <v/>
      </c>
    </row>
    <row r="1287">
      <c r="D1287" s="8" t="n"/>
      <c r="E1287" s="9">
        <f>IF(B1287="","",IF(B1287="OWN","Yes","No"))</f>
        <v/>
      </c>
      <c r="AF1287" s="9">
        <f>IF(ISNUMBER(Z1287),IF(Z1287&lt;=2,"&lt;=2 d",IF(Z1287&lt;=7,"3-7 d",IF(Z1287&lt;=30,"8-30 d","&gt;30 d"))),IF(AE1287&lt;&gt;"",AE1287,IF(Z1287="NR","NR","")))</f>
        <v/>
      </c>
      <c r="AX1287" s="9">
        <f>IF(ISNUMBER(AW1287),IF(AW1287&gt;450,"Yes","No"),IF(AW1287="NR","NR",""))</f>
        <v/>
      </c>
      <c r="BJ1287" s="9">
        <f>IF(BB1287="","",IF(BB1287="Non-viable","Non-viable",IF(BB1287="Viable","Viable",IF(BB1287="Partially non-viable",IF(OR(BD1287="Total splenectomy",BD1287="Partial splenectomy +/- splenopexy"),"Non-viable","Review"),IF(BB1287="NR",IF(OR(BD1287="Total splenectomy",BD1287="Partial splenectomy +/- splenopexy"),"NR - removed, check reason","NR"),"Not applicable")))))</f>
        <v/>
      </c>
    </row>
    <row r="1288">
      <c r="D1288" s="8" t="n"/>
      <c r="E1288" s="9">
        <f>IF(B1288="","",IF(B1288="OWN","Yes","No"))</f>
        <v/>
      </c>
      <c r="AF1288" s="9">
        <f>IF(ISNUMBER(Z1288),IF(Z1288&lt;=2,"&lt;=2 d",IF(Z1288&lt;=7,"3-7 d",IF(Z1288&lt;=30,"8-30 d","&gt;30 d"))),IF(AE1288&lt;&gt;"",AE1288,IF(Z1288="NR","NR","")))</f>
        <v/>
      </c>
      <c r="AX1288" s="9">
        <f>IF(ISNUMBER(AW1288),IF(AW1288&gt;450,"Yes","No"),IF(AW1288="NR","NR",""))</f>
        <v/>
      </c>
      <c r="BJ1288" s="9">
        <f>IF(BB1288="","",IF(BB1288="Non-viable","Non-viable",IF(BB1288="Viable","Viable",IF(BB1288="Partially non-viable",IF(OR(BD1288="Total splenectomy",BD1288="Partial splenectomy +/- splenopexy"),"Non-viable","Review"),IF(BB1288="NR",IF(OR(BD1288="Total splenectomy",BD1288="Partial splenectomy +/- splenopexy"),"NR - removed, check reason","NR"),"Not applicable")))))</f>
        <v/>
      </c>
    </row>
    <row r="1289">
      <c r="D1289" s="8" t="n"/>
      <c r="E1289" s="9">
        <f>IF(B1289="","",IF(B1289="OWN","Yes","No"))</f>
        <v/>
      </c>
      <c r="AF1289" s="9">
        <f>IF(ISNUMBER(Z1289),IF(Z1289&lt;=2,"&lt;=2 d",IF(Z1289&lt;=7,"3-7 d",IF(Z1289&lt;=30,"8-30 d","&gt;30 d"))),IF(AE1289&lt;&gt;"",AE1289,IF(Z1289="NR","NR","")))</f>
        <v/>
      </c>
      <c r="AX1289" s="9">
        <f>IF(ISNUMBER(AW1289),IF(AW1289&gt;450,"Yes","No"),IF(AW1289="NR","NR",""))</f>
        <v/>
      </c>
      <c r="BJ1289" s="9">
        <f>IF(BB1289="","",IF(BB1289="Non-viable","Non-viable",IF(BB1289="Viable","Viable",IF(BB1289="Partially non-viable",IF(OR(BD1289="Total splenectomy",BD1289="Partial splenectomy +/- splenopexy"),"Non-viable","Review"),IF(BB1289="NR",IF(OR(BD1289="Total splenectomy",BD1289="Partial splenectomy +/- splenopexy"),"NR - removed, check reason","NR"),"Not applicable")))))</f>
        <v/>
      </c>
    </row>
    <row r="1290">
      <c r="D1290" s="8" t="n"/>
      <c r="E1290" s="9">
        <f>IF(B1290="","",IF(B1290="OWN","Yes","No"))</f>
        <v/>
      </c>
      <c r="AF1290" s="9">
        <f>IF(ISNUMBER(Z1290),IF(Z1290&lt;=2,"&lt;=2 d",IF(Z1290&lt;=7,"3-7 d",IF(Z1290&lt;=30,"8-30 d","&gt;30 d"))),IF(AE1290&lt;&gt;"",AE1290,IF(Z1290="NR","NR","")))</f>
        <v/>
      </c>
      <c r="AX1290" s="9">
        <f>IF(ISNUMBER(AW1290),IF(AW1290&gt;450,"Yes","No"),IF(AW1290="NR","NR",""))</f>
        <v/>
      </c>
      <c r="BJ1290" s="9">
        <f>IF(BB1290="","",IF(BB1290="Non-viable","Non-viable",IF(BB1290="Viable","Viable",IF(BB1290="Partially non-viable",IF(OR(BD1290="Total splenectomy",BD1290="Partial splenectomy +/- splenopexy"),"Non-viable","Review"),IF(BB1290="NR",IF(OR(BD1290="Total splenectomy",BD1290="Partial splenectomy +/- splenopexy"),"NR - removed, check reason","NR"),"Not applicable")))))</f>
        <v/>
      </c>
    </row>
    <row r="1291">
      <c r="D1291" s="8" t="n"/>
      <c r="E1291" s="9">
        <f>IF(B1291="","",IF(B1291="OWN","Yes","No"))</f>
        <v/>
      </c>
      <c r="AF1291" s="9">
        <f>IF(ISNUMBER(Z1291),IF(Z1291&lt;=2,"&lt;=2 d",IF(Z1291&lt;=7,"3-7 d",IF(Z1291&lt;=30,"8-30 d","&gt;30 d"))),IF(AE1291&lt;&gt;"",AE1291,IF(Z1291="NR","NR","")))</f>
        <v/>
      </c>
      <c r="AX1291" s="9">
        <f>IF(ISNUMBER(AW1291),IF(AW1291&gt;450,"Yes","No"),IF(AW1291="NR","NR",""))</f>
        <v/>
      </c>
      <c r="BJ1291" s="9">
        <f>IF(BB1291="","",IF(BB1291="Non-viable","Non-viable",IF(BB1291="Viable","Viable",IF(BB1291="Partially non-viable",IF(OR(BD1291="Total splenectomy",BD1291="Partial splenectomy +/- splenopexy"),"Non-viable","Review"),IF(BB1291="NR",IF(OR(BD1291="Total splenectomy",BD1291="Partial splenectomy +/- splenopexy"),"NR - removed, check reason","NR"),"Not applicable")))))</f>
        <v/>
      </c>
    </row>
    <row r="1292">
      <c r="D1292" s="8" t="n"/>
      <c r="E1292" s="9">
        <f>IF(B1292="","",IF(B1292="OWN","Yes","No"))</f>
        <v/>
      </c>
      <c r="AF1292" s="9">
        <f>IF(ISNUMBER(Z1292),IF(Z1292&lt;=2,"&lt;=2 d",IF(Z1292&lt;=7,"3-7 d",IF(Z1292&lt;=30,"8-30 d","&gt;30 d"))),IF(AE1292&lt;&gt;"",AE1292,IF(Z1292="NR","NR","")))</f>
        <v/>
      </c>
      <c r="AX1292" s="9">
        <f>IF(ISNUMBER(AW1292),IF(AW1292&gt;450,"Yes","No"),IF(AW1292="NR","NR",""))</f>
        <v/>
      </c>
      <c r="BJ1292" s="9">
        <f>IF(BB1292="","",IF(BB1292="Non-viable","Non-viable",IF(BB1292="Viable","Viable",IF(BB1292="Partially non-viable",IF(OR(BD1292="Total splenectomy",BD1292="Partial splenectomy +/- splenopexy"),"Non-viable","Review"),IF(BB1292="NR",IF(OR(BD1292="Total splenectomy",BD1292="Partial splenectomy +/- splenopexy"),"NR - removed, check reason","NR"),"Not applicable")))))</f>
        <v/>
      </c>
    </row>
    <row r="1293">
      <c r="D1293" s="8" t="n"/>
      <c r="E1293" s="9">
        <f>IF(B1293="","",IF(B1293="OWN","Yes","No"))</f>
        <v/>
      </c>
      <c r="AF1293" s="9">
        <f>IF(ISNUMBER(Z1293),IF(Z1293&lt;=2,"&lt;=2 d",IF(Z1293&lt;=7,"3-7 d",IF(Z1293&lt;=30,"8-30 d","&gt;30 d"))),IF(AE1293&lt;&gt;"",AE1293,IF(Z1293="NR","NR","")))</f>
        <v/>
      </c>
      <c r="AX1293" s="9">
        <f>IF(ISNUMBER(AW1293),IF(AW1293&gt;450,"Yes","No"),IF(AW1293="NR","NR",""))</f>
        <v/>
      </c>
      <c r="BJ1293" s="9">
        <f>IF(BB1293="","",IF(BB1293="Non-viable","Non-viable",IF(BB1293="Viable","Viable",IF(BB1293="Partially non-viable",IF(OR(BD1293="Total splenectomy",BD1293="Partial splenectomy +/- splenopexy"),"Non-viable","Review"),IF(BB1293="NR",IF(OR(BD1293="Total splenectomy",BD1293="Partial splenectomy +/- splenopexy"),"NR - removed, check reason","NR"),"Not applicable")))))</f>
        <v/>
      </c>
    </row>
    <row r="1294">
      <c r="D1294" s="8" t="n"/>
      <c r="E1294" s="9">
        <f>IF(B1294="","",IF(B1294="OWN","Yes","No"))</f>
        <v/>
      </c>
      <c r="AF1294" s="9">
        <f>IF(ISNUMBER(Z1294),IF(Z1294&lt;=2,"&lt;=2 d",IF(Z1294&lt;=7,"3-7 d",IF(Z1294&lt;=30,"8-30 d","&gt;30 d"))),IF(AE1294&lt;&gt;"",AE1294,IF(Z1294="NR","NR","")))</f>
        <v/>
      </c>
      <c r="AX1294" s="9">
        <f>IF(ISNUMBER(AW1294),IF(AW1294&gt;450,"Yes","No"),IF(AW1294="NR","NR",""))</f>
        <v/>
      </c>
      <c r="BJ1294" s="9">
        <f>IF(BB1294="","",IF(BB1294="Non-viable","Non-viable",IF(BB1294="Viable","Viable",IF(BB1294="Partially non-viable",IF(OR(BD1294="Total splenectomy",BD1294="Partial splenectomy +/- splenopexy"),"Non-viable","Review"),IF(BB1294="NR",IF(OR(BD1294="Total splenectomy",BD1294="Partial splenectomy +/- splenopexy"),"NR - removed, check reason","NR"),"Not applicable")))))</f>
        <v/>
      </c>
    </row>
    <row r="1295">
      <c r="D1295" s="8" t="n"/>
      <c r="E1295" s="9">
        <f>IF(B1295="","",IF(B1295="OWN","Yes","No"))</f>
        <v/>
      </c>
      <c r="AF1295" s="9">
        <f>IF(ISNUMBER(Z1295),IF(Z1295&lt;=2,"&lt;=2 d",IF(Z1295&lt;=7,"3-7 d",IF(Z1295&lt;=30,"8-30 d","&gt;30 d"))),IF(AE1295&lt;&gt;"",AE1295,IF(Z1295="NR","NR","")))</f>
        <v/>
      </c>
      <c r="AX1295" s="9">
        <f>IF(ISNUMBER(AW1295),IF(AW1295&gt;450,"Yes","No"),IF(AW1295="NR","NR",""))</f>
        <v/>
      </c>
      <c r="BJ1295" s="9">
        <f>IF(BB1295="","",IF(BB1295="Non-viable","Non-viable",IF(BB1295="Viable","Viable",IF(BB1295="Partially non-viable",IF(OR(BD1295="Total splenectomy",BD1295="Partial splenectomy +/- splenopexy"),"Non-viable","Review"),IF(BB1295="NR",IF(OR(BD1295="Total splenectomy",BD1295="Partial splenectomy +/- splenopexy"),"NR - removed, check reason","NR"),"Not applicable")))))</f>
        <v/>
      </c>
    </row>
    <row r="1296">
      <c r="D1296" s="8" t="n"/>
      <c r="E1296" s="9">
        <f>IF(B1296="","",IF(B1296="OWN","Yes","No"))</f>
        <v/>
      </c>
      <c r="AF1296" s="9">
        <f>IF(ISNUMBER(Z1296),IF(Z1296&lt;=2,"&lt;=2 d",IF(Z1296&lt;=7,"3-7 d",IF(Z1296&lt;=30,"8-30 d","&gt;30 d"))),IF(AE1296&lt;&gt;"",AE1296,IF(Z1296="NR","NR","")))</f>
        <v/>
      </c>
      <c r="AX1296" s="9">
        <f>IF(ISNUMBER(AW1296),IF(AW1296&gt;450,"Yes","No"),IF(AW1296="NR","NR",""))</f>
        <v/>
      </c>
      <c r="BJ1296" s="9">
        <f>IF(BB1296="","",IF(BB1296="Non-viable","Non-viable",IF(BB1296="Viable","Viable",IF(BB1296="Partially non-viable",IF(OR(BD1296="Total splenectomy",BD1296="Partial splenectomy +/- splenopexy"),"Non-viable","Review"),IF(BB1296="NR",IF(OR(BD1296="Total splenectomy",BD1296="Partial splenectomy +/- splenopexy"),"NR - removed, check reason","NR"),"Not applicable")))))</f>
        <v/>
      </c>
    </row>
    <row r="1297">
      <c r="D1297" s="8" t="n"/>
      <c r="E1297" s="9">
        <f>IF(B1297="","",IF(B1297="OWN","Yes","No"))</f>
        <v/>
      </c>
      <c r="AF1297" s="9">
        <f>IF(ISNUMBER(Z1297),IF(Z1297&lt;=2,"&lt;=2 d",IF(Z1297&lt;=7,"3-7 d",IF(Z1297&lt;=30,"8-30 d","&gt;30 d"))),IF(AE1297&lt;&gt;"",AE1297,IF(Z1297="NR","NR","")))</f>
        <v/>
      </c>
      <c r="AX1297" s="9">
        <f>IF(ISNUMBER(AW1297),IF(AW1297&gt;450,"Yes","No"),IF(AW1297="NR","NR",""))</f>
        <v/>
      </c>
      <c r="BJ1297" s="9">
        <f>IF(BB1297="","",IF(BB1297="Non-viable","Non-viable",IF(BB1297="Viable","Viable",IF(BB1297="Partially non-viable",IF(OR(BD1297="Total splenectomy",BD1297="Partial splenectomy +/- splenopexy"),"Non-viable","Review"),IF(BB1297="NR",IF(OR(BD1297="Total splenectomy",BD1297="Partial splenectomy +/- splenopexy"),"NR - removed, check reason","NR"),"Not applicable")))))</f>
        <v/>
      </c>
    </row>
    <row r="1298">
      <c r="D1298" s="8" t="n"/>
      <c r="E1298" s="9">
        <f>IF(B1298="","",IF(B1298="OWN","Yes","No"))</f>
        <v/>
      </c>
      <c r="AF1298" s="9">
        <f>IF(ISNUMBER(Z1298),IF(Z1298&lt;=2,"&lt;=2 d",IF(Z1298&lt;=7,"3-7 d",IF(Z1298&lt;=30,"8-30 d","&gt;30 d"))),IF(AE1298&lt;&gt;"",AE1298,IF(Z1298="NR","NR","")))</f>
        <v/>
      </c>
      <c r="AX1298" s="9">
        <f>IF(ISNUMBER(AW1298),IF(AW1298&gt;450,"Yes","No"),IF(AW1298="NR","NR",""))</f>
        <v/>
      </c>
      <c r="BJ1298" s="9">
        <f>IF(BB1298="","",IF(BB1298="Non-viable","Non-viable",IF(BB1298="Viable","Viable",IF(BB1298="Partially non-viable",IF(OR(BD1298="Total splenectomy",BD1298="Partial splenectomy +/- splenopexy"),"Non-viable","Review"),IF(BB1298="NR",IF(OR(BD1298="Total splenectomy",BD1298="Partial splenectomy +/- splenopexy"),"NR - removed, check reason","NR"),"Not applicable")))))</f>
        <v/>
      </c>
    </row>
    <row r="1299">
      <c r="D1299" s="8" t="n"/>
      <c r="E1299" s="9">
        <f>IF(B1299="","",IF(B1299="OWN","Yes","No"))</f>
        <v/>
      </c>
      <c r="AF1299" s="9">
        <f>IF(ISNUMBER(Z1299),IF(Z1299&lt;=2,"&lt;=2 d",IF(Z1299&lt;=7,"3-7 d",IF(Z1299&lt;=30,"8-30 d","&gt;30 d"))),IF(AE1299&lt;&gt;"",AE1299,IF(Z1299="NR","NR","")))</f>
        <v/>
      </c>
      <c r="AX1299" s="9">
        <f>IF(ISNUMBER(AW1299),IF(AW1299&gt;450,"Yes","No"),IF(AW1299="NR","NR",""))</f>
        <v/>
      </c>
      <c r="BJ1299" s="9">
        <f>IF(BB1299="","",IF(BB1299="Non-viable","Non-viable",IF(BB1299="Viable","Viable",IF(BB1299="Partially non-viable",IF(OR(BD1299="Total splenectomy",BD1299="Partial splenectomy +/- splenopexy"),"Non-viable","Review"),IF(BB1299="NR",IF(OR(BD1299="Total splenectomy",BD1299="Partial splenectomy +/- splenopexy"),"NR - removed, check reason","NR"),"Not applicable")))))</f>
        <v/>
      </c>
    </row>
    <row r="1300">
      <c r="D1300" s="8" t="n"/>
      <c r="E1300" s="9">
        <f>IF(B1300="","",IF(B1300="OWN","Yes","No"))</f>
        <v/>
      </c>
      <c r="AF1300" s="9">
        <f>IF(ISNUMBER(Z1300),IF(Z1300&lt;=2,"&lt;=2 d",IF(Z1300&lt;=7,"3-7 d",IF(Z1300&lt;=30,"8-30 d","&gt;30 d"))),IF(AE1300&lt;&gt;"",AE1300,IF(Z1300="NR","NR","")))</f>
        <v/>
      </c>
      <c r="AX1300" s="9">
        <f>IF(ISNUMBER(AW1300),IF(AW1300&gt;450,"Yes","No"),IF(AW1300="NR","NR",""))</f>
        <v/>
      </c>
      <c r="BJ1300" s="9">
        <f>IF(BB1300="","",IF(BB1300="Non-viable","Non-viable",IF(BB1300="Viable","Viable",IF(BB1300="Partially non-viable",IF(OR(BD1300="Total splenectomy",BD1300="Partial splenectomy +/- splenopexy"),"Non-viable","Review"),IF(BB1300="NR",IF(OR(BD1300="Total splenectomy",BD1300="Partial splenectomy +/- splenopexy"),"NR - removed, check reason","NR"),"Not applicable")))))</f>
        <v/>
      </c>
    </row>
    <row r="1301">
      <c r="D1301" s="8" t="n"/>
      <c r="E1301" s="9">
        <f>IF(B1301="","",IF(B1301="OWN","Yes","No"))</f>
        <v/>
      </c>
      <c r="AF1301" s="9">
        <f>IF(ISNUMBER(Z1301),IF(Z1301&lt;=2,"&lt;=2 d",IF(Z1301&lt;=7,"3-7 d",IF(Z1301&lt;=30,"8-30 d","&gt;30 d"))),IF(AE1301&lt;&gt;"",AE1301,IF(Z1301="NR","NR","")))</f>
        <v/>
      </c>
      <c r="AX1301" s="9">
        <f>IF(ISNUMBER(AW1301),IF(AW1301&gt;450,"Yes","No"),IF(AW1301="NR","NR",""))</f>
        <v/>
      </c>
      <c r="BJ1301" s="9">
        <f>IF(BB1301="","",IF(BB1301="Non-viable","Non-viable",IF(BB1301="Viable","Viable",IF(BB1301="Partially non-viable",IF(OR(BD1301="Total splenectomy",BD1301="Partial splenectomy +/- splenopexy"),"Non-viable","Review"),IF(BB1301="NR",IF(OR(BD1301="Total splenectomy",BD1301="Partial splenectomy +/- splenopexy"),"NR - removed, check reason","NR"),"Not applicable")))))</f>
        <v/>
      </c>
    </row>
    <row r="1302">
      <c r="D1302" s="8" t="n"/>
      <c r="E1302" s="9">
        <f>IF(B1302="","",IF(B1302="OWN","Yes","No"))</f>
        <v/>
      </c>
      <c r="AF1302" s="9">
        <f>IF(ISNUMBER(Z1302),IF(Z1302&lt;=2,"&lt;=2 d",IF(Z1302&lt;=7,"3-7 d",IF(Z1302&lt;=30,"8-30 d","&gt;30 d"))),IF(AE1302&lt;&gt;"",AE1302,IF(Z1302="NR","NR","")))</f>
        <v/>
      </c>
      <c r="AX1302" s="9">
        <f>IF(ISNUMBER(AW1302),IF(AW1302&gt;450,"Yes","No"),IF(AW1302="NR","NR",""))</f>
        <v/>
      </c>
      <c r="BJ1302" s="9">
        <f>IF(BB1302="","",IF(BB1302="Non-viable","Non-viable",IF(BB1302="Viable","Viable",IF(BB1302="Partially non-viable",IF(OR(BD1302="Total splenectomy",BD1302="Partial splenectomy +/- splenopexy"),"Non-viable","Review"),IF(BB1302="NR",IF(OR(BD1302="Total splenectomy",BD1302="Partial splenectomy +/- splenopexy"),"NR - removed, check reason","NR"),"Not applicable")))))</f>
        <v/>
      </c>
    </row>
    <row r="1303">
      <c r="D1303" s="8" t="n"/>
      <c r="E1303" s="9">
        <f>IF(B1303="","",IF(B1303="OWN","Yes","No"))</f>
        <v/>
      </c>
      <c r="AF1303" s="9">
        <f>IF(ISNUMBER(Z1303),IF(Z1303&lt;=2,"&lt;=2 d",IF(Z1303&lt;=7,"3-7 d",IF(Z1303&lt;=30,"8-30 d","&gt;30 d"))),IF(AE1303&lt;&gt;"",AE1303,IF(Z1303="NR","NR","")))</f>
        <v/>
      </c>
      <c r="AX1303" s="9">
        <f>IF(ISNUMBER(AW1303),IF(AW1303&gt;450,"Yes","No"),IF(AW1303="NR","NR",""))</f>
        <v/>
      </c>
      <c r="BJ1303" s="9">
        <f>IF(BB1303="","",IF(BB1303="Non-viable","Non-viable",IF(BB1303="Viable","Viable",IF(BB1303="Partially non-viable",IF(OR(BD1303="Total splenectomy",BD1303="Partial splenectomy +/- splenopexy"),"Non-viable","Review"),IF(BB1303="NR",IF(OR(BD1303="Total splenectomy",BD1303="Partial splenectomy +/- splenopexy"),"NR - removed, check reason","NR"),"Not applicable")))))</f>
        <v/>
      </c>
    </row>
    <row r="1304">
      <c r="D1304" s="8" t="n"/>
      <c r="E1304" s="9">
        <f>IF(B1304="","",IF(B1304="OWN","Yes","No"))</f>
        <v/>
      </c>
      <c r="AF1304" s="9">
        <f>IF(ISNUMBER(Z1304),IF(Z1304&lt;=2,"&lt;=2 d",IF(Z1304&lt;=7,"3-7 d",IF(Z1304&lt;=30,"8-30 d","&gt;30 d"))),IF(AE1304&lt;&gt;"",AE1304,IF(Z1304="NR","NR","")))</f>
        <v/>
      </c>
      <c r="AX1304" s="9">
        <f>IF(ISNUMBER(AW1304),IF(AW1304&gt;450,"Yes","No"),IF(AW1304="NR","NR",""))</f>
        <v/>
      </c>
      <c r="BJ1304" s="9">
        <f>IF(BB1304="","",IF(BB1304="Non-viable","Non-viable",IF(BB1304="Viable","Viable",IF(BB1304="Partially non-viable",IF(OR(BD1304="Total splenectomy",BD1304="Partial splenectomy +/- splenopexy"),"Non-viable","Review"),IF(BB1304="NR",IF(OR(BD1304="Total splenectomy",BD1304="Partial splenectomy +/- splenopexy"),"NR - removed, check reason","NR"),"Not applicable")))))</f>
        <v/>
      </c>
    </row>
    <row r="1305">
      <c r="D1305" s="8" t="n"/>
      <c r="E1305" s="9">
        <f>IF(B1305="","",IF(B1305="OWN","Yes","No"))</f>
        <v/>
      </c>
      <c r="AF1305" s="9">
        <f>IF(ISNUMBER(Z1305),IF(Z1305&lt;=2,"&lt;=2 d",IF(Z1305&lt;=7,"3-7 d",IF(Z1305&lt;=30,"8-30 d","&gt;30 d"))),IF(AE1305&lt;&gt;"",AE1305,IF(Z1305="NR","NR","")))</f>
        <v/>
      </c>
      <c r="AX1305" s="9">
        <f>IF(ISNUMBER(AW1305),IF(AW1305&gt;450,"Yes","No"),IF(AW1305="NR","NR",""))</f>
        <v/>
      </c>
      <c r="BJ1305" s="9">
        <f>IF(BB1305="","",IF(BB1305="Non-viable","Non-viable",IF(BB1305="Viable","Viable",IF(BB1305="Partially non-viable",IF(OR(BD1305="Total splenectomy",BD1305="Partial splenectomy +/- splenopexy"),"Non-viable","Review"),IF(BB1305="NR",IF(OR(BD1305="Total splenectomy",BD1305="Partial splenectomy +/- splenopexy"),"NR - removed, check reason","NR"),"Not applicable")))))</f>
        <v/>
      </c>
    </row>
    <row r="1306">
      <c r="D1306" s="8" t="n"/>
      <c r="E1306" s="9">
        <f>IF(B1306="","",IF(B1306="OWN","Yes","No"))</f>
        <v/>
      </c>
      <c r="AF1306" s="9">
        <f>IF(ISNUMBER(Z1306),IF(Z1306&lt;=2,"&lt;=2 d",IF(Z1306&lt;=7,"3-7 d",IF(Z1306&lt;=30,"8-30 d","&gt;30 d"))),IF(AE1306&lt;&gt;"",AE1306,IF(Z1306="NR","NR","")))</f>
        <v/>
      </c>
      <c r="AX1306" s="9">
        <f>IF(ISNUMBER(AW1306),IF(AW1306&gt;450,"Yes","No"),IF(AW1306="NR","NR",""))</f>
        <v/>
      </c>
      <c r="BJ1306" s="9">
        <f>IF(BB1306="","",IF(BB1306="Non-viable","Non-viable",IF(BB1306="Viable","Viable",IF(BB1306="Partially non-viable",IF(OR(BD1306="Total splenectomy",BD1306="Partial splenectomy +/- splenopexy"),"Non-viable","Review"),IF(BB1306="NR",IF(OR(BD1306="Total splenectomy",BD1306="Partial splenectomy +/- splenopexy"),"NR - removed, check reason","NR"),"Not applicable")))))</f>
        <v/>
      </c>
    </row>
    <row r="1307">
      <c r="D1307" s="8" t="n"/>
      <c r="E1307" s="9">
        <f>IF(B1307="","",IF(B1307="OWN","Yes","No"))</f>
        <v/>
      </c>
      <c r="AF1307" s="9">
        <f>IF(ISNUMBER(Z1307),IF(Z1307&lt;=2,"&lt;=2 d",IF(Z1307&lt;=7,"3-7 d",IF(Z1307&lt;=30,"8-30 d","&gt;30 d"))),IF(AE1307&lt;&gt;"",AE1307,IF(Z1307="NR","NR","")))</f>
        <v/>
      </c>
      <c r="AX1307" s="9">
        <f>IF(ISNUMBER(AW1307),IF(AW1307&gt;450,"Yes","No"),IF(AW1307="NR","NR",""))</f>
        <v/>
      </c>
      <c r="BJ1307" s="9">
        <f>IF(BB1307="","",IF(BB1307="Non-viable","Non-viable",IF(BB1307="Viable","Viable",IF(BB1307="Partially non-viable",IF(OR(BD1307="Total splenectomy",BD1307="Partial splenectomy +/- splenopexy"),"Non-viable","Review"),IF(BB1307="NR",IF(OR(BD1307="Total splenectomy",BD1307="Partial splenectomy +/- splenopexy"),"NR - removed, check reason","NR"),"Not applicable")))))</f>
        <v/>
      </c>
    </row>
    <row r="1308">
      <c r="D1308" s="8" t="n"/>
      <c r="E1308" s="9">
        <f>IF(B1308="","",IF(B1308="OWN","Yes","No"))</f>
        <v/>
      </c>
      <c r="AF1308" s="9">
        <f>IF(ISNUMBER(Z1308),IF(Z1308&lt;=2,"&lt;=2 d",IF(Z1308&lt;=7,"3-7 d",IF(Z1308&lt;=30,"8-30 d","&gt;30 d"))),IF(AE1308&lt;&gt;"",AE1308,IF(Z1308="NR","NR","")))</f>
        <v/>
      </c>
      <c r="AX1308" s="9">
        <f>IF(ISNUMBER(AW1308),IF(AW1308&gt;450,"Yes","No"),IF(AW1308="NR","NR",""))</f>
        <v/>
      </c>
      <c r="BJ1308" s="9">
        <f>IF(BB1308="","",IF(BB1308="Non-viable","Non-viable",IF(BB1308="Viable","Viable",IF(BB1308="Partially non-viable",IF(OR(BD1308="Total splenectomy",BD1308="Partial splenectomy +/- splenopexy"),"Non-viable","Review"),IF(BB1308="NR",IF(OR(BD1308="Total splenectomy",BD1308="Partial splenectomy +/- splenopexy"),"NR - removed, check reason","NR"),"Not applicable")))))</f>
        <v/>
      </c>
    </row>
    <row r="1309">
      <c r="D1309" s="8" t="n"/>
      <c r="E1309" s="9">
        <f>IF(B1309="","",IF(B1309="OWN","Yes","No"))</f>
        <v/>
      </c>
      <c r="AF1309" s="9">
        <f>IF(ISNUMBER(Z1309),IF(Z1309&lt;=2,"&lt;=2 d",IF(Z1309&lt;=7,"3-7 d",IF(Z1309&lt;=30,"8-30 d","&gt;30 d"))),IF(AE1309&lt;&gt;"",AE1309,IF(Z1309="NR","NR","")))</f>
        <v/>
      </c>
      <c r="AX1309" s="9">
        <f>IF(ISNUMBER(AW1309),IF(AW1309&gt;450,"Yes","No"),IF(AW1309="NR","NR",""))</f>
        <v/>
      </c>
      <c r="BJ1309" s="9">
        <f>IF(BB1309="","",IF(BB1309="Non-viable","Non-viable",IF(BB1309="Viable","Viable",IF(BB1309="Partially non-viable",IF(OR(BD1309="Total splenectomy",BD1309="Partial splenectomy +/- splenopexy"),"Non-viable","Review"),IF(BB1309="NR",IF(OR(BD1309="Total splenectomy",BD1309="Partial splenectomy +/- splenopexy"),"NR - removed, check reason","NR"),"Not applicable")))))</f>
        <v/>
      </c>
    </row>
    <row r="1310">
      <c r="D1310" s="8" t="n"/>
      <c r="E1310" s="9">
        <f>IF(B1310="","",IF(B1310="OWN","Yes","No"))</f>
        <v/>
      </c>
      <c r="AF1310" s="9">
        <f>IF(ISNUMBER(Z1310),IF(Z1310&lt;=2,"&lt;=2 d",IF(Z1310&lt;=7,"3-7 d",IF(Z1310&lt;=30,"8-30 d","&gt;30 d"))),IF(AE1310&lt;&gt;"",AE1310,IF(Z1310="NR","NR","")))</f>
        <v/>
      </c>
      <c r="AX1310" s="9">
        <f>IF(ISNUMBER(AW1310),IF(AW1310&gt;450,"Yes","No"),IF(AW1310="NR","NR",""))</f>
        <v/>
      </c>
      <c r="BJ1310" s="9">
        <f>IF(BB1310="","",IF(BB1310="Non-viable","Non-viable",IF(BB1310="Viable","Viable",IF(BB1310="Partially non-viable",IF(OR(BD1310="Total splenectomy",BD1310="Partial splenectomy +/- splenopexy"),"Non-viable","Review"),IF(BB1310="NR",IF(OR(BD1310="Total splenectomy",BD1310="Partial splenectomy +/- splenopexy"),"NR - removed, check reason","NR"),"Not applicable")))))</f>
        <v/>
      </c>
    </row>
    <row r="1311">
      <c r="D1311" s="8" t="n"/>
      <c r="E1311" s="9">
        <f>IF(B1311="","",IF(B1311="OWN","Yes","No"))</f>
        <v/>
      </c>
      <c r="AF1311" s="9">
        <f>IF(ISNUMBER(Z1311),IF(Z1311&lt;=2,"&lt;=2 d",IF(Z1311&lt;=7,"3-7 d",IF(Z1311&lt;=30,"8-30 d","&gt;30 d"))),IF(AE1311&lt;&gt;"",AE1311,IF(Z1311="NR","NR","")))</f>
        <v/>
      </c>
      <c r="AX1311" s="9">
        <f>IF(ISNUMBER(AW1311),IF(AW1311&gt;450,"Yes","No"),IF(AW1311="NR","NR",""))</f>
        <v/>
      </c>
      <c r="BJ1311" s="9">
        <f>IF(BB1311="","",IF(BB1311="Non-viable","Non-viable",IF(BB1311="Viable","Viable",IF(BB1311="Partially non-viable",IF(OR(BD1311="Total splenectomy",BD1311="Partial splenectomy +/- splenopexy"),"Non-viable","Review"),IF(BB1311="NR",IF(OR(BD1311="Total splenectomy",BD1311="Partial splenectomy +/- splenopexy"),"NR - removed, check reason","NR"),"Not applicable")))))</f>
        <v/>
      </c>
    </row>
    <row r="1312">
      <c r="D1312" s="8" t="n"/>
      <c r="E1312" s="9">
        <f>IF(B1312="","",IF(B1312="OWN","Yes","No"))</f>
        <v/>
      </c>
      <c r="AF1312" s="9">
        <f>IF(ISNUMBER(Z1312),IF(Z1312&lt;=2,"&lt;=2 d",IF(Z1312&lt;=7,"3-7 d",IF(Z1312&lt;=30,"8-30 d","&gt;30 d"))),IF(AE1312&lt;&gt;"",AE1312,IF(Z1312="NR","NR","")))</f>
        <v/>
      </c>
      <c r="AX1312" s="9">
        <f>IF(ISNUMBER(AW1312),IF(AW1312&gt;450,"Yes","No"),IF(AW1312="NR","NR",""))</f>
        <v/>
      </c>
      <c r="BJ1312" s="9">
        <f>IF(BB1312="","",IF(BB1312="Non-viable","Non-viable",IF(BB1312="Viable","Viable",IF(BB1312="Partially non-viable",IF(OR(BD1312="Total splenectomy",BD1312="Partial splenectomy +/- splenopexy"),"Non-viable","Review"),IF(BB1312="NR",IF(OR(BD1312="Total splenectomy",BD1312="Partial splenectomy +/- splenopexy"),"NR - removed, check reason","NR"),"Not applicable")))))</f>
        <v/>
      </c>
    </row>
    <row r="1313">
      <c r="D1313" s="8" t="n"/>
      <c r="E1313" s="9">
        <f>IF(B1313="","",IF(B1313="OWN","Yes","No"))</f>
        <v/>
      </c>
      <c r="AF1313" s="9">
        <f>IF(ISNUMBER(Z1313),IF(Z1313&lt;=2,"&lt;=2 d",IF(Z1313&lt;=7,"3-7 d",IF(Z1313&lt;=30,"8-30 d","&gt;30 d"))),IF(AE1313&lt;&gt;"",AE1313,IF(Z1313="NR","NR","")))</f>
        <v/>
      </c>
      <c r="AX1313" s="9">
        <f>IF(ISNUMBER(AW1313),IF(AW1313&gt;450,"Yes","No"),IF(AW1313="NR","NR",""))</f>
        <v/>
      </c>
      <c r="BJ1313" s="9">
        <f>IF(BB1313="","",IF(BB1313="Non-viable","Non-viable",IF(BB1313="Viable","Viable",IF(BB1313="Partially non-viable",IF(OR(BD1313="Total splenectomy",BD1313="Partial splenectomy +/- splenopexy"),"Non-viable","Review"),IF(BB1313="NR",IF(OR(BD1313="Total splenectomy",BD1313="Partial splenectomy +/- splenopexy"),"NR - removed, check reason","NR"),"Not applicable")))))</f>
        <v/>
      </c>
    </row>
    <row r="1314">
      <c r="D1314" s="8" t="n"/>
      <c r="E1314" s="9">
        <f>IF(B1314="","",IF(B1314="OWN","Yes","No"))</f>
        <v/>
      </c>
      <c r="AF1314" s="9">
        <f>IF(ISNUMBER(Z1314),IF(Z1314&lt;=2,"&lt;=2 d",IF(Z1314&lt;=7,"3-7 d",IF(Z1314&lt;=30,"8-30 d","&gt;30 d"))),IF(AE1314&lt;&gt;"",AE1314,IF(Z1314="NR","NR","")))</f>
        <v/>
      </c>
      <c r="AX1314" s="9">
        <f>IF(ISNUMBER(AW1314),IF(AW1314&gt;450,"Yes","No"),IF(AW1314="NR","NR",""))</f>
        <v/>
      </c>
      <c r="BJ1314" s="9">
        <f>IF(BB1314="","",IF(BB1314="Non-viable","Non-viable",IF(BB1314="Viable","Viable",IF(BB1314="Partially non-viable",IF(OR(BD1314="Total splenectomy",BD1314="Partial splenectomy +/- splenopexy"),"Non-viable","Review"),IF(BB1314="NR",IF(OR(BD1314="Total splenectomy",BD1314="Partial splenectomy +/- splenopexy"),"NR - removed, check reason","NR"),"Not applicable")))))</f>
        <v/>
      </c>
    </row>
    <row r="1315">
      <c r="D1315" s="8" t="n"/>
      <c r="E1315" s="9">
        <f>IF(B1315="","",IF(B1315="OWN","Yes","No"))</f>
        <v/>
      </c>
      <c r="AF1315" s="9">
        <f>IF(ISNUMBER(Z1315),IF(Z1315&lt;=2,"&lt;=2 d",IF(Z1315&lt;=7,"3-7 d",IF(Z1315&lt;=30,"8-30 d","&gt;30 d"))),IF(AE1315&lt;&gt;"",AE1315,IF(Z1315="NR","NR","")))</f>
        <v/>
      </c>
      <c r="AX1315" s="9">
        <f>IF(ISNUMBER(AW1315),IF(AW1315&gt;450,"Yes","No"),IF(AW1315="NR","NR",""))</f>
        <v/>
      </c>
      <c r="BJ1315" s="9">
        <f>IF(BB1315="","",IF(BB1315="Non-viable","Non-viable",IF(BB1315="Viable","Viable",IF(BB1315="Partially non-viable",IF(OR(BD1315="Total splenectomy",BD1315="Partial splenectomy +/- splenopexy"),"Non-viable","Review"),IF(BB1315="NR",IF(OR(BD1315="Total splenectomy",BD1315="Partial splenectomy +/- splenopexy"),"NR - removed, check reason","NR"),"Not applicable")))))</f>
        <v/>
      </c>
    </row>
    <row r="1316">
      <c r="D1316" s="8" t="n"/>
      <c r="E1316" s="9">
        <f>IF(B1316="","",IF(B1316="OWN","Yes","No"))</f>
        <v/>
      </c>
      <c r="AF1316" s="9">
        <f>IF(ISNUMBER(Z1316),IF(Z1316&lt;=2,"&lt;=2 d",IF(Z1316&lt;=7,"3-7 d",IF(Z1316&lt;=30,"8-30 d","&gt;30 d"))),IF(AE1316&lt;&gt;"",AE1316,IF(Z1316="NR","NR","")))</f>
        <v/>
      </c>
      <c r="AX1316" s="9">
        <f>IF(ISNUMBER(AW1316),IF(AW1316&gt;450,"Yes","No"),IF(AW1316="NR","NR",""))</f>
        <v/>
      </c>
      <c r="BJ1316" s="9">
        <f>IF(BB1316="","",IF(BB1316="Non-viable","Non-viable",IF(BB1316="Viable","Viable",IF(BB1316="Partially non-viable",IF(OR(BD1316="Total splenectomy",BD1316="Partial splenectomy +/- splenopexy"),"Non-viable","Review"),IF(BB1316="NR",IF(OR(BD1316="Total splenectomy",BD1316="Partial splenectomy +/- splenopexy"),"NR - removed, check reason","NR"),"Not applicable")))))</f>
        <v/>
      </c>
    </row>
    <row r="1317">
      <c r="D1317" s="8" t="n"/>
      <c r="E1317" s="9">
        <f>IF(B1317="","",IF(B1317="OWN","Yes","No"))</f>
        <v/>
      </c>
      <c r="AF1317" s="9">
        <f>IF(ISNUMBER(Z1317),IF(Z1317&lt;=2,"&lt;=2 d",IF(Z1317&lt;=7,"3-7 d",IF(Z1317&lt;=30,"8-30 d","&gt;30 d"))),IF(AE1317&lt;&gt;"",AE1317,IF(Z1317="NR","NR","")))</f>
        <v/>
      </c>
      <c r="AX1317" s="9">
        <f>IF(ISNUMBER(AW1317),IF(AW1317&gt;450,"Yes","No"),IF(AW1317="NR","NR",""))</f>
        <v/>
      </c>
      <c r="BJ1317" s="9">
        <f>IF(BB1317="","",IF(BB1317="Non-viable","Non-viable",IF(BB1317="Viable","Viable",IF(BB1317="Partially non-viable",IF(OR(BD1317="Total splenectomy",BD1317="Partial splenectomy +/- splenopexy"),"Non-viable","Review"),IF(BB1317="NR",IF(OR(BD1317="Total splenectomy",BD1317="Partial splenectomy +/- splenopexy"),"NR - removed, check reason","NR"),"Not applicable")))))</f>
        <v/>
      </c>
    </row>
    <row r="1318">
      <c r="D1318" s="8" t="n"/>
      <c r="E1318" s="9">
        <f>IF(B1318="","",IF(B1318="OWN","Yes","No"))</f>
        <v/>
      </c>
      <c r="AF1318" s="9">
        <f>IF(ISNUMBER(Z1318),IF(Z1318&lt;=2,"&lt;=2 d",IF(Z1318&lt;=7,"3-7 d",IF(Z1318&lt;=30,"8-30 d","&gt;30 d"))),IF(AE1318&lt;&gt;"",AE1318,IF(Z1318="NR","NR","")))</f>
        <v/>
      </c>
      <c r="AX1318" s="9">
        <f>IF(ISNUMBER(AW1318),IF(AW1318&gt;450,"Yes","No"),IF(AW1318="NR","NR",""))</f>
        <v/>
      </c>
      <c r="BJ1318" s="9">
        <f>IF(BB1318="","",IF(BB1318="Non-viable","Non-viable",IF(BB1318="Viable","Viable",IF(BB1318="Partially non-viable",IF(OR(BD1318="Total splenectomy",BD1318="Partial splenectomy +/- splenopexy"),"Non-viable","Review"),IF(BB1318="NR",IF(OR(BD1318="Total splenectomy",BD1318="Partial splenectomy +/- splenopexy"),"NR - removed, check reason","NR"),"Not applicable")))))</f>
        <v/>
      </c>
    </row>
    <row r="1319">
      <c r="D1319" s="8" t="n"/>
      <c r="E1319" s="9">
        <f>IF(B1319="","",IF(B1319="OWN","Yes","No"))</f>
        <v/>
      </c>
      <c r="AF1319" s="9">
        <f>IF(ISNUMBER(Z1319),IF(Z1319&lt;=2,"&lt;=2 d",IF(Z1319&lt;=7,"3-7 d",IF(Z1319&lt;=30,"8-30 d","&gt;30 d"))),IF(AE1319&lt;&gt;"",AE1319,IF(Z1319="NR","NR","")))</f>
        <v/>
      </c>
      <c r="AX1319" s="9">
        <f>IF(ISNUMBER(AW1319),IF(AW1319&gt;450,"Yes","No"),IF(AW1319="NR","NR",""))</f>
        <v/>
      </c>
      <c r="BJ1319" s="9">
        <f>IF(BB1319="","",IF(BB1319="Non-viable","Non-viable",IF(BB1319="Viable","Viable",IF(BB1319="Partially non-viable",IF(OR(BD1319="Total splenectomy",BD1319="Partial splenectomy +/- splenopexy"),"Non-viable","Review"),IF(BB1319="NR",IF(OR(BD1319="Total splenectomy",BD1319="Partial splenectomy +/- splenopexy"),"NR - removed, check reason","NR"),"Not applicable")))))</f>
        <v/>
      </c>
    </row>
    <row r="1320">
      <c r="D1320" s="8" t="n"/>
      <c r="E1320" s="9">
        <f>IF(B1320="","",IF(B1320="OWN","Yes","No"))</f>
        <v/>
      </c>
      <c r="AF1320" s="9">
        <f>IF(ISNUMBER(Z1320),IF(Z1320&lt;=2,"&lt;=2 d",IF(Z1320&lt;=7,"3-7 d",IF(Z1320&lt;=30,"8-30 d","&gt;30 d"))),IF(AE1320&lt;&gt;"",AE1320,IF(Z1320="NR","NR","")))</f>
        <v/>
      </c>
      <c r="AX1320" s="9">
        <f>IF(ISNUMBER(AW1320),IF(AW1320&gt;450,"Yes","No"),IF(AW1320="NR","NR",""))</f>
        <v/>
      </c>
      <c r="BJ1320" s="9">
        <f>IF(BB1320="","",IF(BB1320="Non-viable","Non-viable",IF(BB1320="Viable","Viable",IF(BB1320="Partially non-viable",IF(OR(BD1320="Total splenectomy",BD1320="Partial splenectomy +/- splenopexy"),"Non-viable","Review"),IF(BB1320="NR",IF(OR(BD1320="Total splenectomy",BD1320="Partial splenectomy +/- splenopexy"),"NR - removed, check reason","NR"),"Not applicable")))))</f>
        <v/>
      </c>
    </row>
    <row r="1321">
      <c r="D1321" s="8" t="n"/>
      <c r="E1321" s="9">
        <f>IF(B1321="","",IF(B1321="OWN","Yes","No"))</f>
        <v/>
      </c>
      <c r="AF1321" s="9">
        <f>IF(ISNUMBER(Z1321),IF(Z1321&lt;=2,"&lt;=2 d",IF(Z1321&lt;=7,"3-7 d",IF(Z1321&lt;=30,"8-30 d","&gt;30 d"))),IF(AE1321&lt;&gt;"",AE1321,IF(Z1321="NR","NR","")))</f>
        <v/>
      </c>
      <c r="AX1321" s="9">
        <f>IF(ISNUMBER(AW1321),IF(AW1321&gt;450,"Yes","No"),IF(AW1321="NR","NR",""))</f>
        <v/>
      </c>
      <c r="BJ1321" s="9">
        <f>IF(BB1321="","",IF(BB1321="Non-viable","Non-viable",IF(BB1321="Viable","Viable",IF(BB1321="Partially non-viable",IF(OR(BD1321="Total splenectomy",BD1321="Partial splenectomy +/- splenopexy"),"Non-viable","Review"),IF(BB1321="NR",IF(OR(BD1321="Total splenectomy",BD1321="Partial splenectomy +/- splenopexy"),"NR - removed, check reason","NR"),"Not applicable")))))</f>
        <v/>
      </c>
    </row>
    <row r="1322">
      <c r="D1322" s="8" t="n"/>
      <c r="E1322" s="9">
        <f>IF(B1322="","",IF(B1322="OWN","Yes","No"))</f>
        <v/>
      </c>
      <c r="AF1322" s="9">
        <f>IF(ISNUMBER(Z1322),IF(Z1322&lt;=2,"&lt;=2 d",IF(Z1322&lt;=7,"3-7 d",IF(Z1322&lt;=30,"8-30 d","&gt;30 d"))),IF(AE1322&lt;&gt;"",AE1322,IF(Z1322="NR","NR","")))</f>
        <v/>
      </c>
      <c r="AX1322" s="9">
        <f>IF(ISNUMBER(AW1322),IF(AW1322&gt;450,"Yes","No"),IF(AW1322="NR","NR",""))</f>
        <v/>
      </c>
      <c r="BJ1322" s="9">
        <f>IF(BB1322="","",IF(BB1322="Non-viable","Non-viable",IF(BB1322="Viable","Viable",IF(BB1322="Partially non-viable",IF(OR(BD1322="Total splenectomy",BD1322="Partial splenectomy +/- splenopexy"),"Non-viable","Review"),IF(BB1322="NR",IF(OR(BD1322="Total splenectomy",BD1322="Partial splenectomy +/- splenopexy"),"NR - removed, check reason","NR"),"Not applicable")))))</f>
        <v/>
      </c>
    </row>
    <row r="1323">
      <c r="D1323" s="8" t="n"/>
      <c r="E1323" s="9">
        <f>IF(B1323="","",IF(B1323="OWN","Yes","No"))</f>
        <v/>
      </c>
      <c r="AF1323" s="9">
        <f>IF(ISNUMBER(Z1323),IF(Z1323&lt;=2,"&lt;=2 d",IF(Z1323&lt;=7,"3-7 d",IF(Z1323&lt;=30,"8-30 d","&gt;30 d"))),IF(AE1323&lt;&gt;"",AE1323,IF(Z1323="NR","NR","")))</f>
        <v/>
      </c>
      <c r="AX1323" s="9">
        <f>IF(ISNUMBER(AW1323),IF(AW1323&gt;450,"Yes","No"),IF(AW1323="NR","NR",""))</f>
        <v/>
      </c>
      <c r="BJ1323" s="9">
        <f>IF(BB1323="","",IF(BB1323="Non-viable","Non-viable",IF(BB1323="Viable","Viable",IF(BB1323="Partially non-viable",IF(OR(BD1323="Total splenectomy",BD1323="Partial splenectomy +/- splenopexy"),"Non-viable","Review"),IF(BB1323="NR",IF(OR(BD1323="Total splenectomy",BD1323="Partial splenectomy +/- splenopexy"),"NR - removed, check reason","NR"),"Not applicable")))))</f>
        <v/>
      </c>
    </row>
    <row r="1324">
      <c r="D1324" s="8" t="n"/>
      <c r="E1324" s="9">
        <f>IF(B1324="","",IF(B1324="OWN","Yes","No"))</f>
        <v/>
      </c>
      <c r="AF1324" s="9">
        <f>IF(ISNUMBER(Z1324),IF(Z1324&lt;=2,"&lt;=2 d",IF(Z1324&lt;=7,"3-7 d",IF(Z1324&lt;=30,"8-30 d","&gt;30 d"))),IF(AE1324&lt;&gt;"",AE1324,IF(Z1324="NR","NR","")))</f>
        <v/>
      </c>
      <c r="AX1324" s="9">
        <f>IF(ISNUMBER(AW1324),IF(AW1324&gt;450,"Yes","No"),IF(AW1324="NR","NR",""))</f>
        <v/>
      </c>
      <c r="BJ1324" s="9">
        <f>IF(BB1324="","",IF(BB1324="Non-viable","Non-viable",IF(BB1324="Viable","Viable",IF(BB1324="Partially non-viable",IF(OR(BD1324="Total splenectomy",BD1324="Partial splenectomy +/- splenopexy"),"Non-viable","Review"),IF(BB1324="NR",IF(OR(BD1324="Total splenectomy",BD1324="Partial splenectomy +/- splenopexy"),"NR - removed, check reason","NR"),"Not applicable")))))</f>
        <v/>
      </c>
    </row>
    <row r="1325">
      <c r="D1325" s="8" t="n"/>
      <c r="E1325" s="9">
        <f>IF(B1325="","",IF(B1325="OWN","Yes","No"))</f>
        <v/>
      </c>
      <c r="AF1325" s="9">
        <f>IF(ISNUMBER(Z1325),IF(Z1325&lt;=2,"&lt;=2 d",IF(Z1325&lt;=7,"3-7 d",IF(Z1325&lt;=30,"8-30 d","&gt;30 d"))),IF(AE1325&lt;&gt;"",AE1325,IF(Z1325="NR","NR","")))</f>
        <v/>
      </c>
      <c r="AX1325" s="9">
        <f>IF(ISNUMBER(AW1325),IF(AW1325&gt;450,"Yes","No"),IF(AW1325="NR","NR",""))</f>
        <v/>
      </c>
      <c r="BJ1325" s="9">
        <f>IF(BB1325="","",IF(BB1325="Non-viable","Non-viable",IF(BB1325="Viable","Viable",IF(BB1325="Partially non-viable",IF(OR(BD1325="Total splenectomy",BD1325="Partial splenectomy +/- splenopexy"),"Non-viable","Review"),IF(BB1325="NR",IF(OR(BD1325="Total splenectomy",BD1325="Partial splenectomy +/- splenopexy"),"NR - removed, check reason","NR"),"Not applicable")))))</f>
        <v/>
      </c>
    </row>
    <row r="1326">
      <c r="D1326" s="8" t="n"/>
      <c r="E1326" s="9">
        <f>IF(B1326="","",IF(B1326="OWN","Yes","No"))</f>
        <v/>
      </c>
      <c r="AF1326" s="9">
        <f>IF(ISNUMBER(Z1326),IF(Z1326&lt;=2,"&lt;=2 d",IF(Z1326&lt;=7,"3-7 d",IF(Z1326&lt;=30,"8-30 d","&gt;30 d"))),IF(AE1326&lt;&gt;"",AE1326,IF(Z1326="NR","NR","")))</f>
        <v/>
      </c>
      <c r="AX1326" s="9">
        <f>IF(ISNUMBER(AW1326),IF(AW1326&gt;450,"Yes","No"),IF(AW1326="NR","NR",""))</f>
        <v/>
      </c>
      <c r="BJ1326" s="9">
        <f>IF(BB1326="","",IF(BB1326="Non-viable","Non-viable",IF(BB1326="Viable","Viable",IF(BB1326="Partially non-viable",IF(OR(BD1326="Total splenectomy",BD1326="Partial splenectomy +/- splenopexy"),"Non-viable","Review"),IF(BB1326="NR",IF(OR(BD1326="Total splenectomy",BD1326="Partial splenectomy +/- splenopexy"),"NR - removed, check reason","NR"),"Not applicable")))))</f>
        <v/>
      </c>
    </row>
    <row r="1327">
      <c r="D1327" s="8" t="n"/>
      <c r="E1327" s="9">
        <f>IF(B1327="","",IF(B1327="OWN","Yes","No"))</f>
        <v/>
      </c>
      <c r="AF1327" s="9">
        <f>IF(ISNUMBER(Z1327),IF(Z1327&lt;=2,"&lt;=2 d",IF(Z1327&lt;=7,"3-7 d",IF(Z1327&lt;=30,"8-30 d","&gt;30 d"))),IF(AE1327&lt;&gt;"",AE1327,IF(Z1327="NR","NR","")))</f>
        <v/>
      </c>
      <c r="AX1327" s="9">
        <f>IF(ISNUMBER(AW1327),IF(AW1327&gt;450,"Yes","No"),IF(AW1327="NR","NR",""))</f>
        <v/>
      </c>
      <c r="BJ1327" s="9">
        <f>IF(BB1327="","",IF(BB1327="Non-viable","Non-viable",IF(BB1327="Viable","Viable",IF(BB1327="Partially non-viable",IF(OR(BD1327="Total splenectomy",BD1327="Partial splenectomy +/- splenopexy"),"Non-viable","Review"),IF(BB1327="NR",IF(OR(BD1327="Total splenectomy",BD1327="Partial splenectomy +/- splenopexy"),"NR - removed, check reason","NR"),"Not applicable")))))</f>
        <v/>
      </c>
    </row>
    <row r="1328">
      <c r="D1328" s="8" t="n"/>
      <c r="E1328" s="9">
        <f>IF(B1328="","",IF(B1328="OWN","Yes","No"))</f>
        <v/>
      </c>
      <c r="AF1328" s="9">
        <f>IF(ISNUMBER(Z1328),IF(Z1328&lt;=2,"&lt;=2 d",IF(Z1328&lt;=7,"3-7 d",IF(Z1328&lt;=30,"8-30 d","&gt;30 d"))),IF(AE1328&lt;&gt;"",AE1328,IF(Z1328="NR","NR","")))</f>
        <v/>
      </c>
      <c r="AX1328" s="9">
        <f>IF(ISNUMBER(AW1328),IF(AW1328&gt;450,"Yes","No"),IF(AW1328="NR","NR",""))</f>
        <v/>
      </c>
      <c r="BJ1328" s="9">
        <f>IF(BB1328="","",IF(BB1328="Non-viable","Non-viable",IF(BB1328="Viable","Viable",IF(BB1328="Partially non-viable",IF(OR(BD1328="Total splenectomy",BD1328="Partial splenectomy +/- splenopexy"),"Non-viable","Review"),IF(BB1328="NR",IF(OR(BD1328="Total splenectomy",BD1328="Partial splenectomy +/- splenopexy"),"NR - removed, check reason","NR"),"Not applicable")))))</f>
        <v/>
      </c>
    </row>
    <row r="1329">
      <c r="D1329" s="8" t="n"/>
      <c r="E1329" s="9">
        <f>IF(B1329="","",IF(B1329="OWN","Yes","No"))</f>
        <v/>
      </c>
      <c r="AF1329" s="9">
        <f>IF(ISNUMBER(Z1329),IF(Z1329&lt;=2,"&lt;=2 d",IF(Z1329&lt;=7,"3-7 d",IF(Z1329&lt;=30,"8-30 d","&gt;30 d"))),IF(AE1329&lt;&gt;"",AE1329,IF(Z1329="NR","NR","")))</f>
        <v/>
      </c>
      <c r="AX1329" s="9">
        <f>IF(ISNUMBER(AW1329),IF(AW1329&gt;450,"Yes","No"),IF(AW1329="NR","NR",""))</f>
        <v/>
      </c>
      <c r="BJ1329" s="9">
        <f>IF(BB1329="","",IF(BB1329="Non-viable","Non-viable",IF(BB1329="Viable","Viable",IF(BB1329="Partially non-viable",IF(OR(BD1329="Total splenectomy",BD1329="Partial splenectomy +/- splenopexy"),"Non-viable","Review"),IF(BB1329="NR",IF(OR(BD1329="Total splenectomy",BD1329="Partial splenectomy +/- splenopexy"),"NR - removed, check reason","NR"),"Not applicable")))))</f>
        <v/>
      </c>
    </row>
    <row r="1330">
      <c r="D1330" s="8" t="n"/>
      <c r="E1330" s="9">
        <f>IF(B1330="","",IF(B1330="OWN","Yes","No"))</f>
        <v/>
      </c>
      <c r="AF1330" s="9">
        <f>IF(ISNUMBER(Z1330),IF(Z1330&lt;=2,"&lt;=2 d",IF(Z1330&lt;=7,"3-7 d",IF(Z1330&lt;=30,"8-30 d","&gt;30 d"))),IF(AE1330&lt;&gt;"",AE1330,IF(Z1330="NR","NR","")))</f>
        <v/>
      </c>
      <c r="AX1330" s="9">
        <f>IF(ISNUMBER(AW1330),IF(AW1330&gt;450,"Yes","No"),IF(AW1330="NR","NR",""))</f>
        <v/>
      </c>
      <c r="BJ1330" s="9">
        <f>IF(BB1330="","",IF(BB1330="Non-viable","Non-viable",IF(BB1330="Viable","Viable",IF(BB1330="Partially non-viable",IF(OR(BD1330="Total splenectomy",BD1330="Partial splenectomy +/- splenopexy"),"Non-viable","Review"),IF(BB1330="NR",IF(OR(BD1330="Total splenectomy",BD1330="Partial splenectomy +/- splenopexy"),"NR - removed, check reason","NR"),"Not applicable")))))</f>
        <v/>
      </c>
    </row>
    <row r="1331">
      <c r="D1331" s="8" t="n"/>
      <c r="E1331" s="9">
        <f>IF(B1331="","",IF(B1331="OWN","Yes","No"))</f>
        <v/>
      </c>
      <c r="AF1331" s="9">
        <f>IF(ISNUMBER(Z1331),IF(Z1331&lt;=2,"&lt;=2 d",IF(Z1331&lt;=7,"3-7 d",IF(Z1331&lt;=30,"8-30 d","&gt;30 d"))),IF(AE1331&lt;&gt;"",AE1331,IF(Z1331="NR","NR","")))</f>
        <v/>
      </c>
      <c r="AX1331" s="9">
        <f>IF(ISNUMBER(AW1331),IF(AW1331&gt;450,"Yes","No"),IF(AW1331="NR","NR",""))</f>
        <v/>
      </c>
      <c r="BJ1331" s="9">
        <f>IF(BB1331="","",IF(BB1331="Non-viable","Non-viable",IF(BB1331="Viable","Viable",IF(BB1331="Partially non-viable",IF(OR(BD1331="Total splenectomy",BD1331="Partial splenectomy +/- splenopexy"),"Non-viable","Review"),IF(BB1331="NR",IF(OR(BD1331="Total splenectomy",BD1331="Partial splenectomy +/- splenopexy"),"NR - removed, check reason","NR"),"Not applicable")))))</f>
        <v/>
      </c>
    </row>
    <row r="1332">
      <c r="D1332" s="8" t="n"/>
      <c r="E1332" s="9">
        <f>IF(B1332="","",IF(B1332="OWN","Yes","No"))</f>
        <v/>
      </c>
      <c r="AF1332" s="9">
        <f>IF(ISNUMBER(Z1332),IF(Z1332&lt;=2,"&lt;=2 d",IF(Z1332&lt;=7,"3-7 d",IF(Z1332&lt;=30,"8-30 d","&gt;30 d"))),IF(AE1332&lt;&gt;"",AE1332,IF(Z1332="NR","NR","")))</f>
        <v/>
      </c>
      <c r="AX1332" s="9">
        <f>IF(ISNUMBER(AW1332),IF(AW1332&gt;450,"Yes","No"),IF(AW1332="NR","NR",""))</f>
        <v/>
      </c>
      <c r="BJ1332" s="9">
        <f>IF(BB1332="","",IF(BB1332="Non-viable","Non-viable",IF(BB1332="Viable","Viable",IF(BB1332="Partially non-viable",IF(OR(BD1332="Total splenectomy",BD1332="Partial splenectomy +/- splenopexy"),"Non-viable","Review"),IF(BB1332="NR",IF(OR(BD1332="Total splenectomy",BD1332="Partial splenectomy +/- splenopexy"),"NR - removed, check reason","NR"),"Not applicable")))))</f>
        <v/>
      </c>
    </row>
    <row r="1333">
      <c r="D1333" s="8" t="n"/>
      <c r="E1333" s="9">
        <f>IF(B1333="","",IF(B1333="OWN","Yes","No"))</f>
        <v/>
      </c>
      <c r="AF1333" s="9">
        <f>IF(ISNUMBER(Z1333),IF(Z1333&lt;=2,"&lt;=2 d",IF(Z1333&lt;=7,"3-7 d",IF(Z1333&lt;=30,"8-30 d","&gt;30 d"))),IF(AE1333&lt;&gt;"",AE1333,IF(Z1333="NR","NR","")))</f>
        <v/>
      </c>
      <c r="AX1333" s="9">
        <f>IF(ISNUMBER(AW1333),IF(AW1333&gt;450,"Yes","No"),IF(AW1333="NR","NR",""))</f>
        <v/>
      </c>
      <c r="BJ1333" s="9">
        <f>IF(BB1333="","",IF(BB1333="Non-viable","Non-viable",IF(BB1333="Viable","Viable",IF(BB1333="Partially non-viable",IF(OR(BD1333="Total splenectomy",BD1333="Partial splenectomy +/- splenopexy"),"Non-viable","Review"),IF(BB1333="NR",IF(OR(BD1333="Total splenectomy",BD1333="Partial splenectomy +/- splenopexy"),"NR - removed, check reason","NR"),"Not applicable")))))</f>
        <v/>
      </c>
    </row>
    <row r="1334">
      <c r="D1334" s="8" t="n"/>
      <c r="E1334" s="9">
        <f>IF(B1334="","",IF(B1334="OWN","Yes","No"))</f>
        <v/>
      </c>
      <c r="AF1334" s="9">
        <f>IF(ISNUMBER(Z1334),IF(Z1334&lt;=2,"&lt;=2 d",IF(Z1334&lt;=7,"3-7 d",IF(Z1334&lt;=30,"8-30 d","&gt;30 d"))),IF(AE1334&lt;&gt;"",AE1334,IF(Z1334="NR","NR","")))</f>
        <v/>
      </c>
      <c r="AX1334" s="9">
        <f>IF(ISNUMBER(AW1334),IF(AW1334&gt;450,"Yes","No"),IF(AW1334="NR","NR",""))</f>
        <v/>
      </c>
      <c r="BJ1334" s="9">
        <f>IF(BB1334="","",IF(BB1334="Non-viable","Non-viable",IF(BB1334="Viable","Viable",IF(BB1334="Partially non-viable",IF(OR(BD1334="Total splenectomy",BD1334="Partial splenectomy +/- splenopexy"),"Non-viable","Review"),IF(BB1334="NR",IF(OR(BD1334="Total splenectomy",BD1334="Partial splenectomy +/- splenopexy"),"NR - removed, check reason","NR"),"Not applicable")))))</f>
        <v/>
      </c>
    </row>
    <row r="1335">
      <c r="D1335" s="8" t="n"/>
      <c r="E1335" s="9">
        <f>IF(B1335="","",IF(B1335="OWN","Yes","No"))</f>
        <v/>
      </c>
      <c r="AF1335" s="9">
        <f>IF(ISNUMBER(Z1335),IF(Z1335&lt;=2,"&lt;=2 d",IF(Z1335&lt;=7,"3-7 d",IF(Z1335&lt;=30,"8-30 d","&gt;30 d"))),IF(AE1335&lt;&gt;"",AE1335,IF(Z1335="NR","NR","")))</f>
        <v/>
      </c>
      <c r="AX1335" s="9">
        <f>IF(ISNUMBER(AW1335),IF(AW1335&gt;450,"Yes","No"),IF(AW1335="NR","NR",""))</f>
        <v/>
      </c>
      <c r="BJ1335" s="9">
        <f>IF(BB1335="","",IF(BB1335="Non-viable","Non-viable",IF(BB1335="Viable","Viable",IF(BB1335="Partially non-viable",IF(OR(BD1335="Total splenectomy",BD1335="Partial splenectomy +/- splenopexy"),"Non-viable","Review"),IF(BB1335="NR",IF(OR(BD1335="Total splenectomy",BD1335="Partial splenectomy +/- splenopexy"),"NR - removed, check reason","NR"),"Not applicable")))))</f>
        <v/>
      </c>
    </row>
    <row r="1336">
      <c r="D1336" s="8" t="n"/>
      <c r="E1336" s="9">
        <f>IF(B1336="","",IF(B1336="OWN","Yes","No"))</f>
        <v/>
      </c>
      <c r="AF1336" s="9">
        <f>IF(ISNUMBER(Z1336),IF(Z1336&lt;=2,"&lt;=2 d",IF(Z1336&lt;=7,"3-7 d",IF(Z1336&lt;=30,"8-30 d","&gt;30 d"))),IF(AE1336&lt;&gt;"",AE1336,IF(Z1336="NR","NR","")))</f>
        <v/>
      </c>
      <c r="AX1336" s="9">
        <f>IF(ISNUMBER(AW1336),IF(AW1336&gt;450,"Yes","No"),IF(AW1336="NR","NR",""))</f>
        <v/>
      </c>
      <c r="BJ1336" s="9">
        <f>IF(BB1336="","",IF(BB1336="Non-viable","Non-viable",IF(BB1336="Viable","Viable",IF(BB1336="Partially non-viable",IF(OR(BD1336="Total splenectomy",BD1336="Partial splenectomy +/- splenopexy"),"Non-viable","Review"),IF(BB1336="NR",IF(OR(BD1336="Total splenectomy",BD1336="Partial splenectomy +/- splenopexy"),"NR - removed, check reason","NR"),"Not applicable")))))</f>
        <v/>
      </c>
    </row>
    <row r="1337">
      <c r="D1337" s="8" t="n"/>
      <c r="E1337" s="9">
        <f>IF(B1337="","",IF(B1337="OWN","Yes","No"))</f>
        <v/>
      </c>
      <c r="AF1337" s="9">
        <f>IF(ISNUMBER(Z1337),IF(Z1337&lt;=2,"&lt;=2 d",IF(Z1337&lt;=7,"3-7 d",IF(Z1337&lt;=30,"8-30 d","&gt;30 d"))),IF(AE1337&lt;&gt;"",AE1337,IF(Z1337="NR","NR","")))</f>
        <v/>
      </c>
      <c r="AX1337" s="9">
        <f>IF(ISNUMBER(AW1337),IF(AW1337&gt;450,"Yes","No"),IF(AW1337="NR","NR",""))</f>
        <v/>
      </c>
      <c r="BJ1337" s="9">
        <f>IF(BB1337="","",IF(BB1337="Non-viable","Non-viable",IF(BB1337="Viable","Viable",IF(BB1337="Partially non-viable",IF(OR(BD1337="Total splenectomy",BD1337="Partial splenectomy +/- splenopexy"),"Non-viable","Review"),IF(BB1337="NR",IF(OR(BD1337="Total splenectomy",BD1337="Partial splenectomy +/- splenopexy"),"NR - removed, check reason","NR"),"Not applicable")))))</f>
        <v/>
      </c>
    </row>
    <row r="1338">
      <c r="D1338" s="8" t="n"/>
      <c r="E1338" s="9">
        <f>IF(B1338="","",IF(B1338="OWN","Yes","No"))</f>
        <v/>
      </c>
      <c r="AF1338" s="9">
        <f>IF(ISNUMBER(Z1338),IF(Z1338&lt;=2,"&lt;=2 d",IF(Z1338&lt;=7,"3-7 d",IF(Z1338&lt;=30,"8-30 d","&gt;30 d"))),IF(AE1338&lt;&gt;"",AE1338,IF(Z1338="NR","NR","")))</f>
        <v/>
      </c>
      <c r="AX1338" s="9">
        <f>IF(ISNUMBER(AW1338),IF(AW1338&gt;450,"Yes","No"),IF(AW1338="NR","NR",""))</f>
        <v/>
      </c>
      <c r="BJ1338" s="9">
        <f>IF(BB1338="","",IF(BB1338="Non-viable","Non-viable",IF(BB1338="Viable","Viable",IF(BB1338="Partially non-viable",IF(OR(BD1338="Total splenectomy",BD1338="Partial splenectomy +/- splenopexy"),"Non-viable","Review"),IF(BB1338="NR",IF(OR(BD1338="Total splenectomy",BD1338="Partial splenectomy +/- splenopexy"),"NR - removed, check reason","NR"),"Not applicable")))))</f>
        <v/>
      </c>
    </row>
    <row r="1339">
      <c r="D1339" s="8" t="n"/>
      <c r="E1339" s="9">
        <f>IF(B1339="","",IF(B1339="OWN","Yes","No"))</f>
        <v/>
      </c>
      <c r="AF1339" s="9">
        <f>IF(ISNUMBER(Z1339),IF(Z1339&lt;=2,"&lt;=2 d",IF(Z1339&lt;=7,"3-7 d",IF(Z1339&lt;=30,"8-30 d","&gt;30 d"))),IF(AE1339&lt;&gt;"",AE1339,IF(Z1339="NR","NR","")))</f>
        <v/>
      </c>
      <c r="AX1339" s="9">
        <f>IF(ISNUMBER(AW1339),IF(AW1339&gt;450,"Yes","No"),IF(AW1339="NR","NR",""))</f>
        <v/>
      </c>
      <c r="BJ1339" s="9">
        <f>IF(BB1339="","",IF(BB1339="Non-viable","Non-viable",IF(BB1339="Viable","Viable",IF(BB1339="Partially non-viable",IF(OR(BD1339="Total splenectomy",BD1339="Partial splenectomy +/- splenopexy"),"Non-viable","Review"),IF(BB1339="NR",IF(OR(BD1339="Total splenectomy",BD1339="Partial splenectomy +/- splenopexy"),"NR - removed, check reason","NR"),"Not applicable")))))</f>
        <v/>
      </c>
    </row>
    <row r="1340">
      <c r="D1340" s="8" t="n"/>
      <c r="E1340" s="9">
        <f>IF(B1340="","",IF(B1340="OWN","Yes","No"))</f>
        <v/>
      </c>
      <c r="AF1340" s="9">
        <f>IF(ISNUMBER(Z1340),IF(Z1340&lt;=2,"&lt;=2 d",IF(Z1340&lt;=7,"3-7 d",IF(Z1340&lt;=30,"8-30 d","&gt;30 d"))),IF(AE1340&lt;&gt;"",AE1340,IF(Z1340="NR","NR","")))</f>
        <v/>
      </c>
      <c r="AX1340" s="9">
        <f>IF(ISNUMBER(AW1340),IF(AW1340&gt;450,"Yes","No"),IF(AW1340="NR","NR",""))</f>
        <v/>
      </c>
      <c r="BJ1340" s="9">
        <f>IF(BB1340="","",IF(BB1340="Non-viable","Non-viable",IF(BB1340="Viable","Viable",IF(BB1340="Partially non-viable",IF(OR(BD1340="Total splenectomy",BD1340="Partial splenectomy +/- splenopexy"),"Non-viable","Review"),IF(BB1340="NR",IF(OR(BD1340="Total splenectomy",BD1340="Partial splenectomy +/- splenopexy"),"NR - removed, check reason","NR"),"Not applicable")))))</f>
        <v/>
      </c>
    </row>
    <row r="1341">
      <c r="D1341" s="8" t="n"/>
      <c r="E1341" s="9">
        <f>IF(B1341="","",IF(B1341="OWN","Yes","No"))</f>
        <v/>
      </c>
      <c r="AF1341" s="9">
        <f>IF(ISNUMBER(Z1341),IF(Z1341&lt;=2,"&lt;=2 d",IF(Z1341&lt;=7,"3-7 d",IF(Z1341&lt;=30,"8-30 d","&gt;30 d"))),IF(AE1341&lt;&gt;"",AE1341,IF(Z1341="NR","NR","")))</f>
        <v/>
      </c>
      <c r="AX1341" s="9">
        <f>IF(ISNUMBER(AW1341),IF(AW1341&gt;450,"Yes","No"),IF(AW1341="NR","NR",""))</f>
        <v/>
      </c>
      <c r="BJ1341" s="9">
        <f>IF(BB1341="","",IF(BB1341="Non-viable","Non-viable",IF(BB1341="Viable","Viable",IF(BB1341="Partially non-viable",IF(OR(BD1341="Total splenectomy",BD1341="Partial splenectomy +/- splenopexy"),"Non-viable","Review"),IF(BB1341="NR",IF(OR(BD1341="Total splenectomy",BD1341="Partial splenectomy +/- splenopexy"),"NR - removed, check reason","NR"),"Not applicable")))))</f>
        <v/>
      </c>
    </row>
    <row r="1342">
      <c r="D1342" s="8" t="n"/>
      <c r="E1342" s="9">
        <f>IF(B1342="","",IF(B1342="OWN","Yes","No"))</f>
        <v/>
      </c>
      <c r="AF1342" s="9">
        <f>IF(ISNUMBER(Z1342),IF(Z1342&lt;=2,"&lt;=2 d",IF(Z1342&lt;=7,"3-7 d",IF(Z1342&lt;=30,"8-30 d","&gt;30 d"))),IF(AE1342&lt;&gt;"",AE1342,IF(Z1342="NR","NR","")))</f>
        <v/>
      </c>
      <c r="AX1342" s="9">
        <f>IF(ISNUMBER(AW1342),IF(AW1342&gt;450,"Yes","No"),IF(AW1342="NR","NR",""))</f>
        <v/>
      </c>
      <c r="BJ1342" s="9">
        <f>IF(BB1342="","",IF(BB1342="Non-viable","Non-viable",IF(BB1342="Viable","Viable",IF(BB1342="Partially non-viable",IF(OR(BD1342="Total splenectomy",BD1342="Partial splenectomy +/- splenopexy"),"Non-viable","Review"),IF(BB1342="NR",IF(OR(BD1342="Total splenectomy",BD1342="Partial splenectomy +/- splenopexy"),"NR - removed, check reason","NR"),"Not applicable")))))</f>
        <v/>
      </c>
    </row>
    <row r="1343">
      <c r="D1343" s="8" t="n"/>
      <c r="E1343" s="9">
        <f>IF(B1343="","",IF(B1343="OWN","Yes","No"))</f>
        <v/>
      </c>
      <c r="AF1343" s="9">
        <f>IF(ISNUMBER(Z1343),IF(Z1343&lt;=2,"&lt;=2 d",IF(Z1343&lt;=7,"3-7 d",IF(Z1343&lt;=30,"8-30 d","&gt;30 d"))),IF(AE1343&lt;&gt;"",AE1343,IF(Z1343="NR","NR","")))</f>
        <v/>
      </c>
      <c r="AX1343" s="9">
        <f>IF(ISNUMBER(AW1343),IF(AW1343&gt;450,"Yes","No"),IF(AW1343="NR","NR",""))</f>
        <v/>
      </c>
      <c r="BJ1343" s="9">
        <f>IF(BB1343="","",IF(BB1343="Non-viable","Non-viable",IF(BB1343="Viable","Viable",IF(BB1343="Partially non-viable",IF(OR(BD1343="Total splenectomy",BD1343="Partial splenectomy +/- splenopexy"),"Non-viable","Review"),IF(BB1343="NR",IF(OR(BD1343="Total splenectomy",BD1343="Partial splenectomy +/- splenopexy"),"NR - removed, check reason","NR"),"Not applicable")))))</f>
        <v/>
      </c>
    </row>
    <row r="1344">
      <c r="D1344" s="8" t="n"/>
      <c r="E1344" s="9">
        <f>IF(B1344="","",IF(B1344="OWN","Yes","No"))</f>
        <v/>
      </c>
      <c r="AF1344" s="9">
        <f>IF(ISNUMBER(Z1344),IF(Z1344&lt;=2,"&lt;=2 d",IF(Z1344&lt;=7,"3-7 d",IF(Z1344&lt;=30,"8-30 d","&gt;30 d"))),IF(AE1344&lt;&gt;"",AE1344,IF(Z1344="NR","NR","")))</f>
        <v/>
      </c>
      <c r="AX1344" s="9">
        <f>IF(ISNUMBER(AW1344),IF(AW1344&gt;450,"Yes","No"),IF(AW1344="NR","NR",""))</f>
        <v/>
      </c>
      <c r="BJ1344" s="9">
        <f>IF(BB1344="","",IF(BB1344="Non-viable","Non-viable",IF(BB1344="Viable","Viable",IF(BB1344="Partially non-viable",IF(OR(BD1344="Total splenectomy",BD1344="Partial splenectomy +/- splenopexy"),"Non-viable","Review"),IF(BB1344="NR",IF(OR(BD1344="Total splenectomy",BD1344="Partial splenectomy +/- splenopexy"),"NR - removed, check reason","NR"),"Not applicable")))))</f>
        <v/>
      </c>
    </row>
    <row r="1345">
      <c r="D1345" s="8" t="n"/>
      <c r="E1345" s="9">
        <f>IF(B1345="","",IF(B1345="OWN","Yes","No"))</f>
        <v/>
      </c>
      <c r="AF1345" s="9">
        <f>IF(ISNUMBER(Z1345),IF(Z1345&lt;=2,"&lt;=2 d",IF(Z1345&lt;=7,"3-7 d",IF(Z1345&lt;=30,"8-30 d","&gt;30 d"))),IF(AE1345&lt;&gt;"",AE1345,IF(Z1345="NR","NR","")))</f>
        <v/>
      </c>
      <c r="AX1345" s="9">
        <f>IF(ISNUMBER(AW1345),IF(AW1345&gt;450,"Yes","No"),IF(AW1345="NR","NR",""))</f>
        <v/>
      </c>
      <c r="BJ1345" s="9">
        <f>IF(BB1345="","",IF(BB1345="Non-viable","Non-viable",IF(BB1345="Viable","Viable",IF(BB1345="Partially non-viable",IF(OR(BD1345="Total splenectomy",BD1345="Partial splenectomy +/- splenopexy"),"Non-viable","Review"),IF(BB1345="NR",IF(OR(BD1345="Total splenectomy",BD1345="Partial splenectomy +/- splenopexy"),"NR - removed, check reason","NR"),"Not applicable")))))</f>
        <v/>
      </c>
    </row>
    <row r="1346">
      <c r="D1346" s="8" t="n"/>
      <c r="E1346" s="9">
        <f>IF(B1346="","",IF(B1346="OWN","Yes","No"))</f>
        <v/>
      </c>
      <c r="AF1346" s="9">
        <f>IF(ISNUMBER(Z1346),IF(Z1346&lt;=2,"&lt;=2 d",IF(Z1346&lt;=7,"3-7 d",IF(Z1346&lt;=30,"8-30 d","&gt;30 d"))),IF(AE1346&lt;&gt;"",AE1346,IF(Z1346="NR","NR","")))</f>
        <v/>
      </c>
      <c r="AX1346" s="9">
        <f>IF(ISNUMBER(AW1346),IF(AW1346&gt;450,"Yes","No"),IF(AW1346="NR","NR",""))</f>
        <v/>
      </c>
      <c r="BJ1346" s="9">
        <f>IF(BB1346="","",IF(BB1346="Non-viable","Non-viable",IF(BB1346="Viable","Viable",IF(BB1346="Partially non-viable",IF(OR(BD1346="Total splenectomy",BD1346="Partial splenectomy +/- splenopexy"),"Non-viable","Review"),IF(BB1346="NR",IF(OR(BD1346="Total splenectomy",BD1346="Partial splenectomy +/- splenopexy"),"NR - removed, check reason","NR"),"Not applicable")))))</f>
        <v/>
      </c>
    </row>
    <row r="1347">
      <c r="D1347" s="8" t="n"/>
      <c r="E1347" s="9">
        <f>IF(B1347="","",IF(B1347="OWN","Yes","No"))</f>
        <v/>
      </c>
      <c r="AF1347" s="9">
        <f>IF(ISNUMBER(Z1347),IF(Z1347&lt;=2,"&lt;=2 d",IF(Z1347&lt;=7,"3-7 d",IF(Z1347&lt;=30,"8-30 d","&gt;30 d"))),IF(AE1347&lt;&gt;"",AE1347,IF(Z1347="NR","NR","")))</f>
        <v/>
      </c>
      <c r="AX1347" s="9">
        <f>IF(ISNUMBER(AW1347),IF(AW1347&gt;450,"Yes","No"),IF(AW1347="NR","NR",""))</f>
        <v/>
      </c>
      <c r="BJ1347" s="9">
        <f>IF(BB1347="","",IF(BB1347="Non-viable","Non-viable",IF(BB1347="Viable","Viable",IF(BB1347="Partially non-viable",IF(OR(BD1347="Total splenectomy",BD1347="Partial splenectomy +/- splenopexy"),"Non-viable","Review"),IF(BB1347="NR",IF(OR(BD1347="Total splenectomy",BD1347="Partial splenectomy +/- splenopexy"),"NR - removed, check reason","NR"),"Not applicable")))))</f>
        <v/>
      </c>
    </row>
    <row r="1348">
      <c r="D1348" s="8" t="n"/>
      <c r="E1348" s="9">
        <f>IF(B1348="","",IF(B1348="OWN","Yes","No"))</f>
        <v/>
      </c>
      <c r="AF1348" s="9">
        <f>IF(ISNUMBER(Z1348),IF(Z1348&lt;=2,"&lt;=2 d",IF(Z1348&lt;=7,"3-7 d",IF(Z1348&lt;=30,"8-30 d","&gt;30 d"))),IF(AE1348&lt;&gt;"",AE1348,IF(Z1348="NR","NR","")))</f>
        <v/>
      </c>
      <c r="AX1348" s="9">
        <f>IF(ISNUMBER(AW1348),IF(AW1348&gt;450,"Yes","No"),IF(AW1348="NR","NR",""))</f>
        <v/>
      </c>
      <c r="BJ1348" s="9">
        <f>IF(BB1348="","",IF(BB1348="Non-viable","Non-viable",IF(BB1348="Viable","Viable",IF(BB1348="Partially non-viable",IF(OR(BD1348="Total splenectomy",BD1348="Partial splenectomy +/- splenopexy"),"Non-viable","Review"),IF(BB1348="NR",IF(OR(BD1348="Total splenectomy",BD1348="Partial splenectomy +/- splenopexy"),"NR - removed, check reason","NR"),"Not applicable")))))</f>
        <v/>
      </c>
    </row>
    <row r="1349">
      <c r="D1349" s="8" t="n"/>
      <c r="E1349" s="9">
        <f>IF(B1349="","",IF(B1349="OWN","Yes","No"))</f>
        <v/>
      </c>
      <c r="AF1349" s="9">
        <f>IF(ISNUMBER(Z1349),IF(Z1349&lt;=2,"&lt;=2 d",IF(Z1349&lt;=7,"3-7 d",IF(Z1349&lt;=30,"8-30 d","&gt;30 d"))),IF(AE1349&lt;&gt;"",AE1349,IF(Z1349="NR","NR","")))</f>
        <v/>
      </c>
      <c r="AX1349" s="9">
        <f>IF(ISNUMBER(AW1349),IF(AW1349&gt;450,"Yes","No"),IF(AW1349="NR","NR",""))</f>
        <v/>
      </c>
      <c r="BJ1349" s="9">
        <f>IF(BB1349="","",IF(BB1349="Non-viable","Non-viable",IF(BB1349="Viable","Viable",IF(BB1349="Partially non-viable",IF(OR(BD1349="Total splenectomy",BD1349="Partial splenectomy +/- splenopexy"),"Non-viable","Review"),IF(BB1349="NR",IF(OR(BD1349="Total splenectomy",BD1349="Partial splenectomy +/- splenopexy"),"NR - removed, check reason","NR"),"Not applicable")))))</f>
        <v/>
      </c>
    </row>
    <row r="1350">
      <c r="D1350" s="8" t="n"/>
      <c r="E1350" s="9">
        <f>IF(B1350="","",IF(B1350="OWN","Yes","No"))</f>
        <v/>
      </c>
      <c r="AF1350" s="9">
        <f>IF(ISNUMBER(Z1350),IF(Z1350&lt;=2,"&lt;=2 d",IF(Z1350&lt;=7,"3-7 d",IF(Z1350&lt;=30,"8-30 d","&gt;30 d"))),IF(AE1350&lt;&gt;"",AE1350,IF(Z1350="NR","NR","")))</f>
        <v/>
      </c>
      <c r="AX1350" s="9">
        <f>IF(ISNUMBER(AW1350),IF(AW1350&gt;450,"Yes","No"),IF(AW1350="NR","NR",""))</f>
        <v/>
      </c>
      <c r="BJ1350" s="9">
        <f>IF(BB1350="","",IF(BB1350="Non-viable","Non-viable",IF(BB1350="Viable","Viable",IF(BB1350="Partially non-viable",IF(OR(BD1350="Total splenectomy",BD1350="Partial splenectomy +/- splenopexy"),"Non-viable","Review"),IF(BB1350="NR",IF(OR(BD1350="Total splenectomy",BD1350="Partial splenectomy +/- splenopexy"),"NR - removed, check reason","NR"),"Not applicable")))))</f>
        <v/>
      </c>
    </row>
    <row r="1351">
      <c r="D1351" s="8" t="n"/>
      <c r="E1351" s="9">
        <f>IF(B1351="","",IF(B1351="OWN","Yes","No"))</f>
        <v/>
      </c>
      <c r="AF1351" s="9">
        <f>IF(ISNUMBER(Z1351),IF(Z1351&lt;=2,"&lt;=2 d",IF(Z1351&lt;=7,"3-7 d",IF(Z1351&lt;=30,"8-30 d","&gt;30 d"))),IF(AE1351&lt;&gt;"",AE1351,IF(Z1351="NR","NR","")))</f>
        <v/>
      </c>
      <c r="AX1351" s="9">
        <f>IF(ISNUMBER(AW1351),IF(AW1351&gt;450,"Yes","No"),IF(AW1351="NR","NR",""))</f>
        <v/>
      </c>
      <c r="BJ1351" s="9">
        <f>IF(BB1351="","",IF(BB1351="Non-viable","Non-viable",IF(BB1351="Viable","Viable",IF(BB1351="Partially non-viable",IF(OR(BD1351="Total splenectomy",BD1351="Partial splenectomy +/- splenopexy"),"Non-viable","Review"),IF(BB1351="NR",IF(OR(BD1351="Total splenectomy",BD1351="Partial splenectomy +/- splenopexy"),"NR - removed, check reason","NR"),"Not applicable")))))</f>
        <v/>
      </c>
    </row>
    <row r="1352">
      <c r="D1352" s="8" t="n"/>
      <c r="E1352" s="9">
        <f>IF(B1352="","",IF(B1352="OWN","Yes","No"))</f>
        <v/>
      </c>
      <c r="AF1352" s="9">
        <f>IF(ISNUMBER(Z1352),IF(Z1352&lt;=2,"&lt;=2 d",IF(Z1352&lt;=7,"3-7 d",IF(Z1352&lt;=30,"8-30 d","&gt;30 d"))),IF(AE1352&lt;&gt;"",AE1352,IF(Z1352="NR","NR","")))</f>
        <v/>
      </c>
      <c r="AX1352" s="9">
        <f>IF(ISNUMBER(AW1352),IF(AW1352&gt;450,"Yes","No"),IF(AW1352="NR","NR",""))</f>
        <v/>
      </c>
      <c r="BJ1352" s="9">
        <f>IF(BB1352="","",IF(BB1352="Non-viable","Non-viable",IF(BB1352="Viable","Viable",IF(BB1352="Partially non-viable",IF(OR(BD1352="Total splenectomy",BD1352="Partial splenectomy +/- splenopexy"),"Non-viable","Review"),IF(BB1352="NR",IF(OR(BD1352="Total splenectomy",BD1352="Partial splenectomy +/- splenopexy"),"NR - removed, check reason","NR"),"Not applicable")))))</f>
        <v/>
      </c>
    </row>
    <row r="1353">
      <c r="D1353" s="8" t="n"/>
      <c r="E1353" s="9">
        <f>IF(B1353="","",IF(B1353="OWN","Yes","No"))</f>
        <v/>
      </c>
      <c r="AF1353" s="9">
        <f>IF(ISNUMBER(Z1353),IF(Z1353&lt;=2,"&lt;=2 d",IF(Z1353&lt;=7,"3-7 d",IF(Z1353&lt;=30,"8-30 d","&gt;30 d"))),IF(AE1353&lt;&gt;"",AE1353,IF(Z1353="NR","NR","")))</f>
        <v/>
      </c>
      <c r="AX1353" s="9">
        <f>IF(ISNUMBER(AW1353),IF(AW1353&gt;450,"Yes","No"),IF(AW1353="NR","NR",""))</f>
        <v/>
      </c>
      <c r="BJ1353" s="9">
        <f>IF(BB1353="","",IF(BB1353="Non-viable","Non-viable",IF(BB1353="Viable","Viable",IF(BB1353="Partially non-viable",IF(OR(BD1353="Total splenectomy",BD1353="Partial splenectomy +/- splenopexy"),"Non-viable","Review"),IF(BB1353="NR",IF(OR(BD1353="Total splenectomy",BD1353="Partial splenectomy +/- splenopexy"),"NR - removed, check reason","NR"),"Not applicable")))))</f>
        <v/>
      </c>
    </row>
    <row r="1354">
      <c r="D1354" s="8" t="n"/>
      <c r="E1354" s="9">
        <f>IF(B1354="","",IF(B1354="OWN","Yes","No"))</f>
        <v/>
      </c>
      <c r="AF1354" s="9">
        <f>IF(ISNUMBER(Z1354),IF(Z1354&lt;=2,"&lt;=2 d",IF(Z1354&lt;=7,"3-7 d",IF(Z1354&lt;=30,"8-30 d","&gt;30 d"))),IF(AE1354&lt;&gt;"",AE1354,IF(Z1354="NR","NR","")))</f>
        <v/>
      </c>
      <c r="AX1354" s="9">
        <f>IF(ISNUMBER(AW1354),IF(AW1354&gt;450,"Yes","No"),IF(AW1354="NR","NR",""))</f>
        <v/>
      </c>
      <c r="BJ1354" s="9">
        <f>IF(BB1354="","",IF(BB1354="Non-viable","Non-viable",IF(BB1354="Viable","Viable",IF(BB1354="Partially non-viable",IF(OR(BD1354="Total splenectomy",BD1354="Partial splenectomy +/- splenopexy"),"Non-viable","Review"),IF(BB1354="NR",IF(OR(BD1354="Total splenectomy",BD1354="Partial splenectomy +/- splenopexy"),"NR - removed, check reason","NR"),"Not applicable")))))</f>
        <v/>
      </c>
    </row>
    <row r="1355">
      <c r="D1355" s="8" t="n"/>
      <c r="E1355" s="9">
        <f>IF(B1355="","",IF(B1355="OWN","Yes","No"))</f>
        <v/>
      </c>
      <c r="AF1355" s="9">
        <f>IF(ISNUMBER(Z1355),IF(Z1355&lt;=2,"&lt;=2 d",IF(Z1355&lt;=7,"3-7 d",IF(Z1355&lt;=30,"8-30 d","&gt;30 d"))),IF(AE1355&lt;&gt;"",AE1355,IF(Z1355="NR","NR","")))</f>
        <v/>
      </c>
      <c r="AX1355" s="9">
        <f>IF(ISNUMBER(AW1355),IF(AW1355&gt;450,"Yes","No"),IF(AW1355="NR","NR",""))</f>
        <v/>
      </c>
      <c r="BJ1355" s="9">
        <f>IF(BB1355="","",IF(BB1355="Non-viable","Non-viable",IF(BB1355="Viable","Viable",IF(BB1355="Partially non-viable",IF(OR(BD1355="Total splenectomy",BD1355="Partial splenectomy +/- splenopexy"),"Non-viable","Review"),IF(BB1355="NR",IF(OR(BD1355="Total splenectomy",BD1355="Partial splenectomy +/- splenopexy"),"NR - removed, check reason","NR"),"Not applicable")))))</f>
        <v/>
      </c>
    </row>
    <row r="1356">
      <c r="D1356" s="8" t="n"/>
      <c r="E1356" s="9">
        <f>IF(B1356="","",IF(B1356="OWN","Yes","No"))</f>
        <v/>
      </c>
      <c r="AF1356" s="9">
        <f>IF(ISNUMBER(Z1356),IF(Z1356&lt;=2,"&lt;=2 d",IF(Z1356&lt;=7,"3-7 d",IF(Z1356&lt;=30,"8-30 d","&gt;30 d"))),IF(AE1356&lt;&gt;"",AE1356,IF(Z1356="NR","NR","")))</f>
        <v/>
      </c>
      <c r="AX1356" s="9">
        <f>IF(ISNUMBER(AW1356),IF(AW1356&gt;450,"Yes","No"),IF(AW1356="NR","NR",""))</f>
        <v/>
      </c>
      <c r="BJ1356" s="9">
        <f>IF(BB1356="","",IF(BB1356="Non-viable","Non-viable",IF(BB1356="Viable","Viable",IF(BB1356="Partially non-viable",IF(OR(BD1356="Total splenectomy",BD1356="Partial splenectomy +/- splenopexy"),"Non-viable","Review"),IF(BB1356="NR",IF(OR(BD1356="Total splenectomy",BD1356="Partial splenectomy +/- splenopexy"),"NR - removed, check reason","NR"),"Not applicable")))))</f>
        <v/>
      </c>
    </row>
    <row r="1357">
      <c r="D1357" s="8" t="n"/>
      <c r="E1357" s="9">
        <f>IF(B1357="","",IF(B1357="OWN","Yes","No"))</f>
        <v/>
      </c>
      <c r="AF1357" s="9">
        <f>IF(ISNUMBER(Z1357),IF(Z1357&lt;=2,"&lt;=2 d",IF(Z1357&lt;=7,"3-7 d",IF(Z1357&lt;=30,"8-30 d","&gt;30 d"))),IF(AE1357&lt;&gt;"",AE1357,IF(Z1357="NR","NR","")))</f>
        <v/>
      </c>
      <c r="AX1357" s="9">
        <f>IF(ISNUMBER(AW1357),IF(AW1357&gt;450,"Yes","No"),IF(AW1357="NR","NR",""))</f>
        <v/>
      </c>
      <c r="BJ1357" s="9">
        <f>IF(BB1357="","",IF(BB1357="Non-viable","Non-viable",IF(BB1357="Viable","Viable",IF(BB1357="Partially non-viable",IF(OR(BD1357="Total splenectomy",BD1357="Partial splenectomy +/- splenopexy"),"Non-viable","Review"),IF(BB1357="NR",IF(OR(BD1357="Total splenectomy",BD1357="Partial splenectomy +/- splenopexy"),"NR - removed, check reason","NR"),"Not applicable")))))</f>
        <v/>
      </c>
    </row>
    <row r="1358">
      <c r="D1358" s="8" t="n"/>
      <c r="E1358" s="9">
        <f>IF(B1358="","",IF(B1358="OWN","Yes","No"))</f>
        <v/>
      </c>
      <c r="AF1358" s="9">
        <f>IF(ISNUMBER(Z1358),IF(Z1358&lt;=2,"&lt;=2 d",IF(Z1358&lt;=7,"3-7 d",IF(Z1358&lt;=30,"8-30 d","&gt;30 d"))),IF(AE1358&lt;&gt;"",AE1358,IF(Z1358="NR","NR","")))</f>
        <v/>
      </c>
      <c r="AX1358" s="9">
        <f>IF(ISNUMBER(AW1358),IF(AW1358&gt;450,"Yes","No"),IF(AW1358="NR","NR",""))</f>
        <v/>
      </c>
      <c r="BJ1358" s="9">
        <f>IF(BB1358="","",IF(BB1358="Non-viable","Non-viable",IF(BB1358="Viable","Viable",IF(BB1358="Partially non-viable",IF(OR(BD1358="Total splenectomy",BD1358="Partial splenectomy +/- splenopexy"),"Non-viable","Review"),IF(BB1358="NR",IF(OR(BD1358="Total splenectomy",BD1358="Partial splenectomy +/- splenopexy"),"NR - removed, check reason","NR"),"Not applicable")))))</f>
        <v/>
      </c>
    </row>
    <row r="1359">
      <c r="D1359" s="8" t="n"/>
      <c r="E1359" s="9">
        <f>IF(B1359="","",IF(B1359="OWN","Yes","No"))</f>
        <v/>
      </c>
      <c r="AF1359" s="9">
        <f>IF(ISNUMBER(Z1359),IF(Z1359&lt;=2,"&lt;=2 d",IF(Z1359&lt;=7,"3-7 d",IF(Z1359&lt;=30,"8-30 d","&gt;30 d"))),IF(AE1359&lt;&gt;"",AE1359,IF(Z1359="NR","NR","")))</f>
        <v/>
      </c>
      <c r="AX1359" s="9">
        <f>IF(ISNUMBER(AW1359),IF(AW1359&gt;450,"Yes","No"),IF(AW1359="NR","NR",""))</f>
        <v/>
      </c>
      <c r="BJ1359" s="9">
        <f>IF(BB1359="","",IF(BB1359="Non-viable","Non-viable",IF(BB1359="Viable","Viable",IF(BB1359="Partially non-viable",IF(OR(BD1359="Total splenectomy",BD1359="Partial splenectomy +/- splenopexy"),"Non-viable","Review"),IF(BB1359="NR",IF(OR(BD1359="Total splenectomy",BD1359="Partial splenectomy +/- splenopexy"),"NR - removed, check reason","NR"),"Not applicable")))))</f>
        <v/>
      </c>
    </row>
    <row r="1360">
      <c r="D1360" s="8" t="n"/>
      <c r="E1360" s="9">
        <f>IF(B1360="","",IF(B1360="OWN","Yes","No"))</f>
        <v/>
      </c>
      <c r="AF1360" s="9">
        <f>IF(ISNUMBER(Z1360),IF(Z1360&lt;=2,"&lt;=2 d",IF(Z1360&lt;=7,"3-7 d",IF(Z1360&lt;=30,"8-30 d","&gt;30 d"))),IF(AE1360&lt;&gt;"",AE1360,IF(Z1360="NR","NR","")))</f>
        <v/>
      </c>
      <c r="AX1360" s="9">
        <f>IF(ISNUMBER(AW1360),IF(AW1360&gt;450,"Yes","No"),IF(AW1360="NR","NR",""))</f>
        <v/>
      </c>
      <c r="BJ1360" s="9">
        <f>IF(BB1360="","",IF(BB1360="Non-viable","Non-viable",IF(BB1360="Viable","Viable",IF(BB1360="Partially non-viable",IF(OR(BD1360="Total splenectomy",BD1360="Partial splenectomy +/- splenopexy"),"Non-viable","Review"),IF(BB1360="NR",IF(OR(BD1360="Total splenectomy",BD1360="Partial splenectomy +/- splenopexy"),"NR - removed, check reason","NR"),"Not applicable")))))</f>
        <v/>
      </c>
    </row>
    <row r="1361">
      <c r="D1361" s="8" t="n"/>
      <c r="E1361" s="9">
        <f>IF(B1361="","",IF(B1361="OWN","Yes","No"))</f>
        <v/>
      </c>
      <c r="AF1361" s="9">
        <f>IF(ISNUMBER(Z1361),IF(Z1361&lt;=2,"&lt;=2 d",IF(Z1361&lt;=7,"3-7 d",IF(Z1361&lt;=30,"8-30 d","&gt;30 d"))),IF(AE1361&lt;&gt;"",AE1361,IF(Z1361="NR","NR","")))</f>
        <v/>
      </c>
      <c r="AX1361" s="9">
        <f>IF(ISNUMBER(AW1361),IF(AW1361&gt;450,"Yes","No"),IF(AW1361="NR","NR",""))</f>
        <v/>
      </c>
      <c r="BJ1361" s="9">
        <f>IF(BB1361="","",IF(BB1361="Non-viable","Non-viable",IF(BB1361="Viable","Viable",IF(BB1361="Partially non-viable",IF(OR(BD1361="Total splenectomy",BD1361="Partial splenectomy +/- splenopexy"),"Non-viable","Review"),IF(BB1361="NR",IF(OR(BD1361="Total splenectomy",BD1361="Partial splenectomy +/- splenopexy"),"NR - removed, check reason","NR"),"Not applicable")))))</f>
        <v/>
      </c>
    </row>
    <row r="1362">
      <c r="D1362" s="8" t="n"/>
      <c r="E1362" s="9">
        <f>IF(B1362="","",IF(B1362="OWN","Yes","No"))</f>
        <v/>
      </c>
      <c r="AF1362" s="9">
        <f>IF(ISNUMBER(Z1362),IF(Z1362&lt;=2,"&lt;=2 d",IF(Z1362&lt;=7,"3-7 d",IF(Z1362&lt;=30,"8-30 d","&gt;30 d"))),IF(AE1362&lt;&gt;"",AE1362,IF(Z1362="NR","NR","")))</f>
        <v/>
      </c>
      <c r="AX1362" s="9">
        <f>IF(ISNUMBER(AW1362),IF(AW1362&gt;450,"Yes","No"),IF(AW1362="NR","NR",""))</f>
        <v/>
      </c>
      <c r="BJ1362" s="9">
        <f>IF(BB1362="","",IF(BB1362="Non-viable","Non-viable",IF(BB1362="Viable","Viable",IF(BB1362="Partially non-viable",IF(OR(BD1362="Total splenectomy",BD1362="Partial splenectomy +/- splenopexy"),"Non-viable","Review"),IF(BB1362="NR",IF(OR(BD1362="Total splenectomy",BD1362="Partial splenectomy +/- splenopexy"),"NR - removed, check reason","NR"),"Not applicable")))))</f>
        <v/>
      </c>
    </row>
    <row r="1363">
      <c r="D1363" s="8" t="n"/>
      <c r="E1363" s="9">
        <f>IF(B1363="","",IF(B1363="OWN","Yes","No"))</f>
        <v/>
      </c>
      <c r="AF1363" s="9">
        <f>IF(ISNUMBER(Z1363),IF(Z1363&lt;=2,"&lt;=2 d",IF(Z1363&lt;=7,"3-7 d",IF(Z1363&lt;=30,"8-30 d","&gt;30 d"))),IF(AE1363&lt;&gt;"",AE1363,IF(Z1363="NR","NR","")))</f>
        <v/>
      </c>
      <c r="AX1363" s="9">
        <f>IF(ISNUMBER(AW1363),IF(AW1363&gt;450,"Yes","No"),IF(AW1363="NR","NR",""))</f>
        <v/>
      </c>
      <c r="BJ1363" s="9">
        <f>IF(BB1363="","",IF(BB1363="Non-viable","Non-viable",IF(BB1363="Viable","Viable",IF(BB1363="Partially non-viable",IF(OR(BD1363="Total splenectomy",BD1363="Partial splenectomy +/- splenopexy"),"Non-viable","Review"),IF(BB1363="NR",IF(OR(BD1363="Total splenectomy",BD1363="Partial splenectomy +/- splenopexy"),"NR - removed, check reason","NR"),"Not applicable")))))</f>
        <v/>
      </c>
    </row>
    <row r="1364">
      <c r="D1364" s="8" t="n"/>
      <c r="E1364" s="9">
        <f>IF(B1364="","",IF(B1364="OWN","Yes","No"))</f>
        <v/>
      </c>
      <c r="AF1364" s="9">
        <f>IF(ISNUMBER(Z1364),IF(Z1364&lt;=2,"&lt;=2 d",IF(Z1364&lt;=7,"3-7 d",IF(Z1364&lt;=30,"8-30 d","&gt;30 d"))),IF(AE1364&lt;&gt;"",AE1364,IF(Z1364="NR","NR","")))</f>
        <v/>
      </c>
      <c r="AX1364" s="9">
        <f>IF(ISNUMBER(AW1364),IF(AW1364&gt;450,"Yes","No"),IF(AW1364="NR","NR",""))</f>
        <v/>
      </c>
      <c r="BJ1364" s="9">
        <f>IF(BB1364="","",IF(BB1364="Non-viable","Non-viable",IF(BB1364="Viable","Viable",IF(BB1364="Partially non-viable",IF(OR(BD1364="Total splenectomy",BD1364="Partial splenectomy +/- splenopexy"),"Non-viable","Review"),IF(BB1364="NR",IF(OR(BD1364="Total splenectomy",BD1364="Partial splenectomy +/- splenopexy"),"NR - removed, check reason","NR"),"Not applicable")))))</f>
        <v/>
      </c>
    </row>
    <row r="1365">
      <c r="D1365" s="8" t="n"/>
      <c r="E1365" s="9">
        <f>IF(B1365="","",IF(B1365="OWN","Yes","No"))</f>
        <v/>
      </c>
      <c r="AF1365" s="9">
        <f>IF(ISNUMBER(Z1365),IF(Z1365&lt;=2,"&lt;=2 d",IF(Z1365&lt;=7,"3-7 d",IF(Z1365&lt;=30,"8-30 d","&gt;30 d"))),IF(AE1365&lt;&gt;"",AE1365,IF(Z1365="NR","NR","")))</f>
        <v/>
      </c>
      <c r="AX1365" s="9">
        <f>IF(ISNUMBER(AW1365),IF(AW1365&gt;450,"Yes","No"),IF(AW1365="NR","NR",""))</f>
        <v/>
      </c>
      <c r="BJ1365" s="9">
        <f>IF(BB1365="","",IF(BB1365="Non-viable","Non-viable",IF(BB1365="Viable","Viable",IF(BB1365="Partially non-viable",IF(OR(BD1365="Total splenectomy",BD1365="Partial splenectomy +/- splenopexy"),"Non-viable","Review"),IF(BB1365="NR",IF(OR(BD1365="Total splenectomy",BD1365="Partial splenectomy +/- splenopexy"),"NR - removed, check reason","NR"),"Not applicable")))))</f>
        <v/>
      </c>
    </row>
    <row r="1366">
      <c r="D1366" s="8" t="n"/>
      <c r="E1366" s="9">
        <f>IF(B1366="","",IF(B1366="OWN","Yes","No"))</f>
        <v/>
      </c>
      <c r="AF1366" s="9">
        <f>IF(ISNUMBER(Z1366),IF(Z1366&lt;=2,"&lt;=2 d",IF(Z1366&lt;=7,"3-7 d",IF(Z1366&lt;=30,"8-30 d","&gt;30 d"))),IF(AE1366&lt;&gt;"",AE1366,IF(Z1366="NR","NR","")))</f>
        <v/>
      </c>
      <c r="AX1366" s="9">
        <f>IF(ISNUMBER(AW1366),IF(AW1366&gt;450,"Yes","No"),IF(AW1366="NR","NR",""))</f>
        <v/>
      </c>
      <c r="BJ1366" s="9">
        <f>IF(BB1366="","",IF(BB1366="Non-viable","Non-viable",IF(BB1366="Viable","Viable",IF(BB1366="Partially non-viable",IF(OR(BD1366="Total splenectomy",BD1366="Partial splenectomy +/- splenopexy"),"Non-viable","Review"),IF(BB1366="NR",IF(OR(BD1366="Total splenectomy",BD1366="Partial splenectomy +/- splenopexy"),"NR - removed, check reason","NR"),"Not applicable")))))</f>
        <v/>
      </c>
    </row>
    <row r="1367">
      <c r="D1367" s="8" t="n"/>
      <c r="E1367" s="9">
        <f>IF(B1367="","",IF(B1367="OWN","Yes","No"))</f>
        <v/>
      </c>
      <c r="AF1367" s="9">
        <f>IF(ISNUMBER(Z1367),IF(Z1367&lt;=2,"&lt;=2 d",IF(Z1367&lt;=7,"3-7 d",IF(Z1367&lt;=30,"8-30 d","&gt;30 d"))),IF(AE1367&lt;&gt;"",AE1367,IF(Z1367="NR","NR","")))</f>
        <v/>
      </c>
      <c r="AX1367" s="9">
        <f>IF(ISNUMBER(AW1367),IF(AW1367&gt;450,"Yes","No"),IF(AW1367="NR","NR",""))</f>
        <v/>
      </c>
      <c r="BJ1367" s="9">
        <f>IF(BB1367="","",IF(BB1367="Non-viable","Non-viable",IF(BB1367="Viable","Viable",IF(BB1367="Partially non-viable",IF(OR(BD1367="Total splenectomy",BD1367="Partial splenectomy +/- splenopexy"),"Non-viable","Review"),IF(BB1367="NR",IF(OR(BD1367="Total splenectomy",BD1367="Partial splenectomy +/- splenopexy"),"NR - removed, check reason","NR"),"Not applicable")))))</f>
        <v/>
      </c>
    </row>
    <row r="1368">
      <c r="D1368" s="8" t="n"/>
      <c r="E1368" s="9">
        <f>IF(B1368="","",IF(B1368="OWN","Yes","No"))</f>
        <v/>
      </c>
      <c r="AF1368" s="9">
        <f>IF(ISNUMBER(Z1368),IF(Z1368&lt;=2,"&lt;=2 d",IF(Z1368&lt;=7,"3-7 d",IF(Z1368&lt;=30,"8-30 d","&gt;30 d"))),IF(AE1368&lt;&gt;"",AE1368,IF(Z1368="NR","NR","")))</f>
        <v/>
      </c>
      <c r="AX1368" s="9">
        <f>IF(ISNUMBER(AW1368),IF(AW1368&gt;450,"Yes","No"),IF(AW1368="NR","NR",""))</f>
        <v/>
      </c>
      <c r="BJ1368" s="9">
        <f>IF(BB1368="","",IF(BB1368="Non-viable","Non-viable",IF(BB1368="Viable","Viable",IF(BB1368="Partially non-viable",IF(OR(BD1368="Total splenectomy",BD1368="Partial splenectomy +/- splenopexy"),"Non-viable","Review"),IF(BB1368="NR",IF(OR(BD1368="Total splenectomy",BD1368="Partial splenectomy +/- splenopexy"),"NR - removed, check reason","NR"),"Not applicable")))))</f>
        <v/>
      </c>
    </row>
    <row r="1369">
      <c r="D1369" s="8" t="n"/>
      <c r="E1369" s="9">
        <f>IF(B1369="","",IF(B1369="OWN","Yes","No"))</f>
        <v/>
      </c>
      <c r="AF1369" s="9">
        <f>IF(ISNUMBER(Z1369),IF(Z1369&lt;=2,"&lt;=2 d",IF(Z1369&lt;=7,"3-7 d",IF(Z1369&lt;=30,"8-30 d","&gt;30 d"))),IF(AE1369&lt;&gt;"",AE1369,IF(Z1369="NR","NR","")))</f>
        <v/>
      </c>
      <c r="AX1369" s="9">
        <f>IF(ISNUMBER(AW1369),IF(AW1369&gt;450,"Yes","No"),IF(AW1369="NR","NR",""))</f>
        <v/>
      </c>
      <c r="BJ1369" s="9">
        <f>IF(BB1369="","",IF(BB1369="Non-viable","Non-viable",IF(BB1369="Viable","Viable",IF(BB1369="Partially non-viable",IF(OR(BD1369="Total splenectomy",BD1369="Partial splenectomy +/- splenopexy"),"Non-viable","Review"),IF(BB1369="NR",IF(OR(BD1369="Total splenectomy",BD1369="Partial splenectomy +/- splenopexy"),"NR - removed, check reason","NR"),"Not applicable")))))</f>
        <v/>
      </c>
    </row>
    <row r="1370">
      <c r="D1370" s="8" t="n"/>
      <c r="E1370" s="9">
        <f>IF(B1370="","",IF(B1370="OWN","Yes","No"))</f>
        <v/>
      </c>
      <c r="AF1370" s="9">
        <f>IF(ISNUMBER(Z1370),IF(Z1370&lt;=2,"&lt;=2 d",IF(Z1370&lt;=7,"3-7 d",IF(Z1370&lt;=30,"8-30 d","&gt;30 d"))),IF(AE1370&lt;&gt;"",AE1370,IF(Z1370="NR","NR","")))</f>
        <v/>
      </c>
      <c r="AX1370" s="9">
        <f>IF(ISNUMBER(AW1370),IF(AW1370&gt;450,"Yes","No"),IF(AW1370="NR","NR",""))</f>
        <v/>
      </c>
      <c r="BJ1370" s="9">
        <f>IF(BB1370="","",IF(BB1370="Non-viable","Non-viable",IF(BB1370="Viable","Viable",IF(BB1370="Partially non-viable",IF(OR(BD1370="Total splenectomy",BD1370="Partial splenectomy +/- splenopexy"),"Non-viable","Review"),IF(BB1370="NR",IF(OR(BD1370="Total splenectomy",BD1370="Partial splenectomy +/- splenopexy"),"NR - removed, check reason","NR"),"Not applicable")))))</f>
        <v/>
      </c>
    </row>
    <row r="1371">
      <c r="D1371" s="8" t="n"/>
      <c r="E1371" s="9">
        <f>IF(B1371="","",IF(B1371="OWN","Yes","No"))</f>
        <v/>
      </c>
      <c r="AF1371" s="9">
        <f>IF(ISNUMBER(Z1371),IF(Z1371&lt;=2,"&lt;=2 d",IF(Z1371&lt;=7,"3-7 d",IF(Z1371&lt;=30,"8-30 d","&gt;30 d"))),IF(AE1371&lt;&gt;"",AE1371,IF(Z1371="NR","NR","")))</f>
        <v/>
      </c>
      <c r="AX1371" s="9">
        <f>IF(ISNUMBER(AW1371),IF(AW1371&gt;450,"Yes","No"),IF(AW1371="NR","NR",""))</f>
        <v/>
      </c>
      <c r="BJ1371" s="9">
        <f>IF(BB1371="","",IF(BB1371="Non-viable","Non-viable",IF(BB1371="Viable","Viable",IF(BB1371="Partially non-viable",IF(OR(BD1371="Total splenectomy",BD1371="Partial splenectomy +/- splenopexy"),"Non-viable","Review"),IF(BB1371="NR",IF(OR(BD1371="Total splenectomy",BD1371="Partial splenectomy +/- splenopexy"),"NR - removed, check reason","NR"),"Not applicable")))))</f>
        <v/>
      </c>
    </row>
    <row r="1372">
      <c r="D1372" s="8" t="n"/>
      <c r="E1372" s="9">
        <f>IF(B1372="","",IF(B1372="OWN","Yes","No"))</f>
        <v/>
      </c>
      <c r="AF1372" s="9">
        <f>IF(ISNUMBER(Z1372),IF(Z1372&lt;=2,"&lt;=2 d",IF(Z1372&lt;=7,"3-7 d",IF(Z1372&lt;=30,"8-30 d","&gt;30 d"))),IF(AE1372&lt;&gt;"",AE1372,IF(Z1372="NR","NR","")))</f>
        <v/>
      </c>
      <c r="AX1372" s="9">
        <f>IF(ISNUMBER(AW1372),IF(AW1372&gt;450,"Yes","No"),IF(AW1372="NR","NR",""))</f>
        <v/>
      </c>
      <c r="BJ1372" s="9">
        <f>IF(BB1372="","",IF(BB1372="Non-viable","Non-viable",IF(BB1372="Viable","Viable",IF(BB1372="Partially non-viable",IF(OR(BD1372="Total splenectomy",BD1372="Partial splenectomy +/- splenopexy"),"Non-viable","Review"),IF(BB1372="NR",IF(OR(BD1372="Total splenectomy",BD1372="Partial splenectomy +/- splenopexy"),"NR - removed, check reason","NR"),"Not applicable")))))</f>
        <v/>
      </c>
    </row>
    <row r="1373">
      <c r="D1373" s="8" t="n"/>
      <c r="E1373" s="9">
        <f>IF(B1373="","",IF(B1373="OWN","Yes","No"))</f>
        <v/>
      </c>
      <c r="AF1373" s="9">
        <f>IF(ISNUMBER(Z1373),IF(Z1373&lt;=2,"&lt;=2 d",IF(Z1373&lt;=7,"3-7 d",IF(Z1373&lt;=30,"8-30 d","&gt;30 d"))),IF(AE1373&lt;&gt;"",AE1373,IF(Z1373="NR","NR","")))</f>
        <v/>
      </c>
      <c r="AX1373" s="9">
        <f>IF(ISNUMBER(AW1373),IF(AW1373&gt;450,"Yes","No"),IF(AW1373="NR","NR",""))</f>
        <v/>
      </c>
      <c r="BJ1373" s="9">
        <f>IF(BB1373="","",IF(BB1373="Non-viable","Non-viable",IF(BB1373="Viable","Viable",IF(BB1373="Partially non-viable",IF(OR(BD1373="Total splenectomy",BD1373="Partial splenectomy +/- splenopexy"),"Non-viable","Review"),IF(BB1373="NR",IF(OR(BD1373="Total splenectomy",BD1373="Partial splenectomy +/- splenopexy"),"NR - removed, check reason","NR"),"Not applicable")))))</f>
        <v/>
      </c>
    </row>
    <row r="1374">
      <c r="D1374" s="8" t="n"/>
      <c r="E1374" s="9">
        <f>IF(B1374="","",IF(B1374="OWN","Yes","No"))</f>
        <v/>
      </c>
      <c r="AF1374" s="9">
        <f>IF(ISNUMBER(Z1374),IF(Z1374&lt;=2,"&lt;=2 d",IF(Z1374&lt;=7,"3-7 d",IF(Z1374&lt;=30,"8-30 d","&gt;30 d"))),IF(AE1374&lt;&gt;"",AE1374,IF(Z1374="NR","NR","")))</f>
        <v/>
      </c>
      <c r="AX1374" s="9">
        <f>IF(ISNUMBER(AW1374),IF(AW1374&gt;450,"Yes","No"),IF(AW1374="NR","NR",""))</f>
        <v/>
      </c>
      <c r="BJ1374" s="9">
        <f>IF(BB1374="","",IF(BB1374="Non-viable","Non-viable",IF(BB1374="Viable","Viable",IF(BB1374="Partially non-viable",IF(OR(BD1374="Total splenectomy",BD1374="Partial splenectomy +/- splenopexy"),"Non-viable","Review"),IF(BB1374="NR",IF(OR(BD1374="Total splenectomy",BD1374="Partial splenectomy +/- splenopexy"),"NR - removed, check reason","NR"),"Not applicable")))))</f>
        <v/>
      </c>
    </row>
    <row r="1375">
      <c r="D1375" s="8" t="n"/>
      <c r="E1375" s="9">
        <f>IF(B1375="","",IF(B1375="OWN","Yes","No"))</f>
        <v/>
      </c>
      <c r="AF1375" s="9">
        <f>IF(ISNUMBER(Z1375),IF(Z1375&lt;=2,"&lt;=2 d",IF(Z1375&lt;=7,"3-7 d",IF(Z1375&lt;=30,"8-30 d","&gt;30 d"))),IF(AE1375&lt;&gt;"",AE1375,IF(Z1375="NR","NR","")))</f>
        <v/>
      </c>
      <c r="AX1375" s="9">
        <f>IF(ISNUMBER(AW1375),IF(AW1375&gt;450,"Yes","No"),IF(AW1375="NR","NR",""))</f>
        <v/>
      </c>
      <c r="BJ1375" s="9">
        <f>IF(BB1375="","",IF(BB1375="Non-viable","Non-viable",IF(BB1375="Viable","Viable",IF(BB1375="Partially non-viable",IF(OR(BD1375="Total splenectomy",BD1375="Partial splenectomy +/- splenopexy"),"Non-viable","Review"),IF(BB1375="NR",IF(OR(BD1375="Total splenectomy",BD1375="Partial splenectomy +/- splenopexy"),"NR - removed, check reason","NR"),"Not applicable")))))</f>
        <v/>
      </c>
    </row>
    <row r="1376">
      <c r="D1376" s="8" t="n"/>
      <c r="E1376" s="9">
        <f>IF(B1376="","",IF(B1376="OWN","Yes","No"))</f>
        <v/>
      </c>
      <c r="AF1376" s="9">
        <f>IF(ISNUMBER(Z1376),IF(Z1376&lt;=2,"&lt;=2 d",IF(Z1376&lt;=7,"3-7 d",IF(Z1376&lt;=30,"8-30 d","&gt;30 d"))),IF(AE1376&lt;&gt;"",AE1376,IF(Z1376="NR","NR","")))</f>
        <v/>
      </c>
      <c r="AX1376" s="9">
        <f>IF(ISNUMBER(AW1376),IF(AW1376&gt;450,"Yes","No"),IF(AW1376="NR","NR",""))</f>
        <v/>
      </c>
      <c r="BJ1376" s="9">
        <f>IF(BB1376="","",IF(BB1376="Non-viable","Non-viable",IF(BB1376="Viable","Viable",IF(BB1376="Partially non-viable",IF(OR(BD1376="Total splenectomy",BD1376="Partial splenectomy +/- splenopexy"),"Non-viable","Review"),IF(BB1376="NR",IF(OR(BD1376="Total splenectomy",BD1376="Partial splenectomy +/- splenopexy"),"NR - removed, check reason","NR"),"Not applicable")))))</f>
        <v/>
      </c>
    </row>
    <row r="1377">
      <c r="D1377" s="8" t="n"/>
      <c r="E1377" s="9">
        <f>IF(B1377="","",IF(B1377="OWN","Yes","No"))</f>
        <v/>
      </c>
      <c r="AF1377" s="9">
        <f>IF(ISNUMBER(Z1377),IF(Z1377&lt;=2,"&lt;=2 d",IF(Z1377&lt;=7,"3-7 d",IF(Z1377&lt;=30,"8-30 d","&gt;30 d"))),IF(AE1377&lt;&gt;"",AE1377,IF(Z1377="NR","NR","")))</f>
        <v/>
      </c>
      <c r="AX1377" s="9">
        <f>IF(ISNUMBER(AW1377),IF(AW1377&gt;450,"Yes","No"),IF(AW1377="NR","NR",""))</f>
        <v/>
      </c>
      <c r="BJ1377" s="9">
        <f>IF(BB1377="","",IF(BB1377="Non-viable","Non-viable",IF(BB1377="Viable","Viable",IF(BB1377="Partially non-viable",IF(OR(BD1377="Total splenectomy",BD1377="Partial splenectomy +/- splenopexy"),"Non-viable","Review"),IF(BB1377="NR",IF(OR(BD1377="Total splenectomy",BD1377="Partial splenectomy +/- splenopexy"),"NR - removed, check reason","NR"),"Not applicable")))))</f>
        <v/>
      </c>
    </row>
    <row r="1378">
      <c r="D1378" s="8" t="n"/>
      <c r="E1378" s="9">
        <f>IF(B1378="","",IF(B1378="OWN","Yes","No"))</f>
        <v/>
      </c>
      <c r="AF1378" s="9">
        <f>IF(ISNUMBER(Z1378),IF(Z1378&lt;=2,"&lt;=2 d",IF(Z1378&lt;=7,"3-7 d",IF(Z1378&lt;=30,"8-30 d","&gt;30 d"))),IF(AE1378&lt;&gt;"",AE1378,IF(Z1378="NR","NR","")))</f>
        <v/>
      </c>
      <c r="AX1378" s="9">
        <f>IF(ISNUMBER(AW1378),IF(AW1378&gt;450,"Yes","No"),IF(AW1378="NR","NR",""))</f>
        <v/>
      </c>
      <c r="BJ1378" s="9">
        <f>IF(BB1378="","",IF(BB1378="Non-viable","Non-viable",IF(BB1378="Viable","Viable",IF(BB1378="Partially non-viable",IF(OR(BD1378="Total splenectomy",BD1378="Partial splenectomy +/- splenopexy"),"Non-viable","Review"),IF(BB1378="NR",IF(OR(BD1378="Total splenectomy",BD1378="Partial splenectomy +/- splenopexy"),"NR - removed, check reason","NR"),"Not applicable")))))</f>
        <v/>
      </c>
    </row>
    <row r="1379">
      <c r="D1379" s="8" t="n"/>
      <c r="E1379" s="9">
        <f>IF(B1379="","",IF(B1379="OWN","Yes","No"))</f>
        <v/>
      </c>
      <c r="AF1379" s="9">
        <f>IF(ISNUMBER(Z1379),IF(Z1379&lt;=2,"&lt;=2 d",IF(Z1379&lt;=7,"3-7 d",IF(Z1379&lt;=30,"8-30 d","&gt;30 d"))),IF(AE1379&lt;&gt;"",AE1379,IF(Z1379="NR","NR","")))</f>
        <v/>
      </c>
      <c r="AX1379" s="9">
        <f>IF(ISNUMBER(AW1379),IF(AW1379&gt;450,"Yes","No"),IF(AW1379="NR","NR",""))</f>
        <v/>
      </c>
      <c r="BJ1379" s="9">
        <f>IF(BB1379="","",IF(BB1379="Non-viable","Non-viable",IF(BB1379="Viable","Viable",IF(BB1379="Partially non-viable",IF(OR(BD1379="Total splenectomy",BD1379="Partial splenectomy +/- splenopexy"),"Non-viable","Review"),IF(BB1379="NR",IF(OR(BD1379="Total splenectomy",BD1379="Partial splenectomy +/- splenopexy"),"NR - removed, check reason","NR"),"Not applicable")))))</f>
        <v/>
      </c>
    </row>
    <row r="1380">
      <c r="D1380" s="8" t="n"/>
      <c r="E1380" s="9">
        <f>IF(B1380="","",IF(B1380="OWN","Yes","No"))</f>
        <v/>
      </c>
      <c r="AF1380" s="9">
        <f>IF(ISNUMBER(Z1380),IF(Z1380&lt;=2,"&lt;=2 d",IF(Z1380&lt;=7,"3-7 d",IF(Z1380&lt;=30,"8-30 d","&gt;30 d"))),IF(AE1380&lt;&gt;"",AE1380,IF(Z1380="NR","NR","")))</f>
        <v/>
      </c>
      <c r="AX1380" s="9">
        <f>IF(ISNUMBER(AW1380),IF(AW1380&gt;450,"Yes","No"),IF(AW1380="NR","NR",""))</f>
        <v/>
      </c>
      <c r="BJ1380" s="9">
        <f>IF(BB1380="","",IF(BB1380="Non-viable","Non-viable",IF(BB1380="Viable","Viable",IF(BB1380="Partially non-viable",IF(OR(BD1380="Total splenectomy",BD1380="Partial splenectomy +/- splenopexy"),"Non-viable","Review"),IF(BB1380="NR",IF(OR(BD1380="Total splenectomy",BD1380="Partial splenectomy +/- splenopexy"),"NR - removed, check reason","NR"),"Not applicable")))))</f>
        <v/>
      </c>
    </row>
    <row r="1381">
      <c r="D1381" s="8" t="n"/>
      <c r="E1381" s="9">
        <f>IF(B1381="","",IF(B1381="OWN","Yes","No"))</f>
        <v/>
      </c>
      <c r="AF1381" s="9">
        <f>IF(ISNUMBER(Z1381),IF(Z1381&lt;=2,"&lt;=2 d",IF(Z1381&lt;=7,"3-7 d",IF(Z1381&lt;=30,"8-30 d","&gt;30 d"))),IF(AE1381&lt;&gt;"",AE1381,IF(Z1381="NR","NR","")))</f>
        <v/>
      </c>
      <c r="AX1381" s="9">
        <f>IF(ISNUMBER(AW1381),IF(AW1381&gt;450,"Yes","No"),IF(AW1381="NR","NR",""))</f>
        <v/>
      </c>
      <c r="BJ1381" s="9">
        <f>IF(BB1381="","",IF(BB1381="Non-viable","Non-viable",IF(BB1381="Viable","Viable",IF(BB1381="Partially non-viable",IF(OR(BD1381="Total splenectomy",BD1381="Partial splenectomy +/- splenopexy"),"Non-viable","Review"),IF(BB1381="NR",IF(OR(BD1381="Total splenectomy",BD1381="Partial splenectomy +/- splenopexy"),"NR - removed, check reason","NR"),"Not applicable")))))</f>
        <v/>
      </c>
    </row>
    <row r="1382">
      <c r="D1382" s="8" t="n"/>
      <c r="E1382" s="9">
        <f>IF(B1382="","",IF(B1382="OWN","Yes","No"))</f>
        <v/>
      </c>
      <c r="AF1382" s="9">
        <f>IF(ISNUMBER(Z1382),IF(Z1382&lt;=2,"&lt;=2 d",IF(Z1382&lt;=7,"3-7 d",IF(Z1382&lt;=30,"8-30 d","&gt;30 d"))),IF(AE1382&lt;&gt;"",AE1382,IF(Z1382="NR","NR","")))</f>
        <v/>
      </c>
      <c r="AX1382" s="9">
        <f>IF(ISNUMBER(AW1382),IF(AW1382&gt;450,"Yes","No"),IF(AW1382="NR","NR",""))</f>
        <v/>
      </c>
      <c r="BJ1382" s="9">
        <f>IF(BB1382="","",IF(BB1382="Non-viable","Non-viable",IF(BB1382="Viable","Viable",IF(BB1382="Partially non-viable",IF(OR(BD1382="Total splenectomy",BD1382="Partial splenectomy +/- splenopexy"),"Non-viable","Review"),IF(BB1382="NR",IF(OR(BD1382="Total splenectomy",BD1382="Partial splenectomy +/- splenopexy"),"NR - removed, check reason","NR"),"Not applicable")))))</f>
        <v/>
      </c>
    </row>
    <row r="1383">
      <c r="D1383" s="8" t="n"/>
      <c r="E1383" s="9">
        <f>IF(B1383="","",IF(B1383="OWN","Yes","No"))</f>
        <v/>
      </c>
      <c r="AF1383" s="9">
        <f>IF(ISNUMBER(Z1383),IF(Z1383&lt;=2,"&lt;=2 d",IF(Z1383&lt;=7,"3-7 d",IF(Z1383&lt;=30,"8-30 d","&gt;30 d"))),IF(AE1383&lt;&gt;"",AE1383,IF(Z1383="NR","NR","")))</f>
        <v/>
      </c>
      <c r="AX1383" s="9">
        <f>IF(ISNUMBER(AW1383),IF(AW1383&gt;450,"Yes","No"),IF(AW1383="NR","NR",""))</f>
        <v/>
      </c>
      <c r="BJ1383" s="9">
        <f>IF(BB1383="","",IF(BB1383="Non-viable","Non-viable",IF(BB1383="Viable","Viable",IF(BB1383="Partially non-viable",IF(OR(BD1383="Total splenectomy",BD1383="Partial splenectomy +/- splenopexy"),"Non-viable","Review"),IF(BB1383="NR",IF(OR(BD1383="Total splenectomy",BD1383="Partial splenectomy +/- splenopexy"),"NR - removed, check reason","NR"),"Not applicable")))))</f>
        <v/>
      </c>
    </row>
    <row r="1384">
      <c r="D1384" s="8" t="n"/>
      <c r="E1384" s="9">
        <f>IF(B1384="","",IF(B1384="OWN","Yes","No"))</f>
        <v/>
      </c>
      <c r="AF1384" s="9">
        <f>IF(ISNUMBER(Z1384),IF(Z1384&lt;=2,"&lt;=2 d",IF(Z1384&lt;=7,"3-7 d",IF(Z1384&lt;=30,"8-30 d","&gt;30 d"))),IF(AE1384&lt;&gt;"",AE1384,IF(Z1384="NR","NR","")))</f>
        <v/>
      </c>
      <c r="AX1384" s="9">
        <f>IF(ISNUMBER(AW1384),IF(AW1384&gt;450,"Yes","No"),IF(AW1384="NR","NR",""))</f>
        <v/>
      </c>
      <c r="BJ1384" s="9">
        <f>IF(BB1384="","",IF(BB1384="Non-viable","Non-viable",IF(BB1384="Viable","Viable",IF(BB1384="Partially non-viable",IF(OR(BD1384="Total splenectomy",BD1384="Partial splenectomy +/- splenopexy"),"Non-viable","Review"),IF(BB1384="NR",IF(OR(BD1384="Total splenectomy",BD1384="Partial splenectomy +/- splenopexy"),"NR - removed, check reason","NR"),"Not applicable")))))</f>
        <v/>
      </c>
    </row>
    <row r="1385">
      <c r="D1385" s="8" t="n"/>
      <c r="E1385" s="9">
        <f>IF(B1385="","",IF(B1385="OWN","Yes","No"))</f>
        <v/>
      </c>
      <c r="AF1385" s="9">
        <f>IF(ISNUMBER(Z1385),IF(Z1385&lt;=2,"&lt;=2 d",IF(Z1385&lt;=7,"3-7 d",IF(Z1385&lt;=30,"8-30 d","&gt;30 d"))),IF(AE1385&lt;&gt;"",AE1385,IF(Z1385="NR","NR","")))</f>
        <v/>
      </c>
      <c r="AX1385" s="9">
        <f>IF(ISNUMBER(AW1385),IF(AW1385&gt;450,"Yes","No"),IF(AW1385="NR","NR",""))</f>
        <v/>
      </c>
      <c r="BJ1385" s="9">
        <f>IF(BB1385="","",IF(BB1385="Non-viable","Non-viable",IF(BB1385="Viable","Viable",IF(BB1385="Partially non-viable",IF(OR(BD1385="Total splenectomy",BD1385="Partial splenectomy +/- splenopexy"),"Non-viable","Review"),IF(BB1385="NR",IF(OR(BD1385="Total splenectomy",BD1385="Partial splenectomy +/- splenopexy"),"NR - removed, check reason","NR"),"Not applicable")))))</f>
        <v/>
      </c>
    </row>
    <row r="1386">
      <c r="D1386" s="8" t="n"/>
      <c r="E1386" s="9">
        <f>IF(B1386="","",IF(B1386="OWN","Yes","No"))</f>
        <v/>
      </c>
      <c r="AF1386" s="9">
        <f>IF(ISNUMBER(Z1386),IF(Z1386&lt;=2,"&lt;=2 d",IF(Z1386&lt;=7,"3-7 d",IF(Z1386&lt;=30,"8-30 d","&gt;30 d"))),IF(AE1386&lt;&gt;"",AE1386,IF(Z1386="NR","NR","")))</f>
        <v/>
      </c>
      <c r="AX1386" s="9">
        <f>IF(ISNUMBER(AW1386),IF(AW1386&gt;450,"Yes","No"),IF(AW1386="NR","NR",""))</f>
        <v/>
      </c>
      <c r="BJ1386" s="9">
        <f>IF(BB1386="","",IF(BB1386="Non-viable","Non-viable",IF(BB1386="Viable","Viable",IF(BB1386="Partially non-viable",IF(OR(BD1386="Total splenectomy",BD1386="Partial splenectomy +/- splenopexy"),"Non-viable","Review"),IF(BB1386="NR",IF(OR(BD1386="Total splenectomy",BD1386="Partial splenectomy +/- splenopexy"),"NR - removed, check reason","NR"),"Not applicable")))))</f>
        <v/>
      </c>
    </row>
    <row r="1387">
      <c r="D1387" s="8" t="n"/>
      <c r="E1387" s="9">
        <f>IF(B1387="","",IF(B1387="OWN","Yes","No"))</f>
        <v/>
      </c>
      <c r="AF1387" s="9">
        <f>IF(ISNUMBER(Z1387),IF(Z1387&lt;=2,"&lt;=2 d",IF(Z1387&lt;=7,"3-7 d",IF(Z1387&lt;=30,"8-30 d","&gt;30 d"))),IF(AE1387&lt;&gt;"",AE1387,IF(Z1387="NR","NR","")))</f>
        <v/>
      </c>
      <c r="AX1387" s="9">
        <f>IF(ISNUMBER(AW1387),IF(AW1387&gt;450,"Yes","No"),IF(AW1387="NR","NR",""))</f>
        <v/>
      </c>
      <c r="BJ1387" s="9">
        <f>IF(BB1387="","",IF(BB1387="Non-viable","Non-viable",IF(BB1387="Viable","Viable",IF(BB1387="Partially non-viable",IF(OR(BD1387="Total splenectomy",BD1387="Partial splenectomy +/- splenopexy"),"Non-viable","Review"),IF(BB1387="NR",IF(OR(BD1387="Total splenectomy",BD1387="Partial splenectomy +/- splenopexy"),"NR - removed, check reason","NR"),"Not applicable")))))</f>
        <v/>
      </c>
    </row>
    <row r="1388">
      <c r="D1388" s="8" t="n"/>
      <c r="E1388" s="9">
        <f>IF(B1388="","",IF(B1388="OWN","Yes","No"))</f>
        <v/>
      </c>
      <c r="AF1388" s="9">
        <f>IF(ISNUMBER(Z1388),IF(Z1388&lt;=2,"&lt;=2 d",IF(Z1388&lt;=7,"3-7 d",IF(Z1388&lt;=30,"8-30 d","&gt;30 d"))),IF(AE1388&lt;&gt;"",AE1388,IF(Z1388="NR","NR","")))</f>
        <v/>
      </c>
      <c r="AX1388" s="9">
        <f>IF(ISNUMBER(AW1388),IF(AW1388&gt;450,"Yes","No"),IF(AW1388="NR","NR",""))</f>
        <v/>
      </c>
      <c r="BJ1388" s="9">
        <f>IF(BB1388="","",IF(BB1388="Non-viable","Non-viable",IF(BB1388="Viable","Viable",IF(BB1388="Partially non-viable",IF(OR(BD1388="Total splenectomy",BD1388="Partial splenectomy +/- splenopexy"),"Non-viable","Review"),IF(BB1388="NR",IF(OR(BD1388="Total splenectomy",BD1388="Partial splenectomy +/- splenopexy"),"NR - removed, check reason","NR"),"Not applicable")))))</f>
        <v/>
      </c>
    </row>
    <row r="1389">
      <c r="D1389" s="8" t="n"/>
      <c r="E1389" s="9">
        <f>IF(B1389="","",IF(B1389="OWN","Yes","No"))</f>
        <v/>
      </c>
      <c r="AF1389" s="9">
        <f>IF(ISNUMBER(Z1389),IF(Z1389&lt;=2,"&lt;=2 d",IF(Z1389&lt;=7,"3-7 d",IF(Z1389&lt;=30,"8-30 d","&gt;30 d"))),IF(AE1389&lt;&gt;"",AE1389,IF(Z1389="NR","NR","")))</f>
        <v/>
      </c>
      <c r="AX1389" s="9">
        <f>IF(ISNUMBER(AW1389),IF(AW1389&gt;450,"Yes","No"),IF(AW1389="NR","NR",""))</f>
        <v/>
      </c>
      <c r="BJ1389" s="9">
        <f>IF(BB1389="","",IF(BB1389="Non-viable","Non-viable",IF(BB1389="Viable","Viable",IF(BB1389="Partially non-viable",IF(OR(BD1389="Total splenectomy",BD1389="Partial splenectomy +/- splenopexy"),"Non-viable","Review"),IF(BB1389="NR",IF(OR(BD1389="Total splenectomy",BD1389="Partial splenectomy +/- splenopexy"),"NR - removed, check reason","NR"),"Not applicable")))))</f>
        <v/>
      </c>
    </row>
    <row r="1390">
      <c r="D1390" s="8" t="n"/>
      <c r="E1390" s="9">
        <f>IF(B1390="","",IF(B1390="OWN","Yes","No"))</f>
        <v/>
      </c>
      <c r="AF1390" s="9">
        <f>IF(ISNUMBER(Z1390),IF(Z1390&lt;=2,"&lt;=2 d",IF(Z1390&lt;=7,"3-7 d",IF(Z1390&lt;=30,"8-30 d","&gt;30 d"))),IF(AE1390&lt;&gt;"",AE1390,IF(Z1390="NR","NR","")))</f>
        <v/>
      </c>
      <c r="AX1390" s="9">
        <f>IF(ISNUMBER(AW1390),IF(AW1390&gt;450,"Yes","No"),IF(AW1390="NR","NR",""))</f>
        <v/>
      </c>
      <c r="BJ1390" s="9">
        <f>IF(BB1390="","",IF(BB1390="Non-viable","Non-viable",IF(BB1390="Viable","Viable",IF(BB1390="Partially non-viable",IF(OR(BD1390="Total splenectomy",BD1390="Partial splenectomy +/- splenopexy"),"Non-viable","Review"),IF(BB1390="NR",IF(OR(BD1390="Total splenectomy",BD1390="Partial splenectomy +/- splenopexy"),"NR - removed, check reason","NR"),"Not applicable")))))</f>
        <v/>
      </c>
    </row>
    <row r="1391">
      <c r="D1391" s="8" t="n"/>
      <c r="E1391" s="9">
        <f>IF(B1391="","",IF(B1391="OWN","Yes","No"))</f>
        <v/>
      </c>
      <c r="AF1391" s="9">
        <f>IF(ISNUMBER(Z1391),IF(Z1391&lt;=2,"&lt;=2 d",IF(Z1391&lt;=7,"3-7 d",IF(Z1391&lt;=30,"8-30 d","&gt;30 d"))),IF(AE1391&lt;&gt;"",AE1391,IF(Z1391="NR","NR","")))</f>
        <v/>
      </c>
      <c r="AX1391" s="9">
        <f>IF(ISNUMBER(AW1391),IF(AW1391&gt;450,"Yes","No"),IF(AW1391="NR","NR",""))</f>
        <v/>
      </c>
      <c r="BJ1391" s="9">
        <f>IF(BB1391="","",IF(BB1391="Non-viable","Non-viable",IF(BB1391="Viable","Viable",IF(BB1391="Partially non-viable",IF(OR(BD1391="Total splenectomy",BD1391="Partial splenectomy +/- splenopexy"),"Non-viable","Review"),IF(BB1391="NR",IF(OR(BD1391="Total splenectomy",BD1391="Partial splenectomy +/- splenopexy"),"NR - removed, check reason","NR"),"Not applicable")))))</f>
        <v/>
      </c>
    </row>
    <row r="1392">
      <c r="D1392" s="8" t="n"/>
      <c r="E1392" s="9">
        <f>IF(B1392="","",IF(B1392="OWN","Yes","No"))</f>
        <v/>
      </c>
      <c r="AF1392" s="9">
        <f>IF(ISNUMBER(Z1392),IF(Z1392&lt;=2,"&lt;=2 d",IF(Z1392&lt;=7,"3-7 d",IF(Z1392&lt;=30,"8-30 d","&gt;30 d"))),IF(AE1392&lt;&gt;"",AE1392,IF(Z1392="NR","NR","")))</f>
        <v/>
      </c>
      <c r="AX1392" s="9">
        <f>IF(ISNUMBER(AW1392),IF(AW1392&gt;450,"Yes","No"),IF(AW1392="NR","NR",""))</f>
        <v/>
      </c>
      <c r="BJ1392" s="9">
        <f>IF(BB1392="","",IF(BB1392="Non-viable","Non-viable",IF(BB1392="Viable","Viable",IF(BB1392="Partially non-viable",IF(OR(BD1392="Total splenectomy",BD1392="Partial splenectomy +/- splenopexy"),"Non-viable","Review"),IF(BB1392="NR",IF(OR(BD1392="Total splenectomy",BD1392="Partial splenectomy +/- splenopexy"),"NR - removed, check reason","NR"),"Not applicable")))))</f>
        <v/>
      </c>
    </row>
    <row r="1393">
      <c r="D1393" s="8" t="n"/>
      <c r="E1393" s="9">
        <f>IF(B1393="","",IF(B1393="OWN","Yes","No"))</f>
        <v/>
      </c>
      <c r="AF1393" s="9">
        <f>IF(ISNUMBER(Z1393),IF(Z1393&lt;=2,"&lt;=2 d",IF(Z1393&lt;=7,"3-7 d",IF(Z1393&lt;=30,"8-30 d","&gt;30 d"))),IF(AE1393&lt;&gt;"",AE1393,IF(Z1393="NR","NR","")))</f>
        <v/>
      </c>
      <c r="AX1393" s="9">
        <f>IF(ISNUMBER(AW1393),IF(AW1393&gt;450,"Yes","No"),IF(AW1393="NR","NR",""))</f>
        <v/>
      </c>
      <c r="BJ1393" s="9">
        <f>IF(BB1393="","",IF(BB1393="Non-viable","Non-viable",IF(BB1393="Viable","Viable",IF(BB1393="Partially non-viable",IF(OR(BD1393="Total splenectomy",BD1393="Partial splenectomy +/- splenopexy"),"Non-viable","Review"),IF(BB1393="NR",IF(OR(BD1393="Total splenectomy",BD1393="Partial splenectomy +/- splenopexy"),"NR - removed, check reason","NR"),"Not applicable")))))</f>
        <v/>
      </c>
    </row>
    <row r="1394">
      <c r="D1394" s="8" t="n"/>
      <c r="E1394" s="9">
        <f>IF(B1394="","",IF(B1394="OWN","Yes","No"))</f>
        <v/>
      </c>
      <c r="AF1394" s="9">
        <f>IF(ISNUMBER(Z1394),IF(Z1394&lt;=2,"&lt;=2 d",IF(Z1394&lt;=7,"3-7 d",IF(Z1394&lt;=30,"8-30 d","&gt;30 d"))),IF(AE1394&lt;&gt;"",AE1394,IF(Z1394="NR","NR","")))</f>
        <v/>
      </c>
      <c r="AX1394" s="9">
        <f>IF(ISNUMBER(AW1394),IF(AW1394&gt;450,"Yes","No"),IF(AW1394="NR","NR",""))</f>
        <v/>
      </c>
      <c r="BJ1394" s="9">
        <f>IF(BB1394="","",IF(BB1394="Non-viable","Non-viable",IF(BB1394="Viable","Viable",IF(BB1394="Partially non-viable",IF(OR(BD1394="Total splenectomy",BD1394="Partial splenectomy +/- splenopexy"),"Non-viable","Review"),IF(BB1394="NR",IF(OR(BD1394="Total splenectomy",BD1394="Partial splenectomy +/- splenopexy"),"NR - removed, check reason","NR"),"Not applicable")))))</f>
        <v/>
      </c>
    </row>
    <row r="1395">
      <c r="D1395" s="8" t="n"/>
      <c r="E1395" s="9">
        <f>IF(B1395="","",IF(B1395="OWN","Yes","No"))</f>
        <v/>
      </c>
      <c r="AF1395" s="9">
        <f>IF(ISNUMBER(Z1395),IF(Z1395&lt;=2,"&lt;=2 d",IF(Z1395&lt;=7,"3-7 d",IF(Z1395&lt;=30,"8-30 d","&gt;30 d"))),IF(AE1395&lt;&gt;"",AE1395,IF(Z1395="NR","NR","")))</f>
        <v/>
      </c>
      <c r="AX1395" s="9">
        <f>IF(ISNUMBER(AW1395),IF(AW1395&gt;450,"Yes","No"),IF(AW1395="NR","NR",""))</f>
        <v/>
      </c>
      <c r="BJ1395" s="9">
        <f>IF(BB1395="","",IF(BB1395="Non-viable","Non-viable",IF(BB1395="Viable","Viable",IF(BB1395="Partially non-viable",IF(OR(BD1395="Total splenectomy",BD1395="Partial splenectomy +/- splenopexy"),"Non-viable","Review"),IF(BB1395="NR",IF(OR(BD1395="Total splenectomy",BD1395="Partial splenectomy +/- splenopexy"),"NR - removed, check reason","NR"),"Not applicable")))))</f>
        <v/>
      </c>
    </row>
    <row r="1396">
      <c r="D1396" s="8" t="n"/>
      <c r="E1396" s="9">
        <f>IF(B1396="","",IF(B1396="OWN","Yes","No"))</f>
        <v/>
      </c>
      <c r="AF1396" s="9">
        <f>IF(ISNUMBER(Z1396),IF(Z1396&lt;=2,"&lt;=2 d",IF(Z1396&lt;=7,"3-7 d",IF(Z1396&lt;=30,"8-30 d","&gt;30 d"))),IF(AE1396&lt;&gt;"",AE1396,IF(Z1396="NR","NR","")))</f>
        <v/>
      </c>
      <c r="AX1396" s="9">
        <f>IF(ISNUMBER(AW1396),IF(AW1396&gt;450,"Yes","No"),IF(AW1396="NR","NR",""))</f>
        <v/>
      </c>
      <c r="BJ1396" s="9">
        <f>IF(BB1396="","",IF(BB1396="Non-viable","Non-viable",IF(BB1396="Viable","Viable",IF(BB1396="Partially non-viable",IF(OR(BD1396="Total splenectomy",BD1396="Partial splenectomy +/- splenopexy"),"Non-viable","Review"),IF(BB1396="NR",IF(OR(BD1396="Total splenectomy",BD1396="Partial splenectomy +/- splenopexy"),"NR - removed, check reason","NR"),"Not applicable")))))</f>
        <v/>
      </c>
    </row>
    <row r="1397">
      <c r="D1397" s="8" t="n"/>
      <c r="E1397" s="9">
        <f>IF(B1397="","",IF(B1397="OWN","Yes","No"))</f>
        <v/>
      </c>
      <c r="AF1397" s="9">
        <f>IF(ISNUMBER(Z1397),IF(Z1397&lt;=2,"&lt;=2 d",IF(Z1397&lt;=7,"3-7 d",IF(Z1397&lt;=30,"8-30 d","&gt;30 d"))),IF(AE1397&lt;&gt;"",AE1397,IF(Z1397="NR","NR","")))</f>
        <v/>
      </c>
      <c r="AX1397" s="9">
        <f>IF(ISNUMBER(AW1397),IF(AW1397&gt;450,"Yes","No"),IF(AW1397="NR","NR",""))</f>
        <v/>
      </c>
      <c r="BJ1397" s="9">
        <f>IF(BB1397="","",IF(BB1397="Non-viable","Non-viable",IF(BB1397="Viable","Viable",IF(BB1397="Partially non-viable",IF(OR(BD1397="Total splenectomy",BD1397="Partial splenectomy +/- splenopexy"),"Non-viable","Review"),IF(BB1397="NR",IF(OR(BD1397="Total splenectomy",BD1397="Partial splenectomy +/- splenopexy"),"NR - removed, check reason","NR"),"Not applicable")))))</f>
        <v/>
      </c>
    </row>
    <row r="1398">
      <c r="D1398" s="8" t="n"/>
      <c r="E1398" s="9">
        <f>IF(B1398="","",IF(B1398="OWN","Yes","No"))</f>
        <v/>
      </c>
      <c r="AF1398" s="9">
        <f>IF(ISNUMBER(Z1398),IF(Z1398&lt;=2,"&lt;=2 d",IF(Z1398&lt;=7,"3-7 d",IF(Z1398&lt;=30,"8-30 d","&gt;30 d"))),IF(AE1398&lt;&gt;"",AE1398,IF(Z1398="NR","NR","")))</f>
        <v/>
      </c>
      <c r="AX1398" s="9">
        <f>IF(ISNUMBER(AW1398),IF(AW1398&gt;450,"Yes","No"),IF(AW1398="NR","NR",""))</f>
        <v/>
      </c>
      <c r="BJ1398" s="9">
        <f>IF(BB1398="","",IF(BB1398="Non-viable","Non-viable",IF(BB1398="Viable","Viable",IF(BB1398="Partially non-viable",IF(OR(BD1398="Total splenectomy",BD1398="Partial splenectomy +/- splenopexy"),"Non-viable","Review"),IF(BB1398="NR",IF(OR(BD1398="Total splenectomy",BD1398="Partial splenectomy +/- splenopexy"),"NR - removed, check reason","NR"),"Not applicable")))))</f>
        <v/>
      </c>
    </row>
    <row r="1399">
      <c r="D1399" s="8" t="n"/>
      <c r="E1399" s="9">
        <f>IF(B1399="","",IF(B1399="OWN","Yes","No"))</f>
        <v/>
      </c>
      <c r="AF1399" s="9">
        <f>IF(ISNUMBER(Z1399),IF(Z1399&lt;=2,"&lt;=2 d",IF(Z1399&lt;=7,"3-7 d",IF(Z1399&lt;=30,"8-30 d","&gt;30 d"))),IF(AE1399&lt;&gt;"",AE1399,IF(Z1399="NR","NR","")))</f>
        <v/>
      </c>
      <c r="AX1399" s="9">
        <f>IF(ISNUMBER(AW1399),IF(AW1399&gt;450,"Yes","No"),IF(AW1399="NR","NR",""))</f>
        <v/>
      </c>
      <c r="BJ1399" s="9">
        <f>IF(BB1399="","",IF(BB1399="Non-viable","Non-viable",IF(BB1399="Viable","Viable",IF(BB1399="Partially non-viable",IF(OR(BD1399="Total splenectomy",BD1399="Partial splenectomy +/- splenopexy"),"Non-viable","Review"),IF(BB1399="NR",IF(OR(BD1399="Total splenectomy",BD1399="Partial splenectomy +/- splenopexy"),"NR - removed, check reason","NR"),"Not applicable")))))</f>
        <v/>
      </c>
    </row>
    <row r="1400">
      <c r="D1400" s="8" t="n"/>
      <c r="E1400" s="9">
        <f>IF(B1400="","",IF(B1400="OWN","Yes","No"))</f>
        <v/>
      </c>
      <c r="AF1400" s="9">
        <f>IF(ISNUMBER(Z1400),IF(Z1400&lt;=2,"&lt;=2 d",IF(Z1400&lt;=7,"3-7 d",IF(Z1400&lt;=30,"8-30 d","&gt;30 d"))),IF(AE1400&lt;&gt;"",AE1400,IF(Z1400="NR","NR","")))</f>
        <v/>
      </c>
      <c r="AX1400" s="9">
        <f>IF(ISNUMBER(AW1400),IF(AW1400&gt;450,"Yes","No"),IF(AW1400="NR","NR",""))</f>
        <v/>
      </c>
      <c r="BJ1400" s="9">
        <f>IF(BB1400="","",IF(BB1400="Non-viable","Non-viable",IF(BB1400="Viable","Viable",IF(BB1400="Partially non-viable",IF(OR(BD1400="Total splenectomy",BD1400="Partial splenectomy +/- splenopexy"),"Non-viable","Review"),IF(BB1400="NR",IF(OR(BD1400="Total splenectomy",BD1400="Partial splenectomy +/- splenopexy"),"NR - removed, check reason","NR"),"Not applicable")))))</f>
        <v/>
      </c>
    </row>
    <row r="1401">
      <c r="D1401" s="8" t="n"/>
      <c r="E1401" s="9">
        <f>IF(B1401="","",IF(B1401="OWN","Yes","No"))</f>
        <v/>
      </c>
      <c r="AF1401" s="9">
        <f>IF(ISNUMBER(Z1401),IF(Z1401&lt;=2,"&lt;=2 d",IF(Z1401&lt;=7,"3-7 d",IF(Z1401&lt;=30,"8-30 d","&gt;30 d"))),IF(AE1401&lt;&gt;"",AE1401,IF(Z1401="NR","NR","")))</f>
        <v/>
      </c>
      <c r="AX1401" s="9">
        <f>IF(ISNUMBER(AW1401),IF(AW1401&gt;450,"Yes","No"),IF(AW1401="NR","NR",""))</f>
        <v/>
      </c>
      <c r="BJ1401" s="9">
        <f>IF(BB1401="","",IF(BB1401="Non-viable","Non-viable",IF(BB1401="Viable","Viable",IF(BB1401="Partially non-viable",IF(OR(BD1401="Total splenectomy",BD1401="Partial splenectomy +/- splenopexy"),"Non-viable","Review"),IF(BB1401="NR",IF(OR(BD1401="Total splenectomy",BD1401="Partial splenectomy +/- splenopexy"),"NR - removed, check reason","NR"),"Not applicable")))))</f>
        <v/>
      </c>
    </row>
    <row r="1402">
      <c r="D1402" s="8" t="n"/>
      <c r="E1402" s="9">
        <f>IF(B1402="","",IF(B1402="OWN","Yes","No"))</f>
        <v/>
      </c>
      <c r="AF1402" s="9">
        <f>IF(ISNUMBER(Z1402),IF(Z1402&lt;=2,"&lt;=2 d",IF(Z1402&lt;=7,"3-7 d",IF(Z1402&lt;=30,"8-30 d","&gt;30 d"))),IF(AE1402&lt;&gt;"",AE1402,IF(Z1402="NR","NR","")))</f>
        <v/>
      </c>
      <c r="AX1402" s="9">
        <f>IF(ISNUMBER(AW1402),IF(AW1402&gt;450,"Yes","No"),IF(AW1402="NR","NR",""))</f>
        <v/>
      </c>
      <c r="BJ1402" s="9">
        <f>IF(BB1402="","",IF(BB1402="Non-viable","Non-viable",IF(BB1402="Viable","Viable",IF(BB1402="Partially non-viable",IF(OR(BD1402="Total splenectomy",BD1402="Partial splenectomy +/- splenopexy"),"Non-viable","Review"),IF(BB1402="NR",IF(OR(BD1402="Total splenectomy",BD1402="Partial splenectomy +/- splenopexy"),"NR - removed, check reason","NR"),"Not applicable")))))</f>
        <v/>
      </c>
    </row>
    <row r="1403">
      <c r="D1403" s="8" t="n"/>
      <c r="E1403" s="9">
        <f>IF(B1403="","",IF(B1403="OWN","Yes","No"))</f>
        <v/>
      </c>
      <c r="AF1403" s="9">
        <f>IF(ISNUMBER(Z1403),IF(Z1403&lt;=2,"&lt;=2 d",IF(Z1403&lt;=7,"3-7 d",IF(Z1403&lt;=30,"8-30 d","&gt;30 d"))),IF(AE1403&lt;&gt;"",AE1403,IF(Z1403="NR","NR","")))</f>
        <v/>
      </c>
      <c r="AX1403" s="9">
        <f>IF(ISNUMBER(AW1403),IF(AW1403&gt;450,"Yes","No"),IF(AW1403="NR","NR",""))</f>
        <v/>
      </c>
      <c r="BJ1403" s="9">
        <f>IF(BB1403="","",IF(BB1403="Non-viable","Non-viable",IF(BB1403="Viable","Viable",IF(BB1403="Partially non-viable",IF(OR(BD1403="Total splenectomy",BD1403="Partial splenectomy +/- splenopexy"),"Non-viable","Review"),IF(BB1403="NR",IF(OR(BD1403="Total splenectomy",BD1403="Partial splenectomy +/- splenopexy"),"NR - removed, check reason","NR"),"Not applicable")))))</f>
        <v/>
      </c>
    </row>
    <row r="1404">
      <c r="D1404" s="8" t="n"/>
      <c r="E1404" s="9">
        <f>IF(B1404="","",IF(B1404="OWN","Yes","No"))</f>
        <v/>
      </c>
      <c r="AF1404" s="9">
        <f>IF(ISNUMBER(Z1404),IF(Z1404&lt;=2,"&lt;=2 d",IF(Z1404&lt;=7,"3-7 d",IF(Z1404&lt;=30,"8-30 d","&gt;30 d"))),IF(AE1404&lt;&gt;"",AE1404,IF(Z1404="NR","NR","")))</f>
        <v/>
      </c>
      <c r="AX1404" s="9">
        <f>IF(ISNUMBER(AW1404),IF(AW1404&gt;450,"Yes","No"),IF(AW1404="NR","NR",""))</f>
        <v/>
      </c>
      <c r="BJ1404" s="9">
        <f>IF(BB1404="","",IF(BB1404="Non-viable","Non-viable",IF(BB1404="Viable","Viable",IF(BB1404="Partially non-viable",IF(OR(BD1404="Total splenectomy",BD1404="Partial splenectomy +/- splenopexy"),"Non-viable","Review"),IF(BB1404="NR",IF(OR(BD1404="Total splenectomy",BD1404="Partial splenectomy +/- splenopexy"),"NR - removed, check reason","NR"),"Not applicable")))))</f>
        <v/>
      </c>
    </row>
    <row r="1405">
      <c r="D1405" s="8" t="n"/>
      <c r="E1405" s="9">
        <f>IF(B1405="","",IF(B1405="OWN","Yes","No"))</f>
        <v/>
      </c>
      <c r="AF1405" s="9">
        <f>IF(ISNUMBER(Z1405),IF(Z1405&lt;=2,"&lt;=2 d",IF(Z1405&lt;=7,"3-7 d",IF(Z1405&lt;=30,"8-30 d","&gt;30 d"))),IF(AE1405&lt;&gt;"",AE1405,IF(Z1405="NR","NR","")))</f>
        <v/>
      </c>
      <c r="AX1405" s="9">
        <f>IF(ISNUMBER(AW1405),IF(AW1405&gt;450,"Yes","No"),IF(AW1405="NR","NR",""))</f>
        <v/>
      </c>
      <c r="BJ1405" s="9">
        <f>IF(BB1405="","",IF(BB1405="Non-viable","Non-viable",IF(BB1405="Viable","Viable",IF(BB1405="Partially non-viable",IF(OR(BD1405="Total splenectomy",BD1405="Partial splenectomy +/- splenopexy"),"Non-viable","Review"),IF(BB1405="NR",IF(OR(BD1405="Total splenectomy",BD1405="Partial splenectomy +/- splenopexy"),"NR - removed, check reason","NR"),"Not applicable")))))</f>
        <v/>
      </c>
    </row>
    <row r="1406">
      <c r="D1406" s="8" t="n"/>
      <c r="E1406" s="9">
        <f>IF(B1406="","",IF(B1406="OWN","Yes","No"))</f>
        <v/>
      </c>
      <c r="AF1406" s="9">
        <f>IF(ISNUMBER(Z1406),IF(Z1406&lt;=2,"&lt;=2 d",IF(Z1406&lt;=7,"3-7 d",IF(Z1406&lt;=30,"8-30 d","&gt;30 d"))),IF(AE1406&lt;&gt;"",AE1406,IF(Z1406="NR","NR","")))</f>
        <v/>
      </c>
      <c r="AX1406" s="9">
        <f>IF(ISNUMBER(AW1406),IF(AW1406&gt;450,"Yes","No"),IF(AW1406="NR","NR",""))</f>
        <v/>
      </c>
      <c r="BJ1406" s="9">
        <f>IF(BB1406="","",IF(BB1406="Non-viable","Non-viable",IF(BB1406="Viable","Viable",IF(BB1406="Partially non-viable",IF(OR(BD1406="Total splenectomy",BD1406="Partial splenectomy +/- splenopexy"),"Non-viable","Review"),IF(BB1406="NR",IF(OR(BD1406="Total splenectomy",BD1406="Partial splenectomy +/- splenopexy"),"NR - removed, check reason","NR"),"Not applicable")))))</f>
        <v/>
      </c>
    </row>
    <row r="1407">
      <c r="D1407" s="8" t="n"/>
      <c r="E1407" s="9">
        <f>IF(B1407="","",IF(B1407="OWN","Yes","No"))</f>
        <v/>
      </c>
      <c r="AF1407" s="9">
        <f>IF(ISNUMBER(Z1407),IF(Z1407&lt;=2,"&lt;=2 d",IF(Z1407&lt;=7,"3-7 d",IF(Z1407&lt;=30,"8-30 d","&gt;30 d"))),IF(AE1407&lt;&gt;"",AE1407,IF(Z1407="NR","NR","")))</f>
        <v/>
      </c>
      <c r="AX1407" s="9">
        <f>IF(ISNUMBER(AW1407),IF(AW1407&gt;450,"Yes","No"),IF(AW1407="NR","NR",""))</f>
        <v/>
      </c>
      <c r="BJ1407" s="9">
        <f>IF(BB1407="","",IF(BB1407="Non-viable","Non-viable",IF(BB1407="Viable","Viable",IF(BB1407="Partially non-viable",IF(OR(BD1407="Total splenectomy",BD1407="Partial splenectomy +/- splenopexy"),"Non-viable","Review"),IF(BB1407="NR",IF(OR(BD1407="Total splenectomy",BD1407="Partial splenectomy +/- splenopexy"),"NR - removed, check reason","NR"),"Not applicable")))))</f>
        <v/>
      </c>
    </row>
    <row r="1408">
      <c r="D1408" s="8" t="n"/>
      <c r="E1408" s="9">
        <f>IF(B1408="","",IF(B1408="OWN","Yes","No"))</f>
        <v/>
      </c>
      <c r="AF1408" s="9">
        <f>IF(ISNUMBER(Z1408),IF(Z1408&lt;=2,"&lt;=2 d",IF(Z1408&lt;=7,"3-7 d",IF(Z1408&lt;=30,"8-30 d","&gt;30 d"))),IF(AE1408&lt;&gt;"",AE1408,IF(Z1408="NR","NR","")))</f>
        <v/>
      </c>
      <c r="AX1408" s="9">
        <f>IF(ISNUMBER(AW1408),IF(AW1408&gt;450,"Yes","No"),IF(AW1408="NR","NR",""))</f>
        <v/>
      </c>
      <c r="BJ1408" s="9">
        <f>IF(BB1408="","",IF(BB1408="Non-viable","Non-viable",IF(BB1408="Viable","Viable",IF(BB1408="Partially non-viable",IF(OR(BD1408="Total splenectomy",BD1408="Partial splenectomy +/- splenopexy"),"Non-viable","Review"),IF(BB1408="NR",IF(OR(BD1408="Total splenectomy",BD1408="Partial splenectomy +/- splenopexy"),"NR - removed, check reason","NR"),"Not applicable")))))</f>
        <v/>
      </c>
    </row>
    <row r="1409">
      <c r="D1409" s="8" t="n"/>
      <c r="E1409" s="9">
        <f>IF(B1409="","",IF(B1409="OWN","Yes","No"))</f>
        <v/>
      </c>
      <c r="AF1409" s="9">
        <f>IF(ISNUMBER(Z1409),IF(Z1409&lt;=2,"&lt;=2 d",IF(Z1409&lt;=7,"3-7 d",IF(Z1409&lt;=30,"8-30 d","&gt;30 d"))),IF(AE1409&lt;&gt;"",AE1409,IF(Z1409="NR","NR","")))</f>
        <v/>
      </c>
      <c r="AX1409" s="9">
        <f>IF(ISNUMBER(AW1409),IF(AW1409&gt;450,"Yes","No"),IF(AW1409="NR","NR",""))</f>
        <v/>
      </c>
      <c r="BJ1409" s="9">
        <f>IF(BB1409="","",IF(BB1409="Non-viable","Non-viable",IF(BB1409="Viable","Viable",IF(BB1409="Partially non-viable",IF(OR(BD1409="Total splenectomy",BD1409="Partial splenectomy +/- splenopexy"),"Non-viable","Review"),IF(BB1409="NR",IF(OR(BD1409="Total splenectomy",BD1409="Partial splenectomy +/- splenopexy"),"NR - removed, check reason","NR"),"Not applicable")))))</f>
        <v/>
      </c>
    </row>
    <row r="1410">
      <c r="D1410" s="8" t="n"/>
      <c r="E1410" s="9">
        <f>IF(B1410="","",IF(B1410="OWN","Yes","No"))</f>
        <v/>
      </c>
      <c r="AF1410" s="9">
        <f>IF(ISNUMBER(Z1410),IF(Z1410&lt;=2,"&lt;=2 d",IF(Z1410&lt;=7,"3-7 d",IF(Z1410&lt;=30,"8-30 d","&gt;30 d"))),IF(AE1410&lt;&gt;"",AE1410,IF(Z1410="NR","NR","")))</f>
        <v/>
      </c>
      <c r="AX1410" s="9">
        <f>IF(ISNUMBER(AW1410),IF(AW1410&gt;450,"Yes","No"),IF(AW1410="NR","NR",""))</f>
        <v/>
      </c>
      <c r="BJ1410" s="9">
        <f>IF(BB1410="","",IF(BB1410="Non-viable","Non-viable",IF(BB1410="Viable","Viable",IF(BB1410="Partially non-viable",IF(OR(BD1410="Total splenectomy",BD1410="Partial splenectomy +/- splenopexy"),"Non-viable","Review"),IF(BB1410="NR",IF(OR(BD1410="Total splenectomy",BD1410="Partial splenectomy +/- splenopexy"),"NR - removed, check reason","NR"),"Not applicable")))))</f>
        <v/>
      </c>
    </row>
    <row r="1411">
      <c r="D1411" s="8" t="n"/>
      <c r="E1411" s="9">
        <f>IF(B1411="","",IF(B1411="OWN","Yes","No"))</f>
        <v/>
      </c>
      <c r="AF1411" s="9">
        <f>IF(ISNUMBER(Z1411),IF(Z1411&lt;=2,"&lt;=2 d",IF(Z1411&lt;=7,"3-7 d",IF(Z1411&lt;=30,"8-30 d","&gt;30 d"))),IF(AE1411&lt;&gt;"",AE1411,IF(Z1411="NR","NR","")))</f>
        <v/>
      </c>
      <c r="AX1411" s="9">
        <f>IF(ISNUMBER(AW1411),IF(AW1411&gt;450,"Yes","No"),IF(AW1411="NR","NR",""))</f>
        <v/>
      </c>
      <c r="BJ1411" s="9">
        <f>IF(BB1411="","",IF(BB1411="Non-viable","Non-viable",IF(BB1411="Viable","Viable",IF(BB1411="Partially non-viable",IF(OR(BD1411="Total splenectomy",BD1411="Partial splenectomy +/- splenopexy"),"Non-viable","Review"),IF(BB1411="NR",IF(OR(BD1411="Total splenectomy",BD1411="Partial splenectomy +/- splenopexy"),"NR - removed, check reason","NR"),"Not applicable")))))</f>
        <v/>
      </c>
    </row>
    <row r="1412">
      <c r="D1412" s="8" t="n"/>
      <c r="E1412" s="9">
        <f>IF(B1412="","",IF(B1412="OWN","Yes","No"))</f>
        <v/>
      </c>
      <c r="AF1412" s="9">
        <f>IF(ISNUMBER(Z1412),IF(Z1412&lt;=2,"&lt;=2 d",IF(Z1412&lt;=7,"3-7 d",IF(Z1412&lt;=30,"8-30 d","&gt;30 d"))),IF(AE1412&lt;&gt;"",AE1412,IF(Z1412="NR","NR","")))</f>
        <v/>
      </c>
      <c r="AX1412" s="9">
        <f>IF(ISNUMBER(AW1412),IF(AW1412&gt;450,"Yes","No"),IF(AW1412="NR","NR",""))</f>
        <v/>
      </c>
      <c r="BJ1412" s="9">
        <f>IF(BB1412="","",IF(BB1412="Non-viable","Non-viable",IF(BB1412="Viable","Viable",IF(BB1412="Partially non-viable",IF(OR(BD1412="Total splenectomy",BD1412="Partial splenectomy +/- splenopexy"),"Non-viable","Review"),IF(BB1412="NR",IF(OR(BD1412="Total splenectomy",BD1412="Partial splenectomy +/- splenopexy"),"NR - removed, check reason","NR"),"Not applicable")))))</f>
        <v/>
      </c>
    </row>
    <row r="1413">
      <c r="D1413" s="8" t="n"/>
      <c r="E1413" s="9">
        <f>IF(B1413="","",IF(B1413="OWN","Yes","No"))</f>
        <v/>
      </c>
      <c r="AF1413" s="9">
        <f>IF(ISNUMBER(Z1413),IF(Z1413&lt;=2,"&lt;=2 d",IF(Z1413&lt;=7,"3-7 d",IF(Z1413&lt;=30,"8-30 d","&gt;30 d"))),IF(AE1413&lt;&gt;"",AE1413,IF(Z1413="NR","NR","")))</f>
        <v/>
      </c>
      <c r="AX1413" s="9">
        <f>IF(ISNUMBER(AW1413),IF(AW1413&gt;450,"Yes","No"),IF(AW1413="NR","NR",""))</f>
        <v/>
      </c>
      <c r="BJ1413" s="9">
        <f>IF(BB1413="","",IF(BB1413="Non-viable","Non-viable",IF(BB1413="Viable","Viable",IF(BB1413="Partially non-viable",IF(OR(BD1413="Total splenectomy",BD1413="Partial splenectomy +/- splenopexy"),"Non-viable","Review"),IF(BB1413="NR",IF(OR(BD1413="Total splenectomy",BD1413="Partial splenectomy +/- splenopexy"),"NR - removed, check reason","NR"),"Not applicable")))))</f>
        <v/>
      </c>
    </row>
    <row r="1414">
      <c r="D1414" s="8" t="n"/>
      <c r="E1414" s="9">
        <f>IF(B1414="","",IF(B1414="OWN","Yes","No"))</f>
        <v/>
      </c>
      <c r="AF1414" s="9">
        <f>IF(ISNUMBER(Z1414),IF(Z1414&lt;=2,"&lt;=2 d",IF(Z1414&lt;=7,"3-7 d",IF(Z1414&lt;=30,"8-30 d","&gt;30 d"))),IF(AE1414&lt;&gt;"",AE1414,IF(Z1414="NR","NR","")))</f>
        <v/>
      </c>
      <c r="AX1414" s="9">
        <f>IF(ISNUMBER(AW1414),IF(AW1414&gt;450,"Yes","No"),IF(AW1414="NR","NR",""))</f>
        <v/>
      </c>
      <c r="BJ1414" s="9">
        <f>IF(BB1414="","",IF(BB1414="Non-viable","Non-viable",IF(BB1414="Viable","Viable",IF(BB1414="Partially non-viable",IF(OR(BD1414="Total splenectomy",BD1414="Partial splenectomy +/- splenopexy"),"Non-viable","Review"),IF(BB1414="NR",IF(OR(BD1414="Total splenectomy",BD1414="Partial splenectomy +/- splenopexy"),"NR - removed, check reason","NR"),"Not applicable")))))</f>
        <v/>
      </c>
    </row>
    <row r="1415">
      <c r="D1415" s="8" t="n"/>
      <c r="E1415" s="9">
        <f>IF(B1415="","",IF(B1415="OWN","Yes","No"))</f>
        <v/>
      </c>
      <c r="AF1415" s="9">
        <f>IF(ISNUMBER(Z1415),IF(Z1415&lt;=2,"&lt;=2 d",IF(Z1415&lt;=7,"3-7 d",IF(Z1415&lt;=30,"8-30 d","&gt;30 d"))),IF(AE1415&lt;&gt;"",AE1415,IF(Z1415="NR","NR","")))</f>
        <v/>
      </c>
      <c r="AX1415" s="9">
        <f>IF(ISNUMBER(AW1415),IF(AW1415&gt;450,"Yes","No"),IF(AW1415="NR","NR",""))</f>
        <v/>
      </c>
      <c r="BJ1415" s="9">
        <f>IF(BB1415="","",IF(BB1415="Non-viable","Non-viable",IF(BB1415="Viable","Viable",IF(BB1415="Partially non-viable",IF(OR(BD1415="Total splenectomy",BD1415="Partial splenectomy +/- splenopexy"),"Non-viable","Review"),IF(BB1415="NR",IF(OR(BD1415="Total splenectomy",BD1415="Partial splenectomy +/- splenopexy"),"NR - removed, check reason","NR"),"Not applicable")))))</f>
        <v/>
      </c>
    </row>
    <row r="1416">
      <c r="D1416" s="8" t="n"/>
      <c r="E1416" s="9">
        <f>IF(B1416="","",IF(B1416="OWN","Yes","No"))</f>
        <v/>
      </c>
      <c r="AF1416" s="9">
        <f>IF(ISNUMBER(Z1416),IF(Z1416&lt;=2,"&lt;=2 d",IF(Z1416&lt;=7,"3-7 d",IF(Z1416&lt;=30,"8-30 d","&gt;30 d"))),IF(AE1416&lt;&gt;"",AE1416,IF(Z1416="NR","NR","")))</f>
        <v/>
      </c>
      <c r="AX1416" s="9">
        <f>IF(ISNUMBER(AW1416),IF(AW1416&gt;450,"Yes","No"),IF(AW1416="NR","NR",""))</f>
        <v/>
      </c>
      <c r="BJ1416" s="9">
        <f>IF(BB1416="","",IF(BB1416="Non-viable","Non-viable",IF(BB1416="Viable","Viable",IF(BB1416="Partially non-viable",IF(OR(BD1416="Total splenectomy",BD1416="Partial splenectomy +/- splenopexy"),"Non-viable","Review"),IF(BB1416="NR",IF(OR(BD1416="Total splenectomy",BD1416="Partial splenectomy +/- splenopexy"),"NR - removed, check reason","NR"),"Not applicable")))))</f>
        <v/>
      </c>
    </row>
    <row r="1417">
      <c r="D1417" s="8" t="n"/>
      <c r="E1417" s="9">
        <f>IF(B1417="","",IF(B1417="OWN","Yes","No"))</f>
        <v/>
      </c>
      <c r="AF1417" s="9">
        <f>IF(ISNUMBER(Z1417),IF(Z1417&lt;=2,"&lt;=2 d",IF(Z1417&lt;=7,"3-7 d",IF(Z1417&lt;=30,"8-30 d","&gt;30 d"))),IF(AE1417&lt;&gt;"",AE1417,IF(Z1417="NR","NR","")))</f>
        <v/>
      </c>
      <c r="AX1417" s="9">
        <f>IF(ISNUMBER(AW1417),IF(AW1417&gt;450,"Yes","No"),IF(AW1417="NR","NR",""))</f>
        <v/>
      </c>
      <c r="BJ1417" s="9">
        <f>IF(BB1417="","",IF(BB1417="Non-viable","Non-viable",IF(BB1417="Viable","Viable",IF(BB1417="Partially non-viable",IF(OR(BD1417="Total splenectomy",BD1417="Partial splenectomy +/- splenopexy"),"Non-viable","Review"),IF(BB1417="NR",IF(OR(BD1417="Total splenectomy",BD1417="Partial splenectomy +/- splenopexy"),"NR - removed, check reason","NR"),"Not applicable")))))</f>
        <v/>
      </c>
    </row>
    <row r="1418">
      <c r="D1418" s="8" t="n"/>
      <c r="E1418" s="9">
        <f>IF(B1418="","",IF(B1418="OWN","Yes","No"))</f>
        <v/>
      </c>
      <c r="AF1418" s="9">
        <f>IF(ISNUMBER(Z1418),IF(Z1418&lt;=2,"&lt;=2 d",IF(Z1418&lt;=7,"3-7 d",IF(Z1418&lt;=30,"8-30 d","&gt;30 d"))),IF(AE1418&lt;&gt;"",AE1418,IF(Z1418="NR","NR","")))</f>
        <v/>
      </c>
      <c r="AX1418" s="9">
        <f>IF(ISNUMBER(AW1418),IF(AW1418&gt;450,"Yes","No"),IF(AW1418="NR","NR",""))</f>
        <v/>
      </c>
      <c r="BJ1418" s="9">
        <f>IF(BB1418="","",IF(BB1418="Non-viable","Non-viable",IF(BB1418="Viable","Viable",IF(BB1418="Partially non-viable",IF(OR(BD1418="Total splenectomy",BD1418="Partial splenectomy +/- splenopexy"),"Non-viable","Review"),IF(BB1418="NR",IF(OR(BD1418="Total splenectomy",BD1418="Partial splenectomy +/- splenopexy"),"NR - removed, check reason","NR"),"Not applicable")))))</f>
        <v/>
      </c>
    </row>
    <row r="1419">
      <c r="D1419" s="8" t="n"/>
      <c r="E1419" s="9">
        <f>IF(B1419="","",IF(B1419="OWN","Yes","No"))</f>
        <v/>
      </c>
      <c r="AF1419" s="9">
        <f>IF(ISNUMBER(Z1419),IF(Z1419&lt;=2,"&lt;=2 d",IF(Z1419&lt;=7,"3-7 d",IF(Z1419&lt;=30,"8-30 d","&gt;30 d"))),IF(AE1419&lt;&gt;"",AE1419,IF(Z1419="NR","NR","")))</f>
        <v/>
      </c>
      <c r="AX1419" s="9">
        <f>IF(ISNUMBER(AW1419),IF(AW1419&gt;450,"Yes","No"),IF(AW1419="NR","NR",""))</f>
        <v/>
      </c>
      <c r="BJ1419" s="9">
        <f>IF(BB1419="","",IF(BB1419="Non-viable","Non-viable",IF(BB1419="Viable","Viable",IF(BB1419="Partially non-viable",IF(OR(BD1419="Total splenectomy",BD1419="Partial splenectomy +/- splenopexy"),"Non-viable","Review"),IF(BB1419="NR",IF(OR(BD1419="Total splenectomy",BD1419="Partial splenectomy +/- splenopexy"),"NR - removed, check reason","NR"),"Not applicable")))))</f>
        <v/>
      </c>
    </row>
    <row r="1420">
      <c r="D1420" s="8" t="n"/>
      <c r="E1420" s="9">
        <f>IF(B1420="","",IF(B1420="OWN","Yes","No"))</f>
        <v/>
      </c>
      <c r="AF1420" s="9">
        <f>IF(ISNUMBER(Z1420),IF(Z1420&lt;=2,"&lt;=2 d",IF(Z1420&lt;=7,"3-7 d",IF(Z1420&lt;=30,"8-30 d","&gt;30 d"))),IF(AE1420&lt;&gt;"",AE1420,IF(Z1420="NR","NR","")))</f>
        <v/>
      </c>
      <c r="AX1420" s="9">
        <f>IF(ISNUMBER(AW1420),IF(AW1420&gt;450,"Yes","No"),IF(AW1420="NR","NR",""))</f>
        <v/>
      </c>
      <c r="BJ1420" s="9">
        <f>IF(BB1420="","",IF(BB1420="Non-viable","Non-viable",IF(BB1420="Viable","Viable",IF(BB1420="Partially non-viable",IF(OR(BD1420="Total splenectomy",BD1420="Partial splenectomy +/- splenopexy"),"Non-viable","Review"),IF(BB1420="NR",IF(OR(BD1420="Total splenectomy",BD1420="Partial splenectomy +/- splenopexy"),"NR - removed, check reason","NR"),"Not applicable")))))</f>
        <v/>
      </c>
    </row>
    <row r="1421">
      <c r="D1421" s="8" t="n"/>
      <c r="E1421" s="9">
        <f>IF(B1421="","",IF(B1421="OWN","Yes","No"))</f>
        <v/>
      </c>
      <c r="AF1421" s="9">
        <f>IF(ISNUMBER(Z1421),IF(Z1421&lt;=2,"&lt;=2 d",IF(Z1421&lt;=7,"3-7 d",IF(Z1421&lt;=30,"8-30 d","&gt;30 d"))),IF(AE1421&lt;&gt;"",AE1421,IF(Z1421="NR","NR","")))</f>
        <v/>
      </c>
      <c r="AX1421" s="9">
        <f>IF(ISNUMBER(AW1421),IF(AW1421&gt;450,"Yes","No"),IF(AW1421="NR","NR",""))</f>
        <v/>
      </c>
      <c r="BJ1421" s="9">
        <f>IF(BB1421="","",IF(BB1421="Non-viable","Non-viable",IF(BB1421="Viable","Viable",IF(BB1421="Partially non-viable",IF(OR(BD1421="Total splenectomy",BD1421="Partial splenectomy +/- splenopexy"),"Non-viable","Review"),IF(BB1421="NR",IF(OR(BD1421="Total splenectomy",BD1421="Partial splenectomy +/- splenopexy"),"NR - removed, check reason","NR"),"Not applicable")))))</f>
        <v/>
      </c>
    </row>
    <row r="1422">
      <c r="D1422" s="8" t="n"/>
      <c r="E1422" s="9">
        <f>IF(B1422="","",IF(B1422="OWN","Yes","No"))</f>
        <v/>
      </c>
      <c r="AF1422" s="9">
        <f>IF(ISNUMBER(Z1422),IF(Z1422&lt;=2,"&lt;=2 d",IF(Z1422&lt;=7,"3-7 d",IF(Z1422&lt;=30,"8-30 d","&gt;30 d"))),IF(AE1422&lt;&gt;"",AE1422,IF(Z1422="NR","NR","")))</f>
        <v/>
      </c>
      <c r="AX1422" s="9">
        <f>IF(ISNUMBER(AW1422),IF(AW1422&gt;450,"Yes","No"),IF(AW1422="NR","NR",""))</f>
        <v/>
      </c>
      <c r="BJ1422" s="9">
        <f>IF(BB1422="","",IF(BB1422="Non-viable","Non-viable",IF(BB1422="Viable","Viable",IF(BB1422="Partially non-viable",IF(OR(BD1422="Total splenectomy",BD1422="Partial splenectomy +/- splenopexy"),"Non-viable","Review"),IF(BB1422="NR",IF(OR(BD1422="Total splenectomy",BD1422="Partial splenectomy +/- splenopexy"),"NR - removed, check reason","NR"),"Not applicable")))))</f>
        <v/>
      </c>
    </row>
    <row r="1423">
      <c r="D1423" s="8" t="n"/>
      <c r="E1423" s="9">
        <f>IF(B1423="","",IF(B1423="OWN","Yes","No"))</f>
        <v/>
      </c>
      <c r="AF1423" s="9">
        <f>IF(ISNUMBER(Z1423),IF(Z1423&lt;=2,"&lt;=2 d",IF(Z1423&lt;=7,"3-7 d",IF(Z1423&lt;=30,"8-30 d","&gt;30 d"))),IF(AE1423&lt;&gt;"",AE1423,IF(Z1423="NR","NR","")))</f>
        <v/>
      </c>
      <c r="AX1423" s="9">
        <f>IF(ISNUMBER(AW1423),IF(AW1423&gt;450,"Yes","No"),IF(AW1423="NR","NR",""))</f>
        <v/>
      </c>
      <c r="BJ1423" s="9">
        <f>IF(BB1423="","",IF(BB1423="Non-viable","Non-viable",IF(BB1423="Viable","Viable",IF(BB1423="Partially non-viable",IF(OR(BD1423="Total splenectomy",BD1423="Partial splenectomy +/- splenopexy"),"Non-viable","Review"),IF(BB1423="NR",IF(OR(BD1423="Total splenectomy",BD1423="Partial splenectomy +/- splenopexy"),"NR - removed, check reason","NR"),"Not applicable")))))</f>
        <v/>
      </c>
    </row>
    <row r="1424">
      <c r="D1424" s="8" t="n"/>
      <c r="E1424" s="9">
        <f>IF(B1424="","",IF(B1424="OWN","Yes","No"))</f>
        <v/>
      </c>
      <c r="AF1424" s="9">
        <f>IF(ISNUMBER(Z1424),IF(Z1424&lt;=2,"&lt;=2 d",IF(Z1424&lt;=7,"3-7 d",IF(Z1424&lt;=30,"8-30 d","&gt;30 d"))),IF(AE1424&lt;&gt;"",AE1424,IF(Z1424="NR","NR","")))</f>
        <v/>
      </c>
      <c r="AX1424" s="9">
        <f>IF(ISNUMBER(AW1424),IF(AW1424&gt;450,"Yes","No"),IF(AW1424="NR","NR",""))</f>
        <v/>
      </c>
      <c r="BJ1424" s="9">
        <f>IF(BB1424="","",IF(BB1424="Non-viable","Non-viable",IF(BB1424="Viable","Viable",IF(BB1424="Partially non-viable",IF(OR(BD1424="Total splenectomy",BD1424="Partial splenectomy +/- splenopexy"),"Non-viable","Review"),IF(BB1424="NR",IF(OR(BD1424="Total splenectomy",BD1424="Partial splenectomy +/- splenopexy"),"NR - removed, check reason","NR"),"Not applicable")))))</f>
        <v/>
      </c>
    </row>
    <row r="1425">
      <c r="D1425" s="8" t="n"/>
      <c r="E1425" s="9">
        <f>IF(B1425="","",IF(B1425="OWN","Yes","No"))</f>
        <v/>
      </c>
      <c r="AF1425" s="9">
        <f>IF(ISNUMBER(Z1425),IF(Z1425&lt;=2,"&lt;=2 d",IF(Z1425&lt;=7,"3-7 d",IF(Z1425&lt;=30,"8-30 d","&gt;30 d"))),IF(AE1425&lt;&gt;"",AE1425,IF(Z1425="NR","NR","")))</f>
        <v/>
      </c>
      <c r="AX1425" s="9">
        <f>IF(ISNUMBER(AW1425),IF(AW1425&gt;450,"Yes","No"),IF(AW1425="NR","NR",""))</f>
        <v/>
      </c>
      <c r="BJ1425" s="9">
        <f>IF(BB1425="","",IF(BB1425="Non-viable","Non-viable",IF(BB1425="Viable","Viable",IF(BB1425="Partially non-viable",IF(OR(BD1425="Total splenectomy",BD1425="Partial splenectomy +/- splenopexy"),"Non-viable","Review"),IF(BB1425="NR",IF(OR(BD1425="Total splenectomy",BD1425="Partial splenectomy +/- splenopexy"),"NR - removed, check reason","NR"),"Not applicable")))))</f>
        <v/>
      </c>
    </row>
    <row r="1426">
      <c r="D1426" s="8" t="n"/>
      <c r="E1426" s="9">
        <f>IF(B1426="","",IF(B1426="OWN","Yes","No"))</f>
        <v/>
      </c>
      <c r="AF1426" s="9">
        <f>IF(ISNUMBER(Z1426),IF(Z1426&lt;=2,"&lt;=2 d",IF(Z1426&lt;=7,"3-7 d",IF(Z1426&lt;=30,"8-30 d","&gt;30 d"))),IF(AE1426&lt;&gt;"",AE1426,IF(Z1426="NR","NR","")))</f>
        <v/>
      </c>
      <c r="AX1426" s="9">
        <f>IF(ISNUMBER(AW1426),IF(AW1426&gt;450,"Yes","No"),IF(AW1426="NR","NR",""))</f>
        <v/>
      </c>
      <c r="BJ1426" s="9">
        <f>IF(BB1426="","",IF(BB1426="Non-viable","Non-viable",IF(BB1426="Viable","Viable",IF(BB1426="Partially non-viable",IF(OR(BD1426="Total splenectomy",BD1426="Partial splenectomy +/- splenopexy"),"Non-viable","Review"),IF(BB1426="NR",IF(OR(BD1426="Total splenectomy",BD1426="Partial splenectomy +/- splenopexy"),"NR - removed, check reason","NR"),"Not applicable")))))</f>
        <v/>
      </c>
    </row>
    <row r="1427">
      <c r="D1427" s="8" t="n"/>
      <c r="E1427" s="9">
        <f>IF(B1427="","",IF(B1427="OWN","Yes","No"))</f>
        <v/>
      </c>
      <c r="AF1427" s="9">
        <f>IF(ISNUMBER(Z1427),IF(Z1427&lt;=2,"&lt;=2 d",IF(Z1427&lt;=7,"3-7 d",IF(Z1427&lt;=30,"8-30 d","&gt;30 d"))),IF(AE1427&lt;&gt;"",AE1427,IF(Z1427="NR","NR","")))</f>
        <v/>
      </c>
      <c r="AX1427" s="9">
        <f>IF(ISNUMBER(AW1427),IF(AW1427&gt;450,"Yes","No"),IF(AW1427="NR","NR",""))</f>
        <v/>
      </c>
      <c r="BJ1427" s="9">
        <f>IF(BB1427="","",IF(BB1427="Non-viable","Non-viable",IF(BB1427="Viable","Viable",IF(BB1427="Partially non-viable",IF(OR(BD1427="Total splenectomy",BD1427="Partial splenectomy +/- splenopexy"),"Non-viable","Review"),IF(BB1427="NR",IF(OR(BD1427="Total splenectomy",BD1427="Partial splenectomy +/- splenopexy"),"NR - removed, check reason","NR"),"Not applicable")))))</f>
        <v/>
      </c>
    </row>
    <row r="1428">
      <c r="D1428" s="8" t="n"/>
      <c r="E1428" s="9">
        <f>IF(B1428="","",IF(B1428="OWN","Yes","No"))</f>
        <v/>
      </c>
      <c r="AF1428" s="9">
        <f>IF(ISNUMBER(Z1428),IF(Z1428&lt;=2,"&lt;=2 d",IF(Z1428&lt;=7,"3-7 d",IF(Z1428&lt;=30,"8-30 d","&gt;30 d"))),IF(AE1428&lt;&gt;"",AE1428,IF(Z1428="NR","NR","")))</f>
        <v/>
      </c>
      <c r="AX1428" s="9">
        <f>IF(ISNUMBER(AW1428),IF(AW1428&gt;450,"Yes","No"),IF(AW1428="NR","NR",""))</f>
        <v/>
      </c>
      <c r="BJ1428" s="9">
        <f>IF(BB1428="","",IF(BB1428="Non-viable","Non-viable",IF(BB1428="Viable","Viable",IF(BB1428="Partially non-viable",IF(OR(BD1428="Total splenectomy",BD1428="Partial splenectomy +/- splenopexy"),"Non-viable","Review"),IF(BB1428="NR",IF(OR(BD1428="Total splenectomy",BD1428="Partial splenectomy +/- splenopexy"),"NR - removed, check reason","NR"),"Not applicable")))))</f>
        <v/>
      </c>
    </row>
    <row r="1429">
      <c r="D1429" s="8" t="n"/>
      <c r="E1429" s="9">
        <f>IF(B1429="","",IF(B1429="OWN","Yes","No"))</f>
        <v/>
      </c>
      <c r="AF1429" s="9">
        <f>IF(ISNUMBER(Z1429),IF(Z1429&lt;=2,"&lt;=2 d",IF(Z1429&lt;=7,"3-7 d",IF(Z1429&lt;=30,"8-30 d","&gt;30 d"))),IF(AE1429&lt;&gt;"",AE1429,IF(Z1429="NR","NR","")))</f>
        <v/>
      </c>
      <c r="AX1429" s="9">
        <f>IF(ISNUMBER(AW1429),IF(AW1429&gt;450,"Yes","No"),IF(AW1429="NR","NR",""))</f>
        <v/>
      </c>
      <c r="BJ1429" s="9">
        <f>IF(BB1429="","",IF(BB1429="Non-viable","Non-viable",IF(BB1429="Viable","Viable",IF(BB1429="Partially non-viable",IF(OR(BD1429="Total splenectomy",BD1429="Partial splenectomy +/- splenopexy"),"Non-viable","Review"),IF(BB1429="NR",IF(OR(BD1429="Total splenectomy",BD1429="Partial splenectomy +/- splenopexy"),"NR - removed, check reason","NR"),"Not applicable")))))</f>
        <v/>
      </c>
    </row>
    <row r="1430">
      <c r="D1430" s="8" t="n"/>
      <c r="E1430" s="9">
        <f>IF(B1430="","",IF(B1430="OWN","Yes","No"))</f>
        <v/>
      </c>
      <c r="AF1430" s="9">
        <f>IF(ISNUMBER(Z1430),IF(Z1430&lt;=2,"&lt;=2 d",IF(Z1430&lt;=7,"3-7 d",IF(Z1430&lt;=30,"8-30 d","&gt;30 d"))),IF(AE1430&lt;&gt;"",AE1430,IF(Z1430="NR","NR","")))</f>
        <v/>
      </c>
      <c r="AX1430" s="9">
        <f>IF(ISNUMBER(AW1430),IF(AW1430&gt;450,"Yes","No"),IF(AW1430="NR","NR",""))</f>
        <v/>
      </c>
      <c r="BJ1430" s="9">
        <f>IF(BB1430="","",IF(BB1430="Non-viable","Non-viable",IF(BB1430="Viable","Viable",IF(BB1430="Partially non-viable",IF(OR(BD1430="Total splenectomy",BD1430="Partial splenectomy +/- splenopexy"),"Non-viable","Review"),IF(BB1430="NR",IF(OR(BD1430="Total splenectomy",BD1430="Partial splenectomy +/- splenopexy"),"NR - removed, check reason","NR"),"Not applicable")))))</f>
        <v/>
      </c>
    </row>
    <row r="1431">
      <c r="D1431" s="8" t="n"/>
      <c r="E1431" s="9">
        <f>IF(B1431="","",IF(B1431="OWN","Yes","No"))</f>
        <v/>
      </c>
      <c r="AF1431" s="9">
        <f>IF(ISNUMBER(Z1431),IF(Z1431&lt;=2,"&lt;=2 d",IF(Z1431&lt;=7,"3-7 d",IF(Z1431&lt;=30,"8-30 d","&gt;30 d"))),IF(AE1431&lt;&gt;"",AE1431,IF(Z1431="NR","NR","")))</f>
        <v/>
      </c>
      <c r="AX1431" s="9">
        <f>IF(ISNUMBER(AW1431),IF(AW1431&gt;450,"Yes","No"),IF(AW1431="NR","NR",""))</f>
        <v/>
      </c>
      <c r="BJ1431" s="9">
        <f>IF(BB1431="","",IF(BB1431="Non-viable","Non-viable",IF(BB1431="Viable","Viable",IF(BB1431="Partially non-viable",IF(OR(BD1431="Total splenectomy",BD1431="Partial splenectomy +/- splenopexy"),"Non-viable","Review"),IF(BB1431="NR",IF(OR(BD1431="Total splenectomy",BD1431="Partial splenectomy +/- splenopexy"),"NR - removed, check reason","NR"),"Not applicable")))))</f>
        <v/>
      </c>
    </row>
    <row r="1432">
      <c r="D1432" s="8" t="n"/>
      <c r="E1432" s="9">
        <f>IF(B1432="","",IF(B1432="OWN","Yes","No"))</f>
        <v/>
      </c>
      <c r="AF1432" s="9">
        <f>IF(ISNUMBER(Z1432),IF(Z1432&lt;=2,"&lt;=2 d",IF(Z1432&lt;=7,"3-7 d",IF(Z1432&lt;=30,"8-30 d","&gt;30 d"))),IF(AE1432&lt;&gt;"",AE1432,IF(Z1432="NR","NR","")))</f>
        <v/>
      </c>
      <c r="AX1432" s="9">
        <f>IF(ISNUMBER(AW1432),IF(AW1432&gt;450,"Yes","No"),IF(AW1432="NR","NR",""))</f>
        <v/>
      </c>
      <c r="BJ1432" s="9">
        <f>IF(BB1432="","",IF(BB1432="Non-viable","Non-viable",IF(BB1432="Viable","Viable",IF(BB1432="Partially non-viable",IF(OR(BD1432="Total splenectomy",BD1432="Partial splenectomy +/- splenopexy"),"Non-viable","Review"),IF(BB1432="NR",IF(OR(BD1432="Total splenectomy",BD1432="Partial splenectomy +/- splenopexy"),"NR - removed, check reason","NR"),"Not applicable")))))</f>
        <v/>
      </c>
    </row>
    <row r="1433">
      <c r="D1433" s="8" t="n"/>
      <c r="E1433" s="9">
        <f>IF(B1433="","",IF(B1433="OWN","Yes","No"))</f>
        <v/>
      </c>
      <c r="AF1433" s="9">
        <f>IF(ISNUMBER(Z1433),IF(Z1433&lt;=2,"&lt;=2 d",IF(Z1433&lt;=7,"3-7 d",IF(Z1433&lt;=30,"8-30 d","&gt;30 d"))),IF(AE1433&lt;&gt;"",AE1433,IF(Z1433="NR","NR","")))</f>
        <v/>
      </c>
      <c r="AX1433" s="9">
        <f>IF(ISNUMBER(AW1433),IF(AW1433&gt;450,"Yes","No"),IF(AW1433="NR","NR",""))</f>
        <v/>
      </c>
      <c r="BJ1433" s="9">
        <f>IF(BB1433="","",IF(BB1433="Non-viable","Non-viable",IF(BB1433="Viable","Viable",IF(BB1433="Partially non-viable",IF(OR(BD1433="Total splenectomy",BD1433="Partial splenectomy +/- splenopexy"),"Non-viable","Review"),IF(BB1433="NR",IF(OR(BD1433="Total splenectomy",BD1433="Partial splenectomy +/- splenopexy"),"NR - removed, check reason","NR"),"Not applicable")))))</f>
        <v/>
      </c>
    </row>
    <row r="1434">
      <c r="D1434" s="8" t="n"/>
      <c r="E1434" s="9">
        <f>IF(B1434="","",IF(B1434="OWN","Yes","No"))</f>
        <v/>
      </c>
      <c r="AF1434" s="9">
        <f>IF(ISNUMBER(Z1434),IF(Z1434&lt;=2,"&lt;=2 d",IF(Z1434&lt;=7,"3-7 d",IF(Z1434&lt;=30,"8-30 d","&gt;30 d"))),IF(AE1434&lt;&gt;"",AE1434,IF(Z1434="NR","NR","")))</f>
        <v/>
      </c>
      <c r="AX1434" s="9">
        <f>IF(ISNUMBER(AW1434),IF(AW1434&gt;450,"Yes","No"),IF(AW1434="NR","NR",""))</f>
        <v/>
      </c>
      <c r="BJ1434" s="9">
        <f>IF(BB1434="","",IF(BB1434="Non-viable","Non-viable",IF(BB1434="Viable","Viable",IF(BB1434="Partially non-viable",IF(OR(BD1434="Total splenectomy",BD1434="Partial splenectomy +/- splenopexy"),"Non-viable","Review"),IF(BB1434="NR",IF(OR(BD1434="Total splenectomy",BD1434="Partial splenectomy +/- splenopexy"),"NR - removed, check reason","NR"),"Not applicable")))))</f>
        <v/>
      </c>
    </row>
    <row r="1435">
      <c r="D1435" s="8" t="n"/>
      <c r="E1435" s="9">
        <f>IF(B1435="","",IF(B1435="OWN","Yes","No"))</f>
        <v/>
      </c>
      <c r="AF1435" s="9">
        <f>IF(ISNUMBER(Z1435),IF(Z1435&lt;=2,"&lt;=2 d",IF(Z1435&lt;=7,"3-7 d",IF(Z1435&lt;=30,"8-30 d","&gt;30 d"))),IF(AE1435&lt;&gt;"",AE1435,IF(Z1435="NR","NR","")))</f>
        <v/>
      </c>
      <c r="AX1435" s="9">
        <f>IF(ISNUMBER(AW1435),IF(AW1435&gt;450,"Yes","No"),IF(AW1435="NR","NR",""))</f>
        <v/>
      </c>
      <c r="BJ1435" s="9">
        <f>IF(BB1435="","",IF(BB1435="Non-viable","Non-viable",IF(BB1435="Viable","Viable",IF(BB1435="Partially non-viable",IF(OR(BD1435="Total splenectomy",BD1435="Partial splenectomy +/- splenopexy"),"Non-viable","Review"),IF(BB1435="NR",IF(OR(BD1435="Total splenectomy",BD1435="Partial splenectomy +/- splenopexy"),"NR - removed, check reason","NR"),"Not applicable")))))</f>
        <v/>
      </c>
    </row>
    <row r="1436">
      <c r="D1436" s="8" t="n"/>
      <c r="E1436" s="9">
        <f>IF(B1436="","",IF(B1436="OWN","Yes","No"))</f>
        <v/>
      </c>
      <c r="AF1436" s="9">
        <f>IF(ISNUMBER(Z1436),IF(Z1436&lt;=2,"&lt;=2 d",IF(Z1436&lt;=7,"3-7 d",IF(Z1436&lt;=30,"8-30 d","&gt;30 d"))),IF(AE1436&lt;&gt;"",AE1436,IF(Z1436="NR","NR","")))</f>
        <v/>
      </c>
      <c r="AX1436" s="9">
        <f>IF(ISNUMBER(AW1436),IF(AW1436&gt;450,"Yes","No"),IF(AW1436="NR","NR",""))</f>
        <v/>
      </c>
      <c r="BJ1436" s="9">
        <f>IF(BB1436="","",IF(BB1436="Non-viable","Non-viable",IF(BB1436="Viable","Viable",IF(BB1436="Partially non-viable",IF(OR(BD1436="Total splenectomy",BD1436="Partial splenectomy +/- splenopexy"),"Non-viable","Review"),IF(BB1436="NR",IF(OR(BD1436="Total splenectomy",BD1436="Partial splenectomy +/- splenopexy"),"NR - removed, check reason","NR"),"Not applicable")))))</f>
        <v/>
      </c>
    </row>
    <row r="1437">
      <c r="D1437" s="8" t="n"/>
      <c r="E1437" s="9">
        <f>IF(B1437="","",IF(B1437="OWN","Yes","No"))</f>
        <v/>
      </c>
      <c r="AF1437" s="9">
        <f>IF(ISNUMBER(Z1437),IF(Z1437&lt;=2,"&lt;=2 d",IF(Z1437&lt;=7,"3-7 d",IF(Z1437&lt;=30,"8-30 d","&gt;30 d"))),IF(AE1437&lt;&gt;"",AE1437,IF(Z1437="NR","NR","")))</f>
        <v/>
      </c>
      <c r="AX1437" s="9">
        <f>IF(ISNUMBER(AW1437),IF(AW1437&gt;450,"Yes","No"),IF(AW1437="NR","NR",""))</f>
        <v/>
      </c>
      <c r="BJ1437" s="9">
        <f>IF(BB1437="","",IF(BB1437="Non-viable","Non-viable",IF(BB1437="Viable","Viable",IF(BB1437="Partially non-viable",IF(OR(BD1437="Total splenectomy",BD1437="Partial splenectomy +/- splenopexy"),"Non-viable","Review"),IF(BB1437="NR",IF(OR(BD1437="Total splenectomy",BD1437="Partial splenectomy +/- splenopexy"),"NR - removed, check reason","NR"),"Not applicable")))))</f>
        <v/>
      </c>
    </row>
    <row r="1438">
      <c r="D1438" s="8" t="n"/>
      <c r="E1438" s="9">
        <f>IF(B1438="","",IF(B1438="OWN","Yes","No"))</f>
        <v/>
      </c>
      <c r="AF1438" s="9">
        <f>IF(ISNUMBER(Z1438),IF(Z1438&lt;=2,"&lt;=2 d",IF(Z1438&lt;=7,"3-7 d",IF(Z1438&lt;=30,"8-30 d","&gt;30 d"))),IF(AE1438&lt;&gt;"",AE1438,IF(Z1438="NR","NR","")))</f>
        <v/>
      </c>
      <c r="AX1438" s="9">
        <f>IF(ISNUMBER(AW1438),IF(AW1438&gt;450,"Yes","No"),IF(AW1438="NR","NR",""))</f>
        <v/>
      </c>
      <c r="BJ1438" s="9">
        <f>IF(BB1438="","",IF(BB1438="Non-viable","Non-viable",IF(BB1438="Viable","Viable",IF(BB1438="Partially non-viable",IF(OR(BD1438="Total splenectomy",BD1438="Partial splenectomy +/- splenopexy"),"Non-viable","Review"),IF(BB1438="NR",IF(OR(BD1438="Total splenectomy",BD1438="Partial splenectomy +/- splenopexy"),"NR - removed, check reason","NR"),"Not applicable")))))</f>
        <v/>
      </c>
    </row>
    <row r="1439">
      <c r="D1439" s="8" t="n"/>
      <c r="E1439" s="9">
        <f>IF(B1439="","",IF(B1439="OWN","Yes","No"))</f>
        <v/>
      </c>
      <c r="AF1439" s="9">
        <f>IF(ISNUMBER(Z1439),IF(Z1439&lt;=2,"&lt;=2 d",IF(Z1439&lt;=7,"3-7 d",IF(Z1439&lt;=30,"8-30 d","&gt;30 d"))),IF(AE1439&lt;&gt;"",AE1439,IF(Z1439="NR","NR","")))</f>
        <v/>
      </c>
      <c r="AX1439" s="9">
        <f>IF(ISNUMBER(AW1439),IF(AW1439&gt;450,"Yes","No"),IF(AW1439="NR","NR",""))</f>
        <v/>
      </c>
      <c r="BJ1439" s="9">
        <f>IF(BB1439="","",IF(BB1439="Non-viable","Non-viable",IF(BB1439="Viable","Viable",IF(BB1439="Partially non-viable",IF(OR(BD1439="Total splenectomy",BD1439="Partial splenectomy +/- splenopexy"),"Non-viable","Review"),IF(BB1439="NR",IF(OR(BD1439="Total splenectomy",BD1439="Partial splenectomy +/- splenopexy"),"NR - removed, check reason","NR"),"Not applicable")))))</f>
        <v/>
      </c>
    </row>
    <row r="1440">
      <c r="D1440" s="8" t="n"/>
      <c r="E1440" s="9">
        <f>IF(B1440="","",IF(B1440="OWN","Yes","No"))</f>
        <v/>
      </c>
      <c r="AF1440" s="9">
        <f>IF(ISNUMBER(Z1440),IF(Z1440&lt;=2,"&lt;=2 d",IF(Z1440&lt;=7,"3-7 d",IF(Z1440&lt;=30,"8-30 d","&gt;30 d"))),IF(AE1440&lt;&gt;"",AE1440,IF(Z1440="NR","NR","")))</f>
        <v/>
      </c>
      <c r="AX1440" s="9">
        <f>IF(ISNUMBER(AW1440),IF(AW1440&gt;450,"Yes","No"),IF(AW1440="NR","NR",""))</f>
        <v/>
      </c>
      <c r="BJ1440" s="9">
        <f>IF(BB1440="","",IF(BB1440="Non-viable","Non-viable",IF(BB1440="Viable","Viable",IF(BB1440="Partially non-viable",IF(OR(BD1440="Total splenectomy",BD1440="Partial splenectomy +/- splenopexy"),"Non-viable","Review"),IF(BB1440="NR",IF(OR(BD1440="Total splenectomy",BD1440="Partial splenectomy +/- splenopexy"),"NR - removed, check reason","NR"),"Not applicable")))))</f>
        <v/>
      </c>
    </row>
    <row r="1441">
      <c r="D1441" s="8" t="n"/>
      <c r="E1441" s="9">
        <f>IF(B1441="","",IF(B1441="OWN","Yes","No"))</f>
        <v/>
      </c>
      <c r="AF1441" s="9">
        <f>IF(ISNUMBER(Z1441),IF(Z1441&lt;=2,"&lt;=2 d",IF(Z1441&lt;=7,"3-7 d",IF(Z1441&lt;=30,"8-30 d","&gt;30 d"))),IF(AE1441&lt;&gt;"",AE1441,IF(Z1441="NR","NR","")))</f>
        <v/>
      </c>
      <c r="AX1441" s="9">
        <f>IF(ISNUMBER(AW1441),IF(AW1441&gt;450,"Yes","No"),IF(AW1441="NR","NR",""))</f>
        <v/>
      </c>
      <c r="BJ1441" s="9">
        <f>IF(BB1441="","",IF(BB1441="Non-viable","Non-viable",IF(BB1441="Viable","Viable",IF(BB1441="Partially non-viable",IF(OR(BD1441="Total splenectomy",BD1441="Partial splenectomy +/- splenopexy"),"Non-viable","Review"),IF(BB1441="NR",IF(OR(BD1441="Total splenectomy",BD1441="Partial splenectomy +/- splenopexy"),"NR - removed, check reason","NR"),"Not applicable")))))</f>
        <v/>
      </c>
    </row>
    <row r="1442">
      <c r="D1442" s="8" t="n"/>
      <c r="E1442" s="9">
        <f>IF(B1442="","",IF(B1442="OWN","Yes","No"))</f>
        <v/>
      </c>
      <c r="AF1442" s="9">
        <f>IF(ISNUMBER(Z1442),IF(Z1442&lt;=2,"&lt;=2 d",IF(Z1442&lt;=7,"3-7 d",IF(Z1442&lt;=30,"8-30 d","&gt;30 d"))),IF(AE1442&lt;&gt;"",AE1442,IF(Z1442="NR","NR","")))</f>
        <v/>
      </c>
      <c r="AX1442" s="9">
        <f>IF(ISNUMBER(AW1442),IF(AW1442&gt;450,"Yes","No"),IF(AW1442="NR","NR",""))</f>
        <v/>
      </c>
      <c r="BJ1442" s="9">
        <f>IF(BB1442="","",IF(BB1442="Non-viable","Non-viable",IF(BB1442="Viable","Viable",IF(BB1442="Partially non-viable",IF(OR(BD1442="Total splenectomy",BD1442="Partial splenectomy +/- splenopexy"),"Non-viable","Review"),IF(BB1442="NR",IF(OR(BD1442="Total splenectomy",BD1442="Partial splenectomy +/- splenopexy"),"NR - removed, check reason","NR"),"Not applicable")))))</f>
        <v/>
      </c>
    </row>
    <row r="1443">
      <c r="D1443" s="8" t="n"/>
      <c r="E1443" s="9">
        <f>IF(B1443="","",IF(B1443="OWN","Yes","No"))</f>
        <v/>
      </c>
      <c r="AF1443" s="9">
        <f>IF(ISNUMBER(Z1443),IF(Z1443&lt;=2,"&lt;=2 d",IF(Z1443&lt;=7,"3-7 d",IF(Z1443&lt;=30,"8-30 d","&gt;30 d"))),IF(AE1443&lt;&gt;"",AE1443,IF(Z1443="NR","NR","")))</f>
        <v/>
      </c>
      <c r="AX1443" s="9">
        <f>IF(ISNUMBER(AW1443),IF(AW1443&gt;450,"Yes","No"),IF(AW1443="NR","NR",""))</f>
        <v/>
      </c>
      <c r="BJ1443" s="9">
        <f>IF(BB1443="","",IF(BB1443="Non-viable","Non-viable",IF(BB1443="Viable","Viable",IF(BB1443="Partially non-viable",IF(OR(BD1443="Total splenectomy",BD1443="Partial splenectomy +/- splenopexy"),"Non-viable","Review"),IF(BB1443="NR",IF(OR(BD1443="Total splenectomy",BD1443="Partial splenectomy +/- splenopexy"),"NR - removed, check reason","NR"),"Not applicable")))))</f>
        <v/>
      </c>
    </row>
    <row r="1444">
      <c r="D1444" s="8" t="n"/>
      <c r="E1444" s="9">
        <f>IF(B1444="","",IF(B1444="OWN","Yes","No"))</f>
        <v/>
      </c>
      <c r="AF1444" s="9">
        <f>IF(ISNUMBER(Z1444),IF(Z1444&lt;=2,"&lt;=2 d",IF(Z1444&lt;=7,"3-7 d",IF(Z1444&lt;=30,"8-30 d","&gt;30 d"))),IF(AE1444&lt;&gt;"",AE1444,IF(Z1444="NR","NR","")))</f>
        <v/>
      </c>
      <c r="AX1444" s="9">
        <f>IF(ISNUMBER(AW1444),IF(AW1444&gt;450,"Yes","No"),IF(AW1444="NR","NR",""))</f>
        <v/>
      </c>
      <c r="BJ1444" s="9">
        <f>IF(BB1444="","",IF(BB1444="Non-viable","Non-viable",IF(BB1444="Viable","Viable",IF(BB1444="Partially non-viable",IF(OR(BD1444="Total splenectomy",BD1444="Partial splenectomy +/- splenopexy"),"Non-viable","Review"),IF(BB1444="NR",IF(OR(BD1444="Total splenectomy",BD1444="Partial splenectomy +/- splenopexy"),"NR - removed, check reason","NR"),"Not applicable")))))</f>
        <v/>
      </c>
    </row>
    <row r="1445">
      <c r="D1445" s="8" t="n"/>
      <c r="E1445" s="9">
        <f>IF(B1445="","",IF(B1445="OWN","Yes","No"))</f>
        <v/>
      </c>
      <c r="AF1445" s="9">
        <f>IF(ISNUMBER(Z1445),IF(Z1445&lt;=2,"&lt;=2 d",IF(Z1445&lt;=7,"3-7 d",IF(Z1445&lt;=30,"8-30 d","&gt;30 d"))),IF(AE1445&lt;&gt;"",AE1445,IF(Z1445="NR","NR","")))</f>
        <v/>
      </c>
      <c r="AX1445" s="9">
        <f>IF(ISNUMBER(AW1445),IF(AW1445&gt;450,"Yes","No"),IF(AW1445="NR","NR",""))</f>
        <v/>
      </c>
      <c r="BJ1445" s="9">
        <f>IF(BB1445="","",IF(BB1445="Non-viable","Non-viable",IF(BB1445="Viable","Viable",IF(BB1445="Partially non-viable",IF(OR(BD1445="Total splenectomy",BD1445="Partial splenectomy +/- splenopexy"),"Non-viable","Review"),IF(BB1445="NR",IF(OR(BD1445="Total splenectomy",BD1445="Partial splenectomy +/- splenopexy"),"NR - removed, check reason","NR"),"Not applicable")))))</f>
        <v/>
      </c>
    </row>
    <row r="1446">
      <c r="D1446" s="8" t="n"/>
      <c r="E1446" s="9">
        <f>IF(B1446="","",IF(B1446="OWN","Yes","No"))</f>
        <v/>
      </c>
      <c r="AF1446" s="9">
        <f>IF(ISNUMBER(Z1446),IF(Z1446&lt;=2,"&lt;=2 d",IF(Z1446&lt;=7,"3-7 d",IF(Z1446&lt;=30,"8-30 d","&gt;30 d"))),IF(AE1446&lt;&gt;"",AE1446,IF(Z1446="NR","NR","")))</f>
        <v/>
      </c>
      <c r="AX1446" s="9">
        <f>IF(ISNUMBER(AW1446),IF(AW1446&gt;450,"Yes","No"),IF(AW1446="NR","NR",""))</f>
        <v/>
      </c>
      <c r="BJ1446" s="9">
        <f>IF(BB1446="","",IF(BB1446="Non-viable","Non-viable",IF(BB1446="Viable","Viable",IF(BB1446="Partially non-viable",IF(OR(BD1446="Total splenectomy",BD1446="Partial splenectomy +/- splenopexy"),"Non-viable","Review"),IF(BB1446="NR",IF(OR(BD1446="Total splenectomy",BD1446="Partial splenectomy +/- splenopexy"),"NR - removed, check reason","NR"),"Not applicable")))))</f>
        <v/>
      </c>
    </row>
    <row r="1447">
      <c r="D1447" s="8" t="n"/>
      <c r="E1447" s="9">
        <f>IF(B1447="","",IF(B1447="OWN","Yes","No"))</f>
        <v/>
      </c>
      <c r="AF1447" s="9">
        <f>IF(ISNUMBER(Z1447),IF(Z1447&lt;=2,"&lt;=2 d",IF(Z1447&lt;=7,"3-7 d",IF(Z1447&lt;=30,"8-30 d","&gt;30 d"))),IF(AE1447&lt;&gt;"",AE1447,IF(Z1447="NR","NR","")))</f>
        <v/>
      </c>
      <c r="AX1447" s="9">
        <f>IF(ISNUMBER(AW1447),IF(AW1447&gt;450,"Yes","No"),IF(AW1447="NR","NR",""))</f>
        <v/>
      </c>
      <c r="BJ1447" s="9">
        <f>IF(BB1447="","",IF(BB1447="Non-viable","Non-viable",IF(BB1447="Viable","Viable",IF(BB1447="Partially non-viable",IF(OR(BD1447="Total splenectomy",BD1447="Partial splenectomy +/- splenopexy"),"Non-viable","Review"),IF(BB1447="NR",IF(OR(BD1447="Total splenectomy",BD1447="Partial splenectomy +/- splenopexy"),"NR - removed, check reason","NR"),"Not applicable")))))</f>
        <v/>
      </c>
    </row>
    <row r="1448">
      <c r="D1448" s="8" t="n"/>
      <c r="E1448" s="9">
        <f>IF(B1448="","",IF(B1448="OWN","Yes","No"))</f>
        <v/>
      </c>
      <c r="AF1448" s="9">
        <f>IF(ISNUMBER(Z1448),IF(Z1448&lt;=2,"&lt;=2 d",IF(Z1448&lt;=7,"3-7 d",IF(Z1448&lt;=30,"8-30 d","&gt;30 d"))),IF(AE1448&lt;&gt;"",AE1448,IF(Z1448="NR","NR","")))</f>
        <v/>
      </c>
      <c r="AX1448" s="9">
        <f>IF(ISNUMBER(AW1448),IF(AW1448&gt;450,"Yes","No"),IF(AW1448="NR","NR",""))</f>
        <v/>
      </c>
      <c r="BJ1448" s="9">
        <f>IF(BB1448="","",IF(BB1448="Non-viable","Non-viable",IF(BB1448="Viable","Viable",IF(BB1448="Partially non-viable",IF(OR(BD1448="Total splenectomy",BD1448="Partial splenectomy +/- splenopexy"),"Non-viable","Review"),IF(BB1448="NR",IF(OR(BD1448="Total splenectomy",BD1448="Partial splenectomy +/- splenopexy"),"NR - removed, check reason","NR"),"Not applicable")))))</f>
        <v/>
      </c>
    </row>
    <row r="1449">
      <c r="D1449" s="8" t="n"/>
      <c r="E1449" s="9">
        <f>IF(B1449="","",IF(B1449="OWN","Yes","No"))</f>
        <v/>
      </c>
      <c r="AF1449" s="9">
        <f>IF(ISNUMBER(Z1449),IF(Z1449&lt;=2,"&lt;=2 d",IF(Z1449&lt;=7,"3-7 d",IF(Z1449&lt;=30,"8-30 d","&gt;30 d"))),IF(AE1449&lt;&gt;"",AE1449,IF(Z1449="NR","NR","")))</f>
        <v/>
      </c>
      <c r="AX1449" s="9">
        <f>IF(ISNUMBER(AW1449),IF(AW1449&gt;450,"Yes","No"),IF(AW1449="NR","NR",""))</f>
        <v/>
      </c>
      <c r="BJ1449" s="9">
        <f>IF(BB1449="","",IF(BB1449="Non-viable","Non-viable",IF(BB1449="Viable","Viable",IF(BB1449="Partially non-viable",IF(OR(BD1449="Total splenectomy",BD1449="Partial splenectomy +/- splenopexy"),"Non-viable","Review"),IF(BB1449="NR",IF(OR(BD1449="Total splenectomy",BD1449="Partial splenectomy +/- splenopexy"),"NR - removed, check reason","NR"),"Not applicable")))))</f>
        <v/>
      </c>
    </row>
    <row r="1450">
      <c r="D1450" s="8" t="n"/>
      <c r="E1450" s="9">
        <f>IF(B1450="","",IF(B1450="OWN","Yes","No"))</f>
        <v/>
      </c>
      <c r="AF1450" s="9">
        <f>IF(ISNUMBER(Z1450),IF(Z1450&lt;=2,"&lt;=2 d",IF(Z1450&lt;=7,"3-7 d",IF(Z1450&lt;=30,"8-30 d","&gt;30 d"))),IF(AE1450&lt;&gt;"",AE1450,IF(Z1450="NR","NR","")))</f>
        <v/>
      </c>
      <c r="AX1450" s="9">
        <f>IF(ISNUMBER(AW1450),IF(AW1450&gt;450,"Yes","No"),IF(AW1450="NR","NR",""))</f>
        <v/>
      </c>
      <c r="BJ1450" s="9">
        <f>IF(BB1450="","",IF(BB1450="Non-viable","Non-viable",IF(BB1450="Viable","Viable",IF(BB1450="Partially non-viable",IF(OR(BD1450="Total splenectomy",BD1450="Partial splenectomy +/- splenopexy"),"Non-viable","Review"),IF(BB1450="NR",IF(OR(BD1450="Total splenectomy",BD1450="Partial splenectomy +/- splenopexy"),"NR - removed, check reason","NR"),"Not applicable")))))</f>
        <v/>
      </c>
    </row>
    <row r="1451">
      <c r="D1451" s="8" t="n"/>
      <c r="E1451" s="9">
        <f>IF(B1451="","",IF(B1451="OWN","Yes","No"))</f>
        <v/>
      </c>
      <c r="AF1451" s="9">
        <f>IF(ISNUMBER(Z1451),IF(Z1451&lt;=2,"&lt;=2 d",IF(Z1451&lt;=7,"3-7 d",IF(Z1451&lt;=30,"8-30 d","&gt;30 d"))),IF(AE1451&lt;&gt;"",AE1451,IF(Z1451="NR","NR","")))</f>
        <v/>
      </c>
      <c r="AX1451" s="9">
        <f>IF(ISNUMBER(AW1451),IF(AW1451&gt;450,"Yes","No"),IF(AW1451="NR","NR",""))</f>
        <v/>
      </c>
      <c r="BJ1451" s="9">
        <f>IF(BB1451="","",IF(BB1451="Non-viable","Non-viable",IF(BB1451="Viable","Viable",IF(BB1451="Partially non-viable",IF(OR(BD1451="Total splenectomy",BD1451="Partial splenectomy +/- splenopexy"),"Non-viable","Review"),IF(BB1451="NR",IF(OR(BD1451="Total splenectomy",BD1451="Partial splenectomy +/- splenopexy"),"NR - removed, check reason","NR"),"Not applicable")))))</f>
        <v/>
      </c>
    </row>
    <row r="1452">
      <c r="D1452" s="8" t="n"/>
      <c r="E1452" s="9">
        <f>IF(B1452="","",IF(B1452="OWN","Yes","No"))</f>
        <v/>
      </c>
      <c r="AF1452" s="9">
        <f>IF(ISNUMBER(Z1452),IF(Z1452&lt;=2,"&lt;=2 d",IF(Z1452&lt;=7,"3-7 d",IF(Z1452&lt;=30,"8-30 d","&gt;30 d"))),IF(AE1452&lt;&gt;"",AE1452,IF(Z1452="NR","NR","")))</f>
        <v/>
      </c>
      <c r="AX1452" s="9">
        <f>IF(ISNUMBER(AW1452),IF(AW1452&gt;450,"Yes","No"),IF(AW1452="NR","NR",""))</f>
        <v/>
      </c>
      <c r="BJ1452" s="9">
        <f>IF(BB1452="","",IF(BB1452="Non-viable","Non-viable",IF(BB1452="Viable","Viable",IF(BB1452="Partially non-viable",IF(OR(BD1452="Total splenectomy",BD1452="Partial splenectomy +/- splenopexy"),"Non-viable","Review"),IF(BB1452="NR",IF(OR(BD1452="Total splenectomy",BD1452="Partial splenectomy +/- splenopexy"),"NR - removed, check reason","NR"),"Not applicable")))))</f>
        <v/>
      </c>
    </row>
    <row r="1453">
      <c r="D1453" s="8" t="n"/>
      <c r="E1453" s="9">
        <f>IF(B1453="","",IF(B1453="OWN","Yes","No"))</f>
        <v/>
      </c>
      <c r="AF1453" s="9">
        <f>IF(ISNUMBER(Z1453),IF(Z1453&lt;=2,"&lt;=2 d",IF(Z1453&lt;=7,"3-7 d",IF(Z1453&lt;=30,"8-30 d","&gt;30 d"))),IF(AE1453&lt;&gt;"",AE1453,IF(Z1453="NR","NR","")))</f>
        <v/>
      </c>
      <c r="AX1453" s="9">
        <f>IF(ISNUMBER(AW1453),IF(AW1453&gt;450,"Yes","No"),IF(AW1453="NR","NR",""))</f>
        <v/>
      </c>
      <c r="BJ1453" s="9">
        <f>IF(BB1453="","",IF(BB1453="Non-viable","Non-viable",IF(BB1453="Viable","Viable",IF(BB1453="Partially non-viable",IF(OR(BD1453="Total splenectomy",BD1453="Partial splenectomy +/- splenopexy"),"Non-viable","Review"),IF(BB1453="NR",IF(OR(BD1453="Total splenectomy",BD1453="Partial splenectomy +/- splenopexy"),"NR - removed, check reason","NR"),"Not applicable")))))</f>
        <v/>
      </c>
    </row>
    <row r="1454">
      <c r="D1454" s="8" t="n"/>
      <c r="E1454" s="9">
        <f>IF(B1454="","",IF(B1454="OWN","Yes","No"))</f>
        <v/>
      </c>
      <c r="AF1454" s="9">
        <f>IF(ISNUMBER(Z1454),IF(Z1454&lt;=2,"&lt;=2 d",IF(Z1454&lt;=7,"3-7 d",IF(Z1454&lt;=30,"8-30 d","&gt;30 d"))),IF(AE1454&lt;&gt;"",AE1454,IF(Z1454="NR","NR","")))</f>
        <v/>
      </c>
      <c r="AX1454" s="9">
        <f>IF(ISNUMBER(AW1454),IF(AW1454&gt;450,"Yes","No"),IF(AW1454="NR","NR",""))</f>
        <v/>
      </c>
      <c r="BJ1454" s="9">
        <f>IF(BB1454="","",IF(BB1454="Non-viable","Non-viable",IF(BB1454="Viable","Viable",IF(BB1454="Partially non-viable",IF(OR(BD1454="Total splenectomy",BD1454="Partial splenectomy +/- splenopexy"),"Non-viable","Review"),IF(BB1454="NR",IF(OR(BD1454="Total splenectomy",BD1454="Partial splenectomy +/- splenopexy"),"NR - removed, check reason","NR"),"Not applicable")))))</f>
        <v/>
      </c>
    </row>
    <row r="1455">
      <c r="D1455" s="8" t="n"/>
      <c r="E1455" s="9">
        <f>IF(B1455="","",IF(B1455="OWN","Yes","No"))</f>
        <v/>
      </c>
      <c r="AF1455" s="9">
        <f>IF(ISNUMBER(Z1455),IF(Z1455&lt;=2,"&lt;=2 d",IF(Z1455&lt;=7,"3-7 d",IF(Z1455&lt;=30,"8-30 d","&gt;30 d"))),IF(AE1455&lt;&gt;"",AE1455,IF(Z1455="NR","NR","")))</f>
        <v/>
      </c>
      <c r="AX1455" s="9">
        <f>IF(ISNUMBER(AW1455),IF(AW1455&gt;450,"Yes","No"),IF(AW1455="NR","NR",""))</f>
        <v/>
      </c>
      <c r="BJ1455" s="9">
        <f>IF(BB1455="","",IF(BB1455="Non-viable","Non-viable",IF(BB1455="Viable","Viable",IF(BB1455="Partially non-viable",IF(OR(BD1455="Total splenectomy",BD1455="Partial splenectomy +/- splenopexy"),"Non-viable","Review"),IF(BB1455="NR",IF(OR(BD1455="Total splenectomy",BD1455="Partial splenectomy +/- splenopexy"),"NR - removed, check reason","NR"),"Not applicable")))))</f>
        <v/>
      </c>
    </row>
    <row r="1456">
      <c r="D1456" s="8" t="n"/>
      <c r="E1456" s="9">
        <f>IF(B1456="","",IF(B1456="OWN","Yes","No"))</f>
        <v/>
      </c>
      <c r="AF1456" s="9">
        <f>IF(ISNUMBER(Z1456),IF(Z1456&lt;=2,"&lt;=2 d",IF(Z1456&lt;=7,"3-7 d",IF(Z1456&lt;=30,"8-30 d","&gt;30 d"))),IF(AE1456&lt;&gt;"",AE1456,IF(Z1456="NR","NR","")))</f>
        <v/>
      </c>
      <c r="AX1456" s="9">
        <f>IF(ISNUMBER(AW1456),IF(AW1456&gt;450,"Yes","No"),IF(AW1456="NR","NR",""))</f>
        <v/>
      </c>
      <c r="BJ1456" s="9">
        <f>IF(BB1456="","",IF(BB1456="Non-viable","Non-viable",IF(BB1456="Viable","Viable",IF(BB1456="Partially non-viable",IF(OR(BD1456="Total splenectomy",BD1456="Partial splenectomy +/- splenopexy"),"Non-viable","Review"),IF(BB1456="NR",IF(OR(BD1456="Total splenectomy",BD1456="Partial splenectomy +/- splenopexy"),"NR - removed, check reason","NR"),"Not applicable")))))</f>
        <v/>
      </c>
    </row>
    <row r="1457">
      <c r="D1457" s="8" t="n"/>
      <c r="E1457" s="9">
        <f>IF(B1457="","",IF(B1457="OWN","Yes","No"))</f>
        <v/>
      </c>
      <c r="AF1457" s="9">
        <f>IF(ISNUMBER(Z1457),IF(Z1457&lt;=2,"&lt;=2 d",IF(Z1457&lt;=7,"3-7 d",IF(Z1457&lt;=30,"8-30 d","&gt;30 d"))),IF(AE1457&lt;&gt;"",AE1457,IF(Z1457="NR","NR","")))</f>
        <v/>
      </c>
      <c r="AX1457" s="9">
        <f>IF(ISNUMBER(AW1457),IF(AW1457&gt;450,"Yes","No"),IF(AW1457="NR","NR",""))</f>
        <v/>
      </c>
      <c r="BJ1457" s="9">
        <f>IF(BB1457="","",IF(BB1457="Non-viable","Non-viable",IF(BB1457="Viable","Viable",IF(BB1457="Partially non-viable",IF(OR(BD1457="Total splenectomy",BD1457="Partial splenectomy +/- splenopexy"),"Non-viable","Review"),IF(BB1457="NR",IF(OR(BD1457="Total splenectomy",BD1457="Partial splenectomy +/- splenopexy"),"NR - removed, check reason","NR"),"Not applicable")))))</f>
        <v/>
      </c>
    </row>
    <row r="1458">
      <c r="D1458" s="8" t="n"/>
      <c r="E1458" s="9">
        <f>IF(B1458="","",IF(B1458="OWN","Yes","No"))</f>
        <v/>
      </c>
      <c r="AF1458" s="9">
        <f>IF(ISNUMBER(Z1458),IF(Z1458&lt;=2,"&lt;=2 d",IF(Z1458&lt;=7,"3-7 d",IF(Z1458&lt;=30,"8-30 d","&gt;30 d"))),IF(AE1458&lt;&gt;"",AE1458,IF(Z1458="NR","NR","")))</f>
        <v/>
      </c>
      <c r="AX1458" s="9">
        <f>IF(ISNUMBER(AW1458),IF(AW1458&gt;450,"Yes","No"),IF(AW1458="NR","NR",""))</f>
        <v/>
      </c>
      <c r="BJ1458" s="9">
        <f>IF(BB1458="","",IF(BB1458="Non-viable","Non-viable",IF(BB1458="Viable","Viable",IF(BB1458="Partially non-viable",IF(OR(BD1458="Total splenectomy",BD1458="Partial splenectomy +/- splenopexy"),"Non-viable","Review"),IF(BB1458="NR",IF(OR(BD1458="Total splenectomy",BD1458="Partial splenectomy +/- splenopexy"),"NR - removed, check reason","NR"),"Not applicable")))))</f>
        <v/>
      </c>
    </row>
    <row r="1459">
      <c r="D1459" s="8" t="n"/>
      <c r="E1459" s="9">
        <f>IF(B1459="","",IF(B1459="OWN","Yes","No"))</f>
        <v/>
      </c>
      <c r="AF1459" s="9">
        <f>IF(ISNUMBER(Z1459),IF(Z1459&lt;=2,"&lt;=2 d",IF(Z1459&lt;=7,"3-7 d",IF(Z1459&lt;=30,"8-30 d","&gt;30 d"))),IF(AE1459&lt;&gt;"",AE1459,IF(Z1459="NR","NR","")))</f>
        <v/>
      </c>
      <c r="AX1459" s="9">
        <f>IF(ISNUMBER(AW1459),IF(AW1459&gt;450,"Yes","No"),IF(AW1459="NR","NR",""))</f>
        <v/>
      </c>
      <c r="BJ1459" s="9">
        <f>IF(BB1459="","",IF(BB1459="Non-viable","Non-viable",IF(BB1459="Viable","Viable",IF(BB1459="Partially non-viable",IF(OR(BD1459="Total splenectomy",BD1459="Partial splenectomy +/- splenopexy"),"Non-viable","Review"),IF(BB1459="NR",IF(OR(BD1459="Total splenectomy",BD1459="Partial splenectomy +/- splenopexy"),"NR - removed, check reason","NR"),"Not applicable")))))</f>
        <v/>
      </c>
    </row>
    <row r="1460">
      <c r="D1460" s="8" t="n"/>
      <c r="E1460" s="9">
        <f>IF(B1460="","",IF(B1460="OWN","Yes","No"))</f>
        <v/>
      </c>
      <c r="AF1460" s="9">
        <f>IF(ISNUMBER(Z1460),IF(Z1460&lt;=2,"&lt;=2 d",IF(Z1460&lt;=7,"3-7 d",IF(Z1460&lt;=30,"8-30 d","&gt;30 d"))),IF(AE1460&lt;&gt;"",AE1460,IF(Z1460="NR","NR","")))</f>
        <v/>
      </c>
      <c r="AX1460" s="9">
        <f>IF(ISNUMBER(AW1460),IF(AW1460&gt;450,"Yes","No"),IF(AW1460="NR","NR",""))</f>
        <v/>
      </c>
      <c r="BJ1460" s="9">
        <f>IF(BB1460="","",IF(BB1460="Non-viable","Non-viable",IF(BB1460="Viable","Viable",IF(BB1460="Partially non-viable",IF(OR(BD1460="Total splenectomy",BD1460="Partial splenectomy +/- splenopexy"),"Non-viable","Review"),IF(BB1460="NR",IF(OR(BD1460="Total splenectomy",BD1460="Partial splenectomy +/- splenopexy"),"NR - removed, check reason","NR"),"Not applicable")))))</f>
        <v/>
      </c>
    </row>
    <row r="1461">
      <c r="D1461" s="8" t="n"/>
      <c r="E1461" s="9">
        <f>IF(B1461="","",IF(B1461="OWN","Yes","No"))</f>
        <v/>
      </c>
      <c r="AF1461" s="9">
        <f>IF(ISNUMBER(Z1461),IF(Z1461&lt;=2,"&lt;=2 d",IF(Z1461&lt;=7,"3-7 d",IF(Z1461&lt;=30,"8-30 d","&gt;30 d"))),IF(AE1461&lt;&gt;"",AE1461,IF(Z1461="NR","NR","")))</f>
        <v/>
      </c>
      <c r="AX1461" s="9">
        <f>IF(ISNUMBER(AW1461),IF(AW1461&gt;450,"Yes","No"),IF(AW1461="NR","NR",""))</f>
        <v/>
      </c>
      <c r="BJ1461" s="9">
        <f>IF(BB1461="","",IF(BB1461="Non-viable","Non-viable",IF(BB1461="Viable","Viable",IF(BB1461="Partially non-viable",IF(OR(BD1461="Total splenectomy",BD1461="Partial splenectomy +/- splenopexy"),"Non-viable","Review"),IF(BB1461="NR",IF(OR(BD1461="Total splenectomy",BD1461="Partial splenectomy +/- splenopexy"),"NR - removed, check reason","NR"),"Not applicable")))))</f>
        <v/>
      </c>
    </row>
    <row r="1462">
      <c r="D1462" s="8" t="n"/>
      <c r="E1462" s="9">
        <f>IF(B1462="","",IF(B1462="OWN","Yes","No"))</f>
        <v/>
      </c>
      <c r="AF1462" s="9">
        <f>IF(ISNUMBER(Z1462),IF(Z1462&lt;=2,"&lt;=2 d",IF(Z1462&lt;=7,"3-7 d",IF(Z1462&lt;=30,"8-30 d","&gt;30 d"))),IF(AE1462&lt;&gt;"",AE1462,IF(Z1462="NR","NR","")))</f>
        <v/>
      </c>
      <c r="AX1462" s="9">
        <f>IF(ISNUMBER(AW1462),IF(AW1462&gt;450,"Yes","No"),IF(AW1462="NR","NR",""))</f>
        <v/>
      </c>
      <c r="BJ1462" s="9">
        <f>IF(BB1462="","",IF(BB1462="Non-viable","Non-viable",IF(BB1462="Viable","Viable",IF(BB1462="Partially non-viable",IF(OR(BD1462="Total splenectomy",BD1462="Partial splenectomy +/- splenopexy"),"Non-viable","Review"),IF(BB1462="NR",IF(OR(BD1462="Total splenectomy",BD1462="Partial splenectomy +/- splenopexy"),"NR - removed, check reason","NR"),"Not applicable")))))</f>
        <v/>
      </c>
    </row>
    <row r="1463">
      <c r="D1463" s="8" t="n"/>
      <c r="E1463" s="9">
        <f>IF(B1463="","",IF(B1463="OWN","Yes","No"))</f>
        <v/>
      </c>
      <c r="AF1463" s="9">
        <f>IF(ISNUMBER(Z1463),IF(Z1463&lt;=2,"&lt;=2 d",IF(Z1463&lt;=7,"3-7 d",IF(Z1463&lt;=30,"8-30 d","&gt;30 d"))),IF(AE1463&lt;&gt;"",AE1463,IF(Z1463="NR","NR","")))</f>
        <v/>
      </c>
      <c r="AX1463" s="9">
        <f>IF(ISNUMBER(AW1463),IF(AW1463&gt;450,"Yes","No"),IF(AW1463="NR","NR",""))</f>
        <v/>
      </c>
      <c r="BJ1463" s="9">
        <f>IF(BB1463="","",IF(BB1463="Non-viable","Non-viable",IF(BB1463="Viable","Viable",IF(BB1463="Partially non-viable",IF(OR(BD1463="Total splenectomy",BD1463="Partial splenectomy +/- splenopexy"),"Non-viable","Review"),IF(BB1463="NR",IF(OR(BD1463="Total splenectomy",BD1463="Partial splenectomy +/- splenopexy"),"NR - removed, check reason","NR"),"Not applicable")))))</f>
        <v/>
      </c>
    </row>
    <row r="1464">
      <c r="D1464" s="8" t="n"/>
      <c r="E1464" s="9">
        <f>IF(B1464="","",IF(B1464="OWN","Yes","No"))</f>
        <v/>
      </c>
      <c r="AF1464" s="9">
        <f>IF(ISNUMBER(Z1464),IF(Z1464&lt;=2,"&lt;=2 d",IF(Z1464&lt;=7,"3-7 d",IF(Z1464&lt;=30,"8-30 d","&gt;30 d"))),IF(AE1464&lt;&gt;"",AE1464,IF(Z1464="NR","NR","")))</f>
        <v/>
      </c>
      <c r="AX1464" s="9">
        <f>IF(ISNUMBER(AW1464),IF(AW1464&gt;450,"Yes","No"),IF(AW1464="NR","NR",""))</f>
        <v/>
      </c>
      <c r="BJ1464" s="9">
        <f>IF(BB1464="","",IF(BB1464="Non-viable","Non-viable",IF(BB1464="Viable","Viable",IF(BB1464="Partially non-viable",IF(OR(BD1464="Total splenectomy",BD1464="Partial splenectomy +/- splenopexy"),"Non-viable","Review"),IF(BB1464="NR",IF(OR(BD1464="Total splenectomy",BD1464="Partial splenectomy +/- splenopexy"),"NR - removed, check reason","NR"),"Not applicable")))))</f>
        <v/>
      </c>
    </row>
    <row r="1465">
      <c r="D1465" s="8" t="n"/>
      <c r="E1465" s="9">
        <f>IF(B1465="","",IF(B1465="OWN","Yes","No"))</f>
        <v/>
      </c>
      <c r="AF1465" s="9">
        <f>IF(ISNUMBER(Z1465),IF(Z1465&lt;=2,"&lt;=2 d",IF(Z1465&lt;=7,"3-7 d",IF(Z1465&lt;=30,"8-30 d","&gt;30 d"))),IF(AE1465&lt;&gt;"",AE1465,IF(Z1465="NR","NR","")))</f>
        <v/>
      </c>
      <c r="AX1465" s="9">
        <f>IF(ISNUMBER(AW1465),IF(AW1465&gt;450,"Yes","No"),IF(AW1465="NR","NR",""))</f>
        <v/>
      </c>
      <c r="BJ1465" s="9">
        <f>IF(BB1465="","",IF(BB1465="Non-viable","Non-viable",IF(BB1465="Viable","Viable",IF(BB1465="Partially non-viable",IF(OR(BD1465="Total splenectomy",BD1465="Partial splenectomy +/- splenopexy"),"Non-viable","Review"),IF(BB1465="NR",IF(OR(BD1465="Total splenectomy",BD1465="Partial splenectomy +/- splenopexy"),"NR - removed, check reason","NR"),"Not applicable")))))</f>
        <v/>
      </c>
    </row>
    <row r="1466">
      <c r="D1466" s="8" t="n"/>
      <c r="E1466" s="9">
        <f>IF(B1466="","",IF(B1466="OWN","Yes","No"))</f>
        <v/>
      </c>
      <c r="AF1466" s="9">
        <f>IF(ISNUMBER(Z1466),IF(Z1466&lt;=2,"&lt;=2 d",IF(Z1466&lt;=7,"3-7 d",IF(Z1466&lt;=30,"8-30 d","&gt;30 d"))),IF(AE1466&lt;&gt;"",AE1466,IF(Z1466="NR","NR","")))</f>
        <v/>
      </c>
      <c r="AX1466" s="9">
        <f>IF(ISNUMBER(AW1466),IF(AW1466&gt;450,"Yes","No"),IF(AW1466="NR","NR",""))</f>
        <v/>
      </c>
      <c r="BJ1466" s="9">
        <f>IF(BB1466="","",IF(BB1466="Non-viable","Non-viable",IF(BB1466="Viable","Viable",IF(BB1466="Partially non-viable",IF(OR(BD1466="Total splenectomy",BD1466="Partial splenectomy +/- splenopexy"),"Non-viable","Review"),IF(BB1466="NR",IF(OR(BD1466="Total splenectomy",BD1466="Partial splenectomy +/- splenopexy"),"NR - removed, check reason","NR"),"Not applicable")))))</f>
        <v/>
      </c>
    </row>
    <row r="1467">
      <c r="D1467" s="8" t="n"/>
      <c r="E1467" s="9">
        <f>IF(B1467="","",IF(B1467="OWN","Yes","No"))</f>
        <v/>
      </c>
      <c r="AF1467" s="9">
        <f>IF(ISNUMBER(Z1467),IF(Z1467&lt;=2,"&lt;=2 d",IF(Z1467&lt;=7,"3-7 d",IF(Z1467&lt;=30,"8-30 d","&gt;30 d"))),IF(AE1467&lt;&gt;"",AE1467,IF(Z1467="NR","NR","")))</f>
        <v/>
      </c>
      <c r="AX1467" s="9">
        <f>IF(ISNUMBER(AW1467),IF(AW1467&gt;450,"Yes","No"),IF(AW1467="NR","NR",""))</f>
        <v/>
      </c>
      <c r="BJ1467" s="9">
        <f>IF(BB1467="","",IF(BB1467="Non-viable","Non-viable",IF(BB1467="Viable","Viable",IF(BB1467="Partially non-viable",IF(OR(BD1467="Total splenectomy",BD1467="Partial splenectomy +/- splenopexy"),"Non-viable","Review"),IF(BB1467="NR",IF(OR(BD1467="Total splenectomy",BD1467="Partial splenectomy +/- splenopexy"),"NR - removed, check reason","NR"),"Not applicable")))))</f>
        <v/>
      </c>
    </row>
    <row r="1468">
      <c r="D1468" s="8" t="n"/>
      <c r="E1468" s="9">
        <f>IF(B1468="","",IF(B1468="OWN","Yes","No"))</f>
        <v/>
      </c>
      <c r="AF1468" s="9">
        <f>IF(ISNUMBER(Z1468),IF(Z1468&lt;=2,"&lt;=2 d",IF(Z1468&lt;=7,"3-7 d",IF(Z1468&lt;=30,"8-30 d","&gt;30 d"))),IF(AE1468&lt;&gt;"",AE1468,IF(Z1468="NR","NR","")))</f>
        <v/>
      </c>
      <c r="AX1468" s="9">
        <f>IF(ISNUMBER(AW1468),IF(AW1468&gt;450,"Yes","No"),IF(AW1468="NR","NR",""))</f>
        <v/>
      </c>
      <c r="BJ1468" s="9">
        <f>IF(BB1468="","",IF(BB1468="Non-viable","Non-viable",IF(BB1468="Viable","Viable",IF(BB1468="Partially non-viable",IF(OR(BD1468="Total splenectomy",BD1468="Partial splenectomy +/- splenopexy"),"Non-viable","Review"),IF(BB1468="NR",IF(OR(BD1468="Total splenectomy",BD1468="Partial splenectomy +/- splenopexy"),"NR - removed, check reason","NR"),"Not applicable")))))</f>
        <v/>
      </c>
    </row>
    <row r="1469">
      <c r="D1469" s="8" t="n"/>
      <c r="E1469" s="9">
        <f>IF(B1469="","",IF(B1469="OWN","Yes","No"))</f>
        <v/>
      </c>
      <c r="AF1469" s="9">
        <f>IF(ISNUMBER(Z1469),IF(Z1469&lt;=2,"&lt;=2 d",IF(Z1469&lt;=7,"3-7 d",IF(Z1469&lt;=30,"8-30 d","&gt;30 d"))),IF(AE1469&lt;&gt;"",AE1469,IF(Z1469="NR","NR","")))</f>
        <v/>
      </c>
      <c r="AX1469" s="9">
        <f>IF(ISNUMBER(AW1469),IF(AW1469&gt;450,"Yes","No"),IF(AW1469="NR","NR",""))</f>
        <v/>
      </c>
      <c r="BJ1469" s="9">
        <f>IF(BB1469="","",IF(BB1469="Non-viable","Non-viable",IF(BB1469="Viable","Viable",IF(BB1469="Partially non-viable",IF(OR(BD1469="Total splenectomy",BD1469="Partial splenectomy +/- splenopexy"),"Non-viable","Review"),IF(BB1469="NR",IF(OR(BD1469="Total splenectomy",BD1469="Partial splenectomy +/- splenopexy"),"NR - removed, check reason","NR"),"Not applicable")))))</f>
        <v/>
      </c>
    </row>
    <row r="1470">
      <c r="D1470" s="8" t="n"/>
      <c r="E1470" s="9">
        <f>IF(B1470="","",IF(B1470="OWN","Yes","No"))</f>
        <v/>
      </c>
      <c r="AF1470" s="9">
        <f>IF(ISNUMBER(Z1470),IF(Z1470&lt;=2,"&lt;=2 d",IF(Z1470&lt;=7,"3-7 d",IF(Z1470&lt;=30,"8-30 d","&gt;30 d"))),IF(AE1470&lt;&gt;"",AE1470,IF(Z1470="NR","NR","")))</f>
        <v/>
      </c>
      <c r="AX1470" s="9">
        <f>IF(ISNUMBER(AW1470),IF(AW1470&gt;450,"Yes","No"),IF(AW1470="NR","NR",""))</f>
        <v/>
      </c>
      <c r="BJ1470" s="9">
        <f>IF(BB1470="","",IF(BB1470="Non-viable","Non-viable",IF(BB1470="Viable","Viable",IF(BB1470="Partially non-viable",IF(OR(BD1470="Total splenectomy",BD1470="Partial splenectomy +/- splenopexy"),"Non-viable","Review"),IF(BB1470="NR",IF(OR(BD1470="Total splenectomy",BD1470="Partial splenectomy +/- splenopexy"),"NR - removed, check reason","NR"),"Not applicable")))))</f>
        <v/>
      </c>
    </row>
    <row r="1471">
      <c r="D1471" s="8" t="n"/>
      <c r="E1471" s="9">
        <f>IF(B1471="","",IF(B1471="OWN","Yes","No"))</f>
        <v/>
      </c>
      <c r="AF1471" s="9">
        <f>IF(ISNUMBER(Z1471),IF(Z1471&lt;=2,"&lt;=2 d",IF(Z1471&lt;=7,"3-7 d",IF(Z1471&lt;=30,"8-30 d","&gt;30 d"))),IF(AE1471&lt;&gt;"",AE1471,IF(Z1471="NR","NR","")))</f>
        <v/>
      </c>
      <c r="AX1471" s="9">
        <f>IF(ISNUMBER(AW1471),IF(AW1471&gt;450,"Yes","No"),IF(AW1471="NR","NR",""))</f>
        <v/>
      </c>
      <c r="BJ1471" s="9">
        <f>IF(BB1471="","",IF(BB1471="Non-viable","Non-viable",IF(BB1471="Viable","Viable",IF(BB1471="Partially non-viable",IF(OR(BD1471="Total splenectomy",BD1471="Partial splenectomy +/- splenopexy"),"Non-viable","Review"),IF(BB1471="NR",IF(OR(BD1471="Total splenectomy",BD1471="Partial splenectomy +/- splenopexy"),"NR - removed, check reason","NR"),"Not applicable")))))</f>
        <v/>
      </c>
    </row>
    <row r="1472">
      <c r="D1472" s="8" t="n"/>
      <c r="E1472" s="9">
        <f>IF(B1472="","",IF(B1472="OWN","Yes","No"))</f>
        <v/>
      </c>
      <c r="AF1472" s="9">
        <f>IF(ISNUMBER(Z1472),IF(Z1472&lt;=2,"&lt;=2 d",IF(Z1472&lt;=7,"3-7 d",IF(Z1472&lt;=30,"8-30 d","&gt;30 d"))),IF(AE1472&lt;&gt;"",AE1472,IF(Z1472="NR","NR","")))</f>
        <v/>
      </c>
      <c r="AX1472" s="9">
        <f>IF(ISNUMBER(AW1472),IF(AW1472&gt;450,"Yes","No"),IF(AW1472="NR","NR",""))</f>
        <v/>
      </c>
      <c r="BJ1472" s="9">
        <f>IF(BB1472="","",IF(BB1472="Non-viable","Non-viable",IF(BB1472="Viable","Viable",IF(BB1472="Partially non-viable",IF(OR(BD1472="Total splenectomy",BD1472="Partial splenectomy +/- splenopexy"),"Non-viable","Review"),IF(BB1472="NR",IF(OR(BD1472="Total splenectomy",BD1472="Partial splenectomy +/- splenopexy"),"NR - removed, check reason","NR"),"Not applicable")))))</f>
        <v/>
      </c>
    </row>
    <row r="1473">
      <c r="D1473" s="8" t="n"/>
      <c r="E1473" s="9">
        <f>IF(B1473="","",IF(B1473="OWN","Yes","No"))</f>
        <v/>
      </c>
      <c r="AF1473" s="9">
        <f>IF(ISNUMBER(Z1473),IF(Z1473&lt;=2,"&lt;=2 d",IF(Z1473&lt;=7,"3-7 d",IF(Z1473&lt;=30,"8-30 d","&gt;30 d"))),IF(AE1473&lt;&gt;"",AE1473,IF(Z1473="NR","NR","")))</f>
        <v/>
      </c>
      <c r="AX1473" s="9">
        <f>IF(ISNUMBER(AW1473),IF(AW1473&gt;450,"Yes","No"),IF(AW1473="NR","NR",""))</f>
        <v/>
      </c>
      <c r="BJ1473" s="9">
        <f>IF(BB1473="","",IF(BB1473="Non-viable","Non-viable",IF(BB1473="Viable","Viable",IF(BB1473="Partially non-viable",IF(OR(BD1473="Total splenectomy",BD1473="Partial splenectomy +/- splenopexy"),"Non-viable","Review"),IF(BB1473="NR",IF(OR(BD1473="Total splenectomy",BD1473="Partial splenectomy +/- splenopexy"),"NR - removed, check reason","NR"),"Not applicable")))))</f>
        <v/>
      </c>
    </row>
    <row r="1474">
      <c r="D1474" s="8" t="n"/>
      <c r="E1474" s="9">
        <f>IF(B1474="","",IF(B1474="OWN","Yes","No"))</f>
        <v/>
      </c>
      <c r="AF1474" s="9">
        <f>IF(ISNUMBER(Z1474),IF(Z1474&lt;=2,"&lt;=2 d",IF(Z1474&lt;=7,"3-7 d",IF(Z1474&lt;=30,"8-30 d","&gt;30 d"))),IF(AE1474&lt;&gt;"",AE1474,IF(Z1474="NR","NR","")))</f>
        <v/>
      </c>
      <c r="AX1474" s="9">
        <f>IF(ISNUMBER(AW1474),IF(AW1474&gt;450,"Yes","No"),IF(AW1474="NR","NR",""))</f>
        <v/>
      </c>
      <c r="BJ1474" s="9">
        <f>IF(BB1474="","",IF(BB1474="Non-viable","Non-viable",IF(BB1474="Viable","Viable",IF(BB1474="Partially non-viable",IF(OR(BD1474="Total splenectomy",BD1474="Partial splenectomy +/- splenopexy"),"Non-viable","Review"),IF(BB1474="NR",IF(OR(BD1474="Total splenectomy",BD1474="Partial splenectomy +/- splenopexy"),"NR - removed, check reason","NR"),"Not applicable")))))</f>
        <v/>
      </c>
    </row>
    <row r="1475">
      <c r="D1475" s="8" t="n"/>
      <c r="E1475" s="9">
        <f>IF(B1475="","",IF(B1475="OWN","Yes","No"))</f>
        <v/>
      </c>
      <c r="AF1475" s="9">
        <f>IF(ISNUMBER(Z1475),IF(Z1475&lt;=2,"&lt;=2 d",IF(Z1475&lt;=7,"3-7 d",IF(Z1475&lt;=30,"8-30 d","&gt;30 d"))),IF(AE1475&lt;&gt;"",AE1475,IF(Z1475="NR","NR","")))</f>
        <v/>
      </c>
      <c r="AX1475" s="9">
        <f>IF(ISNUMBER(AW1475),IF(AW1475&gt;450,"Yes","No"),IF(AW1475="NR","NR",""))</f>
        <v/>
      </c>
      <c r="BJ1475" s="9">
        <f>IF(BB1475="","",IF(BB1475="Non-viable","Non-viable",IF(BB1475="Viable","Viable",IF(BB1475="Partially non-viable",IF(OR(BD1475="Total splenectomy",BD1475="Partial splenectomy +/- splenopexy"),"Non-viable","Review"),IF(BB1475="NR",IF(OR(BD1475="Total splenectomy",BD1475="Partial splenectomy +/- splenopexy"),"NR - removed, check reason","NR"),"Not applicable")))))</f>
        <v/>
      </c>
    </row>
    <row r="1476">
      <c r="D1476" s="8" t="n"/>
      <c r="E1476" s="9">
        <f>IF(B1476="","",IF(B1476="OWN","Yes","No"))</f>
        <v/>
      </c>
      <c r="AF1476" s="9">
        <f>IF(ISNUMBER(Z1476),IF(Z1476&lt;=2,"&lt;=2 d",IF(Z1476&lt;=7,"3-7 d",IF(Z1476&lt;=30,"8-30 d","&gt;30 d"))),IF(AE1476&lt;&gt;"",AE1476,IF(Z1476="NR","NR","")))</f>
        <v/>
      </c>
      <c r="AX1476" s="9">
        <f>IF(ISNUMBER(AW1476),IF(AW1476&gt;450,"Yes","No"),IF(AW1476="NR","NR",""))</f>
        <v/>
      </c>
      <c r="BJ1476" s="9">
        <f>IF(BB1476="","",IF(BB1476="Non-viable","Non-viable",IF(BB1476="Viable","Viable",IF(BB1476="Partially non-viable",IF(OR(BD1476="Total splenectomy",BD1476="Partial splenectomy +/- splenopexy"),"Non-viable","Review"),IF(BB1476="NR",IF(OR(BD1476="Total splenectomy",BD1476="Partial splenectomy +/- splenopexy"),"NR - removed, check reason","NR"),"Not applicable")))))</f>
        <v/>
      </c>
    </row>
    <row r="1477">
      <c r="D1477" s="8" t="n"/>
      <c r="E1477" s="9">
        <f>IF(B1477="","",IF(B1477="OWN","Yes","No"))</f>
        <v/>
      </c>
      <c r="AF1477" s="9">
        <f>IF(ISNUMBER(Z1477),IF(Z1477&lt;=2,"&lt;=2 d",IF(Z1477&lt;=7,"3-7 d",IF(Z1477&lt;=30,"8-30 d","&gt;30 d"))),IF(AE1477&lt;&gt;"",AE1477,IF(Z1477="NR","NR","")))</f>
        <v/>
      </c>
      <c r="AX1477" s="9">
        <f>IF(ISNUMBER(AW1477),IF(AW1477&gt;450,"Yes","No"),IF(AW1477="NR","NR",""))</f>
        <v/>
      </c>
      <c r="BJ1477" s="9">
        <f>IF(BB1477="","",IF(BB1477="Non-viable","Non-viable",IF(BB1477="Viable","Viable",IF(BB1477="Partially non-viable",IF(OR(BD1477="Total splenectomy",BD1477="Partial splenectomy +/- splenopexy"),"Non-viable","Review"),IF(BB1477="NR",IF(OR(BD1477="Total splenectomy",BD1477="Partial splenectomy +/- splenopexy"),"NR - removed, check reason","NR"),"Not applicable")))))</f>
        <v/>
      </c>
    </row>
    <row r="1478">
      <c r="D1478" s="8" t="n"/>
      <c r="E1478" s="9">
        <f>IF(B1478="","",IF(B1478="OWN","Yes","No"))</f>
        <v/>
      </c>
      <c r="AF1478" s="9">
        <f>IF(ISNUMBER(Z1478),IF(Z1478&lt;=2,"&lt;=2 d",IF(Z1478&lt;=7,"3-7 d",IF(Z1478&lt;=30,"8-30 d","&gt;30 d"))),IF(AE1478&lt;&gt;"",AE1478,IF(Z1478="NR","NR","")))</f>
        <v/>
      </c>
      <c r="AX1478" s="9">
        <f>IF(ISNUMBER(AW1478),IF(AW1478&gt;450,"Yes","No"),IF(AW1478="NR","NR",""))</f>
        <v/>
      </c>
      <c r="BJ1478" s="9">
        <f>IF(BB1478="","",IF(BB1478="Non-viable","Non-viable",IF(BB1478="Viable","Viable",IF(BB1478="Partially non-viable",IF(OR(BD1478="Total splenectomy",BD1478="Partial splenectomy +/- splenopexy"),"Non-viable","Review"),IF(BB1478="NR",IF(OR(BD1478="Total splenectomy",BD1478="Partial splenectomy +/- splenopexy"),"NR - removed, check reason","NR"),"Not applicable")))))</f>
        <v/>
      </c>
    </row>
    <row r="1479">
      <c r="D1479" s="8" t="n"/>
      <c r="E1479" s="9">
        <f>IF(B1479="","",IF(B1479="OWN","Yes","No"))</f>
        <v/>
      </c>
      <c r="AF1479" s="9">
        <f>IF(ISNUMBER(Z1479),IF(Z1479&lt;=2,"&lt;=2 d",IF(Z1479&lt;=7,"3-7 d",IF(Z1479&lt;=30,"8-30 d","&gt;30 d"))),IF(AE1479&lt;&gt;"",AE1479,IF(Z1479="NR","NR","")))</f>
        <v/>
      </c>
      <c r="AX1479" s="9">
        <f>IF(ISNUMBER(AW1479),IF(AW1479&gt;450,"Yes","No"),IF(AW1479="NR","NR",""))</f>
        <v/>
      </c>
      <c r="BJ1479" s="9">
        <f>IF(BB1479="","",IF(BB1479="Non-viable","Non-viable",IF(BB1479="Viable","Viable",IF(BB1479="Partially non-viable",IF(OR(BD1479="Total splenectomy",BD1479="Partial splenectomy +/- splenopexy"),"Non-viable","Review"),IF(BB1479="NR",IF(OR(BD1479="Total splenectomy",BD1479="Partial splenectomy +/- splenopexy"),"NR - removed, check reason","NR"),"Not applicable")))))</f>
        <v/>
      </c>
    </row>
    <row r="1480">
      <c r="D1480" s="8" t="n"/>
      <c r="E1480" s="9">
        <f>IF(B1480="","",IF(B1480="OWN","Yes","No"))</f>
        <v/>
      </c>
      <c r="AF1480" s="9">
        <f>IF(ISNUMBER(Z1480),IF(Z1480&lt;=2,"&lt;=2 d",IF(Z1480&lt;=7,"3-7 d",IF(Z1480&lt;=30,"8-30 d","&gt;30 d"))),IF(AE1480&lt;&gt;"",AE1480,IF(Z1480="NR","NR","")))</f>
        <v/>
      </c>
      <c r="AX1480" s="9">
        <f>IF(ISNUMBER(AW1480),IF(AW1480&gt;450,"Yes","No"),IF(AW1480="NR","NR",""))</f>
        <v/>
      </c>
      <c r="BJ1480" s="9">
        <f>IF(BB1480="","",IF(BB1480="Non-viable","Non-viable",IF(BB1480="Viable","Viable",IF(BB1480="Partially non-viable",IF(OR(BD1480="Total splenectomy",BD1480="Partial splenectomy +/- splenopexy"),"Non-viable","Review"),IF(BB1480="NR",IF(OR(BD1480="Total splenectomy",BD1480="Partial splenectomy +/- splenopexy"),"NR - removed, check reason","NR"),"Not applicable")))))</f>
        <v/>
      </c>
    </row>
    <row r="1481">
      <c r="D1481" s="8" t="n"/>
      <c r="E1481" s="9">
        <f>IF(B1481="","",IF(B1481="OWN","Yes","No"))</f>
        <v/>
      </c>
      <c r="AF1481" s="9">
        <f>IF(ISNUMBER(Z1481),IF(Z1481&lt;=2,"&lt;=2 d",IF(Z1481&lt;=7,"3-7 d",IF(Z1481&lt;=30,"8-30 d","&gt;30 d"))),IF(AE1481&lt;&gt;"",AE1481,IF(Z1481="NR","NR","")))</f>
        <v/>
      </c>
      <c r="AX1481" s="9">
        <f>IF(ISNUMBER(AW1481),IF(AW1481&gt;450,"Yes","No"),IF(AW1481="NR","NR",""))</f>
        <v/>
      </c>
      <c r="BJ1481" s="9">
        <f>IF(BB1481="","",IF(BB1481="Non-viable","Non-viable",IF(BB1481="Viable","Viable",IF(BB1481="Partially non-viable",IF(OR(BD1481="Total splenectomy",BD1481="Partial splenectomy +/- splenopexy"),"Non-viable","Review"),IF(BB1481="NR",IF(OR(BD1481="Total splenectomy",BD1481="Partial splenectomy +/- splenopexy"),"NR - removed, check reason","NR"),"Not applicable")))))</f>
        <v/>
      </c>
    </row>
    <row r="1482">
      <c r="D1482" s="8" t="n"/>
      <c r="E1482" s="9">
        <f>IF(B1482="","",IF(B1482="OWN","Yes","No"))</f>
        <v/>
      </c>
      <c r="AF1482" s="9">
        <f>IF(ISNUMBER(Z1482),IF(Z1482&lt;=2,"&lt;=2 d",IF(Z1482&lt;=7,"3-7 d",IF(Z1482&lt;=30,"8-30 d","&gt;30 d"))),IF(AE1482&lt;&gt;"",AE1482,IF(Z1482="NR","NR","")))</f>
        <v/>
      </c>
      <c r="AX1482" s="9">
        <f>IF(ISNUMBER(AW1482),IF(AW1482&gt;450,"Yes","No"),IF(AW1482="NR","NR",""))</f>
        <v/>
      </c>
      <c r="BJ1482" s="9">
        <f>IF(BB1482="","",IF(BB1482="Non-viable","Non-viable",IF(BB1482="Viable","Viable",IF(BB1482="Partially non-viable",IF(OR(BD1482="Total splenectomy",BD1482="Partial splenectomy +/- splenopexy"),"Non-viable","Review"),IF(BB1482="NR",IF(OR(BD1482="Total splenectomy",BD1482="Partial splenectomy +/- splenopexy"),"NR - removed, check reason","NR"),"Not applicable")))))</f>
        <v/>
      </c>
    </row>
    <row r="1483">
      <c r="D1483" s="8" t="n"/>
      <c r="E1483" s="9">
        <f>IF(B1483="","",IF(B1483="OWN","Yes","No"))</f>
        <v/>
      </c>
      <c r="AF1483" s="9">
        <f>IF(ISNUMBER(Z1483),IF(Z1483&lt;=2,"&lt;=2 d",IF(Z1483&lt;=7,"3-7 d",IF(Z1483&lt;=30,"8-30 d","&gt;30 d"))),IF(AE1483&lt;&gt;"",AE1483,IF(Z1483="NR","NR","")))</f>
        <v/>
      </c>
      <c r="AX1483" s="9">
        <f>IF(ISNUMBER(AW1483),IF(AW1483&gt;450,"Yes","No"),IF(AW1483="NR","NR",""))</f>
        <v/>
      </c>
      <c r="BJ1483" s="9">
        <f>IF(BB1483="","",IF(BB1483="Non-viable","Non-viable",IF(BB1483="Viable","Viable",IF(BB1483="Partially non-viable",IF(OR(BD1483="Total splenectomy",BD1483="Partial splenectomy +/- splenopexy"),"Non-viable","Review"),IF(BB1483="NR",IF(OR(BD1483="Total splenectomy",BD1483="Partial splenectomy +/- splenopexy"),"NR - removed, check reason","NR"),"Not applicable")))))</f>
        <v/>
      </c>
    </row>
    <row r="1484">
      <c r="D1484" s="8" t="n"/>
      <c r="E1484" s="9">
        <f>IF(B1484="","",IF(B1484="OWN","Yes","No"))</f>
        <v/>
      </c>
      <c r="AF1484" s="9">
        <f>IF(ISNUMBER(Z1484),IF(Z1484&lt;=2,"&lt;=2 d",IF(Z1484&lt;=7,"3-7 d",IF(Z1484&lt;=30,"8-30 d","&gt;30 d"))),IF(AE1484&lt;&gt;"",AE1484,IF(Z1484="NR","NR","")))</f>
        <v/>
      </c>
      <c r="AX1484" s="9">
        <f>IF(ISNUMBER(AW1484),IF(AW1484&gt;450,"Yes","No"),IF(AW1484="NR","NR",""))</f>
        <v/>
      </c>
      <c r="BJ1484" s="9">
        <f>IF(BB1484="","",IF(BB1484="Non-viable","Non-viable",IF(BB1484="Viable","Viable",IF(BB1484="Partially non-viable",IF(OR(BD1484="Total splenectomy",BD1484="Partial splenectomy +/- splenopexy"),"Non-viable","Review"),IF(BB1484="NR",IF(OR(BD1484="Total splenectomy",BD1484="Partial splenectomy +/- splenopexy"),"NR - removed, check reason","NR"),"Not applicable")))))</f>
        <v/>
      </c>
    </row>
    <row r="1485">
      <c r="D1485" s="8" t="n"/>
      <c r="E1485" s="9">
        <f>IF(B1485="","",IF(B1485="OWN","Yes","No"))</f>
        <v/>
      </c>
      <c r="AF1485" s="9">
        <f>IF(ISNUMBER(Z1485),IF(Z1485&lt;=2,"&lt;=2 d",IF(Z1485&lt;=7,"3-7 d",IF(Z1485&lt;=30,"8-30 d","&gt;30 d"))),IF(AE1485&lt;&gt;"",AE1485,IF(Z1485="NR","NR","")))</f>
        <v/>
      </c>
      <c r="AX1485" s="9">
        <f>IF(ISNUMBER(AW1485),IF(AW1485&gt;450,"Yes","No"),IF(AW1485="NR","NR",""))</f>
        <v/>
      </c>
      <c r="BJ1485" s="9">
        <f>IF(BB1485="","",IF(BB1485="Non-viable","Non-viable",IF(BB1485="Viable","Viable",IF(BB1485="Partially non-viable",IF(OR(BD1485="Total splenectomy",BD1485="Partial splenectomy +/- splenopexy"),"Non-viable","Review"),IF(BB1485="NR",IF(OR(BD1485="Total splenectomy",BD1485="Partial splenectomy +/- splenopexy"),"NR - removed, check reason","NR"),"Not applicable")))))</f>
        <v/>
      </c>
    </row>
    <row r="1486">
      <c r="D1486" s="8" t="n"/>
      <c r="E1486" s="9">
        <f>IF(B1486="","",IF(B1486="OWN","Yes","No"))</f>
        <v/>
      </c>
      <c r="AF1486" s="9">
        <f>IF(ISNUMBER(Z1486),IF(Z1486&lt;=2,"&lt;=2 d",IF(Z1486&lt;=7,"3-7 d",IF(Z1486&lt;=30,"8-30 d","&gt;30 d"))),IF(AE1486&lt;&gt;"",AE1486,IF(Z1486="NR","NR","")))</f>
        <v/>
      </c>
      <c r="AX1486" s="9">
        <f>IF(ISNUMBER(AW1486),IF(AW1486&gt;450,"Yes","No"),IF(AW1486="NR","NR",""))</f>
        <v/>
      </c>
      <c r="BJ1486" s="9">
        <f>IF(BB1486="","",IF(BB1486="Non-viable","Non-viable",IF(BB1486="Viable","Viable",IF(BB1486="Partially non-viable",IF(OR(BD1486="Total splenectomy",BD1486="Partial splenectomy +/- splenopexy"),"Non-viable","Review"),IF(BB1486="NR",IF(OR(BD1486="Total splenectomy",BD1486="Partial splenectomy +/- splenopexy"),"NR - removed, check reason","NR"),"Not applicable")))))</f>
        <v/>
      </c>
    </row>
    <row r="1487">
      <c r="D1487" s="8" t="n"/>
      <c r="E1487" s="9">
        <f>IF(B1487="","",IF(B1487="OWN","Yes","No"))</f>
        <v/>
      </c>
      <c r="AF1487" s="9">
        <f>IF(ISNUMBER(Z1487),IF(Z1487&lt;=2,"&lt;=2 d",IF(Z1487&lt;=7,"3-7 d",IF(Z1487&lt;=30,"8-30 d","&gt;30 d"))),IF(AE1487&lt;&gt;"",AE1487,IF(Z1487="NR","NR","")))</f>
        <v/>
      </c>
      <c r="AX1487" s="9">
        <f>IF(ISNUMBER(AW1487),IF(AW1487&gt;450,"Yes","No"),IF(AW1487="NR","NR",""))</f>
        <v/>
      </c>
      <c r="BJ1487" s="9">
        <f>IF(BB1487="","",IF(BB1487="Non-viable","Non-viable",IF(BB1487="Viable","Viable",IF(BB1487="Partially non-viable",IF(OR(BD1487="Total splenectomy",BD1487="Partial splenectomy +/- splenopexy"),"Non-viable","Review"),IF(BB1487="NR",IF(OR(BD1487="Total splenectomy",BD1487="Partial splenectomy +/- splenopexy"),"NR - removed, check reason","NR"),"Not applicable")))))</f>
        <v/>
      </c>
    </row>
    <row r="1488">
      <c r="D1488" s="8" t="n"/>
      <c r="E1488" s="9">
        <f>IF(B1488="","",IF(B1488="OWN","Yes","No"))</f>
        <v/>
      </c>
      <c r="AF1488" s="9">
        <f>IF(ISNUMBER(Z1488),IF(Z1488&lt;=2,"&lt;=2 d",IF(Z1488&lt;=7,"3-7 d",IF(Z1488&lt;=30,"8-30 d","&gt;30 d"))),IF(AE1488&lt;&gt;"",AE1488,IF(Z1488="NR","NR","")))</f>
        <v/>
      </c>
      <c r="AX1488" s="9">
        <f>IF(ISNUMBER(AW1488),IF(AW1488&gt;450,"Yes","No"),IF(AW1488="NR","NR",""))</f>
        <v/>
      </c>
      <c r="BJ1488" s="9">
        <f>IF(BB1488="","",IF(BB1488="Non-viable","Non-viable",IF(BB1488="Viable","Viable",IF(BB1488="Partially non-viable",IF(OR(BD1488="Total splenectomy",BD1488="Partial splenectomy +/- splenopexy"),"Non-viable","Review"),IF(BB1488="NR",IF(OR(BD1488="Total splenectomy",BD1488="Partial splenectomy +/- splenopexy"),"NR - removed, check reason","NR"),"Not applicable")))))</f>
        <v/>
      </c>
    </row>
    <row r="1489">
      <c r="D1489" s="8" t="n"/>
      <c r="E1489" s="9">
        <f>IF(B1489="","",IF(B1489="OWN","Yes","No"))</f>
        <v/>
      </c>
      <c r="AF1489" s="9">
        <f>IF(ISNUMBER(Z1489),IF(Z1489&lt;=2,"&lt;=2 d",IF(Z1489&lt;=7,"3-7 d",IF(Z1489&lt;=30,"8-30 d","&gt;30 d"))),IF(AE1489&lt;&gt;"",AE1489,IF(Z1489="NR","NR","")))</f>
        <v/>
      </c>
      <c r="AX1489" s="9">
        <f>IF(ISNUMBER(AW1489),IF(AW1489&gt;450,"Yes","No"),IF(AW1489="NR","NR",""))</f>
        <v/>
      </c>
      <c r="BJ1489" s="9">
        <f>IF(BB1489="","",IF(BB1489="Non-viable","Non-viable",IF(BB1489="Viable","Viable",IF(BB1489="Partially non-viable",IF(OR(BD1489="Total splenectomy",BD1489="Partial splenectomy +/- splenopexy"),"Non-viable","Review"),IF(BB1489="NR",IF(OR(BD1489="Total splenectomy",BD1489="Partial splenectomy +/- splenopexy"),"NR - removed, check reason","NR"),"Not applicable")))))</f>
        <v/>
      </c>
    </row>
    <row r="1490">
      <c r="D1490" s="8" t="n"/>
      <c r="E1490" s="9">
        <f>IF(B1490="","",IF(B1490="OWN","Yes","No"))</f>
        <v/>
      </c>
      <c r="AF1490" s="9">
        <f>IF(ISNUMBER(Z1490),IF(Z1490&lt;=2,"&lt;=2 d",IF(Z1490&lt;=7,"3-7 d",IF(Z1490&lt;=30,"8-30 d","&gt;30 d"))),IF(AE1490&lt;&gt;"",AE1490,IF(Z1490="NR","NR","")))</f>
        <v/>
      </c>
      <c r="AX1490" s="9">
        <f>IF(ISNUMBER(AW1490),IF(AW1490&gt;450,"Yes","No"),IF(AW1490="NR","NR",""))</f>
        <v/>
      </c>
      <c r="BJ1490" s="9">
        <f>IF(BB1490="","",IF(BB1490="Non-viable","Non-viable",IF(BB1490="Viable","Viable",IF(BB1490="Partially non-viable",IF(OR(BD1490="Total splenectomy",BD1490="Partial splenectomy +/- splenopexy"),"Non-viable","Review"),IF(BB1490="NR",IF(OR(BD1490="Total splenectomy",BD1490="Partial splenectomy +/- splenopexy"),"NR - removed, check reason","NR"),"Not applicable")))))</f>
        <v/>
      </c>
    </row>
    <row r="1491">
      <c r="D1491" s="8" t="n"/>
      <c r="E1491" s="9">
        <f>IF(B1491="","",IF(B1491="OWN","Yes","No"))</f>
        <v/>
      </c>
      <c r="AF1491" s="9">
        <f>IF(ISNUMBER(Z1491),IF(Z1491&lt;=2,"&lt;=2 d",IF(Z1491&lt;=7,"3-7 d",IF(Z1491&lt;=30,"8-30 d","&gt;30 d"))),IF(AE1491&lt;&gt;"",AE1491,IF(Z1491="NR","NR","")))</f>
        <v/>
      </c>
      <c r="AX1491" s="9">
        <f>IF(ISNUMBER(AW1491),IF(AW1491&gt;450,"Yes","No"),IF(AW1491="NR","NR",""))</f>
        <v/>
      </c>
      <c r="BJ1491" s="9">
        <f>IF(BB1491="","",IF(BB1491="Non-viable","Non-viable",IF(BB1491="Viable","Viable",IF(BB1491="Partially non-viable",IF(OR(BD1491="Total splenectomy",BD1491="Partial splenectomy +/- splenopexy"),"Non-viable","Review"),IF(BB1491="NR",IF(OR(BD1491="Total splenectomy",BD1491="Partial splenectomy +/- splenopexy"),"NR - removed, check reason","NR"),"Not applicable")))))</f>
        <v/>
      </c>
    </row>
    <row r="1492">
      <c r="D1492" s="8" t="n"/>
      <c r="E1492" s="9">
        <f>IF(B1492="","",IF(B1492="OWN","Yes","No"))</f>
        <v/>
      </c>
      <c r="AF1492" s="9">
        <f>IF(ISNUMBER(Z1492),IF(Z1492&lt;=2,"&lt;=2 d",IF(Z1492&lt;=7,"3-7 d",IF(Z1492&lt;=30,"8-30 d","&gt;30 d"))),IF(AE1492&lt;&gt;"",AE1492,IF(Z1492="NR","NR","")))</f>
        <v/>
      </c>
      <c r="AX1492" s="9">
        <f>IF(ISNUMBER(AW1492),IF(AW1492&gt;450,"Yes","No"),IF(AW1492="NR","NR",""))</f>
        <v/>
      </c>
      <c r="BJ1492" s="9">
        <f>IF(BB1492="","",IF(BB1492="Non-viable","Non-viable",IF(BB1492="Viable","Viable",IF(BB1492="Partially non-viable",IF(OR(BD1492="Total splenectomy",BD1492="Partial splenectomy +/- splenopexy"),"Non-viable","Review"),IF(BB1492="NR",IF(OR(BD1492="Total splenectomy",BD1492="Partial splenectomy +/- splenopexy"),"NR - removed, check reason","NR"),"Not applicable")))))</f>
        <v/>
      </c>
    </row>
    <row r="1493">
      <c r="D1493" s="8" t="n"/>
      <c r="E1493" s="9">
        <f>IF(B1493="","",IF(B1493="OWN","Yes","No"))</f>
        <v/>
      </c>
      <c r="AF1493" s="9">
        <f>IF(ISNUMBER(Z1493),IF(Z1493&lt;=2,"&lt;=2 d",IF(Z1493&lt;=7,"3-7 d",IF(Z1493&lt;=30,"8-30 d","&gt;30 d"))),IF(AE1493&lt;&gt;"",AE1493,IF(Z1493="NR","NR","")))</f>
        <v/>
      </c>
      <c r="AX1493" s="9">
        <f>IF(ISNUMBER(AW1493),IF(AW1493&gt;450,"Yes","No"),IF(AW1493="NR","NR",""))</f>
        <v/>
      </c>
      <c r="BJ1493" s="9">
        <f>IF(BB1493="","",IF(BB1493="Non-viable","Non-viable",IF(BB1493="Viable","Viable",IF(BB1493="Partially non-viable",IF(OR(BD1493="Total splenectomy",BD1493="Partial splenectomy +/- splenopexy"),"Non-viable","Review"),IF(BB1493="NR",IF(OR(BD1493="Total splenectomy",BD1493="Partial splenectomy +/- splenopexy"),"NR - removed, check reason","NR"),"Not applicable")))))</f>
        <v/>
      </c>
    </row>
    <row r="1494">
      <c r="D1494" s="8" t="n"/>
      <c r="E1494" s="9">
        <f>IF(B1494="","",IF(B1494="OWN","Yes","No"))</f>
        <v/>
      </c>
      <c r="AF1494" s="9">
        <f>IF(ISNUMBER(Z1494),IF(Z1494&lt;=2,"&lt;=2 d",IF(Z1494&lt;=7,"3-7 d",IF(Z1494&lt;=30,"8-30 d","&gt;30 d"))),IF(AE1494&lt;&gt;"",AE1494,IF(Z1494="NR","NR","")))</f>
        <v/>
      </c>
      <c r="AX1494" s="9">
        <f>IF(ISNUMBER(AW1494),IF(AW1494&gt;450,"Yes","No"),IF(AW1494="NR","NR",""))</f>
        <v/>
      </c>
      <c r="BJ1494" s="9">
        <f>IF(BB1494="","",IF(BB1494="Non-viable","Non-viable",IF(BB1494="Viable","Viable",IF(BB1494="Partially non-viable",IF(OR(BD1494="Total splenectomy",BD1494="Partial splenectomy +/- splenopexy"),"Non-viable","Review"),IF(BB1494="NR",IF(OR(BD1494="Total splenectomy",BD1494="Partial splenectomy +/- splenopexy"),"NR - removed, check reason","NR"),"Not applicable")))))</f>
        <v/>
      </c>
    </row>
    <row r="1495">
      <c r="D1495" s="8" t="n"/>
      <c r="E1495" s="9">
        <f>IF(B1495="","",IF(B1495="OWN","Yes","No"))</f>
        <v/>
      </c>
      <c r="AF1495" s="9">
        <f>IF(ISNUMBER(Z1495),IF(Z1495&lt;=2,"&lt;=2 d",IF(Z1495&lt;=7,"3-7 d",IF(Z1495&lt;=30,"8-30 d","&gt;30 d"))),IF(AE1495&lt;&gt;"",AE1495,IF(Z1495="NR","NR","")))</f>
        <v/>
      </c>
      <c r="AX1495" s="9">
        <f>IF(ISNUMBER(AW1495),IF(AW1495&gt;450,"Yes","No"),IF(AW1495="NR","NR",""))</f>
        <v/>
      </c>
      <c r="BJ1495" s="9">
        <f>IF(BB1495="","",IF(BB1495="Non-viable","Non-viable",IF(BB1495="Viable","Viable",IF(BB1495="Partially non-viable",IF(OR(BD1495="Total splenectomy",BD1495="Partial splenectomy +/- splenopexy"),"Non-viable","Review"),IF(BB1495="NR",IF(OR(BD1495="Total splenectomy",BD1495="Partial splenectomy +/- splenopexy"),"NR - removed, check reason","NR"),"Not applicable")))))</f>
        <v/>
      </c>
    </row>
    <row r="1496">
      <c r="D1496" s="8" t="n"/>
      <c r="E1496" s="9">
        <f>IF(B1496="","",IF(B1496="OWN","Yes","No"))</f>
        <v/>
      </c>
      <c r="AF1496" s="9">
        <f>IF(ISNUMBER(Z1496),IF(Z1496&lt;=2,"&lt;=2 d",IF(Z1496&lt;=7,"3-7 d",IF(Z1496&lt;=30,"8-30 d","&gt;30 d"))),IF(AE1496&lt;&gt;"",AE1496,IF(Z1496="NR","NR","")))</f>
        <v/>
      </c>
      <c r="AX1496" s="9">
        <f>IF(ISNUMBER(AW1496),IF(AW1496&gt;450,"Yes","No"),IF(AW1496="NR","NR",""))</f>
        <v/>
      </c>
      <c r="BJ1496" s="9">
        <f>IF(BB1496="","",IF(BB1496="Non-viable","Non-viable",IF(BB1496="Viable","Viable",IF(BB1496="Partially non-viable",IF(OR(BD1496="Total splenectomy",BD1496="Partial splenectomy +/- splenopexy"),"Non-viable","Review"),IF(BB1496="NR",IF(OR(BD1496="Total splenectomy",BD1496="Partial splenectomy +/- splenopexy"),"NR - removed, check reason","NR"),"Not applicable")))))</f>
        <v/>
      </c>
    </row>
    <row r="1497">
      <c r="D1497" s="8" t="n"/>
      <c r="E1497" s="9">
        <f>IF(B1497="","",IF(B1497="OWN","Yes","No"))</f>
        <v/>
      </c>
      <c r="AF1497" s="9">
        <f>IF(ISNUMBER(Z1497),IF(Z1497&lt;=2,"&lt;=2 d",IF(Z1497&lt;=7,"3-7 d",IF(Z1497&lt;=30,"8-30 d","&gt;30 d"))),IF(AE1497&lt;&gt;"",AE1497,IF(Z1497="NR","NR","")))</f>
        <v/>
      </c>
      <c r="AX1497" s="9">
        <f>IF(ISNUMBER(AW1497),IF(AW1497&gt;450,"Yes","No"),IF(AW1497="NR","NR",""))</f>
        <v/>
      </c>
      <c r="BJ1497" s="9">
        <f>IF(BB1497="","",IF(BB1497="Non-viable","Non-viable",IF(BB1497="Viable","Viable",IF(BB1497="Partially non-viable",IF(OR(BD1497="Total splenectomy",BD1497="Partial splenectomy +/- splenopexy"),"Non-viable","Review"),IF(BB1497="NR",IF(OR(BD1497="Total splenectomy",BD1497="Partial splenectomy +/- splenopexy"),"NR - removed, check reason","NR"),"Not applicable")))))</f>
        <v/>
      </c>
    </row>
    <row r="1498">
      <c r="D1498" s="8" t="n"/>
      <c r="E1498" s="9">
        <f>IF(B1498="","",IF(B1498="OWN","Yes","No"))</f>
        <v/>
      </c>
      <c r="AF1498" s="9">
        <f>IF(ISNUMBER(Z1498),IF(Z1498&lt;=2,"&lt;=2 d",IF(Z1498&lt;=7,"3-7 d",IF(Z1498&lt;=30,"8-30 d","&gt;30 d"))),IF(AE1498&lt;&gt;"",AE1498,IF(Z1498="NR","NR","")))</f>
        <v/>
      </c>
      <c r="AX1498" s="9">
        <f>IF(ISNUMBER(AW1498),IF(AW1498&gt;450,"Yes","No"),IF(AW1498="NR","NR",""))</f>
        <v/>
      </c>
      <c r="BJ1498" s="9">
        <f>IF(BB1498="","",IF(BB1498="Non-viable","Non-viable",IF(BB1498="Viable","Viable",IF(BB1498="Partially non-viable",IF(OR(BD1498="Total splenectomy",BD1498="Partial splenectomy +/- splenopexy"),"Non-viable","Review"),IF(BB1498="NR",IF(OR(BD1498="Total splenectomy",BD1498="Partial splenectomy +/- splenopexy"),"NR - removed, check reason","NR"),"Not applicable")))))</f>
        <v/>
      </c>
    </row>
    <row r="1499">
      <c r="D1499" s="8" t="n"/>
      <c r="E1499" s="9">
        <f>IF(B1499="","",IF(B1499="OWN","Yes","No"))</f>
        <v/>
      </c>
      <c r="AF1499" s="9">
        <f>IF(ISNUMBER(Z1499),IF(Z1499&lt;=2,"&lt;=2 d",IF(Z1499&lt;=7,"3-7 d",IF(Z1499&lt;=30,"8-30 d","&gt;30 d"))),IF(AE1499&lt;&gt;"",AE1499,IF(Z1499="NR","NR","")))</f>
        <v/>
      </c>
      <c r="AX1499" s="9">
        <f>IF(ISNUMBER(AW1499),IF(AW1499&gt;450,"Yes","No"),IF(AW1499="NR","NR",""))</f>
        <v/>
      </c>
      <c r="BJ1499" s="9">
        <f>IF(BB1499="","",IF(BB1499="Non-viable","Non-viable",IF(BB1499="Viable","Viable",IF(BB1499="Partially non-viable",IF(OR(BD1499="Total splenectomy",BD1499="Partial splenectomy +/- splenopexy"),"Non-viable","Review"),IF(BB1499="NR",IF(OR(BD1499="Total splenectomy",BD1499="Partial splenectomy +/- splenopexy"),"NR - removed, check reason","NR"),"Not applicable")))))</f>
        <v/>
      </c>
    </row>
    <row r="1500">
      <c r="D1500" s="8" t="n"/>
      <c r="E1500" s="9">
        <f>IF(B1500="","",IF(B1500="OWN","Yes","No"))</f>
        <v/>
      </c>
      <c r="AF1500" s="9">
        <f>IF(ISNUMBER(Z1500),IF(Z1500&lt;=2,"&lt;=2 d",IF(Z1500&lt;=7,"3-7 d",IF(Z1500&lt;=30,"8-30 d","&gt;30 d"))),IF(AE1500&lt;&gt;"",AE1500,IF(Z1500="NR","NR","")))</f>
        <v/>
      </c>
      <c r="AX1500" s="9">
        <f>IF(ISNUMBER(AW1500),IF(AW1500&gt;450,"Yes","No"),IF(AW1500="NR","NR",""))</f>
        <v/>
      </c>
      <c r="BJ1500" s="9">
        <f>IF(BB1500="","",IF(BB1500="Non-viable","Non-viable",IF(BB1500="Viable","Viable",IF(BB1500="Partially non-viable",IF(OR(BD1500="Total splenectomy",BD1500="Partial splenectomy +/- splenopexy"),"Non-viable","Review"),IF(BB1500="NR",IF(OR(BD1500="Total splenectomy",BD1500="Partial splenectomy +/- splenopexy"),"NR - removed, check reason","NR"),"Not applicable")))))</f>
        <v/>
      </c>
    </row>
    <row r="1501">
      <c r="D1501" s="8" t="n"/>
      <c r="E1501" s="9">
        <f>IF(B1501="","",IF(B1501="OWN","Yes","No"))</f>
        <v/>
      </c>
      <c r="AF1501" s="9">
        <f>IF(ISNUMBER(Z1501),IF(Z1501&lt;=2,"&lt;=2 d",IF(Z1501&lt;=7,"3-7 d",IF(Z1501&lt;=30,"8-30 d","&gt;30 d"))),IF(AE1501&lt;&gt;"",AE1501,IF(Z1501="NR","NR","")))</f>
        <v/>
      </c>
      <c r="AX1501" s="9">
        <f>IF(ISNUMBER(AW1501),IF(AW1501&gt;450,"Yes","No"),IF(AW1501="NR","NR",""))</f>
        <v/>
      </c>
      <c r="BJ1501" s="9">
        <f>IF(BB1501="","",IF(BB1501="Non-viable","Non-viable",IF(BB1501="Viable","Viable",IF(BB1501="Partially non-viable",IF(OR(BD1501="Total splenectomy",BD1501="Partial splenectomy +/- splenopexy"),"Non-viable","Review"),IF(BB1501="NR",IF(OR(BD1501="Total splenectomy",BD1501="Partial splenectomy +/- splenopexy"),"NR - removed, check reason","NR"),"Not applicable")))))</f>
        <v/>
      </c>
    </row>
    <row r="1502">
      <c r="D1502" s="8" t="n"/>
      <c r="E1502" s="9">
        <f>IF(B1502="","",IF(B1502="OWN","Yes","No"))</f>
        <v/>
      </c>
      <c r="AF1502" s="9">
        <f>IF(ISNUMBER(Z1502),IF(Z1502&lt;=2,"&lt;=2 d",IF(Z1502&lt;=7,"3-7 d",IF(Z1502&lt;=30,"8-30 d","&gt;30 d"))),IF(AE1502&lt;&gt;"",AE1502,IF(Z1502="NR","NR","")))</f>
        <v/>
      </c>
      <c r="AX1502" s="9">
        <f>IF(ISNUMBER(AW1502),IF(AW1502&gt;450,"Yes","No"),IF(AW1502="NR","NR",""))</f>
        <v/>
      </c>
      <c r="BJ1502" s="9">
        <f>IF(BB1502="","",IF(BB1502="Non-viable","Non-viable",IF(BB1502="Viable","Viable",IF(BB1502="Partially non-viable",IF(OR(BD1502="Total splenectomy",BD1502="Partial splenectomy +/- splenopexy"),"Non-viable","Review"),IF(BB1502="NR",IF(OR(BD1502="Total splenectomy",BD1502="Partial splenectomy +/- splenopexy"),"NR - removed, check reason","NR"),"Not applicable")))))</f>
        <v/>
      </c>
    </row>
    <row r="1503">
      <c r="D1503" s="8" t="n"/>
      <c r="E1503" s="9">
        <f>IF(B1503="","",IF(B1503="OWN","Yes","No"))</f>
        <v/>
      </c>
      <c r="AF1503" s="9">
        <f>IF(ISNUMBER(Z1503),IF(Z1503&lt;=2,"&lt;=2 d",IF(Z1503&lt;=7,"3-7 d",IF(Z1503&lt;=30,"8-30 d","&gt;30 d"))),IF(AE1503&lt;&gt;"",AE1503,IF(Z1503="NR","NR","")))</f>
        <v/>
      </c>
      <c r="AX1503" s="9">
        <f>IF(ISNUMBER(AW1503),IF(AW1503&gt;450,"Yes","No"),IF(AW1503="NR","NR",""))</f>
        <v/>
      </c>
      <c r="BJ1503" s="9">
        <f>IF(BB1503="","",IF(BB1503="Non-viable","Non-viable",IF(BB1503="Viable","Viable",IF(BB1503="Partially non-viable",IF(OR(BD1503="Total splenectomy",BD1503="Partial splenectomy +/- splenopexy"),"Non-viable","Review"),IF(BB1503="NR",IF(OR(BD1503="Total splenectomy",BD1503="Partial splenectomy +/- splenopexy"),"NR - removed, check reason","NR"),"Not applicable")))))</f>
        <v/>
      </c>
    </row>
  </sheetData>
  <dataValidations count="46">
    <dataValidation sqref="C4:C15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  <dataValidation sqref="I4:I15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J4: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K4:K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L4: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M4: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N4:N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O4:O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P4:P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Q4: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U4:U1503" showDropDown="0" showInputMessage="0" showErrorMessage="1" allowBlank="1" errorTitle="Not in list" error="值不在列表里。请从下拉列表选择；确需例外请在 Notes 里说明。" type="list" errorStyle="warning">
      <formula1>Lists!$H$2:$H$4</formula1>
    </dataValidation>
    <dataValidation sqref="W4:W15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  <dataValidation sqref="X4:X1503" showDropDown="0" showInputMessage="0" showErrorMessage="1" allowBlank="1" errorTitle="Not in list" error="值不在列表里。请从下拉列表选择；确需例外请在 Notes 里说明。" type="list" errorStyle="warning">
      <formula1>Lists!$J$2:$J$6</formula1>
    </dataValidation>
    <dataValidation sqref="Z4:Z1503" showDropDown="0" showInputMessage="0" showErrorMessage="1" allowBlank="1" errorTitle="Number or NR" error="请填数字；报告里没有请填 NR。" type="custom" errorStyle="warning">
      <formula1>OR(ISNUMBER(Z4),Z4="NR")</formula1>
    </dataValidation>
    <dataValidation sqref="AB4:AB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C4:AC1503" showDropDown="0" showInputMessage="0" showErrorMessage="1" allowBlank="1" errorTitle="Number or NR" error="请填数字；报告里没有请填 NR。" type="custom" errorStyle="warning">
      <formula1>OR(ISNUMBER(AC4),AC4="NR")</formula1>
    </dataValidation>
    <dataValidation sqref="AD4:AD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E4:AE1503" showDropDown="0" showInputMessage="0" showErrorMessage="1" allowBlank="1" errorTitle="Not in list" error="值不在列表里。请从下拉列表选择；确需例外请在 Notes 里说明。" type="list" errorStyle="warning">
      <formula1>Lists!$U$2:$U$5</formula1>
    </dataValidation>
    <dataValidation sqref="AH4:AH1503" showDropDown="0" showInputMessage="0" showErrorMessage="1" allowBlank="1" errorTitle="Number or NR" error="请填数字；报告里没有请填 NR。" type="custom" errorStyle="warning">
      <formula1>OR(ISNUMBER(AH4),AH4="NR")</formula1>
    </dataValidation>
    <dataValidation sqref="AI4:AI1503" showDropDown="0" showInputMessage="0" showErrorMessage="1" allowBlank="1" errorTitle="Integer or NR" error="请填整数；报告里没有请填 NR。" type="custom" errorStyle="warning">
      <formula1>OR(AND(ISNUMBER(AI4),AI4=INT(AI4),AI4&gt;=0),AI4="NR")</formula1>
    </dataValidation>
    <dataValidation sqref="AJ4:A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M4:A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N4:AN1503" showDropDown="0" showInputMessage="0" showErrorMessage="1" allowBlank="1" errorTitle="Not in list" error="值不在列表里。请从下拉列表选择；确需例外请在 Notes 里说明。" type="list" errorStyle="warning">
      <formula1>Lists!$K$2:$K$6</formula1>
    </dataValidation>
    <dataValidation sqref="AO4:AO1503" showDropDown="0" showInputMessage="0" showErrorMessage="1" allowBlank="1" errorTitle="Number or NR" error="请填数字；报告里没有请填 NR。" type="custom" errorStyle="warning">
      <formula1>OR(ISNUMBER(AO4),AO4="NR")</formula1>
    </dataValidation>
    <dataValidation sqref="AP4:AP1503" showDropDown="0" showInputMessage="0" showErrorMessage="1" allowBlank="1" errorTitle="Not in list" error="值不在列表里。请从下拉列表选择；确需例外请在 Notes 里说明。" type="list" errorStyle="warning">
      <formula1>Lists!$L$2:$L$4</formula1>
    </dataValidation>
    <dataValidation sqref="AQ4:A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R4:AR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S4:AS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T4:AT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U4:AU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V4:AV1503" showDropDown="0" showInputMessage="0" showErrorMessage="1" allowBlank="1" errorTitle="Not in list" error="值不在列表里。请从下拉列表选择；确需例外请在 Notes 里说明。" type="list" errorStyle="warning">
      <formula1>Lists!$M$2:$M$5</formula1>
    </dataValidation>
    <dataValidation sqref="AW4:AW1503" showDropDown="0" showInputMessage="0" showErrorMessage="1" allowBlank="1" errorTitle="Number or NR" error="请填数字；报告里没有请填 NR。" type="custom" errorStyle="warning">
      <formula1>OR(ISNUMBER(AW4),AW4="NR")</formula1>
    </dataValidation>
    <dataValidation sqref="AY4:AY1503" showDropDown="0" showInputMessage="0" showErrorMessage="1" allowBlank="1" errorTitle="Not in list" error="值不在列表里。请从下拉列表选择；确需例外请在 Notes 里说明。" type="list" errorStyle="warning">
      <formula1>Lists!$N$2:$N$6</formula1>
    </dataValidation>
    <dataValidation sqref="AZ4:AZ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A4:BA1503" showDropDown="0" showInputMessage="0" showErrorMessage="1" allowBlank="1" errorTitle="Number or NR" error="请填数字；报告里没有请填 NR。" type="custom" errorStyle="warning">
      <formula1>OR(ISNUMBER(BA4),BA4="NR")</formula1>
    </dataValidation>
    <dataValidation sqref="BB4:BB1503" showDropDown="0" showInputMessage="0" showErrorMessage="1" allowBlank="1" errorTitle="Not in list" error="值不在列表里。请从下拉列表选择；确需例外请在 Notes 里说明。" type="list" errorStyle="warning">
      <formula1>Lists!$O$2:$O$6</formula1>
    </dataValidation>
    <dataValidation sqref="BC4:BC1503" showDropDown="0" showInputMessage="0" showErrorMessage="1" allowBlank="1" errorTitle="Not in list" error="值不在列表里。请从下拉列表选择；确需例外请在 Notes 里说明。" type="list" errorStyle="warning">
      <formula1>Lists!$P$2:$P$6</formula1>
    </dataValidation>
    <dataValidation sqref="BD4:BD1503" showDropDown="0" showInputMessage="0" showErrorMessage="1" allowBlank="1" errorTitle="Not in list" error="值不在列表里。请从下拉列表选择；确需例外请在 Notes 里说明。" type="list" errorStyle="warning">
      <formula1>Lists!$Q$2:$Q$8</formula1>
    </dataValidation>
    <dataValidation sqref="BF4:BF1503" showDropDown="0" showInputMessage="0" showErrorMessage="1" allowBlank="1" errorTitle="Not in list" error="值不在列表里。请从下拉列表选择；确需例外请在 Notes 里说明。" type="list" errorStyle="warning">
      <formula1>Lists!$R$2:$R$8</formula1>
    </dataValidation>
    <dataValidation sqref="BH4:BH1503" showDropDown="0" showInputMessage="0" showErrorMessage="1" allowBlank="1" errorTitle="Number or NR" error="请填数字；报告里没有请填 NR。" type="custom" errorStyle="warning">
      <formula1>OR(ISNUMBER(BH4),BH4="NR")</formula1>
    </dataValidation>
    <dataValidation sqref="BI4:BI1503" showDropDown="0" showInputMessage="0" showErrorMessage="1" allowBlank="1" errorTitle="Not in list" error="值不在列表里。请从下拉列表选择；确需例外请在 Notes 里说明。" type="list" errorStyle="warning">
      <formula1>Lists!$S$2:$S$5</formula1>
    </dataValidation>
    <dataValidation sqref="BK4:BK1503" showDropDown="0" showInputMessage="0" showErrorMessage="1" allowBlank="1" errorTitle="Number or NR" error="请填数字；报告里没有请填 NR。" type="custom" errorStyle="warning">
      <formula1>OR(ISNUMBER(BK4),BK4="NR")</formula1>
    </dataValidation>
    <dataValidation sqref="BL4:B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M4:B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O4:BO1503" showDropDown="0" showInputMessage="0" showErrorMessage="1" allowBlank="1" errorTitle="Not in list" error="值不在列表里。请从下拉列表选择；确需例外请在 Notes 里说明。" type="list" errorStyle="warning">
      <formula1>Lists!$T$2:$T$5</formula1>
    </dataValidation>
    <dataValidation sqref="G4:G1503" showDropDown="0" showInputMessage="0" showErrorMessage="1" allowBlank="1" errorTitle="Age" error="年龄应为小于 18 的数字，或 NR。≥18 岁的患者不符合纳入标准。" type="custom" errorStyle="warning">
      <formula1>OR(AND(ISNUMBER(G4),G4&gt;=0,G4&lt;18),G4="NR")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4" t="inlineStr">
        <is>
          <t>Rules for converting reported durations (protocol Appendix C, verbatim) / 时间换算规则</t>
        </is>
      </c>
    </row>
    <row r="2">
      <c r="A2" s="15" t="inlineStr">
        <is>
          <t>Rule</t>
        </is>
      </c>
      <c r="B2" s="15" t="inlineStr">
        <is>
          <t>Protocol text</t>
        </is>
      </c>
      <c r="C2" s="15" t="inlineStr">
        <is>
          <t>中文说明</t>
        </is>
      </c>
    </row>
    <row r="3" ht="32" customHeight="1">
      <c r="A3" s="16" t="n">
        <v>1</v>
      </c>
      <c r="B3" s="16" t="inlineStr">
        <is>
          <t>Hours are converted to days (hours ÷ 24, one decimal).</t>
        </is>
      </c>
      <c r="C3" s="16" t="inlineStr">
        <is>
          <t>小时换算为天（小时 ÷ 24，保留一位小数）。</t>
        </is>
      </c>
    </row>
    <row r="4" ht="32" customHeight="1">
      <c r="A4" s="16" t="n">
        <v>2</v>
      </c>
      <c r="B4" s="16" t="inlineStr">
        <is>
          <t>Weeks × 7; months × 30.4; years × 365.</t>
        </is>
      </c>
      <c r="C4" s="16" t="inlineStr">
        <is>
          <t>周 × 7；月 × 30.4；年 × 365。</t>
        </is>
      </c>
    </row>
    <row r="5" ht="32" customHeight="1">
      <c r="A5" s="16" t="n">
        <v>3</v>
      </c>
      <c r="B5" s="16" t="inlineStr">
        <is>
          <t>Ranges take the midpoint (for example, 3–5 days is coded as 4 days).</t>
        </is>
      </c>
      <c r="C5" s="16" t="inlineStr">
        <is>
          <t>范围取中点（如 3–5 天记为 4 天）。</t>
        </is>
      </c>
    </row>
    <row r="6" ht="32" customHeight="1">
      <c r="A6" s="16" t="n">
        <v>4</v>
      </c>
      <c r="B6" s="16" t="inlineStr">
        <is>
          <t>“Less than 24 hours”, “a few hours” or “overnight” is coded as 0.5 days.</t>
        </is>
      </c>
      <c r="C6" s="16" t="inlineStr">
        <is>
          <t>'不足 24 小时''几小时''一夜'记为 0.5 天。</t>
        </is>
      </c>
    </row>
    <row r="7" ht="64" customHeight="1">
      <c r="A7" s="16" t="n">
        <v>5</v>
      </c>
      <c r="B7" s="16" t="inlineStr">
        <is>
          <t>Imprecise terms (“several days”, “some weeks”, “a long history”) are coded as missing on the continuous scale, and assigned a category only if every plausible reading falls in the same category.</t>
        </is>
      </c>
      <c r="C7" s="16" t="inlineStr">
        <is>
          <t>含糊说法（'数天''数周''病史很长'）在连续尺度上记为缺失（idx_dur_days 填 NR）；只有所有合理理解都落在同一类别时，才在 idx_dur_cat_imprecise 里指定类别。</t>
        </is>
      </c>
    </row>
    <row r="8" ht="80" customHeight="1">
      <c r="A8" s="16" t="n">
        <v>6</v>
      </c>
      <c r="B8" s="16" t="inlineStr">
        <is>
          <t>Intermittent or worsening presentations (for example, “intermittent pain for one week, worse for two days”): the primary coding uses the whole stated period of the current presentation (7 days); the alternative coding uses the period of worsening (2 days) and is used in sensitivity analysis 4.</t>
        </is>
      </c>
      <c r="C8" s="16" t="inlineStr">
        <is>
          <t>间歇或加重型表现（如'间歇腹痛一周，最近两天加重'）：主要编码用当前这次发作的整个叙述时段（7 天）；备选编码用加重时段（2 天），填在 idx_dur_alt_days，用于敏感性分析 4；同时 idx_dur_intermittent 填 Yes。</t>
        </is>
      </c>
    </row>
    <row r="9" ht="48" customHeight="1">
      <c r="A9" s="16" t="n">
        <v>7</v>
      </c>
      <c r="B9" s="16" t="inlineStr">
        <is>
          <t>A planned interval between discharge and a scheduled elective operation is excluded from the index episode and recorded as the waiting interval.</t>
        </is>
      </c>
      <c r="C9" s="16" t="inlineStr">
        <is>
          <t>出院后到择期手术之间的计划间隔不计入指数发作，另记为 waiting_interval_days。</t>
        </is>
      </c>
    </row>
    <row r="10" ht="32" customHeight="1">
      <c r="A10" s="16" t="n">
        <v>8</v>
      </c>
      <c r="B10" s="16" t="inlineStr">
        <is>
          <t>When dates of symptom onset and of operation are both given, the interval is calculated exactly.</t>
        </is>
      </c>
      <c r="C10" s="16" t="inlineStr">
        <is>
          <t>报告同时给出症状开始日期和手术日期时，按日期精确计算。</t>
        </is>
      </c>
    </row>
    <row r="11" ht="80" customHeight="1">
      <c r="A11" s="16" t="n">
        <v>9</v>
      </c>
      <c r="B11" s="16" t="inlineStr">
        <is>
          <t>When a report gives symptom duration at admission but not the timing of operation within the admission: an operation described as immediate or emergency adds nothing; an operation on hospital day N adds N days; otherwise the duration at admission is used and flagged as a lower bound.</t>
        </is>
      </c>
      <c r="C11" s="16" t="inlineStr">
        <is>
          <t>报告给了入院时的症状持续时间，但没给入院后手术的时间：描述为'立即/急诊'手术的不加天数；'住院第 N 天手术'加 N 天；其他情况用入院时的持续时间，并在 idx_dur_lower_bound 标为 Yes。</t>
        </is>
      </c>
    </row>
    <row r="13">
      <c r="A13" s="14" t="inlineStr">
        <is>
          <t>Definitions (protocol, abridged) / 协议里的定义</t>
        </is>
      </c>
    </row>
    <row r="14" ht="96" customHeight="1">
      <c r="A14" s="16" t="inlineStr">
        <is>
          <t>Primary exposure (protocol Section 8)</t>
        </is>
      </c>
      <c r="B14" s="16" t="inlineStr">
        <is>
          <t>Time from onset of the symptoms of the presentation that led to operation until the operation, in days. Time spent in hospital before operation during the same admission is included; a planned interval between discharge and a scheduled elective operation is not (it is recorded separately as a waiting interval).</t>
        </is>
      </c>
      <c r="C14" s="16" t="inlineStr">
        <is>
          <t>指数发作时长：导致手术的这次发作的症状开始到手术的天数；同一次住院期间手术前的住院时间计入；出院后到择期手术之间的计划间隔不计入，另记为等待间隔。</t>
        </is>
      </c>
    </row>
    <row r="15" ht="32" customHeight="1">
      <c r="A15" s="16" t="inlineStr">
        <is>
          <t>Secondary exposures (Section 8)</t>
        </is>
      </c>
      <c r="B15" s="16" t="inlineStr">
        <is>
          <t>Total symptom history; missed diagnosis; known diagnosis with deferred surgery.</t>
        </is>
      </c>
      <c r="C15" s="16" t="inlineStr">
        <is>
          <t>总症状史；漏诊；已知诊断但推迟手术。</t>
        </is>
      </c>
    </row>
    <row r="16" ht="96" customHeight="1">
      <c r="A16" s="16" t="inlineStr">
        <is>
          <t>Primary outcome (Section 12)</t>
        </is>
      </c>
      <c r="B16" s="16" t="inlineStr">
        <is>
          <t>Non-viable spleen at the index operation: total splenectomy, or partial splenectomy, performed because of infarction, necrosis or failure to reperfuse after detorsion, as judged at operation and/or on histology. A spleen that was viable at operation but removed for another reason counts as viable for this outcome and is reported under additional outcomes.</t>
        </is>
      </c>
      <c r="C16" s="16" t="inlineStr">
        <is>
          <t>主要结局：指数手术时脾脏已无活力（因梗死、坏死或松解后未恢复灌注而做全脾或部分脾切除，由术中和/或组织学判断）。手术时有活力但因其他原因被切除的脾脏，对本结局算有活力，在附加结局里另报。</t>
        </is>
      </c>
    </row>
    <row r="18">
      <c r="A18" s="14" t="inlineStr">
        <is>
          <t>Derived columns (grey) / 衍生列（Claude 的读法，待三位确认）</t>
        </is>
      </c>
    </row>
    <row r="19" ht="32" customHeight="1">
      <c r="A19" s="16" t="inlineStr">
        <is>
          <t>D1 own_patient</t>
        </is>
      </c>
      <c r="B19" s="16" t="inlineStr">
        <is>
          <t>report_id = OWN → Yes，否则 No。用于敏感性分析 1（排除本机构 5 例）。</t>
        </is>
      </c>
      <c r="C19" s="23" t="n"/>
    </row>
    <row r="20" ht="80" customHeight="1">
      <c r="A20" s="16" t="inlineStr">
        <is>
          <t>D2 idx_dur_category</t>
        </is>
      </c>
      <c r="B20" s="16" t="inlineStr">
        <is>
          <t>按 idx_dur_days：&lt;=2 d；大于 2 且 &lt;=7 → 3-7 d；大于 7 且 &lt;=30 → 8-30 d；大于 30 → &gt;30 d。协议的四类是按整数天写的（2 天及以下、3–7 天、8–30 天、30 天以上），非整数天（如 2.5、7.5）的归类是 Claude 的读法：边界值归较低一类（2.0 → &lt;=2 d；7.0 → 3-7 d；30.0 → 8-30 d）。idx_dur_days 为 NR 时，用 idx_dur_cat_imprecise；两者都没有则显示 NR。</t>
        </is>
      </c>
      <c r="C20" s="23" t="n"/>
    </row>
    <row r="21" ht="96" customHeight="1">
      <c r="A21" s="16" t="inlineStr">
        <is>
          <t>D3 primary_outcome</t>
        </is>
      </c>
      <c r="B21" s="16" t="inlineStr">
        <is>
          <t>viability = Non-viable → Non-viable；Viable → Viable（即使被切除，也按协议算有活力）；Partially non-viable 且做了全脾或部分脾切除 → Non-viable（协议第 12 节：因梗死做部分脾切除算无活力；敏感性分析 3 把它改算保脾）；Partially non-viable 但没有切除 → Review（由共识判断）；NR 且做了切除 → 'NR - removed, check reason'（要回原文看是否因为无活力）；其他 NR；Not applicable（未手术）。这是 Claude 对第 12 节的读法，须三位确认。</t>
        </is>
      </c>
      <c r="C21" s="23" t="n"/>
    </row>
    <row r="22" ht="32" customHeight="1">
      <c r="A22" s="16" t="inlineStr">
        <is>
          <t>D4 thrombocytosis</t>
        </is>
      </c>
      <c r="B22" s="16" t="inlineStr">
        <is>
          <t>platelets &gt; 450 ×10⁹/L → Yes（协议第 13 节）。</t>
        </is>
      </c>
      <c r="C22" s="23" t="n"/>
    </row>
    <row r="23" ht="32" customHeight="1">
      <c r="A23" s="16" t="inlineStr">
        <is>
          <t>D5 pub_period</t>
        </is>
      </c>
      <c r="B23" s="16" t="inlineStr">
        <is>
          <t>year &lt; 2000 → before 2000；2000–2014 → 2000-2014；&gt;= 2015 → 2015 onward（协议第 16 节主要分析的校正变量）。</t>
        </is>
      </c>
      <c r="C23" s="23" t="n"/>
    </row>
  </sheetData>
  <mergeCells count="5">
    <mergeCell ref="B21:C21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38" customWidth="1" min="5" max="5"/>
    <col width="14" customWidth="1" min="6" max="6"/>
    <col width="16" customWidth="1" min="7" max="7"/>
  </cols>
  <sheetData>
    <row r="1">
      <c r="A1" s="17" t="inlineStr">
        <is>
          <t>Duration calculator — 辅助工具，规则 1–4 的机械换算；含糊说法、规则 5–9 的判断请人工处理，把结果抄到 Patients 表。</t>
        </is>
      </c>
    </row>
    <row r="2">
      <c r="A2" s="5" t="inlineStr">
        <is>
          <t>Verbatim text</t>
        </is>
      </c>
      <c r="B2" s="5" t="inlineStr">
        <is>
          <t>Low value</t>
        </is>
      </c>
      <c r="C2" s="5" t="inlineStr">
        <is>
          <t>High value (if a range)</t>
        </is>
      </c>
      <c r="D2" s="5" t="inlineStr">
        <is>
          <t>Unit</t>
        </is>
      </c>
      <c r="E2" s="5" t="inlineStr">
        <is>
          <t>Phrase (rule 4)</t>
        </is>
      </c>
      <c r="F2" s="5" t="inlineStr">
        <is>
          <t>Days (calculated)</t>
        </is>
      </c>
      <c r="G2" s="5" t="inlineStr">
        <is>
          <t>Category (calculated)</t>
        </is>
      </c>
    </row>
    <row r="3">
      <c r="A3" s="18" t="n"/>
      <c r="B3" s="18" t="n"/>
      <c r="C3" s="18" t="n"/>
      <c r="D3" s="18" t="n"/>
      <c r="E3" s="18" t="n"/>
      <c r="F3" s="19">
        <f>IF(E3="Less than 24 hours / a few hours / overnight",0.5,IF(OR(B3="",D3=""),"",ROUND(IF(C3="",B3,(B3+C3)/2)*IF(D3="hours",1/24,IF(D3="days",1,IF(D3="weeks",7,IF(D3="months",30.4,IF(D3="years",365,""))))),1)))</f>
        <v/>
      </c>
      <c r="G3" s="19">
        <f>IF(ISNUMBER(F3),IF(F3&lt;=2,"&lt;=2 d",IF(F3&lt;=7,"3-7 d",IF(F3&lt;=30,"8-30 d","&gt;30 d"))),"")</f>
        <v/>
      </c>
    </row>
    <row r="4">
      <c r="A4" s="18" t="n"/>
      <c r="B4" s="18" t="n"/>
      <c r="C4" s="18" t="n"/>
      <c r="D4" s="18" t="n"/>
      <c r="E4" s="18" t="n"/>
      <c r="F4" s="19">
        <f>IF(E4="Less than 24 hours / a few hours / overnight",0.5,IF(OR(B4="",D4=""),"",ROUND(IF(C4="",B4,(B4+C4)/2)*IF(D4="hours",1/24,IF(D4="days",1,IF(D4="weeks",7,IF(D4="months",30.4,IF(D4="years",365,""))))),1)))</f>
        <v/>
      </c>
      <c r="G4" s="19">
        <f>IF(ISNUMBER(F4),IF(F4&lt;=2,"&lt;=2 d",IF(F4&lt;=7,"3-7 d",IF(F4&lt;=30,"8-30 d","&gt;30 d"))),"")</f>
        <v/>
      </c>
    </row>
    <row r="5">
      <c r="A5" s="18" t="n"/>
      <c r="B5" s="18" t="n"/>
      <c r="C5" s="18" t="n"/>
      <c r="D5" s="18" t="n"/>
      <c r="E5" s="18" t="n"/>
      <c r="F5" s="19">
        <f>IF(E5="Less than 24 hours / a few hours / overnight",0.5,IF(OR(B5="",D5=""),"",ROUND(IF(C5="",B5,(B5+C5)/2)*IF(D5="hours",1/24,IF(D5="days",1,IF(D5="weeks",7,IF(D5="months",30.4,IF(D5="years",365,""))))),1)))</f>
        <v/>
      </c>
      <c r="G5" s="19">
        <f>IF(ISNUMBER(F5),IF(F5&lt;=2,"&lt;=2 d",IF(F5&lt;=7,"3-7 d",IF(F5&lt;=30,"8-30 d","&gt;30 d"))),"")</f>
        <v/>
      </c>
    </row>
    <row r="6">
      <c r="A6" s="18" t="n"/>
      <c r="B6" s="18" t="n"/>
      <c r="C6" s="18" t="n"/>
      <c r="D6" s="18" t="n"/>
      <c r="E6" s="18" t="n"/>
      <c r="F6" s="19">
        <f>IF(E6="Less than 24 hours / a few hours / overnight",0.5,IF(OR(B6="",D6=""),"",ROUND(IF(C6="",B6,(B6+C6)/2)*IF(D6="hours",1/24,IF(D6="days",1,IF(D6="weeks",7,IF(D6="months",30.4,IF(D6="years",365,""))))),1)))</f>
        <v/>
      </c>
      <c r="G6" s="19">
        <f>IF(ISNUMBER(F6),IF(F6&lt;=2,"&lt;=2 d",IF(F6&lt;=7,"3-7 d",IF(F6&lt;=30,"8-30 d","&gt;30 d"))),"")</f>
        <v/>
      </c>
    </row>
    <row r="7">
      <c r="A7" s="18" t="n"/>
      <c r="B7" s="18" t="n"/>
      <c r="C7" s="18" t="n"/>
      <c r="D7" s="18" t="n"/>
      <c r="E7" s="18" t="n"/>
      <c r="F7" s="19">
        <f>IF(E7="Less than 24 hours / a few hours / overnight",0.5,IF(OR(B7="",D7=""),"",ROUND(IF(C7="",B7,(B7+C7)/2)*IF(D7="hours",1/24,IF(D7="days",1,IF(D7="weeks",7,IF(D7="months",30.4,IF(D7="years",365,""))))),1)))</f>
        <v/>
      </c>
      <c r="G7" s="19">
        <f>IF(ISNUMBER(F7),IF(F7&lt;=2,"&lt;=2 d",IF(F7&lt;=7,"3-7 d",IF(F7&lt;=30,"8-30 d","&gt;30 d"))),"")</f>
        <v/>
      </c>
    </row>
    <row r="8">
      <c r="A8" s="18" t="n"/>
      <c r="B8" s="18" t="n"/>
      <c r="C8" s="18" t="n"/>
      <c r="D8" s="18" t="n"/>
      <c r="E8" s="18" t="n"/>
      <c r="F8" s="19">
        <f>IF(E8="Less than 24 hours / a few hours / overnight",0.5,IF(OR(B8="",D8=""),"",ROUND(IF(C8="",B8,(B8+C8)/2)*IF(D8="hours",1/24,IF(D8="days",1,IF(D8="weeks",7,IF(D8="months",30.4,IF(D8="years",365,""))))),1)))</f>
        <v/>
      </c>
      <c r="G8" s="19">
        <f>IF(ISNUMBER(F8),IF(F8&lt;=2,"&lt;=2 d",IF(F8&lt;=7,"3-7 d",IF(F8&lt;=30,"8-30 d","&gt;30 d"))),"")</f>
        <v/>
      </c>
    </row>
    <row r="9">
      <c r="A9" s="18" t="n"/>
      <c r="B9" s="18" t="n"/>
      <c r="C9" s="18" t="n"/>
      <c r="D9" s="18" t="n"/>
      <c r="E9" s="18" t="n"/>
      <c r="F9" s="19">
        <f>IF(E9="Less than 24 hours / a few hours / overnight",0.5,IF(OR(B9="",D9=""),"",ROUND(IF(C9="",B9,(B9+C9)/2)*IF(D9="hours",1/24,IF(D9="days",1,IF(D9="weeks",7,IF(D9="months",30.4,IF(D9="years",365,""))))),1)))</f>
        <v/>
      </c>
      <c r="G9" s="19">
        <f>IF(ISNUMBER(F9),IF(F9&lt;=2,"&lt;=2 d",IF(F9&lt;=7,"3-7 d",IF(F9&lt;=30,"8-30 d","&gt;30 d"))),"")</f>
        <v/>
      </c>
    </row>
    <row r="10">
      <c r="A10" s="18" t="n"/>
      <c r="B10" s="18" t="n"/>
      <c r="C10" s="18" t="n"/>
      <c r="D10" s="18" t="n"/>
      <c r="E10" s="18" t="n"/>
      <c r="F10" s="19">
        <f>IF(E10="Less than 24 hours / a few hours / overnight",0.5,IF(OR(B10="",D10=""),"",ROUND(IF(C10="",B10,(B10+C10)/2)*IF(D10="hours",1/24,IF(D10="days",1,IF(D10="weeks",7,IF(D10="months",30.4,IF(D10="years",365,""))))),1)))</f>
        <v/>
      </c>
      <c r="G10" s="19">
        <f>IF(ISNUMBER(F10),IF(F10&lt;=2,"&lt;=2 d",IF(F10&lt;=7,"3-7 d",IF(F10&lt;=30,"8-30 d","&gt;30 d"))),"")</f>
        <v/>
      </c>
    </row>
    <row r="11">
      <c r="A11" s="18" t="n"/>
      <c r="B11" s="18" t="n"/>
      <c r="C11" s="18" t="n"/>
      <c r="D11" s="18" t="n"/>
      <c r="E11" s="18" t="n"/>
      <c r="F11" s="19">
        <f>IF(E11="Less than 24 hours / a few hours / overnight",0.5,IF(OR(B11="",D11=""),"",ROUND(IF(C11="",B11,(B11+C11)/2)*IF(D11="hours",1/24,IF(D11="days",1,IF(D11="weeks",7,IF(D11="months",30.4,IF(D11="years",365,""))))),1)))</f>
        <v/>
      </c>
      <c r="G11" s="19">
        <f>IF(ISNUMBER(F11),IF(F11&lt;=2,"&lt;=2 d",IF(F11&lt;=7,"3-7 d",IF(F11&lt;=30,"8-30 d","&gt;30 d"))),"")</f>
        <v/>
      </c>
    </row>
    <row r="12">
      <c r="A12" s="18" t="n"/>
      <c r="B12" s="18" t="n"/>
      <c r="C12" s="18" t="n"/>
      <c r="D12" s="18" t="n"/>
      <c r="E12" s="18" t="n"/>
      <c r="F12" s="19">
        <f>IF(E12="Less than 24 hours / a few hours / overnight",0.5,IF(OR(B12="",D12=""),"",ROUND(IF(C12="",B12,(B12+C12)/2)*IF(D12="hours",1/24,IF(D12="days",1,IF(D12="weeks",7,IF(D12="months",30.4,IF(D12="years",365,""))))),1)))</f>
        <v/>
      </c>
      <c r="G12" s="19">
        <f>IF(ISNUMBER(F12),IF(F12&lt;=2,"&lt;=2 d",IF(F12&lt;=7,"3-7 d",IF(F12&lt;=30,"8-30 d","&gt;30 d"))),"")</f>
        <v/>
      </c>
    </row>
    <row r="13">
      <c r="A13" s="18" t="n"/>
      <c r="B13" s="18" t="n"/>
      <c r="C13" s="18" t="n"/>
      <c r="D13" s="18" t="n"/>
      <c r="E13" s="18" t="n"/>
      <c r="F13" s="19">
        <f>IF(E13="Less than 24 hours / a few hours / overnight",0.5,IF(OR(B13="",D13=""),"",ROUND(IF(C13="",B13,(B13+C13)/2)*IF(D13="hours",1/24,IF(D13="days",1,IF(D13="weeks",7,IF(D13="months",30.4,IF(D13="years",365,""))))),1)))</f>
        <v/>
      </c>
      <c r="G13" s="19">
        <f>IF(ISNUMBER(F13),IF(F13&lt;=2,"&lt;=2 d",IF(F13&lt;=7,"3-7 d",IF(F13&lt;=30,"8-30 d","&gt;30 d"))),"")</f>
        <v/>
      </c>
    </row>
    <row r="14">
      <c r="A14" s="18" t="n"/>
      <c r="B14" s="18" t="n"/>
      <c r="C14" s="18" t="n"/>
      <c r="D14" s="18" t="n"/>
      <c r="E14" s="18" t="n"/>
      <c r="F14" s="19">
        <f>IF(E14="Less than 24 hours / a few hours / overnight",0.5,IF(OR(B14="",D14=""),"",ROUND(IF(C14="",B14,(B14+C14)/2)*IF(D14="hours",1/24,IF(D14="days",1,IF(D14="weeks",7,IF(D14="months",30.4,IF(D14="years",365,""))))),1)))</f>
        <v/>
      </c>
      <c r="G14" s="19">
        <f>IF(ISNUMBER(F14),IF(F14&lt;=2,"&lt;=2 d",IF(F14&lt;=7,"3-7 d",IF(F14&lt;=30,"8-30 d","&gt;30 d"))),"")</f>
        <v/>
      </c>
    </row>
    <row r="15">
      <c r="A15" s="18" t="n"/>
      <c r="B15" s="18" t="n"/>
      <c r="C15" s="18" t="n"/>
      <c r="D15" s="18" t="n"/>
      <c r="E15" s="18" t="n"/>
      <c r="F15" s="19">
        <f>IF(E15="Less than 24 hours / a few hours / overnight",0.5,IF(OR(B15="",D15=""),"",ROUND(IF(C15="",B15,(B15+C15)/2)*IF(D15="hours",1/24,IF(D15="days",1,IF(D15="weeks",7,IF(D15="months",30.4,IF(D15="years",365,""))))),1)))</f>
        <v/>
      </c>
      <c r="G15" s="19">
        <f>IF(ISNUMBER(F15),IF(F15&lt;=2,"&lt;=2 d",IF(F15&lt;=7,"3-7 d",IF(F15&lt;=30,"8-30 d","&gt;30 d"))),"")</f>
        <v/>
      </c>
    </row>
    <row r="16">
      <c r="A16" s="18" t="n"/>
      <c r="B16" s="18" t="n"/>
      <c r="C16" s="18" t="n"/>
      <c r="D16" s="18" t="n"/>
      <c r="E16" s="18" t="n"/>
      <c r="F16" s="19">
        <f>IF(E16="Less than 24 hours / a few hours / overnight",0.5,IF(OR(B16="",D16=""),"",ROUND(IF(C16="",B16,(B16+C16)/2)*IF(D16="hours",1/24,IF(D16="days",1,IF(D16="weeks",7,IF(D16="months",30.4,IF(D16="years",365,""))))),1)))</f>
        <v/>
      </c>
      <c r="G16" s="19">
        <f>IF(ISNUMBER(F16),IF(F16&lt;=2,"&lt;=2 d",IF(F16&lt;=7,"3-7 d",IF(F16&lt;=30,"8-30 d","&gt;30 d"))),"")</f>
        <v/>
      </c>
    </row>
    <row r="17">
      <c r="A17" s="18" t="n"/>
      <c r="B17" s="18" t="n"/>
      <c r="C17" s="18" t="n"/>
      <c r="D17" s="18" t="n"/>
      <c r="E17" s="18" t="n"/>
      <c r="F17" s="19">
        <f>IF(E17="Less than 24 hours / a few hours / overnight",0.5,IF(OR(B17="",D17=""),"",ROUND(IF(C17="",B17,(B17+C17)/2)*IF(D17="hours",1/24,IF(D17="days",1,IF(D17="weeks",7,IF(D17="months",30.4,IF(D17="years",365,""))))),1)))</f>
        <v/>
      </c>
      <c r="G17" s="19">
        <f>IF(ISNUMBER(F17),IF(F17&lt;=2,"&lt;=2 d",IF(F17&lt;=7,"3-7 d",IF(F17&lt;=30,"8-30 d","&gt;30 d"))),"")</f>
        <v/>
      </c>
    </row>
    <row r="18">
      <c r="A18" s="18" t="n"/>
      <c r="B18" s="18" t="n"/>
      <c r="C18" s="18" t="n"/>
      <c r="D18" s="18" t="n"/>
      <c r="E18" s="18" t="n"/>
      <c r="F18" s="19">
        <f>IF(E18="Less than 24 hours / a few hours / overnight",0.5,IF(OR(B18="",D18=""),"",ROUND(IF(C18="",B18,(B18+C18)/2)*IF(D18="hours",1/24,IF(D18="days",1,IF(D18="weeks",7,IF(D18="months",30.4,IF(D18="years",365,""))))),1)))</f>
        <v/>
      </c>
      <c r="G18" s="19">
        <f>IF(ISNUMBER(F18),IF(F18&lt;=2,"&lt;=2 d",IF(F18&lt;=7,"3-7 d",IF(F18&lt;=30,"8-30 d","&gt;30 d"))),"")</f>
        <v/>
      </c>
    </row>
    <row r="19">
      <c r="A19" s="18" t="n"/>
      <c r="B19" s="18" t="n"/>
      <c r="C19" s="18" t="n"/>
      <c r="D19" s="18" t="n"/>
      <c r="E19" s="18" t="n"/>
      <c r="F19" s="19">
        <f>IF(E19="Less than 24 hours / a few hours / overnight",0.5,IF(OR(B19="",D19=""),"",ROUND(IF(C19="",B19,(B19+C19)/2)*IF(D19="hours",1/24,IF(D19="days",1,IF(D19="weeks",7,IF(D19="months",30.4,IF(D19="years",365,""))))),1)))</f>
        <v/>
      </c>
      <c r="G19" s="19">
        <f>IF(ISNUMBER(F19),IF(F19&lt;=2,"&lt;=2 d",IF(F19&lt;=7,"3-7 d",IF(F19&lt;=30,"8-30 d","&gt;30 d"))),"")</f>
        <v/>
      </c>
    </row>
    <row r="20">
      <c r="A20" s="18" t="n"/>
      <c r="B20" s="18" t="n"/>
      <c r="C20" s="18" t="n"/>
      <c r="D20" s="18" t="n"/>
      <c r="E20" s="18" t="n"/>
      <c r="F20" s="19">
        <f>IF(E20="Less than 24 hours / a few hours / overnight",0.5,IF(OR(B20="",D20=""),"",ROUND(IF(C20="",B20,(B20+C20)/2)*IF(D20="hours",1/24,IF(D20="days",1,IF(D20="weeks",7,IF(D20="months",30.4,IF(D20="years",365,""))))),1)))</f>
        <v/>
      </c>
      <c r="G20" s="19">
        <f>IF(ISNUMBER(F20),IF(F20&lt;=2,"&lt;=2 d",IF(F20&lt;=7,"3-7 d",IF(F20&lt;=30,"8-30 d","&gt;30 d"))),"")</f>
        <v/>
      </c>
    </row>
    <row r="21">
      <c r="A21" s="18" t="n"/>
      <c r="B21" s="18" t="n"/>
      <c r="C21" s="18" t="n"/>
      <c r="D21" s="18" t="n"/>
      <c r="E21" s="18" t="n"/>
      <c r="F21" s="19">
        <f>IF(E21="Less than 24 hours / a few hours / overnight",0.5,IF(OR(B21="",D21=""),"",ROUND(IF(C21="",B21,(B21+C21)/2)*IF(D21="hours",1/24,IF(D21="days",1,IF(D21="weeks",7,IF(D21="months",30.4,IF(D21="years",365,""))))),1)))</f>
        <v/>
      </c>
      <c r="G21" s="19">
        <f>IF(ISNUMBER(F21),IF(F21&lt;=2,"&lt;=2 d",IF(F21&lt;=7,"3-7 d",IF(F21&lt;=30,"8-30 d","&gt;30 d"))),"")</f>
        <v/>
      </c>
    </row>
    <row r="22">
      <c r="A22" s="18" t="n"/>
      <c r="B22" s="18" t="n"/>
      <c r="C22" s="18" t="n"/>
      <c r="D22" s="18" t="n"/>
      <c r="E22" s="18" t="n"/>
      <c r="F22" s="19">
        <f>IF(E22="Less than 24 hours / a few hours / overnight",0.5,IF(OR(B22="",D22=""),"",ROUND(IF(C22="",B22,(B22+C22)/2)*IF(D22="hours",1/24,IF(D22="days",1,IF(D22="weeks",7,IF(D22="months",30.4,IF(D22="years",365,""))))),1)))</f>
        <v/>
      </c>
      <c r="G22" s="19">
        <f>IF(ISNUMBER(F22),IF(F22&lt;=2,"&lt;=2 d",IF(F22&lt;=7,"3-7 d",IF(F22&lt;=30,"8-30 d","&gt;30 d"))),"")</f>
        <v/>
      </c>
    </row>
    <row r="23">
      <c r="A23" s="18" t="n"/>
      <c r="B23" s="18" t="n"/>
      <c r="C23" s="18" t="n"/>
      <c r="D23" s="18" t="n"/>
      <c r="E23" s="18" t="n"/>
      <c r="F23" s="19">
        <f>IF(E23="Less than 24 hours / a few hours / overnight",0.5,IF(OR(B23="",D23=""),"",ROUND(IF(C23="",B23,(B23+C23)/2)*IF(D23="hours",1/24,IF(D23="days",1,IF(D23="weeks",7,IF(D23="months",30.4,IF(D23="years",365,""))))),1)))</f>
        <v/>
      </c>
      <c r="G23" s="19">
        <f>IF(ISNUMBER(F23),IF(F23&lt;=2,"&lt;=2 d",IF(F23&lt;=7,"3-7 d",IF(F23&lt;=30,"8-30 d","&gt;30 d"))),"")</f>
        <v/>
      </c>
    </row>
    <row r="24">
      <c r="A24" s="18" t="n"/>
      <c r="B24" s="18" t="n"/>
      <c r="C24" s="18" t="n"/>
      <c r="D24" s="18" t="n"/>
      <c r="E24" s="18" t="n"/>
      <c r="F24" s="19">
        <f>IF(E24="Less than 24 hours / a few hours / overnight",0.5,IF(OR(B24="",D24=""),"",ROUND(IF(C24="",B24,(B24+C24)/2)*IF(D24="hours",1/24,IF(D24="days",1,IF(D24="weeks",7,IF(D24="months",30.4,IF(D24="years",365,""))))),1)))</f>
        <v/>
      </c>
      <c r="G24" s="19">
        <f>IF(ISNUMBER(F24),IF(F24&lt;=2,"&lt;=2 d",IF(F24&lt;=7,"3-7 d",IF(F24&lt;=30,"8-30 d","&gt;30 d"))),"")</f>
        <v/>
      </c>
    </row>
    <row r="25">
      <c r="A25" s="18" t="n"/>
      <c r="B25" s="18" t="n"/>
      <c r="C25" s="18" t="n"/>
      <c r="D25" s="18" t="n"/>
      <c r="E25" s="18" t="n"/>
      <c r="F25" s="19">
        <f>IF(E25="Less than 24 hours / a few hours / overnight",0.5,IF(OR(B25="",D25=""),"",ROUND(IF(C25="",B25,(B25+C25)/2)*IF(D25="hours",1/24,IF(D25="days",1,IF(D25="weeks",7,IF(D25="months",30.4,IF(D25="years",365,""))))),1)))</f>
        <v/>
      </c>
      <c r="G25" s="19">
        <f>IF(ISNUMBER(F25),IF(F25&lt;=2,"&lt;=2 d",IF(F25&lt;=7,"3-7 d",IF(F25&lt;=30,"8-30 d","&gt;30 d"))),"")</f>
        <v/>
      </c>
    </row>
    <row r="26">
      <c r="A26" s="18" t="n"/>
      <c r="B26" s="18" t="n"/>
      <c r="C26" s="18" t="n"/>
      <c r="D26" s="18" t="n"/>
      <c r="E26" s="18" t="n"/>
      <c r="F26" s="19">
        <f>IF(E26="Less than 24 hours / a few hours / overnight",0.5,IF(OR(B26="",D26=""),"",ROUND(IF(C26="",B26,(B26+C26)/2)*IF(D26="hours",1/24,IF(D26="days",1,IF(D26="weeks",7,IF(D26="months",30.4,IF(D26="years",365,""))))),1)))</f>
        <v/>
      </c>
      <c r="G26" s="19">
        <f>IF(ISNUMBER(F26),IF(F26&lt;=2,"&lt;=2 d",IF(F26&lt;=7,"3-7 d",IF(F26&lt;=30,"8-30 d","&gt;30 d"))),"")</f>
        <v/>
      </c>
    </row>
    <row r="27">
      <c r="A27" s="18" t="n"/>
      <c r="B27" s="18" t="n"/>
      <c r="C27" s="18" t="n"/>
      <c r="D27" s="18" t="n"/>
      <c r="E27" s="18" t="n"/>
      <c r="F27" s="19">
        <f>IF(E27="Less than 24 hours / a few hours / overnight",0.5,IF(OR(B27="",D27=""),"",ROUND(IF(C27="",B27,(B27+C27)/2)*IF(D27="hours",1/24,IF(D27="days",1,IF(D27="weeks",7,IF(D27="months",30.4,IF(D27="years",365,""))))),1)))</f>
        <v/>
      </c>
      <c r="G27" s="19">
        <f>IF(ISNUMBER(F27),IF(F27&lt;=2,"&lt;=2 d",IF(F27&lt;=7,"3-7 d",IF(F27&lt;=30,"8-30 d","&gt;30 d"))),"")</f>
        <v/>
      </c>
    </row>
    <row r="28">
      <c r="A28" s="18" t="n"/>
      <c r="B28" s="18" t="n"/>
      <c r="C28" s="18" t="n"/>
      <c r="D28" s="18" t="n"/>
      <c r="E28" s="18" t="n"/>
      <c r="F28" s="19">
        <f>IF(E28="Less than 24 hours / a few hours / overnight",0.5,IF(OR(B28="",D28=""),"",ROUND(IF(C28="",B28,(B28+C28)/2)*IF(D28="hours",1/24,IF(D28="days",1,IF(D28="weeks",7,IF(D28="months",30.4,IF(D28="years",365,""))))),1)))</f>
        <v/>
      </c>
      <c r="G28" s="19">
        <f>IF(ISNUMBER(F28),IF(F28&lt;=2,"&lt;=2 d",IF(F28&lt;=7,"3-7 d",IF(F28&lt;=30,"8-30 d","&gt;30 d"))),"")</f>
        <v/>
      </c>
    </row>
    <row r="29">
      <c r="A29" s="18" t="n"/>
      <c r="B29" s="18" t="n"/>
      <c r="C29" s="18" t="n"/>
      <c r="D29" s="18" t="n"/>
      <c r="E29" s="18" t="n"/>
      <c r="F29" s="19">
        <f>IF(E29="Less than 24 hours / a few hours / overnight",0.5,IF(OR(B29="",D29=""),"",ROUND(IF(C29="",B29,(B29+C29)/2)*IF(D29="hours",1/24,IF(D29="days",1,IF(D29="weeks",7,IF(D29="months",30.4,IF(D29="years",365,""))))),1)))</f>
        <v/>
      </c>
      <c r="G29" s="19">
        <f>IF(ISNUMBER(F29),IF(F29&lt;=2,"&lt;=2 d",IF(F29&lt;=7,"3-7 d",IF(F29&lt;=30,"8-30 d","&gt;30 d"))),"")</f>
        <v/>
      </c>
    </row>
    <row r="30">
      <c r="A30" s="18" t="n"/>
      <c r="B30" s="18" t="n"/>
      <c r="C30" s="18" t="n"/>
      <c r="D30" s="18" t="n"/>
      <c r="E30" s="18" t="n"/>
      <c r="F30" s="19">
        <f>IF(E30="Less than 24 hours / a few hours / overnight",0.5,IF(OR(B30="",D30=""),"",ROUND(IF(C30="",B30,(B30+C30)/2)*IF(D30="hours",1/24,IF(D30="days",1,IF(D30="weeks",7,IF(D30="months",30.4,IF(D30="years",365,""))))),1)))</f>
        <v/>
      </c>
      <c r="G30" s="19">
        <f>IF(ISNUMBER(F30),IF(F30&lt;=2,"&lt;=2 d",IF(F30&lt;=7,"3-7 d",IF(F30&lt;=30,"8-30 d","&gt;30 d"))),"")</f>
        <v/>
      </c>
    </row>
    <row r="31">
      <c r="A31" s="18" t="n"/>
      <c r="B31" s="18" t="n"/>
      <c r="C31" s="18" t="n"/>
      <c r="D31" s="18" t="n"/>
      <c r="E31" s="18" t="n"/>
      <c r="F31" s="19">
        <f>IF(E31="Less than 24 hours / a few hours / overnight",0.5,IF(OR(B31="",D31=""),"",ROUND(IF(C31="",B31,(B31+C31)/2)*IF(D31="hours",1/24,IF(D31="days",1,IF(D31="weeks",7,IF(D31="months",30.4,IF(D31="years",365,""))))),1)))</f>
        <v/>
      </c>
      <c r="G31" s="19">
        <f>IF(ISNUMBER(F31),IF(F31&lt;=2,"&lt;=2 d",IF(F31&lt;=7,"3-7 d",IF(F31&lt;=30,"8-30 d","&gt;30 d"))),"")</f>
        <v/>
      </c>
    </row>
    <row r="32">
      <c r="A32" s="18" t="n"/>
      <c r="B32" s="18" t="n"/>
      <c r="C32" s="18" t="n"/>
      <c r="D32" s="18" t="n"/>
      <c r="E32" s="18" t="n"/>
      <c r="F32" s="19">
        <f>IF(E32="Less than 24 hours / a few hours / overnight",0.5,IF(OR(B32="",D32=""),"",ROUND(IF(C32="",B32,(B32+C32)/2)*IF(D32="hours",1/24,IF(D32="days",1,IF(D32="weeks",7,IF(D32="months",30.4,IF(D32="years",365,""))))),1)))</f>
        <v/>
      </c>
      <c r="G32" s="19">
        <f>IF(ISNUMBER(F32),IF(F32&lt;=2,"&lt;=2 d",IF(F32&lt;=7,"3-7 d",IF(F32&lt;=30,"8-30 d","&gt;30 d"))),"")</f>
        <v/>
      </c>
    </row>
    <row r="33">
      <c r="A33" s="18" t="n"/>
      <c r="B33" s="18" t="n"/>
      <c r="C33" s="18" t="n"/>
      <c r="D33" s="18" t="n"/>
      <c r="E33" s="18" t="n"/>
      <c r="F33" s="19">
        <f>IF(E33="Less than 24 hours / a few hours / overnight",0.5,IF(OR(B33="",D33=""),"",ROUND(IF(C33="",B33,(B33+C33)/2)*IF(D33="hours",1/24,IF(D33="days",1,IF(D33="weeks",7,IF(D33="months",30.4,IF(D33="years",365,""))))),1)))</f>
        <v/>
      </c>
      <c r="G33" s="19">
        <f>IF(ISNUMBER(F33),IF(F33&lt;=2,"&lt;=2 d",IF(F33&lt;=7,"3-7 d",IF(F33&lt;=30,"8-30 d","&gt;30 d"))),"")</f>
        <v/>
      </c>
    </row>
    <row r="34">
      <c r="A34" s="18" t="n"/>
      <c r="B34" s="18" t="n"/>
      <c r="C34" s="18" t="n"/>
      <c r="D34" s="18" t="n"/>
      <c r="E34" s="18" t="n"/>
      <c r="F34" s="19">
        <f>IF(E34="Less than 24 hours / a few hours / overnight",0.5,IF(OR(B34="",D34=""),"",ROUND(IF(C34="",B34,(B34+C34)/2)*IF(D34="hours",1/24,IF(D34="days",1,IF(D34="weeks",7,IF(D34="months",30.4,IF(D34="years",365,""))))),1)))</f>
        <v/>
      </c>
      <c r="G34" s="19">
        <f>IF(ISNUMBER(F34),IF(F34&lt;=2,"&lt;=2 d",IF(F34&lt;=7,"3-7 d",IF(F34&lt;=30,"8-30 d","&gt;30 d"))),"")</f>
        <v/>
      </c>
    </row>
    <row r="35">
      <c r="A35" s="18" t="n"/>
      <c r="B35" s="18" t="n"/>
      <c r="C35" s="18" t="n"/>
      <c r="D35" s="18" t="n"/>
      <c r="E35" s="18" t="n"/>
      <c r="F35" s="19">
        <f>IF(E35="Less than 24 hours / a few hours / overnight",0.5,IF(OR(B35="",D35=""),"",ROUND(IF(C35="",B35,(B35+C35)/2)*IF(D35="hours",1/24,IF(D35="days",1,IF(D35="weeks",7,IF(D35="months",30.4,IF(D35="years",365,""))))),1)))</f>
        <v/>
      </c>
      <c r="G35" s="19">
        <f>IF(ISNUMBER(F35),IF(F35&lt;=2,"&lt;=2 d",IF(F35&lt;=7,"3-7 d",IF(F35&lt;=30,"8-30 d","&gt;30 d"))),"")</f>
        <v/>
      </c>
    </row>
    <row r="36">
      <c r="A36" s="18" t="n"/>
      <c r="B36" s="18" t="n"/>
      <c r="C36" s="18" t="n"/>
      <c r="D36" s="18" t="n"/>
      <c r="E36" s="18" t="n"/>
      <c r="F36" s="19">
        <f>IF(E36="Less than 24 hours / a few hours / overnight",0.5,IF(OR(B36="",D36=""),"",ROUND(IF(C36="",B36,(B36+C36)/2)*IF(D36="hours",1/24,IF(D36="days",1,IF(D36="weeks",7,IF(D36="months",30.4,IF(D36="years",365,""))))),1)))</f>
        <v/>
      </c>
      <c r="G36" s="19">
        <f>IF(ISNUMBER(F36),IF(F36&lt;=2,"&lt;=2 d",IF(F36&lt;=7,"3-7 d",IF(F36&lt;=30,"8-30 d","&gt;30 d"))),"")</f>
        <v/>
      </c>
    </row>
    <row r="37">
      <c r="A37" s="18" t="n"/>
      <c r="B37" s="18" t="n"/>
      <c r="C37" s="18" t="n"/>
      <c r="D37" s="18" t="n"/>
      <c r="E37" s="18" t="n"/>
      <c r="F37" s="19">
        <f>IF(E37="Less than 24 hours / a few hours / overnight",0.5,IF(OR(B37="",D37=""),"",ROUND(IF(C37="",B37,(B37+C37)/2)*IF(D37="hours",1/24,IF(D37="days",1,IF(D37="weeks",7,IF(D37="months",30.4,IF(D37="years",365,""))))),1)))</f>
        <v/>
      </c>
      <c r="G37" s="19">
        <f>IF(ISNUMBER(F37),IF(F37&lt;=2,"&lt;=2 d",IF(F37&lt;=7,"3-7 d",IF(F37&lt;=30,"8-30 d","&gt;30 d"))),"")</f>
        <v/>
      </c>
    </row>
    <row r="38">
      <c r="A38" s="18" t="n"/>
      <c r="B38" s="18" t="n"/>
      <c r="C38" s="18" t="n"/>
      <c r="D38" s="18" t="n"/>
      <c r="E38" s="18" t="n"/>
      <c r="F38" s="19">
        <f>IF(E38="Less than 24 hours / a few hours / overnight",0.5,IF(OR(B38="",D38=""),"",ROUND(IF(C38="",B38,(B38+C38)/2)*IF(D38="hours",1/24,IF(D38="days",1,IF(D38="weeks",7,IF(D38="months",30.4,IF(D38="years",365,""))))),1)))</f>
        <v/>
      </c>
      <c r="G38" s="19">
        <f>IF(ISNUMBER(F38),IF(F38&lt;=2,"&lt;=2 d",IF(F38&lt;=7,"3-7 d",IF(F38&lt;=30,"8-30 d","&gt;30 d"))),"")</f>
        <v/>
      </c>
    </row>
    <row r="39">
      <c r="A39" s="18" t="n"/>
      <c r="B39" s="18" t="n"/>
      <c r="C39" s="18" t="n"/>
      <c r="D39" s="18" t="n"/>
      <c r="E39" s="18" t="n"/>
      <c r="F39" s="19">
        <f>IF(E39="Less than 24 hours / a few hours / overnight",0.5,IF(OR(B39="",D39=""),"",ROUND(IF(C39="",B39,(B39+C39)/2)*IF(D39="hours",1/24,IF(D39="days",1,IF(D39="weeks",7,IF(D39="months",30.4,IF(D39="years",365,""))))),1)))</f>
        <v/>
      </c>
      <c r="G39" s="19">
        <f>IF(ISNUMBER(F39),IF(F39&lt;=2,"&lt;=2 d",IF(F39&lt;=7,"3-7 d",IF(F39&lt;=30,"8-30 d","&gt;30 d"))),"")</f>
        <v/>
      </c>
    </row>
    <row r="40">
      <c r="A40" s="18" t="n"/>
      <c r="B40" s="18" t="n"/>
      <c r="C40" s="18" t="n"/>
      <c r="D40" s="18" t="n"/>
      <c r="E40" s="18" t="n"/>
      <c r="F40" s="19">
        <f>IF(E40="Less than 24 hours / a few hours / overnight",0.5,IF(OR(B40="",D40=""),"",ROUND(IF(C40="",B40,(B40+C40)/2)*IF(D40="hours",1/24,IF(D40="days",1,IF(D40="weeks",7,IF(D40="months",30.4,IF(D40="years",365,""))))),1)))</f>
        <v/>
      </c>
      <c r="G40" s="19">
        <f>IF(ISNUMBER(F40),IF(F40&lt;=2,"&lt;=2 d",IF(F40&lt;=7,"3-7 d",IF(F40&lt;=30,"8-30 d","&gt;30 d"))),"")</f>
        <v/>
      </c>
    </row>
    <row r="41">
      <c r="A41" s="18" t="n"/>
      <c r="B41" s="18" t="n"/>
      <c r="C41" s="18" t="n"/>
      <c r="D41" s="18" t="n"/>
      <c r="E41" s="18" t="n"/>
      <c r="F41" s="19">
        <f>IF(E41="Less than 24 hours / a few hours / overnight",0.5,IF(OR(B41="",D41=""),"",ROUND(IF(C41="",B41,(B41+C41)/2)*IF(D41="hours",1/24,IF(D41="days",1,IF(D41="weeks",7,IF(D41="months",30.4,IF(D41="years",365,""))))),1)))</f>
        <v/>
      </c>
      <c r="G41" s="19">
        <f>IF(ISNUMBER(F41),IF(F41&lt;=2,"&lt;=2 d",IF(F41&lt;=7,"3-7 d",IF(F41&lt;=30,"8-30 d","&gt;30 d"))),"")</f>
        <v/>
      </c>
    </row>
    <row r="42">
      <c r="A42" s="18" t="n"/>
      <c r="B42" s="18" t="n"/>
      <c r="C42" s="18" t="n"/>
      <c r="D42" s="18" t="n"/>
      <c r="E42" s="18" t="n"/>
      <c r="F42" s="19">
        <f>IF(E42="Less than 24 hours / a few hours / overnight",0.5,IF(OR(B42="",D42=""),"",ROUND(IF(C42="",B42,(B42+C42)/2)*IF(D42="hours",1/24,IF(D42="days",1,IF(D42="weeks",7,IF(D42="months",30.4,IF(D42="years",365,""))))),1)))</f>
        <v/>
      </c>
      <c r="G42" s="19">
        <f>IF(ISNUMBER(F42),IF(F42&lt;=2,"&lt;=2 d",IF(F42&lt;=7,"3-7 d",IF(F42&lt;=30,"8-30 d","&gt;30 d"))),"")</f>
        <v/>
      </c>
    </row>
  </sheetData>
  <dataValidations count="2">
    <dataValidation sqref="D3:D42" showDropDown="0" showInputMessage="0" showErrorMessage="0" allowBlank="1" type="list">
      <formula1>Lists!$V$2:$V$6</formula1>
    </dataValidation>
    <dataValidation sqref="E3:E42" showDropDown="0" showInputMessage="0" showErrorMessage="0" allowBlank="1" type="list">
      <formula1>Lists!$W$2:$W$3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7" t="inlineStr">
        <is>
          <t>yn</t>
        </is>
      </c>
      <c r="B1" s="17" t="inlineStr">
        <is>
          <t>yn_nr</t>
        </is>
      </c>
      <c r="C1" s="17" t="inlineStr">
        <is>
          <t>sex</t>
        </is>
      </c>
      <c r="D1" s="17" t="inlineStr">
        <is>
          <t>lang</t>
        </is>
      </c>
      <c r="E1" s="17" t="inlineStr">
        <is>
          <t>ft_lang</t>
        </is>
      </c>
      <c r="F1" s="17" t="inlineStr">
        <is>
          <t>design</t>
        </is>
      </c>
      <c r="G1" s="17" t="inlineStr">
        <is>
          <t>consecutive</t>
        </is>
      </c>
      <c r="H1" s="17" t="inlineStr">
        <is>
          <t>aetiology</t>
        </is>
      </c>
      <c r="I1" s="17" t="inlineStr">
        <is>
          <t>ws_basis</t>
        </is>
      </c>
      <c r="J1" s="17" t="inlineStr">
        <is>
          <t>presentation</t>
        </is>
      </c>
      <c r="K1" s="17" t="inlineStr">
        <is>
          <t>deferred_reason</t>
        </is>
      </c>
      <c r="L1" s="17" t="inlineStr">
        <is>
          <t>torsion_awaiting</t>
        </is>
      </c>
      <c r="M1" s="17" t="inlineStr">
        <is>
          <t>perfusion</t>
        </is>
      </c>
      <c r="N1" s="17" t="inlineStr">
        <is>
          <t>approach</t>
        </is>
      </c>
      <c r="O1" s="17" t="inlineStr">
        <is>
          <t>viability</t>
        </is>
      </c>
      <c r="P1" s="17" t="inlineStr">
        <is>
          <t>viab_basis</t>
        </is>
      </c>
      <c r="Q1" s="17" t="inlineStr">
        <is>
          <t>procedure</t>
        </is>
      </c>
      <c r="R1" s="17" t="inlineStr">
        <is>
          <t>fixation</t>
        </is>
      </c>
      <c r="S1" s="17" t="inlineStr">
        <is>
          <t>reason_removed</t>
        </is>
      </c>
      <c r="T1" s="17" t="inlineStr">
        <is>
          <t>status_fu</t>
        </is>
      </c>
      <c r="U1" s="17" t="inlineStr">
        <is>
          <t>dur_category</t>
        </is>
      </c>
      <c r="V1" s="17" t="inlineStr">
        <is>
          <t>units</t>
        </is>
      </c>
      <c r="W1" s="17" t="inlineStr">
        <is>
          <t>phrase</t>
        </is>
      </c>
      <c r="X1" s="17" t="inlineStr">
        <is>
          <t>extractor</t>
        </is>
      </c>
      <c r="Y1" s="17" t="inlineStr">
        <is>
          <t>ft_reviewer</t>
        </is>
      </c>
      <c r="Z1" s="17" t="inlineStr">
        <is>
          <t>ft_decision</t>
        </is>
      </c>
      <c r="AA1" s="17" t="inlineStr">
        <is>
          <t>ft_reason</t>
        </is>
      </c>
      <c r="AB1" s="17" t="inlineStr">
        <is>
          <t>route</t>
        </is>
      </c>
      <c r="AC1" s="17" t="inlineStr">
        <is>
          <t>ipd_final</t>
        </is>
      </c>
      <c r="AD1" s="17" t="inlineStr">
        <is>
          <t>ipd_received</t>
        </is>
      </c>
      <c r="AE1" s="17" t="inlineStr">
        <is>
          <t>ipd_delivery</t>
        </is>
      </c>
      <c r="AF1" s="17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Extraction calibration starter E1 (blank)</dc:title>
  <dcterms:created xmlns:dcterms="http://purl.org/dc/terms/" xmlns:xsi="http://www.w3.org/2001/XMLSchema-instance" xsi:type="dcterms:W3CDTF">2026-10-25T03:59:55Z</dcterms:created>
  <dcterms:modified xmlns:dcterms="http://purl.org/dc/terms/" xmlns:xsi="http://www.w3.org/2001/XMLSchema-instance" xsi:type="dcterms:W3CDTF">2026-10-25T03:59:55Z</dcterms:modified>
</cp:coreProperties>
</file>