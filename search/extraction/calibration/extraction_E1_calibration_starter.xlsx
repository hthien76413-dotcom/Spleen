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libration_list" sheetId="2" state="visible" r:id="rId2"/>
    <sheet xmlns:r="http://schemas.openxmlformats.org/officeDocument/2006/relationships" name="Reports" sheetId="3" state="visible" r:id="rId3"/>
    <sheet xmlns:r="http://schemas.openxmlformats.org/officeDocument/2006/relationships" name="Patient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Duration_calc" sheetId="6" state="visible" r:id="rId6"/>
    <sheet xmlns:r="http://schemas.openxmlformats.org/officeDocument/2006/relationships" name="Lis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  <font>
      <b val="1"/>
      <color rgb="00C00000"/>
    </font>
  </fonts>
  <fills count="12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DE9D9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7" fillId="11" borderId="0" applyAlignment="1" pivotButton="0" quotePrefix="0" xfId="0">
      <alignment vertical="top" wrapText="1"/>
    </xf>
    <xf numFmtId="0" fontId="5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18" customHeight="1">
      <c r="A1" s="1" t="inlineStr">
        <is>
          <t>提取校准：先做 10 篇（起始表）</t>
        </is>
      </c>
    </row>
    <row r="2" ht="32" customHeight="1">
      <c r="A2" s="20" t="inlineStr">
        <is>
          <t>这份文件里只有 10 篇报告的编号和提取员代码，没有任何数据。请只根据全文填写；做完之前不要打开对方的文件，也不要看预试验提取表，不要讨论具体的报告。</t>
        </is>
      </c>
    </row>
    <row r="3" ht="18" customHeight="1">
      <c r="A3" s="3" t="inlineStr">
        <is>
          <t>要做什么</t>
        </is>
      </c>
    </row>
    <row r="4" ht="48" customHeight="1">
      <c r="A4" s="2" t="inlineStr">
        <is>
          <t>• 提取员：E1 = 舒俊，E2 = 卞红强（Reports 表的 extractor 列已填好；Patients 表里新增的每一行也要填上）。一人一份，另存为自己的副本（`extraction_E1.xlsx` 或 `extraction_E2.xlsx`），每次用完另存带日期的副本，不覆盖旧的。</t>
        </is>
      </c>
    </row>
    <row r="5" ht="32" customHeight="1">
      <c r="A5" s="2" t="inlineStr">
        <is>
          <t>• Calibration_list 表是这 10 篇的名单（编号、标题、DOI、链接）。用自己电脑里已有的全文，按 WS 编号命名（如 WS0159.pdf）；PDF 和提取表都不要放进仓库。逐例资料在线上附录或补充材料里的，附录也要取到，取不到的告诉杨俊。</t>
        </is>
      </c>
    </row>
    <row r="6" ht="32" customHeight="1">
      <c r="A6" s="2" t="inlineStr">
        <is>
          <t>• 先读完整篇，再填表。Reports 表：每篇一行（已建好 10 行，其余列自己填）。Patients 表：每名符合条件的儿童一行，patient_id 写成 WS0159_P1、WS0159_P2…，report_id 填 WS 编号，extractor 填 E1 或 E2。</t>
        </is>
      </c>
    </row>
    <row r="7" ht="32" customHeight="1">
      <c r="A7" s="2" t="inlineStr">
        <is>
          <t>• 哪些儿童提取、哪些不提取：只提取 18 岁以下、报告里有个体描述的儿童；成人不提取；只有汇总数据的，人数填 Reports 表 n_children_aggregate，不进 Patients 表（提取说明第 3 节）。</t>
        </is>
      </c>
    </row>
    <row r="8" ht="48" customHeight="1">
      <c r="A8" s="2" t="inlineStr">
        <is>
          <t>• 两个关键变量：指数发作的持续天数（按 9 条换算规则，同时填 idx_dur_verbatim 原文写法和出处 src_exposure）；脾脏术中是否存活（viability，同时填依据 viab_basis 和出处 src_outcome）。规则和例子见提取说明第 5–8 节。</t>
        </is>
      </c>
    </row>
    <row r="9" ht="18" customHeight="1">
      <c r="A9" s="2" t="inlineStr">
        <is>
          <t>• 空白 = 还没提取；NR = 报告里没有这项信息。不要凭印象猜一个值，也不要用空白表示'报告没写'。拿不准的写在 notes，留待共识讨论。</t>
        </is>
      </c>
    </row>
    <row r="10" ht="18" customHeight="1">
      <c r="A10" s="2" t="inlineStr">
        <is>
          <t>• 灰色列是公式，不要改；表头前三行和 Lists 表不要改。下拉列表的格子不要手打列表以外的值。</t>
        </is>
      </c>
    </row>
    <row r="11" ht="18" customHeight="1">
      <c r="A11" s="2" t="inlineStr">
        <is>
          <t>• 只录不可识别的信息：不写姓名、住院号、出生日期、具体日期。</t>
        </is>
      </c>
    </row>
    <row r="12" ht="32" customHeight="1">
      <c r="A12" s="2" t="inlineStr">
        <is>
          <t>• 【不是提取规则，是请求】抽样时按摘要关键词没有找到用'范围'写法（如'2–3 个月'）表示病程的报告。若读全文时发现哪篇用了这种写法，请在该篇 notes 里写 range-wording，并把 WS 编号告诉杨俊。</t>
        </is>
      </c>
    </row>
    <row r="13" ht="18" customHeight="1">
      <c r="A13" s="3" t="inlineStr">
        <is>
          <t>做完以后</t>
        </is>
      </c>
    </row>
    <row r="14" ht="48" customHeight="1">
      <c r="A14" s="2" t="inlineStr">
        <is>
          <t>• 保存前对照提取说明第 11.1 节的自查清单；然后运行 `python3 -I tools/compare_extraction.py check 你的文件.xlsx --extractor E1`（E2 同理），把格式错误改掉。check 只看格式，不看对错，也不显示对方的任何内容。</t>
        </is>
      </c>
    </row>
    <row r="15" ht="32" customHeight="1">
      <c r="A15" s="2" t="inlineStr">
        <is>
          <t>• 把自己的文件交杨俊保管（提取说明第 2.1 节）。两人都交了以后，由杨俊决定谁运行 `compare`；分歧清单发给两位提取员，先讨论，讨论不了的交杨俊，把统一的读法写进提取说明第 12 节。</t>
        </is>
      </c>
    </row>
    <row r="16" ht="18" customHeight="1">
      <c r="A16" s="2" t="inlineStr">
        <is>
          <t>• 校准只有 10 篇，患者可能只有二三十人，kappa 不可靠，主要看分歧清单。校准用的 10 篇在正式提取里照样再做一遍，用校准后的规则。</t>
        </is>
      </c>
    </row>
    <row r="17" ht="18" customHeight="1">
      <c r="A17" s="3" t="inlineStr">
        <is>
          <t>没有验证的事</t>
        </is>
      </c>
    </row>
    <row r="18" ht="18" customHeight="1">
      <c r="A18" s="2" t="inlineStr">
        <is>
          <t>• 这份文件没有在 Excel 或 WPS 里打开过；下拉列表和版面实际是否正常没有验证。</t>
        </is>
      </c>
    </row>
    <row r="19" ht="18" customHeight="1"/>
    <row r="20" ht="18" customHeight="1"/>
    <row r="21" ht="18" customHeight="1"/>
    <row r="22" ht="36" customHeight="1"/>
    <row r="23" ht="36" customHeight="1"/>
    <row r="24" ht="54" customHeight="1"/>
    <row r="25" ht="54" customHeight="1"/>
    <row r="26" ht="36" customHeight="1"/>
    <row r="27" ht="36" customHeight="1"/>
    <row r="28" ht="36" customHeight="1"/>
    <row r="29" ht="18" customHeight="1"/>
    <row r="30" ht="54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7" customWidth="1" min="3" max="3"/>
    <col width="10" customWidth="1" min="4" max="4"/>
    <col width="12" customWidth="1" min="5" max="5"/>
    <col width="70" customWidth="1" min="6" max="6"/>
    <col width="34" customWidth="1" min="7" max="7"/>
    <col width="60" customWidth="1" min="8" max="8"/>
  </cols>
  <sheetData>
    <row r="1">
      <c r="A1" s="21" t="inlineStr">
        <is>
          <t>No.</t>
        </is>
      </c>
      <c r="B1" s="21" t="inlineStr">
        <is>
          <t>WS ID</t>
        </is>
      </c>
      <c r="C1" s="21" t="inlineStr">
        <is>
          <t>Year</t>
        </is>
      </c>
      <c r="D1" s="21" t="inlineStr">
        <is>
          <t>Language</t>
        </is>
      </c>
      <c r="E1" s="21" t="inlineStr">
        <is>
          <t>Abstract in database record</t>
        </is>
      </c>
      <c r="F1" s="21" t="inlineStr">
        <is>
          <t>Title</t>
        </is>
      </c>
      <c r="G1" s="21" t="inlineStr">
        <is>
          <t>DOI</t>
        </is>
      </c>
      <c r="H1" s="21" t="inlineStr">
        <is>
          <t>Link</t>
        </is>
      </c>
    </row>
    <row r="2">
      <c r="A2" s="22" t="n">
        <v>1</v>
      </c>
      <c r="B2" s="22" t="inlineStr">
        <is>
          <t>WS0159</t>
        </is>
      </c>
      <c r="C2" s="22" t="inlineStr">
        <is>
          <t>2022</t>
        </is>
      </c>
      <c r="D2" s="22" t="inlineStr">
        <is>
          <t>English</t>
        </is>
      </c>
      <c r="E2" s="22" t="inlineStr">
        <is>
          <t>yes</t>
        </is>
      </c>
      <c r="F2" s="2" t="inlineStr">
        <is>
          <t>The Cause of an Unusual Abdominal Pain in Children: Splenic Torsiyon - Three Case Report.</t>
        </is>
      </c>
      <c r="G2" s="22" t="inlineStr">
        <is>
          <t>10.14744/semb.2021.64872</t>
        </is>
      </c>
      <c r="H2" s="22" t="inlineStr">
        <is>
          <t>https://pubmed.ncbi.nlm.nih.gov/36304217/</t>
        </is>
      </c>
    </row>
    <row r="3">
      <c r="A3" s="22" t="n">
        <v>2</v>
      </c>
      <c r="B3" s="22" t="inlineStr">
        <is>
          <t>WS0732</t>
        </is>
      </c>
      <c r="C3" s="22" t="inlineStr">
        <is>
          <t>2003</t>
        </is>
      </c>
      <c r="D3" s="22" t="inlineStr">
        <is>
          <t>English</t>
        </is>
      </c>
      <c r="E3" s="22" t="inlineStr">
        <is>
          <t>no</t>
        </is>
      </c>
      <c r="F3" s="2" t="inlineStr">
        <is>
          <t>Splenic torsion.</t>
        </is>
      </c>
      <c r="G3" s="22" t="inlineStr">
        <is>
          <t>10.1148/rg.232025110</t>
        </is>
      </c>
      <c r="H3" s="22" t="inlineStr">
        <is>
          <t>https://pubmed.ncbi.nlm.nih.gov/12640148/</t>
        </is>
      </c>
    </row>
    <row r="4">
      <c r="A4" s="22" t="n">
        <v>3</v>
      </c>
      <c r="B4" s="22" t="inlineStr">
        <is>
          <t>WS1859</t>
        </is>
      </c>
      <c r="C4" s="22" t="inlineStr">
        <is>
          <t>2024</t>
        </is>
      </c>
      <c r="D4" s="22" t="inlineStr">
        <is>
          <t>Chinese</t>
        </is>
      </c>
      <c r="E4" s="22" t="inlineStr">
        <is>
          <t>yes</t>
        </is>
      </c>
      <c r="F4" s="2" t="inlineStr">
        <is>
          <t>儿童脾扭转诊治的单中心回顾性研究</t>
        </is>
      </c>
      <c r="G4" s="22" t="inlineStr">
        <is>
          <t>10.3969/j.issn.2095-5340.2024.05.008</t>
        </is>
      </c>
      <c r="H4" s="22" t="inlineStr">
        <is>
          <t>https://d.wanfangdata.com.cn/periodical/CiBQZXJpb2RpY2FsQ0hJU29scjkyMDI2MDkxNTE0MjIxORIRZnl5eGR6enoyMDI0MDUwMDgaCGliMWIydWh6</t>
        </is>
      </c>
    </row>
    <row r="5">
      <c r="A5" s="22" t="n">
        <v>4</v>
      </c>
      <c r="B5" s="22" t="inlineStr">
        <is>
          <t>WS1903</t>
        </is>
      </c>
      <c r="C5" s="22" t="inlineStr">
        <is>
          <t>2020</t>
        </is>
      </c>
      <c r="D5" s="22" t="inlineStr">
        <is>
          <t>Chinese</t>
        </is>
      </c>
      <c r="E5" s="22" t="inlineStr">
        <is>
          <t>yes</t>
        </is>
      </c>
      <c r="F5" s="2" t="inlineStr">
        <is>
          <t>腹腔镜切除异位脾扭转1例报告</t>
        </is>
      </c>
      <c r="G5" s="22" t="inlineStr">
        <is>
          <t>10.13499/j.cnki.fqjwkzz.2020.03.239</t>
        </is>
      </c>
      <c r="H5" s="22" t="inlineStr">
        <is>
          <t>https://d.wanfangdata.com.cn/periodical/CiBQZXJpb2RpY2FsQ0hJU29scjkyMDI2MDkxNTE0MjIxORIQZnFqd2t6ejIwMjAwMzAyMBoIaWIxYjJ1aHo%3D</t>
        </is>
      </c>
    </row>
    <row r="6">
      <c r="A6" s="22" t="n">
        <v>5</v>
      </c>
      <c r="B6" s="22" t="inlineStr">
        <is>
          <t>WS0709</t>
        </is>
      </c>
      <c r="C6" s="22" t="inlineStr">
        <is>
          <t>2004</t>
        </is>
      </c>
      <c r="D6" s="22" t="inlineStr">
        <is>
          <t>English</t>
        </is>
      </c>
      <c r="E6" s="22" t="inlineStr">
        <is>
          <t>yes</t>
        </is>
      </c>
      <c r="F6" s="2" t="inlineStr">
        <is>
          <t>Acute torsion of the spleen: diagnosis and management.</t>
        </is>
      </c>
      <c r="G6" s="22" t="inlineStr">
        <is>
          <t>10.1007/s00383-003-1110-6</t>
        </is>
      </c>
      <c r="H6" s="22" t="inlineStr">
        <is>
          <t>https://pubmed.ncbi.nlm.nih.gov/14758498/</t>
        </is>
      </c>
    </row>
    <row r="7">
      <c r="A7" s="22" t="n">
        <v>6</v>
      </c>
      <c r="B7" s="22" t="inlineStr">
        <is>
          <t>WS1367</t>
        </is>
      </c>
      <c r="C7" s="22" t="inlineStr">
        <is>
          <t>2025</t>
        </is>
      </c>
      <c r="D7" s="22" t="inlineStr">
        <is>
          <t>English</t>
        </is>
      </c>
      <c r="E7" s="22" t="inlineStr">
        <is>
          <t>yes</t>
        </is>
      </c>
      <c r="F7" s="2" t="inlineStr">
        <is>
          <t>Beyond the usual: three unique cases of wandering spleen in Indonesia</t>
        </is>
      </c>
      <c r="G7" s="22" t="inlineStr">
        <is>
          <t>10.1186/s43055-025-01488-z</t>
        </is>
      </c>
      <c r="H7" s="22" t="inlineStr">
        <is>
          <t>https://www.scopus.com/pages/publications/105006757181?origin=resultslist</t>
        </is>
      </c>
    </row>
    <row r="8">
      <c r="A8" s="22" t="n">
        <v>7</v>
      </c>
      <c r="B8" s="22" t="inlineStr">
        <is>
          <t>WS0551</t>
        </is>
      </c>
      <c r="C8" s="22" t="inlineStr">
        <is>
          <t>2010</t>
        </is>
      </c>
      <c r="D8" s="22" t="inlineStr">
        <is>
          <t>English</t>
        </is>
      </c>
      <c r="E8" s="22" t="inlineStr">
        <is>
          <t>yes</t>
        </is>
      </c>
      <c r="F8" s="2" t="inlineStr">
        <is>
          <t>Multimodality imaging of a neonatal wandering spleen.</t>
        </is>
      </c>
      <c r="G8" s="22" t="inlineStr">
        <is>
          <t>10.1016/j.clinimag.2009.09.001</t>
        </is>
      </c>
      <c r="H8" s="22" t="inlineStr">
        <is>
          <t>https://pubmed.ncbi.nlm.nih.gov/20630344/</t>
        </is>
      </c>
    </row>
    <row r="9">
      <c r="A9" s="22" t="n">
        <v>8</v>
      </c>
      <c r="B9" s="22" t="inlineStr">
        <is>
          <t>WS1880</t>
        </is>
      </c>
      <c r="C9" s="22" t="inlineStr">
        <is>
          <t>2022</t>
        </is>
      </c>
      <c r="D9" s="22" t="inlineStr">
        <is>
          <t>Chinese</t>
        </is>
      </c>
      <c r="E9" s="22" t="inlineStr">
        <is>
          <t>yes</t>
        </is>
      </c>
      <c r="F9" s="2" t="inlineStr">
        <is>
          <t>游走脾急腹症1例</t>
        </is>
      </c>
      <c r="G9" s="22" t="inlineStr">
        <is>
          <t>10.3969/j.issn.1004-3594.2022.12.016</t>
        </is>
      </c>
      <c r="H9" s="22" t="inlineStr">
        <is>
          <t>https://d.wanfangdata.com.cn/periodical/CiBQZXJpb2RpY2FsQ0hJU29scjkyMDI2MDkxNTE0MjIxORINd2p5eDIwMjIxMjAxNhoIaWIxYjJ1aHo%3D</t>
        </is>
      </c>
    </row>
    <row r="10">
      <c r="A10" s="22" t="n">
        <v>9</v>
      </c>
      <c r="B10" s="22" t="inlineStr">
        <is>
          <t>WS1388</t>
        </is>
      </c>
      <c r="C10" s="22" t="inlineStr">
        <is>
          <t>2024</t>
        </is>
      </c>
      <c r="D10" s="22" t="inlineStr">
        <is>
          <t>English</t>
        </is>
      </c>
      <c r="E10" s="22" t="inlineStr">
        <is>
          <t>yes</t>
        </is>
      </c>
      <c r="F10" s="2" t="inlineStr">
        <is>
          <t>Recurrent splenic volvulus after splenopexy in an 11-year-old child: A case report</t>
        </is>
      </c>
      <c r="G10" s="22" t="inlineStr">
        <is>
          <t>10.1016/j.epsc.2024.102877</t>
        </is>
      </c>
      <c r="H10" s="22" t="inlineStr">
        <is>
          <t>https://www.scopus.com/pages/publications/85204080322?origin=resultslist</t>
        </is>
      </c>
    </row>
    <row r="11">
      <c r="A11" s="22" t="n">
        <v>10</v>
      </c>
      <c r="B11" s="22" t="inlineStr">
        <is>
          <t>WS0668</t>
        </is>
      </c>
      <c r="C11" s="22" t="inlineStr">
        <is>
          <t>2005</t>
        </is>
      </c>
      <c r="D11" s="22" t="inlineStr">
        <is>
          <t>English</t>
        </is>
      </c>
      <c r="E11" s="22" t="inlineStr">
        <is>
          <t>yes</t>
        </is>
      </c>
      <c r="F11" s="2" t="inlineStr">
        <is>
          <t>Wandering spleen--the challenge of ultrasound diagnosis: report of 7 cases.</t>
        </is>
      </c>
      <c r="G11" s="22" t="inlineStr">
        <is>
          <t>10.1002/jcu.20165</t>
        </is>
      </c>
      <c r="H11" s="22" t="inlineStr">
        <is>
          <t>https://pubmed.ncbi.nlm.nih.gov/16281274/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A4" t="inlineStr">
        <is>
          <t>WS0159</t>
        </is>
      </c>
      <c r="N4" s="9">
        <f>IF(ISNUMBER(C4),IF(C4&lt;2000,"before 2000",IF(C4&lt;=2014,"2000-2014","2015 onward")),"")</f>
        <v/>
      </c>
      <c r="O4" t="inlineStr">
        <is>
          <t>E1</t>
        </is>
      </c>
      <c r="P4" s="8" t="n"/>
    </row>
    <row r="5">
      <c r="A5" t="inlineStr">
        <is>
          <t>WS0732</t>
        </is>
      </c>
      <c r="N5" s="9">
        <f>IF(ISNUMBER(C5),IF(C5&lt;2000,"before 2000",IF(C5&lt;=2014,"2000-2014","2015 onward")),"")</f>
        <v/>
      </c>
      <c r="O5" t="inlineStr">
        <is>
          <t>E1</t>
        </is>
      </c>
      <c r="P5" s="8" t="n"/>
    </row>
    <row r="6">
      <c r="A6" t="inlineStr">
        <is>
          <t>WS1859</t>
        </is>
      </c>
      <c r="N6" s="9">
        <f>IF(ISNUMBER(C6),IF(C6&lt;2000,"before 2000",IF(C6&lt;=2014,"2000-2014","2015 onward")),"")</f>
        <v/>
      </c>
      <c r="O6" t="inlineStr">
        <is>
          <t>E1</t>
        </is>
      </c>
      <c r="P6" s="8" t="n"/>
    </row>
    <row r="7">
      <c r="A7" t="inlineStr">
        <is>
          <t>WS1903</t>
        </is>
      </c>
      <c r="N7" s="9">
        <f>IF(ISNUMBER(C7),IF(C7&lt;2000,"before 2000",IF(C7&lt;=2014,"2000-2014","2015 onward")),"")</f>
        <v/>
      </c>
      <c r="O7" t="inlineStr">
        <is>
          <t>E1</t>
        </is>
      </c>
      <c r="P7" s="8" t="n"/>
    </row>
    <row r="8">
      <c r="A8" t="inlineStr">
        <is>
          <t>WS0709</t>
        </is>
      </c>
      <c r="N8" s="9">
        <f>IF(ISNUMBER(C8),IF(C8&lt;2000,"before 2000",IF(C8&lt;=2014,"2000-2014","2015 onward")),"")</f>
        <v/>
      </c>
      <c r="O8" t="inlineStr">
        <is>
          <t>E1</t>
        </is>
      </c>
      <c r="P8" s="8" t="n"/>
    </row>
    <row r="9">
      <c r="A9" t="inlineStr">
        <is>
          <t>WS1367</t>
        </is>
      </c>
      <c r="N9" s="9">
        <f>IF(ISNUMBER(C9),IF(C9&lt;2000,"before 2000",IF(C9&lt;=2014,"2000-2014","2015 onward")),"")</f>
        <v/>
      </c>
      <c r="O9" t="inlineStr">
        <is>
          <t>E1</t>
        </is>
      </c>
      <c r="P9" s="8" t="n"/>
    </row>
    <row r="10">
      <c r="A10" t="inlineStr">
        <is>
          <t>WS0551</t>
        </is>
      </c>
      <c r="N10" s="9">
        <f>IF(ISNUMBER(C10),IF(C10&lt;2000,"before 2000",IF(C10&lt;=2014,"2000-2014","2015 onward")),"")</f>
        <v/>
      </c>
      <c r="O10" t="inlineStr">
        <is>
          <t>E1</t>
        </is>
      </c>
      <c r="P10" s="8" t="n"/>
    </row>
    <row r="11">
      <c r="A11" t="inlineStr">
        <is>
          <t>WS1880</t>
        </is>
      </c>
      <c r="N11" s="9">
        <f>IF(ISNUMBER(C11),IF(C11&lt;2000,"before 2000",IF(C11&lt;=2014,"2000-2014","2015 onward")),"")</f>
        <v/>
      </c>
      <c r="O11" t="inlineStr">
        <is>
          <t>E1</t>
        </is>
      </c>
      <c r="P11" s="8" t="n"/>
    </row>
    <row r="12">
      <c r="A12" t="inlineStr">
        <is>
          <t>WS1388</t>
        </is>
      </c>
      <c r="N12" s="9">
        <f>IF(ISNUMBER(C12),IF(C12&lt;2000,"before 2000",IF(C12&lt;=2014,"2000-2014","2015 onward")),"")</f>
        <v/>
      </c>
      <c r="O12" t="inlineStr">
        <is>
          <t>E1</t>
        </is>
      </c>
      <c r="P12" s="8" t="n"/>
    </row>
    <row r="13">
      <c r="A13" t="inlineStr">
        <is>
          <t>WS0668</t>
        </is>
      </c>
      <c r="N13" s="9">
        <f>IF(ISNUMBER(C13),IF(C13&lt;2000,"before 2000",IF(C13&lt;=2014,"2000-2014","2015 onward")),"")</f>
        <v/>
      </c>
      <c r="O13" t="inlineStr">
        <is>
          <t>E1</t>
        </is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only；报告没写发作形式填 NR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Lists!$J$2:$J$7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  <c r="C19" s="23" t="n"/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  <c r="C20" s="23" t="n"/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  <c r="C21" s="23" t="n"/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  <c r="C22" s="23" t="n"/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  <c r="C23" s="23" t="n"/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  <c r="AE1" s="17" t="inlineStr">
        <is>
          <t>ipd_delivery</t>
        </is>
      </c>
      <c r="AF1" s="17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J7" t="inlineStr">
        <is>
          <t>NR</t>
        </is>
      </c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calibration starter E1 (blank)</dc:title>
  <dcterms:created xmlns:dcterms="http://purl.org/dc/terms/" xmlns:xsi="http://www.w3.org/2001/XMLSchema-instance" xsi:type="dcterms:W3CDTF">2026-10-25T04:42:06Z</dcterms:created>
  <dcterms:modified xmlns:dcterms="http://purl.org/dc/terms/" xmlns:xsi="http://www.w3.org/2001/XMLSchema-instance" xsi:type="dcterms:W3CDTF">2026-10-25T04:42:06Z</dcterms:modified>
</cp:coreProperties>
</file>