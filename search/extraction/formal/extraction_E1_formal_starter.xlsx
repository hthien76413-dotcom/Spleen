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_list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Duration_calc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11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正式提取（起始表）</t>
        </is>
      </c>
    </row>
    <row r="2" ht="32" customHeight="1">
      <c r="A2" s="20" t="inlineStr">
        <is>
          <t>这份文件里只有纳入报告的编号和提取员代码，没有任何数据。请只根据全文填写；两人都交文件之前，不要打开对方的文件，不要讨论具体的报告，不要看预试验提取表。</t>
        </is>
      </c>
    </row>
    <row r="3" ht="18" customHeight="1">
      <c r="A3" s="3" t="inlineStr">
        <is>
          <t>要做什么</t>
        </is>
      </c>
    </row>
    <row r="4" ht="32" customHeight="1">
      <c r="A4" s="2" t="inlineStr">
        <is>
          <t>• 提取员：E1 = 舒俊，E2 = 卞红强。Reports 表每篇报告一行（已建好，extractor 已填）。Patients 表每名符合条件的儿童一行，patient_id 写成 WS0159_P1…，report_id 填 WS 编号，extractor 填 E1 或 E2。</t>
        </is>
      </c>
    </row>
    <row r="5" ht="32" customHeight="1">
      <c r="A5" s="2" t="inlineStr">
        <is>
          <t>• Report_list 表是名单（编号、年份、语言、标题、DOI、链接）。包含 10 篇校准报告和预试验的报告，都要按校准后的规则重新提取。全文和提取表不放进仓库。逐例资料在线上附录里的，附录也要取到。</t>
        </is>
      </c>
    </row>
    <row r="6" ht="48" customHeight="1">
      <c r="A6" s="2" t="inlineStr">
        <is>
          <t>• 规则以《提取操作说明》v2026-10-25d 为准，尤其第 12 节 X13–X20：脾脏活力只采纳作者对术中脾状态的直接描述；未提及填 NR；只有至就诊或入院前时长时标时长下限；可能重复的患者只在报告层 notes 说明，不填 same_patient_as。协议 v1.7 同样规定了活力的记录方式。</t>
        </is>
      </c>
    </row>
    <row r="7" ht="32" customHeight="1">
      <c r="A7" s="2" t="inlineStr">
        <is>
          <t>• 空白 = 还没提取；NR = 报告里没有。不要猜值。拿不准的写在 notes。灰色列是公式，不要改；表头前三行和 Lists 表不要改。不写姓名、住院号、出生日期、具体日期。</t>
        </is>
      </c>
    </row>
    <row r="8" ht="18" customHeight="1">
      <c r="A8" s="2" t="inlineStr">
        <is>
          <t>• 遇到提取说明没有覆盖的情况，在 notes 里写明，并记下 WS 编号告诉杨俊，不要自己发明规则。</t>
        </is>
      </c>
    </row>
    <row r="9" ht="18" customHeight="1">
      <c r="A9" s="3" t="inlineStr">
        <is>
          <t>做完以后</t>
        </is>
      </c>
    </row>
    <row r="10" ht="32" customHeight="1">
      <c r="A10" s="2" t="inlineStr">
        <is>
          <t>• 保存前对照提取说明第 11 节的自查清单；运行 `python3 -I tools/compare_extraction.py check 你的文件.xlsx --extractor E1`（E2 同理）改掉格式错误。每次用完另存带日期的副本，不覆盖旧的。</t>
        </is>
      </c>
    </row>
    <row r="11" ht="18" customHeight="1">
      <c r="A11" s="2" t="inlineStr">
        <is>
          <t>• 把文件交杨俊保管；两人都交了以后，由杨俊决定谁运行 compare，分歧先由两位提取员讨论，讨论不了的交杨俊裁定。</t>
        </is>
      </c>
    </row>
    <row r="12" ht="18" customHeight="1">
      <c r="A12" s="3" t="inlineStr">
        <is>
          <t>没有验证的事</t>
        </is>
      </c>
    </row>
    <row r="13" ht="18" customHeight="1">
      <c r="A13" s="2" t="inlineStr">
        <is>
          <t>• 这份文件没有在 Excel 或 WPS 里打开过；下拉列表和版面实际是否正常没有验证。</t>
        </is>
      </c>
    </row>
    <row r="14" ht="54" customHeight="1"/>
    <row r="15" ht="18" customHeight="1"/>
    <row r="16" ht="36" customHeight="1"/>
    <row r="17" ht="18" customHeight="1"/>
    <row r="18" ht="54" customHeight="1"/>
    <row r="19" ht="18" customHeight="1"/>
    <row r="20" ht="18" customHeight="1"/>
    <row r="21" ht="18" customHeight="1"/>
    <row r="22" ht="36" customHeight="1"/>
    <row r="23" ht="36" customHeight="1"/>
    <row r="24" ht="54" customHeight="1"/>
    <row r="25" ht="54" customHeight="1"/>
    <row r="26" ht="36" customHeight="1"/>
    <row r="27" ht="36" customHeight="1"/>
    <row r="28" ht="36" customHeight="1"/>
    <row r="29" ht="18" customHeight="1"/>
    <row r="30" ht="5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10" customWidth="1" min="4" max="4"/>
    <col width="12" customWidth="1" min="5" max="5"/>
    <col width="70" customWidth="1" min="6" max="6"/>
    <col width="34" customWidth="1" min="7" max="7"/>
    <col width="60" customWidth="1" min="8" max="8"/>
  </cols>
  <sheetData>
    <row r="1">
      <c r="A1" s="21" t="inlineStr">
        <is>
          <t>No.</t>
        </is>
      </c>
      <c r="B1" s="21" t="inlineStr">
        <is>
          <t>WS ID</t>
        </is>
      </c>
      <c r="C1" s="21" t="inlineStr">
        <is>
          <t>Year</t>
        </is>
      </c>
      <c r="D1" s="21" t="inlineStr">
        <is>
          <t>Language</t>
        </is>
      </c>
      <c r="E1" s="21" t="inlineStr">
        <is>
          <t>Abstract in database record</t>
        </is>
      </c>
      <c r="F1" s="21" t="inlineStr">
        <is>
          <t>Title</t>
        </is>
      </c>
      <c r="G1" s="21" t="inlineStr">
        <is>
          <t>DOI</t>
        </is>
      </c>
      <c r="H1" s="21" t="inlineStr">
        <is>
          <t>Link</t>
        </is>
      </c>
    </row>
    <row r="2">
      <c r="A2" s="22" t="n">
        <v>1</v>
      </c>
      <c r="B2" s="22" t="inlineStr">
        <is>
          <t>WS0002</t>
        </is>
      </c>
      <c r="C2" s="22" t="inlineStr">
        <is>
          <t>2026</t>
        </is>
      </c>
      <c r="D2" s="22" t="inlineStr">
        <is>
          <t>English</t>
        </is>
      </c>
      <c r="E2" s="22" t="inlineStr">
        <is>
          <t>yes</t>
        </is>
      </c>
      <c r="F2" s="2" t="inlineStr">
        <is>
          <t>The diagnostic challenge of wandering spleen with torsion: a rare cause of acute abdomen in children - a case report.</t>
        </is>
      </c>
      <c r="G2" s="22" t="inlineStr">
        <is>
          <t>10.1097/rc9.0000000000000696</t>
        </is>
      </c>
      <c r="H2" s="22" t="inlineStr">
        <is>
          <t>https://pubmed.ncbi.nlm.nih.gov/42699937/</t>
        </is>
      </c>
    </row>
    <row r="3">
      <c r="A3" s="22" t="n">
        <v>2</v>
      </c>
      <c r="B3" s="22" t="inlineStr">
        <is>
          <t>WS0008</t>
        </is>
      </c>
      <c r="C3" s="22" t="inlineStr">
        <is>
          <t>2026</t>
        </is>
      </c>
      <c r="D3" s="22" t="inlineStr">
        <is>
          <t>English</t>
        </is>
      </c>
      <c r="E3" s="22" t="inlineStr">
        <is>
          <t>yes</t>
        </is>
      </c>
      <c r="F3" s="2" t="inlineStr">
        <is>
          <t>Splenic Torsion in a 16-Year-Old Female With a Wandering Spleen: A Case Report.</t>
        </is>
      </c>
      <c r="G3" s="22" t="inlineStr">
        <is>
          <t>10.7759/cureus.111195</t>
        </is>
      </c>
      <c r="H3" s="22" t="inlineStr">
        <is>
          <t>https://pubmed.ncbi.nlm.nih.gov/42519252/</t>
        </is>
      </c>
    </row>
    <row r="4">
      <c r="A4" s="22" t="n">
        <v>3</v>
      </c>
      <c r="B4" s="22" t="inlineStr">
        <is>
          <t>WS0011</t>
        </is>
      </c>
      <c r="C4" s="22" t="inlineStr">
        <is>
          <t>2026</t>
        </is>
      </c>
      <c r="D4" s="22" t="inlineStr">
        <is>
          <t>English</t>
        </is>
      </c>
      <c r="E4" s="22" t="inlineStr">
        <is>
          <t>yes</t>
        </is>
      </c>
      <c r="F4" s="2" t="inlineStr">
        <is>
          <t>Laparoscopic splenopexy for splenic torsion in a patient with heterotaxy and single ventricle physiology: A rare case report.</t>
        </is>
      </c>
      <c r="G4" s="22" t="inlineStr">
        <is>
          <t>10.4103/jmas.jmas_586_25</t>
        </is>
      </c>
      <c r="H4" s="22" t="inlineStr">
        <is>
          <t>https://pubmed.ncbi.nlm.nih.gov/42241351/</t>
        </is>
      </c>
    </row>
    <row r="5">
      <c r="A5" s="22" t="n">
        <v>4</v>
      </c>
      <c r="B5" s="22" t="inlineStr">
        <is>
          <t>WS0016</t>
        </is>
      </c>
      <c r="C5" s="22" t="inlineStr">
        <is>
          <t>2026</t>
        </is>
      </c>
      <c r="D5" s="22" t="inlineStr">
        <is>
          <t>English</t>
        </is>
      </c>
      <c r="E5" s="22" t="inlineStr">
        <is>
          <t>yes</t>
        </is>
      </c>
      <c r="F5" s="2" t="inlineStr">
        <is>
          <t>Surgical management of pediatric primary splenic lesions: safety and feasibility of transumbilical single-port laparoscopic partial splenectomy.</t>
        </is>
      </c>
      <c r="G5" s="22" t="inlineStr">
        <is>
          <t>10.1007/s13304-026-02552-7</t>
        </is>
      </c>
      <c r="H5" s="22" t="inlineStr">
        <is>
          <t>https://pubmed.ncbi.nlm.nih.gov/41975166/</t>
        </is>
      </c>
    </row>
    <row r="6">
      <c r="A6" s="22" t="n">
        <v>5</v>
      </c>
      <c r="B6" s="22" t="inlineStr">
        <is>
          <t>WS0031</t>
        </is>
      </c>
      <c r="C6" s="22" t="inlineStr">
        <is>
          <t>2025</t>
        </is>
      </c>
      <c r="D6" s="22" t="inlineStr">
        <is>
          <t>English</t>
        </is>
      </c>
      <c r="E6" s="22" t="inlineStr">
        <is>
          <t>yes</t>
        </is>
      </c>
      <c r="F6" s="2" t="inlineStr">
        <is>
          <t>Gastric volvulus and wandering spleen in Pitt-Hopkins syndrome: first paediatric case report.</t>
        </is>
      </c>
      <c r="G6" s="22" t="inlineStr">
        <is>
          <t>10.3389/fped.2025.1705547</t>
        </is>
      </c>
      <c r="H6" s="22" t="inlineStr">
        <is>
          <t>https://pubmed.ncbi.nlm.nih.gov/41378192/</t>
        </is>
      </c>
    </row>
    <row r="7">
      <c r="A7" s="22" t="n">
        <v>6</v>
      </c>
      <c r="B7" s="22" t="inlineStr">
        <is>
          <t>WS0038</t>
        </is>
      </c>
      <c r="C7" s="22" t="inlineStr">
        <is>
          <t>2025</t>
        </is>
      </c>
      <c r="D7" s="22" t="inlineStr">
        <is>
          <t>English</t>
        </is>
      </c>
      <c r="E7" s="22" t="inlineStr">
        <is>
          <t>yes</t>
        </is>
      </c>
      <c r="F7" s="2" t="inlineStr">
        <is>
          <t>Wandering Spleen, A Rare Cause of Acute Abdomen: A Case Report.</t>
        </is>
      </c>
      <c r="G7" s="22" t="inlineStr">
        <is>
          <t>10.1002/ccr3.71204</t>
        </is>
      </c>
      <c r="H7" s="22" t="inlineStr">
        <is>
          <t>https://pubmed.ncbi.nlm.nih.gov/41079801/</t>
        </is>
      </c>
    </row>
    <row r="8">
      <c r="A8" s="22" t="n">
        <v>7</v>
      </c>
      <c r="B8" s="22" t="inlineStr">
        <is>
          <t>WS0040</t>
        </is>
      </c>
      <c r="C8" s="22" t="inlineStr">
        <is>
          <t>2025</t>
        </is>
      </c>
      <c r="D8" s="22" t="inlineStr">
        <is>
          <t>English</t>
        </is>
      </c>
      <c r="E8" s="22" t="inlineStr">
        <is>
          <t>yes</t>
        </is>
      </c>
      <c r="F8" s="2" t="inlineStr">
        <is>
          <t>Splenic Pedicle Volvulus in a Wandering Spleen: A Rare Pediatric Emergency.</t>
        </is>
      </c>
      <c r="G8" s="22" t="inlineStr">
        <is>
          <t>10.7759/cureus.90043</t>
        </is>
      </c>
      <c r="H8" s="22" t="inlineStr">
        <is>
          <t>https://pubmed.ncbi.nlm.nih.gov/40951031/</t>
        </is>
      </c>
    </row>
    <row r="9">
      <c r="A9" s="22" t="n">
        <v>8</v>
      </c>
      <c r="B9" s="22" t="inlineStr">
        <is>
          <t>WS0042</t>
        </is>
      </c>
      <c r="C9" s="22" t="inlineStr">
        <is>
          <t>2025</t>
        </is>
      </c>
      <c r="D9" s="22" t="inlineStr">
        <is>
          <t>English</t>
        </is>
      </c>
      <c r="E9" s="22" t="inlineStr">
        <is>
          <t>yes</t>
        </is>
      </c>
      <c r="F9" s="2" t="inlineStr">
        <is>
          <t>Splenectomy for wandering spleen with pedicle torsion in a 17-year-old: a case report.</t>
        </is>
      </c>
      <c r="G9" s="22" t="inlineStr">
        <is>
          <t>10.3389/fmed.2025.1646831</t>
        </is>
      </c>
      <c r="H9" s="22" t="inlineStr">
        <is>
          <t>https://pubmed.ncbi.nlm.nih.gov/40893905/</t>
        </is>
      </c>
    </row>
    <row r="10">
      <c r="A10" s="22" t="n">
        <v>9</v>
      </c>
      <c r="B10" s="22" t="inlineStr">
        <is>
          <t>WS0043</t>
        </is>
      </c>
      <c r="C10" s="22" t="inlineStr">
        <is>
          <t>2025</t>
        </is>
      </c>
      <c r="D10" s="22" t="inlineStr">
        <is>
          <t>English</t>
        </is>
      </c>
      <c r="E10" s="22" t="inlineStr">
        <is>
          <t>yes</t>
        </is>
      </c>
      <c r="F10" s="2" t="inlineStr">
        <is>
          <t>Detorsion of Wandering Spleen Causes Significant Hypersplenism Resulting in Thrombocytopenia and Spinal Cord Injury: A Case Report.</t>
        </is>
      </c>
      <c r="G10" s="22" t="inlineStr">
        <is>
          <t>10.70352/scrj.cr.25-0111</t>
        </is>
      </c>
      <c r="H10" s="22" t="inlineStr">
        <is>
          <t>https://pubmed.ncbi.nlm.nih.gov/40861332/</t>
        </is>
      </c>
    </row>
    <row r="11">
      <c r="A11" s="22" t="n">
        <v>10</v>
      </c>
      <c r="B11" s="22" t="inlineStr">
        <is>
          <t>WS0044</t>
        </is>
      </c>
      <c r="C11" s="22" t="inlineStr">
        <is>
          <t>2025</t>
        </is>
      </c>
      <c r="D11" s="22" t="inlineStr">
        <is>
          <t>English</t>
        </is>
      </c>
      <c r="E11" s="22" t="inlineStr">
        <is>
          <t>yes</t>
        </is>
      </c>
      <c r="F11" s="2" t="inlineStr">
        <is>
          <t>The enigmatic wandering spleen: managing three cases in a tertiary setting.</t>
        </is>
      </c>
      <c r="G11" s="22" t="inlineStr">
        <is>
          <t>10.1186/s12887-025-06005-9</t>
        </is>
      </c>
      <c r="H11" s="22" t="inlineStr">
        <is>
          <t>https://pubmed.ncbi.nlm.nih.gov/40830774/</t>
        </is>
      </c>
    </row>
    <row r="12">
      <c r="A12" s="22" t="n">
        <v>11</v>
      </c>
      <c r="B12" s="22" t="inlineStr">
        <is>
          <t>WS0045</t>
        </is>
      </c>
      <c r="C12" s="22" t="inlineStr">
        <is>
          <t>2025</t>
        </is>
      </c>
      <c r="D12" s="22" t="inlineStr">
        <is>
          <t>English</t>
        </is>
      </c>
      <c r="E12" s="22" t="inlineStr">
        <is>
          <t>yes</t>
        </is>
      </c>
      <c r="F12" s="2" t="inlineStr">
        <is>
          <t>Wandering spleen torsion with splenic vein thrombosis: A case report.</t>
        </is>
      </c>
      <c r="G12" s="22" t="inlineStr">
        <is>
          <t>10.1016/j.radcr.2025.05.050</t>
        </is>
      </c>
      <c r="H12" s="22" t="inlineStr">
        <is>
          <t>https://pubmed.ncbi.nlm.nih.gov/40821369/</t>
        </is>
      </c>
    </row>
    <row r="13">
      <c r="A13" s="22" t="n">
        <v>12</v>
      </c>
      <c r="B13" s="22" t="inlineStr">
        <is>
          <t>WS0047</t>
        </is>
      </c>
      <c r="C13" s="22" t="inlineStr">
        <is>
          <t>2025</t>
        </is>
      </c>
      <c r="D13" s="22" t="inlineStr">
        <is>
          <t>English</t>
        </is>
      </c>
      <c r="E13" s="22" t="inlineStr">
        <is>
          <t>yes</t>
        </is>
      </c>
      <c r="F13" s="2" t="inlineStr">
        <is>
          <t>Massively Enlarged Wandering Spleen With Torsion and Infarction in a 10-Year-Old: Case Report and Comprehensive Literature Review.</t>
        </is>
      </c>
      <c r="G13" s="22" t="inlineStr">
        <is>
          <t>10.1155/crpe/9927034</t>
        </is>
      </c>
      <c r="H13" s="22" t="inlineStr">
        <is>
          <t>https://pubmed.ncbi.nlm.nih.gov/40808892/</t>
        </is>
      </c>
    </row>
    <row r="14">
      <c r="A14" s="22" t="n">
        <v>13</v>
      </c>
      <c r="B14" s="22" t="inlineStr">
        <is>
          <t>WS0048</t>
        </is>
      </c>
      <c r="C14" s="22" t="inlineStr">
        <is>
          <t>2025</t>
        </is>
      </c>
      <c r="D14" s="22" t="inlineStr">
        <is>
          <t>English</t>
        </is>
      </c>
      <c r="E14" s="22" t="inlineStr">
        <is>
          <t>yes</t>
        </is>
      </c>
      <c r="F14" s="2" t="inlineStr">
        <is>
          <t>Wandering Spleen in a Pediatric Lung Transplant Patient With Filamin A Deficiency: An Incidental Finding.</t>
        </is>
      </c>
      <c r="G14" s="22" t="inlineStr">
        <is>
          <t>10.1111/petr.70161</t>
        </is>
      </c>
      <c r="H14" s="22" t="inlineStr">
        <is>
          <t>https://pubmed.ncbi.nlm.nih.gov/40804705/</t>
        </is>
      </c>
    </row>
    <row r="15">
      <c r="A15" s="22" t="n">
        <v>14</v>
      </c>
      <c r="B15" s="22" t="inlineStr">
        <is>
          <t>WS0049</t>
        </is>
      </c>
      <c r="C15" s="22" t="inlineStr">
        <is>
          <t>2025</t>
        </is>
      </c>
      <c r="D15" s="22" t="inlineStr">
        <is>
          <t>Chinese</t>
        </is>
      </c>
      <c r="E15" s="22" t="inlineStr">
        <is>
          <t>yes</t>
        </is>
      </c>
      <c r="F15" s="2" t="inlineStr">
        <is>
          <t>[Ultrasonic manifestations of splenic torsion in children].</t>
        </is>
      </c>
      <c r="G15" s="22" t="inlineStr">
        <is>
          <t>10.3760/cma.j.cn112137-20250227-00466</t>
        </is>
      </c>
      <c r="H15" s="22" t="inlineStr">
        <is>
          <t>https://pubmed.ncbi.nlm.nih.gov/40764094/</t>
        </is>
      </c>
    </row>
    <row r="16">
      <c r="A16" s="22" t="n">
        <v>15</v>
      </c>
      <c r="B16" s="22" t="inlineStr">
        <is>
          <t>WS0052</t>
        </is>
      </c>
      <c r="C16" s="22" t="inlineStr">
        <is>
          <t>2024</t>
        </is>
      </c>
      <c r="D16" s="22" t="inlineStr">
        <is>
          <t>English</t>
        </is>
      </c>
      <c r="E16" s="22" t="inlineStr">
        <is>
          <t>yes</t>
        </is>
      </c>
      <c r="F16" s="2" t="inlineStr">
        <is>
          <t>Wandering Spleen Complicated by Thrombocytopenia, Acute Appendicitis, and Sepsis: A Case Report and Literature Review.</t>
        </is>
      </c>
      <c r="G16" s="22" t="inlineStr">
        <is>
          <t>10.3390/reports7030073</t>
        </is>
      </c>
      <c r="H16" s="22" t="inlineStr">
        <is>
          <t>https://pubmed.ncbi.nlm.nih.gov/40729296/</t>
        </is>
      </c>
    </row>
    <row r="17">
      <c r="A17" s="22" t="n">
        <v>16</v>
      </c>
      <c r="B17" s="22" t="inlineStr">
        <is>
          <t>WS0055</t>
        </is>
      </c>
      <c r="C17" s="22" t="inlineStr">
        <is>
          <t>2025</t>
        </is>
      </c>
      <c r="D17" s="22" t="inlineStr">
        <is>
          <t>English</t>
        </is>
      </c>
      <c r="E17" s="22" t="inlineStr">
        <is>
          <t>yes</t>
        </is>
      </c>
      <c r="F17" s="2" t="inlineStr">
        <is>
          <t>Ultrasonographic diagnosis of splenic torsion: a case report.</t>
        </is>
      </c>
      <c r="G17" s="22" t="inlineStr">
        <is>
          <t>10.3389/fsurg.2025.1586986</t>
        </is>
      </c>
      <c r="H17" s="22" t="inlineStr">
        <is>
          <t>https://pubmed.ncbi.nlm.nih.gov/40611920/</t>
        </is>
      </c>
    </row>
    <row r="18">
      <c r="A18" s="22" t="n">
        <v>17</v>
      </c>
      <c r="B18" s="22" t="inlineStr">
        <is>
          <t>WS0057</t>
        </is>
      </c>
      <c r="C18" s="22" t="inlineStr">
        <is>
          <t>2025</t>
        </is>
      </c>
      <c r="D18" s="22" t="inlineStr">
        <is>
          <t>English</t>
        </is>
      </c>
      <c r="E18" s="22" t="inlineStr">
        <is>
          <t>yes</t>
        </is>
      </c>
      <c r="F18" s="2" t="inlineStr">
        <is>
          <t>Wandering spleen presenting as a pelvic mass: A rare case report and literature review.</t>
        </is>
      </c>
      <c r="G18" s="22" t="inlineStr">
        <is>
          <t>10.1016/j.radcr.2025.05.063</t>
        </is>
      </c>
      <c r="H18" s="22" t="inlineStr">
        <is>
          <t>https://pubmed.ncbi.nlm.nih.gov/40606585/</t>
        </is>
      </c>
    </row>
    <row r="19">
      <c r="A19" s="22" t="n">
        <v>18</v>
      </c>
      <c r="B19" s="22" t="inlineStr">
        <is>
          <t>WS0067</t>
        </is>
      </c>
      <c r="C19" s="22" t="inlineStr">
        <is>
          <t>2025</t>
        </is>
      </c>
      <c r="D19" s="22" t="inlineStr">
        <is>
          <t>English</t>
        </is>
      </c>
      <c r="E19" s="22" t="inlineStr">
        <is>
          <t>yes</t>
        </is>
      </c>
      <c r="F19" s="2" t="inlineStr">
        <is>
          <t>A case of torsed wandering spleen presenting as perforated acute appendicitis: A case report and literature review.</t>
        </is>
      </c>
      <c r="G19" s="22" t="inlineStr">
        <is>
          <t>10.1016/j.ijscr.2025.111421</t>
        </is>
      </c>
      <c r="H19" s="22" t="inlineStr">
        <is>
          <t>https://pubmed.ncbi.nlm.nih.gov/40347907/</t>
        </is>
      </c>
    </row>
    <row r="20">
      <c r="A20" s="22" t="n">
        <v>19</v>
      </c>
      <c r="B20" s="22" t="inlineStr">
        <is>
          <t>WS0068</t>
        </is>
      </c>
      <c r="C20" s="22" t="inlineStr">
        <is>
          <t>2025</t>
        </is>
      </c>
      <c r="D20" s="22" t="inlineStr">
        <is>
          <t>English</t>
        </is>
      </c>
      <c r="E20" s="22" t="inlineStr">
        <is>
          <t>yes</t>
        </is>
      </c>
      <c r="F20" s="2" t="inlineStr">
        <is>
          <t>A painful twist: Wandering spleen with torsion and infarction: A case report.</t>
        </is>
      </c>
      <c r="G20" s="22" t="inlineStr">
        <is>
          <t>10.1016/j.ijscr.2025.111391</t>
        </is>
      </c>
      <c r="H20" s="22" t="inlineStr">
        <is>
          <t>https://pubmed.ncbi.nlm.nih.gov/40306103/</t>
        </is>
      </c>
    </row>
    <row r="21">
      <c r="A21" s="22" t="n">
        <v>20</v>
      </c>
      <c r="B21" s="22" t="inlineStr">
        <is>
          <t>WS0069</t>
        </is>
      </c>
      <c r="C21" s="22" t="inlineStr">
        <is>
          <t>2025</t>
        </is>
      </c>
      <c r="D21" s="22" t="inlineStr">
        <is>
          <t>English</t>
        </is>
      </c>
      <c r="E21" s="22" t="inlineStr">
        <is>
          <t>no</t>
        </is>
      </c>
      <c r="F21" s="2" t="inlineStr">
        <is>
          <t>An Unusual Cause of Pediatric Anemia and Jaundice.</t>
        </is>
      </c>
      <c r="G21" s="22" t="inlineStr">
        <is>
          <t>10.1016/j.acepjo.2025.100105</t>
        </is>
      </c>
      <c r="H21" s="22" t="inlineStr">
        <is>
          <t>https://pubmed.ncbi.nlm.nih.gov/40231162/</t>
        </is>
      </c>
    </row>
    <row r="22">
      <c r="A22" s="22" t="n">
        <v>21</v>
      </c>
      <c r="B22" s="22" t="inlineStr">
        <is>
          <t>WS0072</t>
        </is>
      </c>
      <c r="C22" s="22" t="inlineStr">
        <is>
          <t>2025</t>
        </is>
      </c>
      <c r="D22" s="22" t="inlineStr">
        <is>
          <t>English</t>
        </is>
      </c>
      <c r="E22" s="22" t="inlineStr">
        <is>
          <t>yes</t>
        </is>
      </c>
      <c r="F22" s="2" t="inlineStr">
        <is>
          <t>Torsion of a wandering spleen, a rare cause of acute abdomen: A case report.</t>
        </is>
      </c>
      <c r="G22" s="22" t="inlineStr">
        <is>
          <t>10.1016/j.ijscr.2025.111144</t>
        </is>
      </c>
      <c r="H22" s="22" t="inlineStr">
        <is>
          <t>https://pubmed.ncbi.nlm.nih.gov/40120328/</t>
        </is>
      </c>
    </row>
    <row r="23">
      <c r="A23" s="22" t="n">
        <v>22</v>
      </c>
      <c r="B23" s="22" t="inlineStr">
        <is>
          <t>WS0075</t>
        </is>
      </c>
      <c r="C23" s="22" t="inlineStr">
        <is>
          <t>2025</t>
        </is>
      </c>
      <c r="D23" s="22" t="inlineStr">
        <is>
          <t>English</t>
        </is>
      </c>
      <c r="E23" s="22" t="inlineStr">
        <is>
          <t>no</t>
        </is>
      </c>
      <c r="F23" s="2" t="inlineStr">
        <is>
          <t>Torsion with necrosis of a wandering spleen in a child.</t>
        </is>
      </c>
      <c r="G23" s="22" t="inlineStr">
        <is>
          <t>10.11152/mu-4484</t>
        </is>
      </c>
      <c r="H23" s="22" t="inlineStr">
        <is>
          <t>https://pubmed.ncbi.nlm.nih.gov/40030633/</t>
        </is>
      </c>
    </row>
    <row r="24">
      <c r="A24" s="22" t="n">
        <v>23</v>
      </c>
      <c r="B24" s="22" t="inlineStr">
        <is>
          <t>WS0077</t>
        </is>
      </c>
      <c r="C24" s="22" t="inlineStr">
        <is>
          <t>2025</t>
        </is>
      </c>
      <c r="D24" s="22" t="inlineStr">
        <is>
          <t>English</t>
        </is>
      </c>
      <c r="E24" s="22" t="inlineStr">
        <is>
          <t>yes</t>
        </is>
      </c>
      <c r="F24" s="2" t="inlineStr">
        <is>
          <t>Acute Gastric Volvulus Associated with Wandering Spleen and Diaphragmatic Eventration in a 5-month-old Girl.</t>
        </is>
      </c>
      <c r="G24" s="22" t="inlineStr">
        <is>
          <t>10.4103/jiaps.jiaps_122_24</t>
        </is>
      </c>
      <c r="H24" s="22" t="inlineStr">
        <is>
          <t>https://pubmed.ncbi.nlm.nih.gov/39968248/</t>
        </is>
      </c>
    </row>
    <row r="25">
      <c r="A25" s="22" t="n">
        <v>24</v>
      </c>
      <c r="B25" s="22" t="inlineStr">
        <is>
          <t>WS0078</t>
        </is>
      </c>
      <c r="C25" s="22" t="inlineStr">
        <is>
          <t>2025</t>
        </is>
      </c>
      <c r="D25" s="22" t="inlineStr">
        <is>
          <t>English</t>
        </is>
      </c>
      <c r="E25" s="22" t="inlineStr">
        <is>
          <t>no</t>
        </is>
      </c>
      <c r="F25" s="2" t="inlineStr">
        <is>
          <t>A case of mesenteroaxial gastric volvulus with wandering spleen in a 2-year-old boy.</t>
        </is>
      </c>
      <c r="G25" s="22" t="inlineStr">
        <is>
          <t>10.1016/j.pedneo.2024.12.002</t>
        </is>
      </c>
      <c r="H25" s="22" t="inlineStr">
        <is>
          <t>https://pubmed.ncbi.nlm.nih.gov/39909795/</t>
        </is>
      </c>
    </row>
    <row r="26">
      <c r="A26" s="22" t="n">
        <v>25</v>
      </c>
      <c r="B26" s="22" t="inlineStr">
        <is>
          <t>WS0079</t>
        </is>
      </c>
      <c r="C26" s="22" t="inlineStr">
        <is>
          <t>2025</t>
        </is>
      </c>
      <c r="D26" s="22" t="inlineStr">
        <is>
          <t>English</t>
        </is>
      </c>
      <c r="E26" s="22" t="inlineStr">
        <is>
          <t>yes</t>
        </is>
      </c>
      <c r="F26" s="2" t="inlineStr">
        <is>
          <t>Wandering spleen with torsion in pelvic: A case report and literature review.</t>
        </is>
      </c>
      <c r="G26" s="22" t="inlineStr">
        <is>
          <t>10.1016/j.radcr.2024.12.047</t>
        </is>
      </c>
      <c r="H26" s="22" t="inlineStr">
        <is>
          <t>https://pubmed.ncbi.nlm.nih.gov/39897739/</t>
        </is>
      </c>
    </row>
    <row r="27">
      <c r="A27" s="22" t="n">
        <v>26</v>
      </c>
      <c r="B27" s="22" t="inlineStr">
        <is>
          <t>WS0092</t>
        </is>
      </c>
      <c r="C27" s="22" t="inlineStr">
        <is>
          <t>2024</t>
        </is>
      </c>
      <c r="D27" s="22" t="inlineStr">
        <is>
          <t>English</t>
        </is>
      </c>
      <c r="E27" s="22" t="inlineStr">
        <is>
          <t>yes</t>
        </is>
      </c>
      <c r="F27" s="2" t="inlineStr">
        <is>
          <t>Wandering spleen combined with pedicle torsion and splenic infarction: a rare case report and literature review.</t>
        </is>
      </c>
      <c r="G27" s="22" t="inlineStr">
        <is>
          <t>10.3389/fped.2024.1429490</t>
        </is>
      </c>
      <c r="H27" s="22" t="inlineStr">
        <is>
          <t>https://pubmed.ncbi.nlm.nih.gov/39350792/</t>
        </is>
      </c>
    </row>
    <row r="28">
      <c r="A28" s="22" t="n">
        <v>27</v>
      </c>
      <c r="B28" s="22" t="inlineStr">
        <is>
          <t>WS0093</t>
        </is>
      </c>
      <c r="C28" s="22" t="inlineStr">
        <is>
          <t>2024</t>
        </is>
      </c>
      <c r="D28" s="22" t="inlineStr">
        <is>
          <t>English</t>
        </is>
      </c>
      <c r="E28" s="22" t="inlineStr">
        <is>
          <t>no</t>
        </is>
      </c>
      <c r="F28" s="2" t="inlineStr">
        <is>
          <t>Two cases of pediatric splenic torsion as a possible late complication of laparoscopic fundoplication.</t>
        </is>
      </c>
      <c r="G28" s="22" t="inlineStr">
        <is>
          <t>10.1111/ped.15810</t>
        </is>
      </c>
      <c r="H28" s="22" t="inlineStr">
        <is>
          <t>https://pubmed.ncbi.nlm.nih.gov/39161211/</t>
        </is>
      </c>
    </row>
    <row r="29">
      <c r="A29" s="22" t="n">
        <v>28</v>
      </c>
      <c r="B29" s="22" t="inlineStr">
        <is>
          <t>WS0108</t>
        </is>
      </c>
      <c r="C29" s="22" t="inlineStr">
        <is>
          <t>2024</t>
        </is>
      </c>
      <c r="D29" s="22" t="inlineStr">
        <is>
          <t>English</t>
        </is>
      </c>
      <c r="E29" s="22" t="inlineStr">
        <is>
          <t>yes</t>
        </is>
      </c>
      <c r="F29" s="2" t="inlineStr">
        <is>
          <t>Volvulus of a wandering spleen in a pediatric patient.</t>
        </is>
      </c>
      <c r="G29" s="22" t="inlineStr">
        <is>
          <t>10.1016/j.radcr.2024.03.004</t>
        </is>
      </c>
      <c r="H29" s="22" t="inlineStr">
        <is>
          <t>https://pubmed.ncbi.nlm.nih.gov/38689812/</t>
        </is>
      </c>
    </row>
    <row r="30">
      <c r="A30" s="22" t="n">
        <v>29</v>
      </c>
      <c r="B30" s="22" t="inlineStr">
        <is>
          <t>WS0114</t>
        </is>
      </c>
      <c r="C30" s="22" t="inlineStr">
        <is>
          <t>2024</t>
        </is>
      </c>
      <c r="D30" s="22" t="inlineStr">
        <is>
          <t>English</t>
        </is>
      </c>
      <c r="E30" s="22" t="inlineStr">
        <is>
          <t>yes</t>
        </is>
      </c>
      <c r="F30" s="2" t="inlineStr">
        <is>
          <t>Wandering Spleen Torsion: A Diagnostic Challenge.</t>
        </is>
      </c>
      <c r="G30" s="22" t="inlineStr">
        <is>
          <t>10.7759/cureus.53552</t>
        </is>
      </c>
      <c r="H30" s="22" t="inlineStr">
        <is>
          <t>https://pubmed.ncbi.nlm.nih.gov/38445142/</t>
        </is>
      </c>
    </row>
    <row r="31">
      <c r="A31" s="22" t="n">
        <v>30</v>
      </c>
      <c r="B31" s="22" t="inlineStr">
        <is>
          <t>WS0117</t>
        </is>
      </c>
      <c r="C31" s="22" t="inlineStr">
        <is>
          <t>2024</t>
        </is>
      </c>
      <c r="D31" s="22" t="inlineStr">
        <is>
          <t>English</t>
        </is>
      </c>
      <c r="E31" s="22" t="inlineStr">
        <is>
          <t>yes</t>
        </is>
      </c>
      <c r="F31" s="2" t="inlineStr">
        <is>
          <t>Laparoscopic exploration of a wandering spleen in a complex adolescent case with sigmoid volvulus and left-side portal hypertension: a case report.</t>
        </is>
      </c>
      <c r="G31" s="22" t="inlineStr">
        <is>
          <t>10.1093/jscr/rjae059</t>
        </is>
      </c>
      <c r="H31" s="22" t="inlineStr">
        <is>
          <t>https://pubmed.ncbi.nlm.nih.gov/38370603/</t>
        </is>
      </c>
    </row>
    <row r="32">
      <c r="A32" s="22" t="n">
        <v>31</v>
      </c>
      <c r="B32" s="22" t="inlineStr">
        <is>
          <t>WS0120</t>
        </is>
      </c>
      <c r="C32" s="22" t="inlineStr">
        <is>
          <t>2025</t>
        </is>
      </c>
      <c r="D32" s="22" t="inlineStr">
        <is>
          <t>English</t>
        </is>
      </c>
      <c r="E32" s="22" t="inlineStr">
        <is>
          <t>yes</t>
        </is>
      </c>
      <c r="F32" s="2" t="inlineStr">
        <is>
          <t>Totally laparoscopic partial splenectomy and gastropexy for a splenic cyst in a wandering spleen.</t>
        </is>
      </c>
      <c r="G32" s="22" t="inlineStr">
        <is>
          <t>10.4103/jmas.jmas_212_23</t>
        </is>
      </c>
      <c r="H32" s="22" t="inlineStr">
        <is>
          <t>https://pubmed.ncbi.nlm.nih.gov/38240265/</t>
        </is>
      </c>
    </row>
    <row r="33">
      <c r="A33" s="22" t="n">
        <v>32</v>
      </c>
      <c r="B33" s="22" t="inlineStr">
        <is>
          <t>WS0124</t>
        </is>
      </c>
      <c r="C33" s="22" t="inlineStr">
        <is>
          <t>2024</t>
        </is>
      </c>
      <c r="D33" s="22" t="inlineStr">
        <is>
          <t>English</t>
        </is>
      </c>
      <c r="E33" s="22" t="inlineStr">
        <is>
          <t>no</t>
        </is>
      </c>
      <c r="F33" s="2" t="inlineStr">
        <is>
          <t>Splenic torsion as a cause of acute abdomen.</t>
        </is>
      </c>
      <c r="G33" s="22" t="inlineStr">
        <is>
          <t>10.1016/j.anpede.2023.11.004</t>
        </is>
      </c>
      <c r="H33" s="22" t="inlineStr">
        <is>
          <t>https://pubmed.ncbi.nlm.nih.gov/37985350/</t>
        </is>
      </c>
    </row>
    <row r="34">
      <c r="A34" s="22" t="n">
        <v>33</v>
      </c>
      <c r="B34" s="22" t="inlineStr">
        <is>
          <t>WS0132</t>
        </is>
      </c>
      <c r="C34" s="22" t="inlineStr">
        <is>
          <t>2023</t>
        </is>
      </c>
      <c r="D34" s="22" t="inlineStr">
        <is>
          <t>English</t>
        </is>
      </c>
      <c r="E34" s="22" t="inlineStr">
        <is>
          <t>yes</t>
        </is>
      </c>
      <c r="F34" s="2" t="inlineStr">
        <is>
          <t>IMAGING MANIFESTATIONS OF WANDERING SPLEEN WITH TORSION.</t>
        </is>
      </c>
      <c r="G34" s="22" t="inlineStr">
        <is>
          <t>10.1016/j.jemermed.2023.06.003</t>
        </is>
      </c>
      <c r="H34" s="22" t="inlineStr">
        <is>
          <t>https://pubmed.ncbi.nlm.nih.gov/37716902/</t>
        </is>
      </c>
    </row>
    <row r="35">
      <c r="A35" s="22" t="n">
        <v>34</v>
      </c>
      <c r="B35" s="22" t="inlineStr">
        <is>
          <t>WS0141</t>
        </is>
      </c>
      <c r="C35" s="22" t="inlineStr">
        <is>
          <t>2023</t>
        </is>
      </c>
      <c r="D35" s="22" t="inlineStr">
        <is>
          <t>English</t>
        </is>
      </c>
      <c r="E35" s="22" t="inlineStr">
        <is>
          <t>yes</t>
        </is>
      </c>
      <c r="F35" s="2" t="inlineStr">
        <is>
          <t>Acute Gastric Volvulus With Wandering Spleen in a Two-Year-Old Child: A Rare Association.</t>
        </is>
      </c>
      <c r="G35" s="22" t="inlineStr">
        <is>
          <t>10.7759/cureus.38386</t>
        </is>
      </c>
      <c r="H35" s="22" t="inlineStr">
        <is>
          <t>https://pubmed.ncbi.nlm.nih.gov/37265917/</t>
        </is>
      </c>
    </row>
    <row r="36">
      <c r="A36" s="22" t="n">
        <v>35</v>
      </c>
      <c r="B36" s="22" t="inlineStr">
        <is>
          <t>WS0142</t>
        </is>
      </c>
      <c r="C36" s="22" t="inlineStr">
        <is>
          <t>2023</t>
        </is>
      </c>
      <c r="D36" s="22" t="inlineStr">
        <is>
          <t>English</t>
        </is>
      </c>
      <c r="E36" s="22" t="inlineStr">
        <is>
          <t>yes</t>
        </is>
      </c>
      <c r="F36" s="2" t="inlineStr">
        <is>
          <t>A wandering spleen with 720 degrees torsion and persistent ascending and descending mesocolon in a 5-year-old Syrian male: A case report.</t>
        </is>
      </c>
      <c r="G36" s="22" t="inlineStr">
        <is>
          <t>10.1016/j.ijscr.2023.108319</t>
        </is>
      </c>
      <c r="H36" s="22" t="inlineStr">
        <is>
          <t>https://pubmed.ncbi.nlm.nih.gov/37263001/</t>
        </is>
      </c>
    </row>
    <row r="37">
      <c r="A37" s="22" t="n">
        <v>36</v>
      </c>
      <c r="B37" s="22" t="inlineStr">
        <is>
          <t>WS0150</t>
        </is>
      </c>
      <c r="C37" s="22" t="inlineStr">
        <is>
          <t>2022</t>
        </is>
      </c>
      <c r="D37" s="22" t="inlineStr">
        <is>
          <t>English</t>
        </is>
      </c>
      <c r="E37" s="22" t="inlineStr">
        <is>
          <t>yes</t>
        </is>
      </c>
      <c r="F37" s="2" t="inlineStr">
        <is>
          <t>Case Report: Gut and spleen anomalies associated with DYRK1A syndrome.</t>
        </is>
      </c>
      <c r="G37" s="22" t="inlineStr">
        <is>
          <t>10.3389/fped.2022.936732</t>
        </is>
      </c>
      <c r="H37" s="22" t="inlineStr">
        <is>
          <t>https://pubmed.ncbi.nlm.nih.gov/36741085/</t>
        </is>
      </c>
    </row>
    <row r="38">
      <c r="A38" s="22" t="n">
        <v>37</v>
      </c>
      <c r="B38" s="22" t="inlineStr">
        <is>
          <t>WS0156</t>
        </is>
      </c>
      <c r="C38" s="22" t="inlineStr">
        <is>
          <t>2022</t>
        </is>
      </c>
      <c r="D38" s="22" t="inlineStr">
        <is>
          <t>English</t>
        </is>
      </c>
      <c r="E38" s="22" t="inlineStr">
        <is>
          <t>yes</t>
        </is>
      </c>
      <c r="F38" s="2" t="inlineStr">
        <is>
          <t>Wandering Spleen with Splenic Torsion: Unusual Cause of Acute Abdomen.</t>
        </is>
      </c>
      <c r="G38" s="22" t="inlineStr">
        <is>
          <t>10.2147/imcrj.s388271</t>
        </is>
      </c>
      <c r="H38" s="22" t="inlineStr">
        <is>
          <t>https://pubmed.ncbi.nlm.nih.gov/36388241/</t>
        </is>
      </c>
    </row>
    <row r="39">
      <c r="A39" s="22" t="n">
        <v>38</v>
      </c>
      <c r="B39" s="22" t="inlineStr">
        <is>
          <t>WS0159</t>
        </is>
      </c>
      <c r="C39" s="22" t="inlineStr">
        <is>
          <t>2022</t>
        </is>
      </c>
      <c r="D39" s="22" t="inlineStr">
        <is>
          <t>English</t>
        </is>
      </c>
      <c r="E39" s="22" t="inlineStr">
        <is>
          <t>yes</t>
        </is>
      </c>
      <c r="F39" s="2" t="inlineStr">
        <is>
          <t>The Cause of an Unusual Abdominal Pain in Children: Splenic Torsiyon - Three Case Report.</t>
        </is>
      </c>
      <c r="G39" s="22" t="inlineStr">
        <is>
          <t>10.14744/semb.2021.64872</t>
        </is>
      </c>
      <c r="H39" s="22" t="inlineStr">
        <is>
          <t>https://pubmed.ncbi.nlm.nih.gov/36304217/</t>
        </is>
      </c>
    </row>
    <row r="40">
      <c r="A40" s="22" t="n">
        <v>39</v>
      </c>
      <c r="B40" s="22" t="inlineStr">
        <is>
          <t>WS0160</t>
        </is>
      </c>
      <c r="C40" s="22" t="inlineStr">
        <is>
          <t>2022</t>
        </is>
      </c>
      <c r="D40" s="22" t="inlineStr">
        <is>
          <t>English</t>
        </is>
      </c>
      <c r="E40" s="22" t="inlineStr">
        <is>
          <t>yes</t>
        </is>
      </c>
      <c r="F40" s="2" t="inlineStr">
        <is>
          <t>Successful laparoscopic-assisted partial splenectomy and splenopexy with umbilical approach to wandering spleen with an enlarged cyst in a pediatric patient.</t>
        </is>
      </c>
      <c r="G40" s="22" t="inlineStr">
        <is>
          <t>10.1093/jscr/rjac483</t>
        </is>
      </c>
      <c r="H40" s="22" t="inlineStr">
        <is>
          <t>https://pubmed.ncbi.nlm.nih.gov/36285167/</t>
        </is>
      </c>
    </row>
    <row r="41">
      <c r="A41" s="22" t="n">
        <v>40</v>
      </c>
      <c r="B41" s="22" t="inlineStr">
        <is>
          <t>WS0164</t>
        </is>
      </c>
      <c r="C41" s="22" t="inlineStr">
        <is>
          <t>2022</t>
        </is>
      </c>
      <c r="D41" s="22" t="inlineStr">
        <is>
          <t>English</t>
        </is>
      </c>
      <c r="E41" s="22" t="inlineStr">
        <is>
          <t>yes</t>
        </is>
      </c>
      <c r="F41" s="2" t="inlineStr">
        <is>
          <t>Volvulus of the stomach and wandering spleen after repair of congenital diaphragmatic hernia: unexpected manifestations in a neonate.</t>
        </is>
      </c>
      <c r="G41" s="22" t="inlineStr">
        <is>
          <t>10.1186/s40792-022-01537-z</t>
        </is>
      </c>
      <c r="H41" s="22" t="inlineStr">
        <is>
          <t>https://pubmed.ncbi.nlm.nih.gov/36138238/</t>
        </is>
      </c>
    </row>
    <row r="42">
      <c r="A42" s="22" t="n">
        <v>41</v>
      </c>
      <c r="B42" s="22" t="inlineStr">
        <is>
          <t>WS0167</t>
        </is>
      </c>
      <c r="C42" s="22" t="inlineStr">
        <is>
          <t>2022</t>
        </is>
      </c>
      <c r="D42" s="22" t="inlineStr">
        <is>
          <t>English</t>
        </is>
      </c>
      <c r="E42" s="22" t="inlineStr">
        <is>
          <t>no</t>
        </is>
      </c>
      <c r="F42" s="2" t="inlineStr">
        <is>
          <t>Pediatric Splenic Torsion in an Orthotopic Spleen without Fixation Elements.</t>
        </is>
      </c>
      <c r="G42" s="22" t="inlineStr">
        <is>
          <t>10.1016/j.jpeds.2022.08.021</t>
        </is>
      </c>
      <c r="H42" s="22" t="inlineStr">
        <is>
          <t>https://pubmed.ncbi.nlm.nih.gov/36007577/</t>
        </is>
      </c>
    </row>
    <row r="43">
      <c r="A43" s="22" t="n">
        <v>42</v>
      </c>
      <c r="B43" s="22" t="inlineStr">
        <is>
          <t>WS0168</t>
        </is>
      </c>
      <c r="C43" s="22" t="inlineStr">
        <is>
          <t>2023</t>
        </is>
      </c>
      <c r="D43" s="22" t="inlineStr">
        <is>
          <t>English</t>
        </is>
      </c>
      <c r="E43" s="22" t="inlineStr">
        <is>
          <t>no</t>
        </is>
      </c>
      <c r="F43" s="2" t="inlineStr">
        <is>
          <t>A new surgical approach for a child with acute torsion of the wandering spleen: A case report.</t>
        </is>
      </c>
      <c r="G43" s="22" t="inlineStr">
        <is>
          <t>10.1016/j.asjsur.2022.08.031</t>
        </is>
      </c>
      <c r="H43" s="22" t="inlineStr">
        <is>
          <t>https://pubmed.ncbi.nlm.nih.gov/35999102/</t>
        </is>
      </c>
    </row>
    <row r="44">
      <c r="A44" s="22" t="n">
        <v>43</v>
      </c>
      <c r="B44" s="22" t="inlineStr">
        <is>
          <t>WS0172</t>
        </is>
      </c>
      <c r="C44" s="22" t="inlineStr">
        <is>
          <t>2022</t>
        </is>
      </c>
      <c r="D44" s="22" t="inlineStr">
        <is>
          <t>English</t>
        </is>
      </c>
      <c r="E44" s="22" t="inlineStr">
        <is>
          <t>yes</t>
        </is>
      </c>
      <c r="F44" s="2" t="inlineStr">
        <is>
          <t>Wandering spleen with torsion and infarction: A case report.</t>
        </is>
      </c>
      <c r="G44" s="22" t="inlineStr">
        <is>
          <t>10.1016/j.radcr.2022.06.073</t>
        </is>
      </c>
      <c r="H44" s="22" t="inlineStr">
        <is>
          <t>https://pubmed.ncbi.nlm.nih.gov/35874869/</t>
        </is>
      </c>
    </row>
    <row r="45">
      <c r="A45" s="22" t="n">
        <v>44</v>
      </c>
      <c r="B45" s="22" t="inlineStr">
        <is>
          <t>WS0173</t>
        </is>
      </c>
      <c r="C45" s="22" t="inlineStr">
        <is>
          <t>2022</t>
        </is>
      </c>
      <c r="D45" s="22" t="inlineStr">
        <is>
          <t>English</t>
        </is>
      </c>
      <c r="E45" s="22" t="inlineStr">
        <is>
          <t>yes</t>
        </is>
      </c>
      <c r="F45" s="2" t="inlineStr">
        <is>
          <t>Diagnosis and treatment of splenic torsion in children: preoperative thrombocytosis predicts splenic infarction.</t>
        </is>
      </c>
      <c r="G45" s="22" t="inlineStr">
        <is>
          <t>10.1186/s12887-022-03484-y</t>
        </is>
      </c>
      <c r="H45" s="22" t="inlineStr">
        <is>
          <t>https://pubmed.ncbi.nlm.nih.gov/35864485/</t>
        </is>
      </c>
    </row>
    <row r="46">
      <c r="A46" s="22" t="n">
        <v>45</v>
      </c>
      <c r="B46" s="22" t="inlineStr">
        <is>
          <t>WS0175</t>
        </is>
      </c>
      <c r="C46" s="22" t="inlineStr">
        <is>
          <t>2022</t>
        </is>
      </c>
      <c r="D46" s="22" t="inlineStr">
        <is>
          <t>English</t>
        </is>
      </c>
      <c r="E46" s="22" t="inlineStr">
        <is>
          <t>no</t>
        </is>
      </c>
      <c r="F46" s="2" t="inlineStr">
        <is>
          <t>Acute Abdomen Due to Torsion of a Wandering Spleen in a Child.</t>
        </is>
      </c>
      <c r="G46" s="22" t="inlineStr">
        <is>
          <t>10.1111/jpc.16124</t>
        </is>
      </c>
      <c r="H46" s="22" t="inlineStr">
        <is>
          <t>https://pubmed.ncbi.nlm.nih.gov/35856300/</t>
        </is>
      </c>
    </row>
    <row r="47">
      <c r="A47" s="22" t="n">
        <v>46</v>
      </c>
      <c r="B47" s="22" t="inlineStr">
        <is>
          <t>WS0176</t>
        </is>
      </c>
      <c r="C47" s="22" t="inlineStr">
        <is>
          <t>2022</t>
        </is>
      </c>
      <c r="D47" s="22" t="inlineStr">
        <is>
          <t>English</t>
        </is>
      </c>
      <c r="E47" s="22" t="inlineStr">
        <is>
          <t>yes</t>
        </is>
      </c>
      <c r="F47" s="2" t="inlineStr">
        <is>
          <t>Wandering spleen with torsion: a rare cause of acute abdomen in a 14-year-old girl.</t>
        </is>
      </c>
      <c r="G47" s="22" t="inlineStr">
        <is>
          <t>10.22551/2022.35.0902.10204</t>
        </is>
      </c>
      <c r="H47" s="22" t="inlineStr">
        <is>
          <t>https://pubmed.ncbi.nlm.nih.gov/35813495/</t>
        </is>
      </c>
    </row>
    <row r="48">
      <c r="A48" s="22" t="n">
        <v>47</v>
      </c>
      <c r="B48" s="22" t="inlineStr">
        <is>
          <t>WS0179</t>
        </is>
      </c>
      <c r="C48" s="22" t="inlineStr">
        <is>
          <t>2023</t>
        </is>
      </c>
      <c r="D48" s="22" t="inlineStr">
        <is>
          <t>English</t>
        </is>
      </c>
      <c r="E48" s="22" t="inlineStr">
        <is>
          <t>yes</t>
        </is>
      </c>
      <c r="F48" s="2" t="inlineStr">
        <is>
          <t>Torsion of wandering spleen after Fontan operation in a patient with situs inversus: a rare complication.</t>
        </is>
      </c>
      <c r="G48" s="22" t="inlineStr">
        <is>
          <t>10.1017/s1047951122001755</t>
        </is>
      </c>
      <c r="H48" s="22" t="inlineStr">
        <is>
          <t>https://pubmed.ncbi.nlm.nih.gov/35656572/</t>
        </is>
      </c>
    </row>
    <row r="49">
      <c r="A49" s="22" t="n">
        <v>48</v>
      </c>
      <c r="B49" s="22" t="inlineStr">
        <is>
          <t>WS0180</t>
        </is>
      </c>
      <c r="C49" s="22" t="inlineStr">
        <is>
          <t>2022</t>
        </is>
      </c>
      <c r="D49" s="22" t="inlineStr">
        <is>
          <t>English</t>
        </is>
      </c>
      <c r="E49" s="22" t="inlineStr">
        <is>
          <t>no</t>
        </is>
      </c>
      <c r="F49" s="2" t="inlineStr">
        <is>
          <t>Spontaneous reset of the wandering spleen with acute torsion.</t>
        </is>
      </c>
      <c r="G49" s="22" t="inlineStr">
        <is>
          <t>10.1016/j.asjsur.2022.05.073</t>
        </is>
      </c>
      <c r="H49" s="22" t="inlineStr">
        <is>
          <t>https://pubmed.ncbi.nlm.nih.gov/35643897/</t>
        </is>
      </c>
    </row>
    <row r="50">
      <c r="A50" s="22" t="n">
        <v>49</v>
      </c>
      <c r="B50" s="22" t="inlineStr">
        <is>
          <t>WS0182</t>
        </is>
      </c>
      <c r="C50" s="22" t="inlineStr">
        <is>
          <t>2022</t>
        </is>
      </c>
      <c r="D50" s="22" t="inlineStr">
        <is>
          <t>English</t>
        </is>
      </c>
      <c r="E50" s="22" t="inlineStr">
        <is>
          <t>yes</t>
        </is>
      </c>
      <c r="F50" s="2" t="inlineStr">
        <is>
          <t>The left gastro-omental vessels are able to maintain the entire spleen blood supply.</t>
        </is>
      </c>
      <c r="G50" s="22" t="inlineStr">
        <is>
          <t>10.1590/1677-5449.20210178</t>
        </is>
      </c>
      <c r="H50" s="22" t="inlineStr">
        <is>
          <t>https://pubmed.ncbi.nlm.nih.gov/35571522/</t>
        </is>
      </c>
    </row>
    <row r="51">
      <c r="A51" s="22" t="n">
        <v>50</v>
      </c>
      <c r="B51" s="22" t="inlineStr">
        <is>
          <t>WS0183</t>
        </is>
      </c>
      <c r="C51" s="22" t="inlineStr">
        <is>
          <t>2022</t>
        </is>
      </c>
      <c r="D51" s="22" t="inlineStr">
        <is>
          <t>English</t>
        </is>
      </c>
      <c r="E51" s="22" t="inlineStr">
        <is>
          <t>yes</t>
        </is>
      </c>
      <c r="F51" s="2" t="inlineStr">
        <is>
          <t>Wandering spleen torsion in a patient with polysplenia syndrome.</t>
        </is>
      </c>
      <c r="G51" s="22" t="inlineStr">
        <is>
          <t>10.1016/j.radcr.2022.04.009</t>
        </is>
      </c>
      <c r="H51" s="22" t="inlineStr">
        <is>
          <t>https://pubmed.ncbi.nlm.nih.gov/35570876/</t>
        </is>
      </c>
    </row>
    <row r="52">
      <c r="A52" s="22" t="n">
        <v>51</v>
      </c>
      <c r="B52" s="22" t="inlineStr">
        <is>
          <t>WS0186</t>
        </is>
      </c>
      <c r="C52" s="22" t="inlineStr">
        <is>
          <t>2022</t>
        </is>
      </c>
      <c r="D52" s="22" t="inlineStr">
        <is>
          <t>English</t>
        </is>
      </c>
      <c r="E52" s="22" t="inlineStr">
        <is>
          <t>yes</t>
        </is>
      </c>
      <c r="F52" s="2" t="inlineStr">
        <is>
          <t>Patients with gastric volvulus recurrence have high incidence of wandering spleen requiring laparoscopic gastropexy and splenopexy.</t>
        </is>
      </c>
      <c r="G52" s="22" t="inlineStr">
        <is>
          <t>10.1007/s00383-022-05125-y</t>
        </is>
      </c>
      <c r="H52" s="22" t="inlineStr">
        <is>
          <t>https://pubmed.ncbi.nlm.nih.gov/35391540/</t>
        </is>
      </c>
    </row>
    <row r="53">
      <c r="A53" s="22" t="n">
        <v>52</v>
      </c>
      <c r="B53" s="22" t="inlineStr">
        <is>
          <t>WS0188</t>
        </is>
      </c>
      <c r="C53" s="22" t="inlineStr">
        <is>
          <t>2022</t>
        </is>
      </c>
      <c r="D53" s="22" t="inlineStr">
        <is>
          <t>English</t>
        </is>
      </c>
      <c r="E53" s="22" t="inlineStr">
        <is>
          <t>yes</t>
        </is>
      </c>
      <c r="F53" s="2" t="inlineStr">
        <is>
          <t>Torsed wandering spleen as a cause of recurrent abdominal pain in a child.</t>
        </is>
      </c>
      <c r="G53" s="22" t="inlineStr">
        <is>
          <t>10.1016/j.radcr.2022.03.017</t>
        </is>
      </c>
      <c r="H53" s="22" t="inlineStr">
        <is>
          <t>https://pubmed.ncbi.nlm.nih.gov/35369544/</t>
        </is>
      </c>
    </row>
    <row r="54">
      <c r="A54" s="22" t="n">
        <v>53</v>
      </c>
      <c r="B54" s="22" t="inlineStr">
        <is>
          <t>WS0191</t>
        </is>
      </c>
      <c r="C54" s="22" t="inlineStr">
        <is>
          <t>2021</t>
        </is>
      </c>
      <c r="D54" s="22" t="inlineStr">
        <is>
          <t>English</t>
        </is>
      </c>
      <c r="E54" s="22" t="inlineStr">
        <is>
          <t>yes</t>
        </is>
      </c>
      <c r="F54" s="2" t="inlineStr">
        <is>
          <t>Case Report: Conservative Non-operative Management of a Neonate With Torted Wandering Spleen.</t>
        </is>
      </c>
      <c r="G54" s="22" t="inlineStr">
        <is>
          <t>10.3389/fped.2021.791932</t>
        </is>
      </c>
      <c r="H54" s="22" t="inlineStr">
        <is>
          <t>https://pubmed.ncbi.nlm.nih.gov/35155313/</t>
        </is>
      </c>
    </row>
    <row r="55">
      <c r="A55" s="22" t="n">
        <v>54</v>
      </c>
      <c r="B55" s="22" t="inlineStr">
        <is>
          <t>WS0193</t>
        </is>
      </c>
      <c r="C55" s="22" t="inlineStr">
        <is>
          <t>2022</t>
        </is>
      </c>
      <c r="D55" s="22" t="inlineStr">
        <is>
          <t>English</t>
        </is>
      </c>
      <c r="E55" s="22" t="inlineStr">
        <is>
          <t>yes</t>
        </is>
      </c>
      <c r="F55" s="2" t="inlineStr">
        <is>
          <t>Dwarfism associated with wandering splenomegaly.</t>
        </is>
      </c>
      <c r="G55" s="22" t="inlineStr">
        <is>
          <t>10.1093/jscr/rjab558</t>
        </is>
      </c>
      <c r="H55" s="22" t="inlineStr">
        <is>
          <t>https://pubmed.ncbi.nlm.nih.gov/35079332/</t>
        </is>
      </c>
    </row>
    <row r="56">
      <c r="A56" s="22" t="n">
        <v>55</v>
      </c>
      <c r="B56" s="22" t="inlineStr">
        <is>
          <t>WS0199</t>
        </is>
      </c>
      <c r="C56" s="22" t="inlineStr">
        <is>
          <t>2021</t>
        </is>
      </c>
      <c r="D56" s="22" t="inlineStr">
        <is>
          <t>English</t>
        </is>
      </c>
      <c r="E56" s="22" t="inlineStr">
        <is>
          <t>yes</t>
        </is>
      </c>
      <c r="F56" s="2" t="inlineStr">
        <is>
          <t>Successful treatment of floating splenic volvulus: Two case reports and a literature review.</t>
        </is>
      </c>
      <c r="G56" s="22" t="inlineStr">
        <is>
          <t>10.12998/wjcc.v9.i29.8812</t>
        </is>
      </c>
      <c r="H56" s="22" t="inlineStr">
        <is>
          <t>https://pubmed.ncbi.nlm.nih.gov/34734060/</t>
        </is>
      </c>
    </row>
    <row r="57">
      <c r="A57" s="22" t="n">
        <v>56</v>
      </c>
      <c r="B57" s="22" t="inlineStr">
        <is>
          <t>WS0205</t>
        </is>
      </c>
      <c r="C57" s="22" t="inlineStr">
        <is>
          <t>2021</t>
        </is>
      </c>
      <c r="D57" s="22" t="inlineStr">
        <is>
          <t>English</t>
        </is>
      </c>
      <c r="E57" s="22" t="inlineStr">
        <is>
          <t>yes</t>
        </is>
      </c>
      <c r="F57" s="2" t="inlineStr">
        <is>
          <t>Wandering splenomegaly reduction after splenopexy.</t>
        </is>
      </c>
      <c r="G57" s="22" t="inlineStr">
        <is>
          <t>10.1016/j.ijscr.2021.106273</t>
        </is>
      </c>
      <c r="H57" s="22" t="inlineStr">
        <is>
          <t>https://pubmed.ncbi.nlm.nih.gov/34388905/</t>
        </is>
      </c>
    </row>
    <row r="58">
      <c r="A58" s="22" t="n">
        <v>57</v>
      </c>
      <c r="B58" s="22" t="inlineStr">
        <is>
          <t>WS0212</t>
        </is>
      </c>
      <c r="C58" s="22" t="inlineStr">
        <is>
          <t>2021</t>
        </is>
      </c>
      <c r="D58" s="22" t="inlineStr">
        <is>
          <t>English</t>
        </is>
      </c>
      <c r="E58" s="22" t="inlineStr">
        <is>
          <t>yes</t>
        </is>
      </c>
      <c r="F58" s="2" t="inlineStr">
        <is>
          <t>Laparoscopic management of gastric volvulus, diaphragmatic eventration and wandering spleen in a child.</t>
        </is>
      </c>
      <c r="G58" s="22" t="inlineStr">
        <is>
          <t>10.1136/bcr-2021-242441</t>
        </is>
      </c>
      <c r="H58" s="22" t="inlineStr">
        <is>
          <t>https://pubmed.ncbi.nlm.nih.gov/34162614/</t>
        </is>
      </c>
    </row>
    <row r="59">
      <c r="A59" s="22" t="n">
        <v>58</v>
      </c>
      <c r="B59" s="22" t="inlineStr">
        <is>
          <t>WS0216</t>
        </is>
      </c>
      <c r="C59" s="22" t="inlineStr">
        <is>
          <t>2021</t>
        </is>
      </c>
      <c r="D59" s="22" t="inlineStr">
        <is>
          <t>English</t>
        </is>
      </c>
      <c r="E59" s="22" t="inlineStr">
        <is>
          <t>yes</t>
        </is>
      </c>
      <c r="F59" s="2" t="inlineStr">
        <is>
          <t>Challenge of diagnosing splenic torsion in a paediatric patient with gastroschisis.</t>
        </is>
      </c>
      <c r="G59" s="22" t="inlineStr">
        <is>
          <t>10.1136/bcr-2020-239520</t>
        </is>
      </c>
      <c r="H59" s="22" t="inlineStr">
        <is>
          <t>https://pubmed.ncbi.nlm.nih.gov/33883109/</t>
        </is>
      </c>
    </row>
    <row r="60">
      <c r="A60" s="22" t="n">
        <v>59</v>
      </c>
      <c r="B60" s="22" t="inlineStr">
        <is>
          <t>WS0220</t>
        </is>
      </c>
      <c r="C60" s="22" t="inlineStr">
        <is>
          <t>2021</t>
        </is>
      </c>
      <c r="D60" s="22" t="inlineStr">
        <is>
          <t>English</t>
        </is>
      </c>
      <c r="E60" s="22" t="inlineStr">
        <is>
          <t>yes</t>
        </is>
      </c>
      <c r="F60" s="2" t="inlineStr">
        <is>
          <t>Abdominopelvic ectopic spleen with a comprehensive imaging examination: a case report.</t>
        </is>
      </c>
      <c r="G60" s="22" t="inlineStr">
        <is>
          <t>10.1177/03000605211000511</t>
        </is>
      </c>
      <c r="H60" s="22" t="inlineStr">
        <is>
          <t>https://pubmed.ncbi.nlm.nih.gov/33730926/</t>
        </is>
      </c>
    </row>
    <row r="61">
      <c r="A61" s="22" t="n">
        <v>60</v>
      </c>
      <c r="B61" s="22" t="inlineStr">
        <is>
          <t>WS0228</t>
        </is>
      </c>
      <c r="C61" s="22" t="inlineStr">
        <is>
          <t>2021</t>
        </is>
      </c>
      <c r="D61" s="22" t="inlineStr">
        <is>
          <t>English</t>
        </is>
      </c>
      <c r="E61" s="22" t="inlineStr">
        <is>
          <t>yes</t>
        </is>
      </c>
      <c r="F61" s="2" t="inlineStr">
        <is>
          <t>Surgical Approach of Wandering Spleen in Infants and Children: A Systematic Review.</t>
        </is>
      </c>
      <c r="G61" s="22" t="inlineStr">
        <is>
          <t>10.1089/lap.2020.0759</t>
        </is>
      </c>
      <c r="H61" s="22" t="inlineStr">
        <is>
          <t>https://pubmed.ncbi.nlm.nih.gov/33428514/</t>
        </is>
      </c>
    </row>
    <row r="62">
      <c r="A62" s="22" t="n">
        <v>61</v>
      </c>
      <c r="B62" s="22" t="inlineStr">
        <is>
          <t>WS0229</t>
        </is>
      </c>
      <c r="C62" s="22" t="inlineStr">
        <is>
          <t>2021</t>
        </is>
      </c>
      <c r="D62" s="22" t="inlineStr">
        <is>
          <t>English</t>
        </is>
      </c>
      <c r="E62" s="22" t="inlineStr">
        <is>
          <t>yes</t>
        </is>
      </c>
      <c r="F62" s="2" t="inlineStr">
        <is>
          <t>The likely association between wandering spleen and absent left kidney.</t>
        </is>
      </c>
      <c r="G62" s="22" t="inlineStr">
        <is>
          <t>10.1007/s10140-020-01895-x</t>
        </is>
      </c>
      <c r="H62" s="22" t="inlineStr">
        <is>
          <t>https://pubmed.ncbi.nlm.nih.gov/33417114/</t>
        </is>
      </c>
    </row>
    <row r="63">
      <c r="A63" s="22" t="n">
        <v>62</v>
      </c>
      <c r="B63" s="22" t="inlineStr">
        <is>
          <t>WS0232</t>
        </is>
      </c>
      <c r="C63" s="22" t="inlineStr">
        <is>
          <t>2020</t>
        </is>
      </c>
      <c r="D63" s="22" t="inlineStr">
        <is>
          <t>English</t>
        </is>
      </c>
      <c r="E63" s="22" t="inlineStr">
        <is>
          <t>yes</t>
        </is>
      </c>
      <c r="F63" s="2" t="inlineStr">
        <is>
          <t>Torsion of a Wandering Spleen Managed Conservatively: Rare and Interesting.</t>
        </is>
      </c>
      <c r="G63" s="22" t="inlineStr">
        <is>
          <t>10.4103/jiaps.jiaps_216_19</t>
        </is>
      </c>
      <c r="H63" s="22" t="inlineStr">
        <is>
          <t>https://pubmed.ncbi.nlm.nih.gov/33343117/</t>
        </is>
      </c>
    </row>
    <row r="64">
      <c r="A64" s="22" t="n">
        <v>63</v>
      </c>
      <c r="B64" s="22" t="inlineStr">
        <is>
          <t>WS0237</t>
        </is>
      </c>
      <c r="C64" s="22" t="inlineStr">
        <is>
          <t>2021</t>
        </is>
      </c>
      <c r="D64" s="22" t="inlineStr">
        <is>
          <t>English</t>
        </is>
      </c>
      <c r="E64" s="22" t="inlineStr">
        <is>
          <t>yes</t>
        </is>
      </c>
      <c r="F64" s="2" t="inlineStr">
        <is>
          <t>Laparoscopic retroperitoneal splenopexy for wandering spleen: A novel technique using a three-incision retroperitoneal pouch.</t>
        </is>
      </c>
      <c r="G64" s="22" t="inlineStr">
        <is>
          <t>10.1111/ases.12894</t>
        </is>
      </c>
      <c r="H64" s="22" t="inlineStr">
        <is>
          <t>https://pubmed.ncbi.nlm.nih.gov/33210467/</t>
        </is>
      </c>
    </row>
    <row r="65">
      <c r="A65" s="22" t="n">
        <v>64</v>
      </c>
      <c r="B65" s="22" t="inlineStr">
        <is>
          <t>WS0239</t>
        </is>
      </c>
      <c r="C65" s="22" t="inlineStr">
        <is>
          <t>2020</t>
        </is>
      </c>
      <c r="D65" s="22" t="inlineStr">
        <is>
          <t>English</t>
        </is>
      </c>
      <c r="E65" s="22" t="inlineStr">
        <is>
          <t>yes</t>
        </is>
      </c>
      <c r="F65" s="2" t="inlineStr">
        <is>
          <t>Splenoptosis in young female, case report.</t>
        </is>
      </c>
      <c r="G65" s="22" t="inlineStr">
        <is>
          <t>10.1016/j.ijscr.2020.11.001</t>
        </is>
      </c>
      <c r="H65" s="22" t="inlineStr">
        <is>
          <t>https://pubmed.ncbi.nlm.nih.gov/33171434/</t>
        </is>
      </c>
    </row>
    <row r="66">
      <c r="A66" s="22" t="n">
        <v>65</v>
      </c>
      <c r="B66" s="22" t="inlineStr">
        <is>
          <t>WS0240</t>
        </is>
      </c>
      <c r="C66" s="22" t="inlineStr">
        <is>
          <t>2020</t>
        </is>
      </c>
      <c r="D66" s="22" t="inlineStr">
        <is>
          <t>English</t>
        </is>
      </c>
      <c r="E66" s="22" t="inlineStr">
        <is>
          <t>yes</t>
        </is>
      </c>
      <c r="F66" s="2" t="inlineStr">
        <is>
          <t>Treatment of a congenital diaphragmatic hernia with associated wandering spleen: Case report of a 17-year-old girl.</t>
        </is>
      </c>
      <c r="G66" s="22" t="inlineStr">
        <is>
          <t>10.1016/j.ijscr.2020.10.049</t>
        </is>
      </c>
      <c r="H66" s="22" t="inlineStr">
        <is>
          <t>https://pubmed.ncbi.nlm.nih.gov/33137668/</t>
        </is>
      </c>
    </row>
    <row r="67">
      <c r="A67" s="22" t="n">
        <v>66</v>
      </c>
      <c r="B67" s="22" t="inlineStr">
        <is>
          <t>WS0244</t>
        </is>
      </c>
      <c r="C67" s="22" t="inlineStr">
        <is>
          <t>2020</t>
        </is>
      </c>
      <c r="D67" s="22" t="inlineStr">
        <is>
          <t>English</t>
        </is>
      </c>
      <c r="E67" s="22" t="inlineStr">
        <is>
          <t>yes</t>
        </is>
      </c>
      <c r="F67" s="2" t="inlineStr">
        <is>
          <t>Wandering spleen with splenic torsion in a toddler: A case report and literature review.</t>
        </is>
      </c>
      <c r="G67" s="22" t="inlineStr">
        <is>
          <t>10.1097/md.0000000000022063</t>
        </is>
      </c>
      <c r="H67" s="22" t="inlineStr">
        <is>
          <t>https://pubmed.ncbi.nlm.nih.gov/32925740/</t>
        </is>
      </c>
    </row>
    <row r="68">
      <c r="A68" s="22" t="n">
        <v>67</v>
      </c>
      <c r="B68" s="22" t="inlineStr">
        <is>
          <t>WS0248</t>
        </is>
      </c>
      <c r="C68" s="22" t="inlineStr">
        <is>
          <t>2020</t>
        </is>
      </c>
      <c r="D68" s="22" t="inlineStr">
        <is>
          <t>English</t>
        </is>
      </c>
      <c r="E68" s="22" t="inlineStr">
        <is>
          <t>yes</t>
        </is>
      </c>
      <c r="F68" s="2" t="inlineStr">
        <is>
          <t>Rare Cause of Abdominal Pain in an Adolescent Patient: Splenic Infarction in Absence of Causative Underlying Hematologic Disorder.</t>
        </is>
      </c>
      <c r="G68" s="22" t="inlineStr">
        <is>
          <t>10.7759/cureus.9176</t>
        </is>
      </c>
      <c r="H68" s="22" t="inlineStr">
        <is>
          <t>https://pubmed.ncbi.nlm.nih.gov/32802611/</t>
        </is>
      </c>
    </row>
    <row r="69">
      <c r="A69" s="22" t="n">
        <v>68</v>
      </c>
      <c r="B69" s="22" t="inlineStr">
        <is>
          <t>WS0253</t>
        </is>
      </c>
      <c r="C69" s="22" t="inlineStr">
        <is>
          <t>2020</t>
        </is>
      </c>
      <c r="D69" s="22" t="inlineStr">
        <is>
          <t>English</t>
        </is>
      </c>
      <c r="E69" s="22" t="inlineStr">
        <is>
          <t>yes</t>
        </is>
      </c>
      <c r="F69" s="2" t="inlineStr">
        <is>
          <t>Torsion of Wandering Spleen Attached to the Omentum: A Rare Case Report from Iran.</t>
        </is>
      </c>
      <c r="G69" s="22" t="inlineStr">
        <is>
          <t>10.2147/ijgm.s248259</t>
        </is>
      </c>
      <c r="H69" s="22" t="inlineStr">
        <is>
          <t>https://pubmed.ncbi.nlm.nih.gov/32612378/</t>
        </is>
      </c>
    </row>
    <row r="70">
      <c r="A70" s="22" t="n">
        <v>69</v>
      </c>
      <c r="B70" s="22" t="inlineStr">
        <is>
          <t>WS0257</t>
        </is>
      </c>
      <c r="C70" s="22" t="inlineStr">
        <is>
          <t>2020</t>
        </is>
      </c>
      <c r="D70" s="22" t="inlineStr">
        <is>
          <t>English</t>
        </is>
      </c>
      <c r="E70" s="22" t="inlineStr">
        <is>
          <t>yes</t>
        </is>
      </c>
      <c r="F70" s="2" t="inlineStr">
        <is>
          <t>Torsion of wandering spleen: radiological findings.</t>
        </is>
      </c>
      <c r="G70" s="22" t="inlineStr">
        <is>
          <t>10.1007/s10140-020-01786-1</t>
        </is>
      </c>
      <c r="H70" s="22" t="inlineStr">
        <is>
          <t>https://pubmed.ncbi.nlm.nih.gov/32424633/</t>
        </is>
      </c>
    </row>
    <row r="71">
      <c r="A71" s="22" t="n">
        <v>70</v>
      </c>
      <c r="B71" s="22" t="inlineStr">
        <is>
          <t>WS0264</t>
        </is>
      </c>
      <c r="C71" s="22" t="inlineStr">
        <is>
          <t>2020</t>
        </is>
      </c>
      <c r="D71" s="22" t="inlineStr">
        <is>
          <t>English</t>
        </is>
      </c>
      <c r="E71" s="22" t="inlineStr">
        <is>
          <t>yes</t>
        </is>
      </c>
      <c r="F71" s="2" t="inlineStr">
        <is>
          <t>Acute abdomen due to an infarction of wandering spleen: case report.</t>
        </is>
      </c>
      <c r="G71" s="22" t="inlineStr">
        <is>
          <t>10.1093/jscr/rjz378</t>
        </is>
      </c>
      <c r="H71" s="22" t="inlineStr">
        <is>
          <t>https://pubmed.ncbi.nlm.nih.gov/32082535/</t>
        </is>
      </c>
    </row>
    <row r="72">
      <c r="A72" s="22" t="n">
        <v>71</v>
      </c>
      <c r="B72" s="22" t="inlineStr">
        <is>
          <t>WS0272</t>
        </is>
      </c>
      <c r="C72" s="22" t="inlineStr">
        <is>
          <t>2019</t>
        </is>
      </c>
      <c r="D72" s="22" t="inlineStr">
        <is>
          <t>English</t>
        </is>
      </c>
      <c r="E72" s="22" t="inlineStr">
        <is>
          <t>yes</t>
        </is>
      </c>
      <c r="F72" s="2" t="inlineStr">
        <is>
          <t>Wandering Spleen in a 1-Year-Old Girl: An Enigmatic Journey to Find the Hiding Necrotic Spleen.</t>
        </is>
      </c>
      <c r="G72" s="22" t="inlineStr"/>
      <c r="H72" s="22" t="inlineStr">
        <is>
          <t>https://pubmed.ncbi.nlm.nih.gov/31816207/</t>
        </is>
      </c>
    </row>
    <row r="73">
      <c r="A73" s="22" t="n">
        <v>72</v>
      </c>
      <c r="B73" s="22" t="inlineStr">
        <is>
          <t>WS0277</t>
        </is>
      </c>
      <c r="C73" s="22" t="inlineStr">
        <is>
          <t>2020</t>
        </is>
      </c>
      <c r="D73" s="22" t="inlineStr">
        <is>
          <t>English</t>
        </is>
      </c>
      <c r="E73" s="22" t="inlineStr">
        <is>
          <t>no</t>
        </is>
      </c>
      <c r="F73" s="2" t="inlineStr">
        <is>
          <t>Torsion of a wandering spleen.</t>
        </is>
      </c>
      <c r="G73" s="22" t="inlineStr">
        <is>
          <t>10.1016/j.ciresp.2019.09.009</t>
        </is>
      </c>
      <c r="H73" s="22" t="inlineStr">
        <is>
          <t>https://pubmed.ncbi.nlm.nih.gov/31679741/</t>
        </is>
      </c>
    </row>
    <row r="74">
      <c r="A74" s="22" t="n">
        <v>73</v>
      </c>
      <c r="B74" s="22" t="inlineStr">
        <is>
          <t>WS0286</t>
        </is>
      </c>
      <c r="C74" s="22" t="inlineStr">
        <is>
          <t>2019</t>
        </is>
      </c>
      <c r="D74" s="22" t="inlineStr">
        <is>
          <t>English</t>
        </is>
      </c>
      <c r="E74" s="22" t="inlineStr">
        <is>
          <t>yes</t>
        </is>
      </c>
      <c r="F74" s="2" t="inlineStr">
        <is>
          <t>Wandering spleen with splenic torsion in a child with DiGeorge syndrome.</t>
        </is>
      </c>
      <c r="G74" s="22" t="inlineStr">
        <is>
          <t>10.1016/j.radcr.2019.06.018</t>
        </is>
      </c>
      <c r="H74" s="22" t="inlineStr">
        <is>
          <t>https://pubmed.ncbi.nlm.nih.gov/31440319/</t>
        </is>
      </c>
    </row>
    <row r="75">
      <c r="A75" s="22" t="n">
        <v>74</v>
      </c>
      <c r="B75" s="22" t="inlineStr">
        <is>
          <t>WS0292</t>
        </is>
      </c>
      <c r="C75" s="22" t="inlineStr">
        <is>
          <t>2019</t>
        </is>
      </c>
      <c r="D75" s="22" t="inlineStr">
        <is>
          <t>English</t>
        </is>
      </c>
      <c r="E75" s="22" t="inlineStr">
        <is>
          <t>yes</t>
        </is>
      </c>
      <c r="F75" s="2" t="inlineStr">
        <is>
          <t>Concurrent occurrence of a wandering spleen, organoaxial gastric volvulus, pancreatic volvulus, and cholestasis - A rare cause of an acute abdomen.</t>
        </is>
      </c>
      <c r="G75" s="22" t="inlineStr">
        <is>
          <t>10.1016/j.radcr.2019.05.018</t>
        </is>
      </c>
      <c r="H75" s="22" t="inlineStr">
        <is>
          <t>https://pubmed.ncbi.nlm.nih.gov/31193859/</t>
        </is>
      </c>
    </row>
    <row r="76">
      <c r="A76" s="22" t="n">
        <v>75</v>
      </c>
      <c r="B76" s="22" t="inlineStr">
        <is>
          <t>WS0293</t>
        </is>
      </c>
      <c r="C76" s="22" t="inlineStr">
        <is>
          <t>2019</t>
        </is>
      </c>
      <c r="D76" s="22" t="inlineStr">
        <is>
          <t>English</t>
        </is>
      </c>
      <c r="E76" s="22" t="inlineStr">
        <is>
          <t>yes</t>
        </is>
      </c>
      <c r="F76" s="2" t="inlineStr">
        <is>
          <t>Splenic torsion with involvement of pancreas and descending colon in a 9-year-old boy.</t>
        </is>
      </c>
      <c r="G76" s="22" t="inlineStr">
        <is>
          <t>10.1259/bjrcr.20180051</t>
        </is>
      </c>
      <c r="H76" s="22" t="inlineStr">
        <is>
          <t>https://pubmed.ncbi.nlm.nih.gov/31131126/</t>
        </is>
      </c>
    </row>
    <row r="77">
      <c r="A77" s="22" t="n">
        <v>76</v>
      </c>
      <c r="B77" s="22" t="inlineStr">
        <is>
          <t>WS0320</t>
        </is>
      </c>
      <c r="C77" s="22" t="inlineStr">
        <is>
          <t>2018</t>
        </is>
      </c>
      <c r="D77" s="22" t="inlineStr">
        <is>
          <t>English</t>
        </is>
      </c>
      <c r="E77" s="22" t="inlineStr">
        <is>
          <t>no</t>
        </is>
      </c>
      <c r="F77" s="2" t="inlineStr">
        <is>
          <t>Acute torsion of a wandering spleen: a paediatric emergency.</t>
        </is>
      </c>
      <c r="G77" s="22" t="inlineStr">
        <is>
          <t>10.1136/bcr-2018-225496</t>
        </is>
      </c>
      <c r="H77" s="22" t="inlineStr">
        <is>
          <t>https://pubmed.ncbi.nlm.nih.gov/29950372/</t>
        </is>
      </c>
    </row>
    <row r="78">
      <c r="A78" s="22" t="n">
        <v>77</v>
      </c>
      <c r="B78" s="22" t="inlineStr">
        <is>
          <t>WS0321</t>
        </is>
      </c>
      <c r="C78" s="22" t="inlineStr">
        <is>
          <t>2018</t>
        </is>
      </c>
      <c r="D78" s="22" t="inlineStr">
        <is>
          <t>English</t>
        </is>
      </c>
      <c r="E78" s="22" t="inlineStr">
        <is>
          <t>yes</t>
        </is>
      </c>
      <c r="F78" s="2" t="inlineStr">
        <is>
          <t>Emergencies in the Treatment of Wandering Spleen</t>
        </is>
      </c>
      <c r="G78" s="22" t="inlineStr">
        <is>
          <t>10.1073/pnas.1719264115</t>
        </is>
      </c>
      <c r="H78" s="22" t="inlineStr">
        <is>
          <t>https://pubmed.ncbi.nlm.nih.gov/29911755/</t>
        </is>
      </c>
    </row>
    <row r="79">
      <c r="A79" s="22" t="n">
        <v>78</v>
      </c>
      <c r="B79" s="22" t="inlineStr">
        <is>
          <t>WS0330</t>
        </is>
      </c>
      <c r="C79" s="22" t="inlineStr">
        <is>
          <t>2018</t>
        </is>
      </c>
      <c r="D79" s="22" t="inlineStr">
        <is>
          <t>English</t>
        </is>
      </c>
      <c r="E79" s="22" t="inlineStr">
        <is>
          <t>yes</t>
        </is>
      </c>
      <c r="F79" s="2" t="inlineStr">
        <is>
          <t>Laparoscopic splenectomy for a simultaneous wandering spleen along with an ectopic accessory spleen. Case report and review of the literature.</t>
        </is>
      </c>
      <c r="G79" s="22" t="inlineStr">
        <is>
          <t>10.1016/j.ijscr.2018.01.017</t>
        </is>
      </c>
      <c r="H79" s="22" t="inlineStr">
        <is>
          <t>https://pubmed.ncbi.nlm.nih.gov/29482086/</t>
        </is>
      </c>
    </row>
    <row r="80">
      <c r="A80" s="22" t="n">
        <v>79</v>
      </c>
      <c r="B80" s="22" t="inlineStr">
        <is>
          <t>WS0336</t>
        </is>
      </c>
      <c r="C80" s="22" t="inlineStr">
        <is>
          <t>2018</t>
        </is>
      </c>
      <c r="D80" s="22" t="inlineStr">
        <is>
          <t>English</t>
        </is>
      </c>
      <c r="E80" s="22" t="inlineStr">
        <is>
          <t>yes</t>
        </is>
      </c>
      <c r="F80" s="2" t="inlineStr">
        <is>
          <t>Wandering spleen: a unique cause of acute abdomen.</t>
        </is>
      </c>
      <c r="G80" s="22" t="inlineStr">
        <is>
          <t>10.5603/fm.a2017.0097</t>
        </is>
      </c>
      <c r="H80" s="22" t="inlineStr">
        <is>
          <t>https://pubmed.ncbi.nlm.nih.gov/29064546/</t>
        </is>
      </c>
    </row>
    <row r="81">
      <c r="A81" s="22" t="n">
        <v>80</v>
      </c>
      <c r="B81" s="22" t="inlineStr">
        <is>
          <t>WS0342</t>
        </is>
      </c>
      <c r="C81" s="22" t="inlineStr">
        <is>
          <t>2017</t>
        </is>
      </c>
      <c r="D81" s="22" t="inlineStr">
        <is>
          <t>English</t>
        </is>
      </c>
      <c r="E81" s="22" t="inlineStr">
        <is>
          <t>yes</t>
        </is>
      </c>
      <c r="F81" s="2" t="inlineStr">
        <is>
          <t>Laparoscopic splenopexy for wandering spleen, a video demonstration of technique by encircling the spleen with polyglactin 910 woven mesh.</t>
        </is>
      </c>
      <c r="G81" s="22" t="inlineStr">
        <is>
          <t>10.1007/s00464-017-5630-x</t>
        </is>
      </c>
      <c r="H81" s="22" t="inlineStr">
        <is>
          <t>https://pubmed.ncbi.nlm.nih.gov/28733740/</t>
        </is>
      </c>
    </row>
    <row r="82">
      <c r="A82" s="22" t="n">
        <v>81</v>
      </c>
      <c r="B82" s="22" t="inlineStr">
        <is>
          <t>WS0344</t>
        </is>
      </c>
      <c r="C82" s="22" t="inlineStr">
        <is>
          <t>2017</t>
        </is>
      </c>
      <c r="D82" s="22" t="inlineStr">
        <is>
          <t>English</t>
        </is>
      </c>
      <c r="E82" s="22" t="inlineStr">
        <is>
          <t>yes</t>
        </is>
      </c>
      <c r="F82" s="2" t="inlineStr">
        <is>
          <t>Torsion of a wandering spleen in an adolescent with Gaucher disease.</t>
        </is>
      </c>
      <c r="G82" s="22" t="inlineStr">
        <is>
          <t>10.5152/tjg.2017.17035</t>
        </is>
      </c>
      <c r="H82" s="22" t="inlineStr">
        <is>
          <t>https://pubmed.ncbi.nlm.nih.gov/28699604/</t>
        </is>
      </c>
    </row>
    <row r="83">
      <c r="A83" s="22" t="n">
        <v>82</v>
      </c>
      <c r="B83" s="22" t="inlineStr">
        <is>
          <t>WS0354</t>
        </is>
      </c>
      <c r="C83" s="22" t="inlineStr">
        <is>
          <t>2018</t>
        </is>
      </c>
      <c r="D83" s="22" t="inlineStr">
        <is>
          <t>English</t>
        </is>
      </c>
      <c r="E83" s="22" t="inlineStr">
        <is>
          <t>no</t>
        </is>
      </c>
      <c r="F83" s="2" t="inlineStr">
        <is>
          <t>You wander... you lose! Importance of surgical intervention in wandering spleen.</t>
        </is>
      </c>
      <c r="G83" s="22" t="inlineStr">
        <is>
          <t>10.1111/ans.13859</t>
        </is>
      </c>
      <c r="H83" s="22" t="inlineStr">
        <is>
          <t>https://pubmed.ncbi.nlm.nih.gov/28264229/</t>
        </is>
      </c>
    </row>
    <row r="84">
      <c r="A84" s="22" t="n">
        <v>83</v>
      </c>
      <c r="B84" s="22" t="inlineStr">
        <is>
          <t>WS0357</t>
        </is>
      </c>
      <c r="C84" s="22" t="inlineStr">
        <is>
          <t>2016</t>
        </is>
      </c>
      <c r="D84" s="22" t="inlineStr">
        <is>
          <t>English</t>
        </is>
      </c>
      <c r="E84" s="22" t="inlineStr">
        <is>
          <t>yes</t>
        </is>
      </c>
      <c r="F84" s="2" t="inlineStr">
        <is>
          <t>Wandering spleen with a ten-time twisted vascular pedicle.</t>
        </is>
      </c>
      <c r="G84" s="22" t="inlineStr">
        <is>
          <t>10.4081/pmc.2016.119</t>
        </is>
      </c>
      <c r="H84" s="22" t="inlineStr">
        <is>
          <t>https://pubmed.ncbi.nlm.nih.gov/28009140/</t>
        </is>
      </c>
    </row>
    <row r="85">
      <c r="A85" s="22" t="n">
        <v>84</v>
      </c>
      <c r="B85" s="22" t="inlineStr">
        <is>
          <t>WS0359</t>
        </is>
      </c>
      <c r="C85" s="22" t="inlineStr">
        <is>
          <t>2016</t>
        </is>
      </c>
      <c r="D85" s="22" t="inlineStr">
        <is>
          <t>English</t>
        </is>
      </c>
      <c r="E85" s="22" t="inlineStr">
        <is>
          <t>yes</t>
        </is>
      </c>
      <c r="F85" s="2" t="inlineStr">
        <is>
          <t>Wandering Spleen and Organoaxial Gastric Volvulus after Morgagni Hernia Repair: A Case Report and Review of the Literature.</t>
        </is>
      </c>
      <c r="G85" s="22" t="inlineStr">
        <is>
          <t>10.1155/2016/6450765</t>
        </is>
      </c>
      <c r="H85" s="22" t="inlineStr">
        <is>
          <t>https://pubmed.ncbi.nlm.nih.gov/27703832/</t>
        </is>
      </c>
    </row>
    <row r="86">
      <c r="A86" s="22" t="n">
        <v>85</v>
      </c>
      <c r="B86" s="22" t="inlineStr">
        <is>
          <t>WS0363</t>
        </is>
      </c>
      <c r="C86" s="22" t="inlineStr">
        <is>
          <t>2016</t>
        </is>
      </c>
      <c r="D86" s="22" t="inlineStr">
        <is>
          <t>English</t>
        </is>
      </c>
      <c r="E86" s="22" t="inlineStr">
        <is>
          <t>yes</t>
        </is>
      </c>
      <c r="F86" s="2" t="inlineStr">
        <is>
          <t>A Physician's Nightmare: Fever of Unknown Origin.</t>
        </is>
      </c>
      <c r="G86" s="22" t="inlineStr">
        <is>
          <t>10.1155/2016/5437971</t>
        </is>
      </c>
      <c r="H86" s="22" t="inlineStr">
        <is>
          <t>https://pubmed.ncbi.nlm.nih.gov/27433363/</t>
        </is>
      </c>
    </row>
    <row r="87">
      <c r="A87" s="22" t="n">
        <v>86</v>
      </c>
      <c r="B87" s="22" t="inlineStr">
        <is>
          <t>WS0368</t>
        </is>
      </c>
      <c r="C87" s="22" t="inlineStr">
        <is>
          <t>2016</t>
        </is>
      </c>
      <c r="D87" s="22" t="inlineStr">
        <is>
          <t>English</t>
        </is>
      </c>
      <c r="E87" s="22" t="inlineStr">
        <is>
          <t>yes</t>
        </is>
      </c>
      <c r="F87" s="2" t="inlineStr">
        <is>
          <t>The Great Pretender: Pediatric Wandering Spleen: Two Case Reports and Review of the Literature.</t>
        </is>
      </c>
      <c r="G87" s="22" t="inlineStr">
        <is>
          <t>10.1097/pec.0000000000000642</t>
        </is>
      </c>
      <c r="H87" s="22" t="inlineStr">
        <is>
          <t>https://pubmed.ncbi.nlm.nih.gov/27248774/</t>
        </is>
      </c>
    </row>
    <row r="88">
      <c r="A88" s="22" t="n">
        <v>87</v>
      </c>
      <c r="B88" s="22" t="inlineStr">
        <is>
          <t>WS0378</t>
        </is>
      </c>
      <c r="C88" s="22" t="inlineStr">
        <is>
          <t>2016</t>
        </is>
      </c>
      <c r="D88" s="22" t="inlineStr">
        <is>
          <t>English</t>
        </is>
      </c>
      <c r="E88" s="22" t="inlineStr">
        <is>
          <t>no</t>
        </is>
      </c>
      <c r="F88" s="2" t="inlineStr">
        <is>
          <t>Torsion of wandering spleen.</t>
        </is>
      </c>
      <c r="G88" s="22" t="inlineStr">
        <is>
          <t>10.1016/j.ijpam.2015.12.001</t>
        </is>
      </c>
      <c r="H88" s="22" t="inlineStr">
        <is>
          <t>https://pubmed.ncbi.nlm.nih.gov/30805467/</t>
        </is>
      </c>
    </row>
    <row r="89">
      <c r="A89" s="22" t="n">
        <v>88</v>
      </c>
      <c r="B89" s="22" t="inlineStr">
        <is>
          <t>WS0381</t>
        </is>
      </c>
      <c r="C89" s="22" t="inlineStr">
        <is>
          <t>2016</t>
        </is>
      </c>
      <c r="D89" s="22" t="inlineStr">
        <is>
          <t>English</t>
        </is>
      </c>
      <c r="E89" s="22" t="inlineStr">
        <is>
          <t>yes</t>
        </is>
      </c>
      <c r="F89" s="2" t="inlineStr">
        <is>
          <t>A Rare Case of Splenic Torsion with Sigmoid Volvulus in a 14-Year-Old Girl.</t>
        </is>
      </c>
      <c r="G89" s="22" t="inlineStr"/>
      <c r="H89" s="22" t="inlineStr">
        <is>
          <t>https://pubmed.ncbi.nlm.nih.gov/26853294/</t>
        </is>
      </c>
    </row>
    <row r="90">
      <c r="A90" s="22" t="n">
        <v>89</v>
      </c>
      <c r="B90" s="22" t="inlineStr">
        <is>
          <t>WS0396</t>
        </is>
      </c>
      <c r="C90" s="22" t="inlineStr">
        <is>
          <t>2015</t>
        </is>
      </c>
      <c r="D90" s="22" t="inlineStr">
        <is>
          <t>English</t>
        </is>
      </c>
      <c r="E90" s="22" t="inlineStr">
        <is>
          <t>yes</t>
        </is>
      </c>
      <c r="F90" s="2" t="inlineStr">
        <is>
          <t>Acute torsion of wandering spleen in a 17-year-old girl.</t>
        </is>
      </c>
      <c r="G90" s="22" t="inlineStr"/>
      <c r="H90" s="22" t="inlineStr">
        <is>
          <t>https://pubmed.ncbi.nlm.nih.gov/26379994/</t>
        </is>
      </c>
    </row>
    <row r="91">
      <c r="A91" s="22" t="n">
        <v>90</v>
      </c>
      <c r="B91" s="22" t="inlineStr">
        <is>
          <t>WS0399</t>
        </is>
      </c>
      <c r="C91" s="22" t="inlineStr">
        <is>
          <t>2015</t>
        </is>
      </c>
      <c r="D91" s="22" t="inlineStr">
        <is>
          <t>English</t>
        </is>
      </c>
      <c r="E91" s="22" t="inlineStr">
        <is>
          <t>yes</t>
        </is>
      </c>
      <c r="F91" s="2" t="inlineStr">
        <is>
          <t>Urgent laparoscopic mesh splenopexy for torsion of wandering spleen and distal pancreas: A case report.</t>
        </is>
      </c>
      <c r="G91" s="22" t="inlineStr">
        <is>
          <t>10.1111/ases.12188</t>
        </is>
      </c>
      <c r="H91" s="22" t="inlineStr">
        <is>
          <t>https://pubmed.ncbi.nlm.nih.gov/26303736/</t>
        </is>
      </c>
    </row>
    <row r="92">
      <c r="A92" s="22" t="n">
        <v>91</v>
      </c>
      <c r="B92" s="22" t="inlineStr">
        <is>
          <t>WS0400</t>
        </is>
      </c>
      <c r="C92" s="22" t="inlineStr">
        <is>
          <t>2017</t>
        </is>
      </c>
      <c r="D92" s="22" t="inlineStr">
        <is>
          <t>English</t>
        </is>
      </c>
      <c r="E92" s="22" t="inlineStr">
        <is>
          <t>yes</t>
        </is>
      </c>
      <c r="F92" s="2" t="inlineStr">
        <is>
          <t>Wandering spleen: a surgical enigma.</t>
        </is>
      </c>
      <c r="G92" s="22" t="inlineStr">
        <is>
          <t>10.1093/gastro/gov034</t>
        </is>
      </c>
      <c r="H92" s="22" t="inlineStr">
        <is>
          <t>https://pubmed.ncbi.nlm.nih.gov/26240117/</t>
        </is>
      </c>
    </row>
    <row r="93">
      <c r="A93" s="22" t="n">
        <v>92</v>
      </c>
      <c r="B93" s="22" t="inlineStr">
        <is>
          <t>WS0411</t>
        </is>
      </c>
      <c r="C93" s="22" t="inlineStr">
        <is>
          <t>2014</t>
        </is>
      </c>
      <c r="D93" s="22" t="inlineStr">
        <is>
          <t>English</t>
        </is>
      </c>
      <c r="E93" s="22" t="inlineStr">
        <is>
          <t>yes</t>
        </is>
      </c>
      <c r="F93" s="2" t="inlineStr">
        <is>
          <t>Splenorenal collaterals as hallmark for a twisted wandering spleen in a 14-year-old girl with abdominal pain: a case report.</t>
        </is>
      </c>
      <c r="G93" s="22" t="inlineStr">
        <is>
          <t>10.1055/s-0034-1370776</t>
        </is>
      </c>
      <c r="H93" s="22" t="inlineStr">
        <is>
          <t>https://pubmed.ncbi.nlm.nih.gov/25755964/</t>
        </is>
      </c>
    </row>
    <row r="94">
      <c r="A94" s="22" t="n">
        <v>93</v>
      </c>
      <c r="B94" s="22" t="inlineStr">
        <is>
          <t>WS0412</t>
        </is>
      </c>
      <c r="C94" s="22" t="inlineStr">
        <is>
          <t>2014</t>
        </is>
      </c>
      <c r="D94" s="22" t="inlineStr">
        <is>
          <t>English</t>
        </is>
      </c>
      <c r="E94" s="22" t="inlineStr">
        <is>
          <t>yes</t>
        </is>
      </c>
      <c r="F94" s="2" t="inlineStr">
        <is>
          <t>Single-incision laparoscopic splenectomy and splenic autotransplantation for an enlarged wandering spleen with torsion.</t>
        </is>
      </c>
      <c r="G94" s="22" t="inlineStr">
        <is>
          <t>10.1055/s-0033-1357262</t>
        </is>
      </c>
      <c r="H94" s="22" t="inlineStr">
        <is>
          <t>https://pubmed.ncbi.nlm.nih.gov/25755963/</t>
        </is>
      </c>
    </row>
    <row r="95">
      <c r="A95" s="22" t="n">
        <v>94</v>
      </c>
      <c r="B95" s="22" t="inlineStr">
        <is>
          <t>WS0416</t>
        </is>
      </c>
      <c r="C95" s="22" t="inlineStr">
        <is>
          <t>2014</t>
        </is>
      </c>
      <c r="D95" s="22" t="inlineStr">
        <is>
          <t>English</t>
        </is>
      </c>
      <c r="E95" s="22" t="inlineStr">
        <is>
          <t>yes</t>
        </is>
      </c>
      <c r="F95" s="2" t="inlineStr">
        <is>
          <t>Torsion of a wandering spleen: an unusual abdominal catastrophe.</t>
        </is>
      </c>
      <c r="G95" s="22" t="inlineStr"/>
      <c r="H95" s="22" t="inlineStr">
        <is>
          <t>https://pubmed.ncbi.nlm.nih.gov/25518790/</t>
        </is>
      </c>
    </row>
    <row r="96">
      <c r="A96" s="22" t="n">
        <v>95</v>
      </c>
      <c r="B96" s="22" t="inlineStr">
        <is>
          <t>WS0424</t>
        </is>
      </c>
      <c r="C96" s="22" t="inlineStr">
        <is>
          <t>2014</t>
        </is>
      </c>
      <c r="D96" s="22" t="inlineStr">
        <is>
          <t>English</t>
        </is>
      </c>
      <c r="E96" s="22" t="inlineStr">
        <is>
          <t>yes</t>
        </is>
      </c>
      <c r="F96" s="2" t="inlineStr">
        <is>
          <t>Torsion of wandering spleen, an unusual cause of acute abdomen; a report of two cases.</t>
        </is>
      </c>
      <c r="G96" s="22" t="inlineStr"/>
      <c r="H96" s="22" t="inlineStr">
        <is>
          <t>https://pubmed.ncbi.nlm.nih.gov/25335381/</t>
        </is>
      </c>
    </row>
    <row r="97">
      <c r="A97" s="22" t="n">
        <v>96</v>
      </c>
      <c r="B97" s="22" t="inlineStr">
        <is>
          <t>WS0426</t>
        </is>
      </c>
      <c r="C97" s="22" t="inlineStr">
        <is>
          <t>2014</t>
        </is>
      </c>
      <c r="D97" s="22" t="inlineStr">
        <is>
          <t>English</t>
        </is>
      </c>
      <c r="E97" s="22" t="inlineStr">
        <is>
          <t>yes</t>
        </is>
      </c>
      <c r="F97" s="2" t="inlineStr">
        <is>
          <t>Torsion of a wandering spleen: a case report.</t>
        </is>
      </c>
      <c r="G97" s="22" t="inlineStr"/>
      <c r="H97" s="22" t="inlineStr">
        <is>
          <t>https://pubmed.ncbi.nlm.nih.gov/25224425/</t>
        </is>
      </c>
    </row>
    <row r="98">
      <c r="A98" s="22" t="n">
        <v>97</v>
      </c>
      <c r="B98" s="22" t="inlineStr">
        <is>
          <t>WS0427</t>
        </is>
      </c>
      <c r="C98" s="22" t="inlineStr">
        <is>
          <t>2014</t>
        </is>
      </c>
      <c r="D98" s="22" t="inlineStr">
        <is>
          <t>English</t>
        </is>
      </c>
      <c r="E98" s="22" t="inlineStr">
        <is>
          <t>yes</t>
        </is>
      </c>
      <c r="F98" s="2" t="inlineStr">
        <is>
          <t>Pancreatic volvulus with wandering spleen and gastric volvulus: an unusual triad for acute abdomen in a surgical emergency.</t>
        </is>
      </c>
      <c r="G98" s="22" t="inlineStr">
        <is>
          <t>10.4103/1319-3767.133026</t>
        </is>
      </c>
      <c r="H98" s="22" t="inlineStr">
        <is>
          <t>https://pubmed.ncbi.nlm.nih.gov/24976284/</t>
        </is>
      </c>
    </row>
    <row r="99">
      <c r="A99" s="22" t="n">
        <v>98</v>
      </c>
      <c r="B99" s="22" t="inlineStr">
        <is>
          <t>WS0432</t>
        </is>
      </c>
      <c r="C99" s="22" t="inlineStr">
        <is>
          <t>2014</t>
        </is>
      </c>
      <c r="D99" s="22" t="inlineStr">
        <is>
          <t>English</t>
        </is>
      </c>
      <c r="E99" s="22" t="inlineStr">
        <is>
          <t>yes</t>
        </is>
      </c>
      <c r="F99" s="2" t="inlineStr">
        <is>
          <t>Salvage splenopexy for torsion of wandering spleen in a child.</t>
        </is>
      </c>
      <c r="G99" s="22" t="inlineStr"/>
      <c r="H99" s="22" t="inlineStr">
        <is>
          <t>https://pubmed.ncbi.nlm.nih.gov/24834385/</t>
        </is>
      </c>
    </row>
    <row r="100">
      <c r="A100" s="22" t="n">
        <v>99</v>
      </c>
      <c r="B100" s="22" t="inlineStr">
        <is>
          <t>WS0435</t>
        </is>
      </c>
      <c r="C100" s="22" t="inlineStr">
        <is>
          <t>2014</t>
        </is>
      </c>
      <c r="D100" s="22" t="inlineStr">
        <is>
          <t>English</t>
        </is>
      </c>
      <c r="E100" s="22" t="inlineStr">
        <is>
          <t>no</t>
        </is>
      </c>
      <c r="F100" s="2" t="inlineStr">
        <is>
          <t>An etiologic dilemma of wandering spleen in childhood: is it congenital or acquired?</t>
        </is>
      </c>
      <c r="G100" s="22" t="inlineStr">
        <is>
          <t>10.1007/s12098-014-1435-2</t>
        </is>
      </c>
      <c r="H100" s="22" t="inlineStr">
        <is>
          <t>https://pubmed.ncbi.nlm.nih.gov/24710711/</t>
        </is>
      </c>
    </row>
    <row r="101">
      <c r="A101" s="22" t="n">
        <v>100</v>
      </c>
      <c r="B101" s="22" t="inlineStr">
        <is>
          <t>WS0441</t>
        </is>
      </c>
      <c r="C101" s="22" t="inlineStr">
        <is>
          <t>2014</t>
        </is>
      </c>
      <c r="D101" s="22" t="inlineStr">
        <is>
          <t>English</t>
        </is>
      </c>
      <c r="E101" s="22" t="inlineStr">
        <is>
          <t>yes</t>
        </is>
      </c>
      <c r="F101" s="2" t="inlineStr">
        <is>
          <t>Non-operative management of a rare diagnosis of splenic torsion in a child with a history of giant omphalocele: a case report and literature review.</t>
        </is>
      </c>
      <c r="G101" s="22" t="inlineStr">
        <is>
          <t>10.1186/1754-9493-8-12</t>
        </is>
      </c>
      <c r="H101" s="22" t="inlineStr">
        <is>
          <t>https://pubmed.ncbi.nlm.nih.gov/24602190/</t>
        </is>
      </c>
    </row>
    <row r="102">
      <c r="A102" s="22" t="n">
        <v>101</v>
      </c>
      <c r="B102" s="22" t="inlineStr">
        <is>
          <t>WS0444</t>
        </is>
      </c>
      <c r="C102" s="22" t="inlineStr">
        <is>
          <t>2014</t>
        </is>
      </c>
      <c r="D102" s="22" t="inlineStr">
        <is>
          <t>English</t>
        </is>
      </c>
      <c r="E102" s="22" t="inlineStr">
        <is>
          <t>yes</t>
        </is>
      </c>
      <c r="F102" s="2" t="inlineStr">
        <is>
          <t>Wandering spleen: 'presentation in adolescent with high thrombotic risk'.</t>
        </is>
      </c>
      <c r="G102" s="22" t="inlineStr">
        <is>
          <t>10.1097/mbc.0000000000000081</t>
        </is>
      </c>
      <c r="H102" s="22" t="inlineStr">
        <is>
          <t>https://pubmed.ncbi.nlm.nih.gov/24509326/</t>
        </is>
      </c>
    </row>
    <row r="103">
      <c r="A103" s="22" t="n">
        <v>102</v>
      </c>
      <c r="B103" s="22" t="inlineStr">
        <is>
          <t>WS0449</t>
        </is>
      </c>
      <c r="C103" s="22" t="inlineStr">
        <is>
          <t>2014</t>
        </is>
      </c>
      <c r="D103" s="22" t="inlineStr">
        <is>
          <t>English</t>
        </is>
      </c>
      <c r="E103" s="22" t="inlineStr">
        <is>
          <t>yes</t>
        </is>
      </c>
      <c r="F103" s="2" t="inlineStr">
        <is>
          <t>Wandering spleen in children: a report of 3 cases and a brief literature review underlining the importance of diagnostic imaging.</t>
        </is>
      </c>
      <c r="G103" s="22" t="inlineStr">
        <is>
          <t>10.1007/s00247-013-2851-6</t>
        </is>
      </c>
      <c r="H103" s="22" t="inlineStr">
        <is>
          <t>https://pubmed.ncbi.nlm.nih.gov/24407229/</t>
        </is>
      </c>
    </row>
    <row r="104">
      <c r="A104" s="22" t="n">
        <v>103</v>
      </c>
      <c r="B104" s="22" t="inlineStr">
        <is>
          <t>WS0451</t>
        </is>
      </c>
      <c r="C104" s="22" t="inlineStr">
        <is>
          <t>2013</t>
        </is>
      </c>
      <c r="D104" s="22" t="inlineStr">
        <is>
          <t>English</t>
        </is>
      </c>
      <c r="E104" s="22" t="inlineStr">
        <is>
          <t>yes</t>
        </is>
      </c>
      <c r="F104" s="2" t="inlineStr">
        <is>
          <t>Left upper quadrant pain: upside down spleen.</t>
        </is>
      </c>
      <c r="G104" s="22" t="inlineStr">
        <is>
          <t>10.1097/pec.0b013e3182a32079</t>
        </is>
      </c>
      <c r="H104" s="22" t="inlineStr">
        <is>
          <t>https://pubmed.ncbi.nlm.nih.gov/24201983/</t>
        </is>
      </c>
    </row>
    <row r="105">
      <c r="A105" s="22" t="n">
        <v>104</v>
      </c>
      <c r="B105" s="22" t="inlineStr">
        <is>
          <t>WS0455</t>
        </is>
      </c>
      <c r="C105" s="22" t="inlineStr">
        <is>
          <t>2014</t>
        </is>
      </c>
      <c r="D105" s="22" t="inlineStr">
        <is>
          <t>English</t>
        </is>
      </c>
      <c r="E105" s="22" t="inlineStr">
        <is>
          <t>no</t>
        </is>
      </c>
      <c r="F105" s="2" t="inlineStr">
        <is>
          <t>Hereditary spherocytosis and wandering spleen.</t>
        </is>
      </c>
      <c r="G105" s="22" t="inlineStr">
        <is>
          <t>10.3109/08880018.2013.831150</t>
        </is>
      </c>
      <c r="H105" s="22" t="inlineStr">
        <is>
          <t>https://pubmed.ncbi.nlm.nih.gov/24088174/</t>
        </is>
      </c>
    </row>
    <row r="106">
      <c r="A106" s="22" t="n">
        <v>105</v>
      </c>
      <c r="B106" s="22" t="inlineStr">
        <is>
          <t>WS0461</t>
        </is>
      </c>
      <c r="C106" s="22" t="inlineStr">
        <is>
          <t>2013</t>
        </is>
      </c>
      <c r="D106" s="22" t="inlineStr">
        <is>
          <t>English</t>
        </is>
      </c>
      <c r="E106" s="22" t="inlineStr">
        <is>
          <t>yes</t>
        </is>
      </c>
      <c r="F106" s="2" t="inlineStr">
        <is>
          <t>Novel no-stop FLNA mutation causes multi-organ involvement in males.</t>
        </is>
      </c>
      <c r="G106" s="22" t="inlineStr">
        <is>
          <t>10.1002/ajmg.a.36109</t>
        </is>
      </c>
      <c r="H106" s="22" t="inlineStr">
        <is>
          <t>https://pubmed.ncbi.nlm.nih.gov/23873601/</t>
        </is>
      </c>
    </row>
    <row r="107">
      <c r="A107" s="22" t="n">
        <v>106</v>
      </c>
      <c r="B107" s="22" t="inlineStr">
        <is>
          <t>WS0474</t>
        </is>
      </c>
      <c r="C107" s="22" t="inlineStr">
        <is>
          <t>2013</t>
        </is>
      </c>
      <c r="D107" s="22" t="inlineStr">
        <is>
          <t>English</t>
        </is>
      </c>
      <c r="E107" s="22" t="inlineStr">
        <is>
          <t>yes</t>
        </is>
      </c>
      <c r="F107" s="2" t="inlineStr">
        <is>
          <t>Splenic torsion after congenital diaphragmatic hernia repair: case report and review of the literature.</t>
        </is>
      </c>
      <c r="G107" s="22" t="inlineStr">
        <is>
          <t>10.1016/j.jpedsurg.2013.01.003</t>
        </is>
      </c>
      <c r="H107" s="22" t="inlineStr">
        <is>
          <t>https://pubmed.ncbi.nlm.nih.gov/23480945/</t>
        </is>
      </c>
    </row>
    <row r="108">
      <c r="A108" s="22" t="n">
        <v>107</v>
      </c>
      <c r="B108" s="22" t="inlineStr">
        <is>
          <t>WS0475</t>
        </is>
      </c>
      <c r="C108" s="22" t="inlineStr">
        <is>
          <t>2013</t>
        </is>
      </c>
      <c r="D108" s="22" t="inlineStr">
        <is>
          <t>English</t>
        </is>
      </c>
      <c r="E108" s="22" t="inlineStr">
        <is>
          <t>yes</t>
        </is>
      </c>
      <c r="F108" s="2" t="inlineStr">
        <is>
          <t>Wandering spleen as a cause of mesenteric and portal varices: a new etiology?</t>
        </is>
      </c>
      <c r="G108" s="22" t="inlineStr">
        <is>
          <t>10.1016/j.jpedsurg.2012.12.042</t>
        </is>
      </c>
      <c r="H108" s="22" t="inlineStr">
        <is>
          <t>https://pubmed.ncbi.nlm.nih.gov/23480940/</t>
        </is>
      </c>
    </row>
    <row r="109">
      <c r="A109" s="22" t="n">
        <v>108</v>
      </c>
      <c r="B109" s="22" t="inlineStr">
        <is>
          <t>WS0478</t>
        </is>
      </c>
      <c r="C109" s="22" t="inlineStr">
        <is>
          <t>2013</t>
        </is>
      </c>
      <c r="D109" s="22" t="inlineStr">
        <is>
          <t>English</t>
        </is>
      </c>
      <c r="E109" s="22" t="inlineStr">
        <is>
          <t>no</t>
        </is>
      </c>
      <c r="F109" s="2" t="inlineStr">
        <is>
          <t>Acute abdominal pain in the pediatric emergency department: a case of right lower quadrant wandering spleen that acutely torsed.</t>
        </is>
      </c>
      <c r="G109" s="22" t="inlineStr">
        <is>
          <t>10.1016/j.jemermed.2012.11.063</t>
        </is>
      </c>
      <c r="H109" s="22" t="inlineStr">
        <is>
          <t>https://pubmed.ncbi.nlm.nih.gov/23433611/</t>
        </is>
      </c>
    </row>
    <row r="110">
      <c r="A110" s="22" t="n">
        <v>109</v>
      </c>
      <c r="B110" s="22" t="inlineStr">
        <is>
          <t>WS0479</t>
        </is>
      </c>
      <c r="C110" s="22" t="inlineStr">
        <is>
          <t>2013</t>
        </is>
      </c>
      <c r="D110" s="22" t="inlineStr">
        <is>
          <t>English</t>
        </is>
      </c>
      <c r="E110" s="22" t="inlineStr">
        <is>
          <t>no</t>
        </is>
      </c>
      <c r="F110" s="2" t="inlineStr">
        <is>
          <t>Acute abdomen due to splenic torsion.</t>
        </is>
      </c>
      <c r="G110" s="22" t="inlineStr">
        <is>
          <t>10.1136/archdischild-2012-303481</t>
        </is>
      </c>
      <c r="H110" s="22" t="inlineStr">
        <is>
          <t>https://pubmed.ncbi.nlm.nih.gov/23418034/</t>
        </is>
      </c>
    </row>
    <row r="111">
      <c r="A111" s="22" t="n">
        <v>110</v>
      </c>
      <c r="B111" s="22" t="inlineStr">
        <is>
          <t>WS0483</t>
        </is>
      </c>
      <c r="C111" s="22" t="inlineStr">
        <is>
          <t>2013</t>
        </is>
      </c>
      <c r="D111" s="22" t="inlineStr">
        <is>
          <t>English</t>
        </is>
      </c>
      <c r="E111" s="22" t="inlineStr">
        <is>
          <t>no</t>
        </is>
      </c>
      <c r="F111" s="2" t="inlineStr">
        <is>
          <t>Atypical presentation of a wandering spleen in niemann-pick disease.</t>
        </is>
      </c>
      <c r="G111" s="22" t="inlineStr">
        <is>
          <t>10.1016/j.jemermed.2012.05.038</t>
        </is>
      </c>
      <c r="H111" s="22" t="inlineStr">
        <is>
          <t>https://pubmed.ncbi.nlm.nih.gov/23352860/</t>
        </is>
      </c>
    </row>
    <row r="112">
      <c r="A112" s="22" t="n">
        <v>111</v>
      </c>
      <c r="B112" s="22" t="inlineStr">
        <is>
          <t>WS0486</t>
        </is>
      </c>
      <c r="C112" s="22" t="inlineStr">
        <is>
          <t>2013</t>
        </is>
      </c>
      <c r="D112" s="22" t="inlineStr">
        <is>
          <t>English</t>
        </is>
      </c>
      <c r="E112" s="22" t="inlineStr">
        <is>
          <t>yes</t>
        </is>
      </c>
      <c r="F112" s="2" t="inlineStr">
        <is>
          <t>Torsion of wandering spleen as a rare reason for acute abdomen: A presentation of two cases.</t>
        </is>
      </c>
      <c r="G112" s="22" t="inlineStr">
        <is>
          <t>10.5152/ucd.2013.47</t>
        </is>
      </c>
      <c r="H112" s="22" t="inlineStr">
        <is>
          <t>https://pubmed.ncbi.nlm.nih.gov/25931877/</t>
        </is>
      </c>
    </row>
    <row r="113">
      <c r="A113" s="22" t="n">
        <v>112</v>
      </c>
      <c r="B113" s="22" t="inlineStr">
        <is>
          <t>WS0493</t>
        </is>
      </c>
      <c r="C113" s="22" t="inlineStr">
        <is>
          <t>2012</t>
        </is>
      </c>
      <c r="D113" s="22" t="inlineStr">
        <is>
          <t>English</t>
        </is>
      </c>
      <c r="E113" s="22" t="inlineStr">
        <is>
          <t>yes</t>
        </is>
      </c>
      <c r="F113" s="2" t="inlineStr">
        <is>
          <t>Acute splenic torsion in children: which is the best treatment? A case report.</t>
        </is>
      </c>
      <c r="G113" s="22" t="inlineStr">
        <is>
          <t>10.4081/pmc.2012.81</t>
        </is>
      </c>
      <c r="H113" s="22" t="inlineStr">
        <is>
          <t>https://pubmed.ncbi.nlm.nih.gov/22966728/</t>
        </is>
      </c>
    </row>
    <row r="114">
      <c r="A114" s="22" t="n">
        <v>113</v>
      </c>
      <c r="B114" s="22" t="inlineStr">
        <is>
          <t>WS0498</t>
        </is>
      </c>
      <c r="C114" s="22" t="inlineStr">
        <is>
          <t>2013</t>
        </is>
      </c>
      <c r="D114" s="22" t="inlineStr">
        <is>
          <t>English</t>
        </is>
      </c>
      <c r="E114" s="22" t="inlineStr">
        <is>
          <t>yes</t>
        </is>
      </c>
      <c r="F114" s="2" t="inlineStr">
        <is>
          <t>Torsion in wandering spleen: CT demonstration of whirl sign.</t>
        </is>
      </c>
      <c r="G114" s="22" t="inlineStr">
        <is>
          <t>10.1007/s00261-012-9944-9</t>
        </is>
      </c>
      <c r="H114" s="22" t="inlineStr">
        <is>
          <t>https://pubmed.ncbi.nlm.nih.gov/22829098/</t>
        </is>
      </c>
    </row>
    <row r="115">
      <c r="A115" s="22" t="n">
        <v>114</v>
      </c>
      <c r="B115" s="22" t="inlineStr">
        <is>
          <t>WS0499</t>
        </is>
      </c>
      <c r="C115" s="22" t="inlineStr">
        <is>
          <t>2012</t>
        </is>
      </c>
      <c r="D115" s="22" t="inlineStr">
        <is>
          <t>English</t>
        </is>
      </c>
      <c r="E115" s="22" t="inlineStr">
        <is>
          <t>no</t>
        </is>
      </c>
      <c r="F115" s="2" t="inlineStr">
        <is>
          <t>14 year-old female with splenic torsion.</t>
        </is>
      </c>
      <c r="G115" s="22" t="inlineStr"/>
      <c r="H115" s="22" t="inlineStr">
        <is>
          <t>https://pubmed.ncbi.nlm.nih.gov/22808638/</t>
        </is>
      </c>
    </row>
    <row r="116">
      <c r="A116" s="22" t="n">
        <v>115</v>
      </c>
      <c r="B116" s="22" t="inlineStr">
        <is>
          <t>WS0514</t>
        </is>
      </c>
      <c r="C116" s="22" t="inlineStr">
        <is>
          <t>2012</t>
        </is>
      </c>
      <c r="D116" s="22" t="inlineStr">
        <is>
          <t>English</t>
        </is>
      </c>
      <c r="E116" s="22" t="inlineStr">
        <is>
          <t>yes</t>
        </is>
      </c>
      <c r="F116" s="2" t="inlineStr">
        <is>
          <t>Wandering spleen in a child with symptoms of acute abdomen: ultrasonographic diagnosis. Case report.</t>
        </is>
      </c>
      <c r="G116" s="22" t="inlineStr"/>
      <c r="H116" s="22" t="inlineStr">
        <is>
          <t>https://pubmed.ncbi.nlm.nih.gov/22396942/</t>
        </is>
      </c>
    </row>
    <row r="117">
      <c r="A117" s="22" t="n">
        <v>116</v>
      </c>
      <c r="B117" s="22" t="inlineStr">
        <is>
          <t>WS0526</t>
        </is>
      </c>
      <c r="C117" s="22" t="inlineStr">
        <is>
          <t>2010</t>
        </is>
      </c>
      <c r="D117" s="22" t="inlineStr">
        <is>
          <t>English</t>
        </is>
      </c>
      <c r="E117" s="22" t="inlineStr">
        <is>
          <t>no</t>
        </is>
      </c>
      <c r="F117" s="2" t="inlineStr">
        <is>
          <t>Paediatric wandering spleens in Malawi.</t>
        </is>
      </c>
      <c r="G117" s="22" t="inlineStr">
        <is>
          <t>10.4314/mmj.v22i4.63948</t>
        </is>
      </c>
      <c r="H117" s="22" t="inlineStr">
        <is>
          <t>https://pubmed.ncbi.nlm.nih.gov/21977832/</t>
        </is>
      </c>
    </row>
    <row r="118">
      <c r="A118" s="22" t="n">
        <v>117</v>
      </c>
      <c r="B118" s="22" t="inlineStr">
        <is>
          <t>WS0529</t>
        </is>
      </c>
      <c r="C118" s="22" t="inlineStr">
        <is>
          <t>2011</t>
        </is>
      </c>
      <c r="D118" s="22" t="inlineStr">
        <is>
          <t>English</t>
        </is>
      </c>
      <c r="E118" s="22" t="inlineStr">
        <is>
          <t>yes</t>
        </is>
      </c>
      <c r="F118" s="2" t="inlineStr">
        <is>
          <t>Wandering spleen with torsion and complete infarction.</t>
        </is>
      </c>
      <c r="G118" s="22" t="inlineStr">
        <is>
          <t>10.1258/ar.2011.100504</t>
        </is>
      </c>
      <c r="H118" s="22" t="inlineStr">
        <is>
          <t>https://pubmed.ncbi.nlm.nih.gov/21816894/</t>
        </is>
      </c>
    </row>
    <row r="119">
      <c r="A119" s="22" t="n">
        <v>118</v>
      </c>
      <c r="B119" s="22" t="inlineStr">
        <is>
          <t>WS0537</t>
        </is>
      </c>
      <c r="C119" s="22" t="inlineStr">
        <is>
          <t>2011</t>
        </is>
      </c>
      <c r="D119" s="22" t="inlineStr">
        <is>
          <t>English</t>
        </is>
      </c>
      <c r="E119" s="22" t="inlineStr">
        <is>
          <t>yes</t>
        </is>
      </c>
      <c r="F119" s="2" t="inlineStr">
        <is>
          <t>An unusual case of acute pancreatitis and gastric outlet obstruction associated with wandering spleen treated by laparoscopic splenopexy.</t>
        </is>
      </c>
      <c r="G119" s="22" t="inlineStr">
        <is>
          <t>10.1089/lap.2010.0417</t>
        </is>
      </c>
      <c r="H119" s="22" t="inlineStr">
        <is>
          <t>https://pubmed.ncbi.nlm.nih.gov/21375417/</t>
        </is>
      </c>
    </row>
    <row r="120">
      <c r="A120" s="22" t="n">
        <v>119</v>
      </c>
      <c r="B120" s="22" t="inlineStr">
        <is>
          <t>WS0538</t>
        </is>
      </c>
      <c r="C120" s="22" t="inlineStr">
        <is>
          <t>2010</t>
        </is>
      </c>
      <c r="D120" s="22" t="inlineStr">
        <is>
          <t>English</t>
        </is>
      </c>
      <c r="E120" s="22" t="inlineStr">
        <is>
          <t>no</t>
        </is>
      </c>
      <c r="F120" s="2" t="inlineStr">
        <is>
          <t>Wandering spleen mimicking acute appendicitis-an unusual presentation of a rare surgical anomaly.</t>
        </is>
      </c>
      <c r="G120" s="22" t="inlineStr"/>
      <c r="H120" s="22" t="inlineStr">
        <is>
          <t>https://pubmed.ncbi.nlm.nih.gov/21352678/</t>
        </is>
      </c>
    </row>
    <row r="121">
      <c r="A121" s="22" t="n">
        <v>120</v>
      </c>
      <c r="B121" s="22" t="inlineStr">
        <is>
          <t>WS0541</t>
        </is>
      </c>
      <c r="C121" s="22" t="inlineStr">
        <is>
          <t>2011</t>
        </is>
      </c>
      <c r="D121" s="22" t="inlineStr">
        <is>
          <t>English</t>
        </is>
      </c>
      <c r="E121" s="22" t="inlineStr">
        <is>
          <t>yes</t>
        </is>
      </c>
      <c r="F121" s="2" t="inlineStr">
        <is>
          <t>Right abdominal mass in a 2 year-old child.</t>
        </is>
      </c>
      <c r="G121" s="22" t="inlineStr">
        <is>
          <t>10.1136/bcr.08.2011.4676</t>
        </is>
      </c>
      <c r="H121" s="22" t="inlineStr">
        <is>
          <t>https://pubmed.ncbi.nlm.nih.gov/22675015/</t>
        </is>
      </c>
    </row>
    <row r="122">
      <c r="A122" s="22" t="n">
        <v>121</v>
      </c>
      <c r="B122" s="22" t="inlineStr">
        <is>
          <t>WS0548</t>
        </is>
      </c>
      <c r="C122" s="22" t="inlineStr">
        <is>
          <t>2010</t>
        </is>
      </c>
      <c r="D122" s="22" t="inlineStr">
        <is>
          <t>English</t>
        </is>
      </c>
      <c r="E122" s="22" t="inlineStr">
        <is>
          <t>no</t>
        </is>
      </c>
      <c r="F122" s="2" t="inlineStr">
        <is>
          <t>Post-traumatic acute abdominal pain.</t>
        </is>
      </c>
      <c r="G122" s="22" t="inlineStr">
        <is>
          <t>10.1259/bjr/88857252</t>
        </is>
      </c>
      <c r="H122" s="22" t="inlineStr">
        <is>
          <t>https://pubmed.ncbi.nlm.nih.gov/20739346/</t>
        </is>
      </c>
    </row>
    <row r="123">
      <c r="A123" s="22" t="n">
        <v>122</v>
      </c>
      <c r="B123" s="22" t="inlineStr">
        <is>
          <t>WS0550</t>
        </is>
      </c>
      <c r="C123" s="22" t="inlineStr">
        <is>
          <t>2010</t>
        </is>
      </c>
      <c r="D123" s="22" t="inlineStr">
        <is>
          <t>English</t>
        </is>
      </c>
      <c r="E123" s="22" t="inlineStr">
        <is>
          <t>yes</t>
        </is>
      </c>
      <c r="F123" s="2" t="inlineStr">
        <is>
          <t>Wandering spleen in children: multicenter retrospective study.</t>
        </is>
      </c>
      <c r="G123" s="22" t="inlineStr">
        <is>
          <t>10.1016/j.jpedsurg.2010.03.003</t>
        </is>
      </c>
      <c r="H123" s="22" t="inlineStr">
        <is>
          <t>https://pubmed.ncbi.nlm.nih.gov/20638536/</t>
        </is>
      </c>
    </row>
    <row r="124">
      <c r="A124" s="22" t="n">
        <v>123</v>
      </c>
      <c r="B124" s="22" t="inlineStr">
        <is>
          <t>WS0551</t>
        </is>
      </c>
      <c r="C124" s="22" t="inlineStr">
        <is>
          <t>2010</t>
        </is>
      </c>
      <c r="D124" s="22" t="inlineStr">
        <is>
          <t>English</t>
        </is>
      </c>
      <c r="E124" s="22" t="inlineStr">
        <is>
          <t>yes</t>
        </is>
      </c>
      <c r="F124" s="2" t="inlineStr">
        <is>
          <t>Multimodality imaging of a neonatal wandering spleen.</t>
        </is>
      </c>
      <c r="G124" s="22" t="inlineStr">
        <is>
          <t>10.1016/j.clinimag.2009.09.001</t>
        </is>
      </c>
      <c r="H124" s="22" t="inlineStr">
        <is>
          <t>https://pubmed.ncbi.nlm.nih.gov/20630344/</t>
        </is>
      </c>
    </row>
    <row r="125">
      <c r="A125" s="22" t="n">
        <v>124</v>
      </c>
      <c r="B125" s="22" t="inlineStr">
        <is>
          <t>WS0552</t>
        </is>
      </c>
      <c r="C125" s="22" t="inlineStr">
        <is>
          <t>2010</t>
        </is>
      </c>
      <c r="D125" s="22" t="inlineStr">
        <is>
          <t>English</t>
        </is>
      </c>
      <c r="E125" s="22" t="inlineStr">
        <is>
          <t>yes</t>
        </is>
      </c>
      <c r="F125" s="2" t="inlineStr">
        <is>
          <t>Laparoscopic splenopexy and gastropexy for wandering spleen associated with gastric volvulus.</t>
        </is>
      </c>
      <c r="G125" s="22" t="inlineStr">
        <is>
          <t>10.1007/s00383-010-2657-7</t>
        </is>
      </c>
      <c r="H125" s="22" t="inlineStr">
        <is>
          <t>https://pubmed.ncbi.nlm.nih.gov/20625747/</t>
        </is>
      </c>
    </row>
    <row r="126">
      <c r="A126" s="22" t="n">
        <v>125</v>
      </c>
      <c r="B126" s="22" t="inlineStr">
        <is>
          <t>WS0553</t>
        </is>
      </c>
      <c r="C126" s="22" t="inlineStr">
        <is>
          <t>2010</t>
        </is>
      </c>
      <c r="D126" s="22" t="inlineStr">
        <is>
          <t>English</t>
        </is>
      </c>
      <c r="E126" s="22" t="inlineStr">
        <is>
          <t>yes</t>
        </is>
      </c>
      <c r="F126" s="2" t="inlineStr">
        <is>
          <t>Wandering spleen causing gastric outlet obstruction and pancreatitis.</t>
        </is>
      </c>
      <c r="G126" s="22" t="inlineStr">
        <is>
          <t>10.1007/s00247-010-1756-x</t>
        </is>
      </c>
      <c r="H126" s="22" t="inlineStr">
        <is>
          <t>https://pubmed.ncbi.nlm.nih.gov/20593169/</t>
        </is>
      </c>
    </row>
    <row r="127">
      <c r="A127" s="22" t="n">
        <v>126</v>
      </c>
      <c r="B127" s="22" t="inlineStr">
        <is>
          <t>WS0554</t>
        </is>
      </c>
      <c r="C127" s="22" t="inlineStr">
        <is>
          <t>2010</t>
        </is>
      </c>
      <c r="D127" s="22" t="inlineStr">
        <is>
          <t>English</t>
        </is>
      </c>
      <c r="E127" s="22" t="inlineStr">
        <is>
          <t>no</t>
        </is>
      </c>
      <c r="F127" s="2" t="inlineStr">
        <is>
          <t>Splenomegaly as presentation of a wandering spleen.</t>
        </is>
      </c>
      <c r="G127" s="22" t="inlineStr">
        <is>
          <t>10.1016/j.jpeds.2010.04.046</t>
        </is>
      </c>
      <c r="H127" s="22" t="inlineStr">
        <is>
          <t>https://pubmed.ncbi.nlm.nih.gov/20591443/</t>
        </is>
      </c>
    </row>
    <row r="128">
      <c r="A128" s="22" t="n">
        <v>127</v>
      </c>
      <c r="B128" s="22" t="inlineStr">
        <is>
          <t>WS0571</t>
        </is>
      </c>
      <c r="C128" s="22" t="inlineStr">
        <is>
          <t>2009</t>
        </is>
      </c>
      <c r="D128" s="22" t="inlineStr">
        <is>
          <t>English</t>
        </is>
      </c>
      <c r="E128" s="22" t="inlineStr">
        <is>
          <t>yes</t>
        </is>
      </c>
      <c r="F128" s="2" t="inlineStr">
        <is>
          <t>Acute torsion of wandering spleen: report of one case.</t>
        </is>
      </c>
      <c r="G128" s="22" t="inlineStr">
        <is>
          <t>10.1016/s1875-9572(09)60059-0</t>
        </is>
      </c>
      <c r="H128" s="22" t="inlineStr">
        <is>
          <t>https://pubmed.ncbi.nlm.nih.gov/19750894/</t>
        </is>
      </c>
    </row>
    <row r="129">
      <c r="A129" s="22" t="n">
        <v>128</v>
      </c>
      <c r="B129" s="22" t="inlineStr">
        <is>
          <t>WS0575</t>
        </is>
      </c>
      <c r="C129" s="22" t="inlineStr">
        <is>
          <t>2009</t>
        </is>
      </c>
      <c r="D129" s="22" t="inlineStr">
        <is>
          <t>English</t>
        </is>
      </c>
      <c r="E129" s="22" t="inlineStr">
        <is>
          <t>yes</t>
        </is>
      </c>
      <c r="F129" s="2" t="inlineStr">
        <is>
          <t>Delayed presentation of congenital diaphragmatic hernia with intrathoracic gastric volvulus.</t>
        </is>
      </c>
      <c r="G129" s="22" t="inlineStr">
        <is>
          <t>10.1007/s12519-009-0043-0</t>
        </is>
      </c>
      <c r="H129" s="22" t="inlineStr">
        <is>
          <t>https://pubmed.ncbi.nlm.nih.gov/19693469/</t>
        </is>
      </c>
    </row>
    <row r="130">
      <c r="A130" s="22" t="n">
        <v>129</v>
      </c>
      <c r="B130" s="22" t="inlineStr">
        <is>
          <t>WS0577</t>
        </is>
      </c>
      <c r="C130" s="22" t="inlineStr">
        <is>
          <t>2010</t>
        </is>
      </c>
      <c r="D130" s="22" t="inlineStr">
        <is>
          <t>English</t>
        </is>
      </c>
      <c r="E130" s="22" t="inlineStr">
        <is>
          <t>no</t>
        </is>
      </c>
      <c r="F130" s="2" t="inlineStr">
        <is>
          <t>Clinical image. The "wandering" spleen.</t>
        </is>
      </c>
      <c r="G130" s="22" t="inlineStr">
        <is>
          <t>10.1007/s00247-009-1376-5</t>
        </is>
      </c>
      <c r="H130" s="22" t="inlineStr">
        <is>
          <t>https://pubmed.ncbi.nlm.nih.gov/19680643/</t>
        </is>
      </c>
    </row>
    <row r="131">
      <c r="A131" s="22" t="n">
        <v>130</v>
      </c>
      <c r="B131" s="22" t="inlineStr">
        <is>
          <t>WS0580</t>
        </is>
      </c>
      <c r="C131" s="22" t="inlineStr">
        <is>
          <t>2009</t>
        </is>
      </c>
      <c r="D131" s="22" t="inlineStr">
        <is>
          <t>English</t>
        </is>
      </c>
      <c r="E131" s="22" t="inlineStr">
        <is>
          <t>yes</t>
        </is>
      </c>
      <c r="F131" s="2" t="inlineStr">
        <is>
          <t>Abdominal pain and wandering spleen in young children: the importance of an early diagnosis.</t>
        </is>
      </c>
      <c r="G131" s="22" t="inlineStr">
        <is>
          <t>10.1016/j.jpedsurg.2009.02.062</t>
        </is>
      </c>
      <c r="H131" s="22" t="inlineStr">
        <is>
          <t>https://pubmed.ncbi.nlm.nih.gov/19573677/</t>
        </is>
      </c>
    </row>
    <row r="132">
      <c r="A132" s="22" t="n">
        <v>131</v>
      </c>
      <c r="B132" s="22" t="inlineStr">
        <is>
          <t>WS0581</t>
        </is>
      </c>
      <c r="C132" s="22" t="inlineStr">
        <is>
          <t>2010</t>
        </is>
      </c>
      <c r="D132" s="22" t="inlineStr">
        <is>
          <t>English</t>
        </is>
      </c>
      <c r="E132" s="22" t="inlineStr">
        <is>
          <t>no</t>
        </is>
      </c>
      <c r="F132" s="2" t="inlineStr">
        <is>
          <t>Wandering spleen causing intestinal obstruction after repair of congenital diaphragmatic hernia.</t>
        </is>
      </c>
      <c r="G132" s="22" t="inlineStr">
        <is>
          <t>10.1055/s-0029-1220708</t>
        </is>
      </c>
      <c r="H132" s="22" t="inlineStr">
        <is>
          <t>https://pubmed.ncbi.nlm.nih.gov/19548195/</t>
        </is>
      </c>
    </row>
    <row r="133">
      <c r="A133" s="22" t="n">
        <v>132</v>
      </c>
      <c r="B133" s="22" t="inlineStr">
        <is>
          <t>WS0585</t>
        </is>
      </c>
      <c r="C133" s="22" t="inlineStr">
        <is>
          <t>2009</t>
        </is>
      </c>
      <c r="D133" s="22" t="inlineStr">
        <is>
          <t>English</t>
        </is>
      </c>
      <c r="E133" s="22" t="inlineStr">
        <is>
          <t>yes</t>
        </is>
      </c>
      <c r="F133" s="2" t="inlineStr">
        <is>
          <t>Laparoscopic gastropexy for the treatment of gastric volvulus associated with wandering spleen.</t>
        </is>
      </c>
      <c r="G133" s="22" t="inlineStr">
        <is>
          <t>10.1089/lap.2008.0091.supp</t>
        </is>
      </c>
      <c r="H133" s="22" t="inlineStr">
        <is>
          <t>https://pubmed.ncbi.nlm.nih.gov/19281417/</t>
        </is>
      </c>
    </row>
    <row r="134">
      <c r="A134" s="22" t="n">
        <v>133</v>
      </c>
      <c r="B134" s="22" t="inlineStr">
        <is>
          <t>WS0593</t>
        </is>
      </c>
      <c r="C134" s="22" t="inlineStr">
        <is>
          <t>2008</t>
        </is>
      </c>
      <c r="D134" s="22" t="inlineStr">
        <is>
          <t>English</t>
        </is>
      </c>
      <c r="E134" s="22" t="inlineStr">
        <is>
          <t>yes</t>
        </is>
      </c>
      <c r="F134" s="2" t="inlineStr">
        <is>
          <t>Wandering spleen presenting as recurrent abdominal pain in a young female.</t>
        </is>
      </c>
      <c r="G134" s="22" t="inlineStr">
        <is>
          <t>10.1007/s12098-008-0181-8</t>
        </is>
      </c>
      <c r="H134" s="22" t="inlineStr">
        <is>
          <t>https://pubmed.ncbi.nlm.nih.gov/18810347/</t>
        </is>
      </c>
    </row>
    <row r="135">
      <c r="A135" s="22" t="n">
        <v>134</v>
      </c>
      <c r="B135" s="22" t="inlineStr">
        <is>
          <t>WS0594</t>
        </is>
      </c>
      <c r="C135" s="22" t="inlineStr">
        <is>
          <t>2008</t>
        </is>
      </c>
      <c r="D135" s="22" t="inlineStr">
        <is>
          <t>English</t>
        </is>
      </c>
      <c r="E135" s="22" t="inlineStr">
        <is>
          <t>yes</t>
        </is>
      </c>
      <c r="F135" s="2" t="inlineStr">
        <is>
          <t>Unusual association of omphalocele and wandering spleen.</t>
        </is>
      </c>
      <c r="G135" s="22" t="inlineStr">
        <is>
          <t>10.1159/000155899</t>
        </is>
      </c>
      <c r="H135" s="22" t="inlineStr">
        <is>
          <t>https://pubmed.ncbi.nlm.nih.gov/18799886/</t>
        </is>
      </c>
    </row>
    <row r="136">
      <c r="A136" s="22" t="n">
        <v>135</v>
      </c>
      <c r="B136" s="22" t="inlineStr">
        <is>
          <t>WS0595</t>
        </is>
      </c>
      <c r="C136" s="22" t="inlineStr">
        <is>
          <t>2008</t>
        </is>
      </c>
      <c r="D136" s="22" t="inlineStr">
        <is>
          <t>English</t>
        </is>
      </c>
      <c r="E136" s="22" t="inlineStr">
        <is>
          <t>yes</t>
        </is>
      </c>
      <c r="F136" s="2" t="inlineStr">
        <is>
          <t>The torsion of a wandering pelvic spleen: A case report.</t>
        </is>
      </c>
      <c r="G136" s="22" t="inlineStr">
        <is>
          <t>10.1186/1757-1626-1-149</t>
        </is>
      </c>
      <c r="H136" s="22" t="inlineStr">
        <is>
          <t>https://pubmed.ncbi.nlm.nih.gov/18783625/</t>
        </is>
      </c>
    </row>
    <row r="137">
      <c r="A137" s="22" t="n">
        <v>136</v>
      </c>
      <c r="B137" s="22" t="inlineStr">
        <is>
          <t>WS0601</t>
        </is>
      </c>
      <c r="C137" s="22" t="inlineStr">
        <is>
          <t>2008</t>
        </is>
      </c>
      <c r="D137" s="22" t="inlineStr">
        <is>
          <t>English</t>
        </is>
      </c>
      <c r="E137" s="22" t="inlineStr">
        <is>
          <t>yes</t>
        </is>
      </c>
      <c r="F137" s="2" t="inlineStr">
        <is>
          <t>Familial wandering spleen: a first instance.</t>
        </is>
      </c>
      <c r="G137" s="22" t="inlineStr">
        <is>
          <t>10.1016/j.jpedsurg.2007.12.077</t>
        </is>
      </c>
      <c r="H137" s="22" t="inlineStr">
        <is>
          <t>https://pubmed.ncbi.nlm.nih.gov/18485931/</t>
        </is>
      </c>
    </row>
    <row r="138">
      <c r="A138" s="22" t="n">
        <v>137</v>
      </c>
      <c r="B138" s="22" t="inlineStr">
        <is>
          <t>WS0602</t>
        </is>
      </c>
      <c r="C138" s="22" t="inlineStr">
        <is>
          <t>2008</t>
        </is>
      </c>
      <c r="D138" s="22" t="inlineStr">
        <is>
          <t>English</t>
        </is>
      </c>
      <c r="E138" s="22" t="inlineStr">
        <is>
          <t>yes</t>
        </is>
      </c>
      <c r="F138" s="2" t="inlineStr">
        <is>
          <t>Marfanoid hypermobility syndrome and skeletal abnormalities in a rare case of torsion of wandering spleen.</t>
        </is>
      </c>
      <c r="G138" s="22" t="inlineStr">
        <is>
          <t>10.1259/bjr/30123041</t>
        </is>
      </c>
      <c r="H138" s="22" t="inlineStr">
        <is>
          <t>https://pubmed.ncbi.nlm.nih.gov/18440937/</t>
        </is>
      </c>
    </row>
    <row r="139">
      <c r="A139" s="22" t="n">
        <v>138</v>
      </c>
      <c r="B139" s="22" t="inlineStr">
        <is>
          <t>WS0612</t>
        </is>
      </c>
      <c r="C139" s="22" t="inlineStr">
        <is>
          <t>2008</t>
        </is>
      </c>
      <c r="D139" s="22" t="inlineStr">
        <is>
          <t>English</t>
        </is>
      </c>
      <c r="E139" s="22" t="inlineStr">
        <is>
          <t>yes</t>
        </is>
      </c>
      <c r="F139" s="2" t="inlineStr">
        <is>
          <t>Wandering Spleen: A Rare Diagnosis with Variable Presentation.</t>
        </is>
      </c>
      <c r="G139" s="22" t="inlineStr">
        <is>
          <t>10.2484/rcr.v3i4.229</t>
        </is>
      </c>
      <c r="H139" s="22" t="inlineStr">
        <is>
          <t>https://pubmed.ncbi.nlm.nih.gov/27303560/</t>
        </is>
      </c>
    </row>
    <row r="140">
      <c r="A140" s="22" t="n">
        <v>139</v>
      </c>
      <c r="B140" s="22" t="inlineStr">
        <is>
          <t>WS0619</t>
        </is>
      </c>
      <c r="C140" s="22" t="inlineStr">
        <is>
          <t>2007</t>
        </is>
      </c>
      <c r="D140" s="22" t="inlineStr">
        <is>
          <t>English</t>
        </is>
      </c>
      <c r="E140" s="22" t="inlineStr">
        <is>
          <t>yes</t>
        </is>
      </c>
      <c r="F140" s="2" t="inlineStr">
        <is>
          <t>Splenic cyst in a wandering spleen: laparoscopic treatment with preservation of splenic function.</t>
        </is>
      </c>
      <c r="G140" s="22" t="inlineStr">
        <is>
          <t>10.1016/j.jpedsurg.2007.03.063</t>
        </is>
      </c>
      <c r="H140" s="22" t="inlineStr">
        <is>
          <t>https://pubmed.ncbi.nlm.nih.gov/17706517/</t>
        </is>
      </c>
    </row>
    <row r="141">
      <c r="A141" s="22" t="n">
        <v>140</v>
      </c>
      <c r="B141" s="22" t="inlineStr">
        <is>
          <t>WS0623</t>
        </is>
      </c>
      <c r="C141" s="22" t="inlineStr">
        <is>
          <t>2007</t>
        </is>
      </c>
      <c r="D141" s="22" t="inlineStr">
        <is>
          <t>English</t>
        </is>
      </c>
      <c r="E141" s="22" t="inlineStr">
        <is>
          <t>yes</t>
        </is>
      </c>
      <c r="F141" s="2" t="inlineStr">
        <is>
          <t>Laparoscopic splenopexy and cystectomy for an enlarged wandering spleen and splenic cyst.</t>
        </is>
      </c>
      <c r="G141" s="22" t="inlineStr">
        <is>
          <t>10.1016/j.jpedsurg.2007.03.001</t>
        </is>
      </c>
      <c r="H141" s="22" t="inlineStr">
        <is>
          <t>https://pubmed.ncbi.nlm.nih.gov/17502172/</t>
        </is>
      </c>
    </row>
    <row r="142">
      <c r="A142" s="22" t="n">
        <v>141</v>
      </c>
      <c r="B142" s="22" t="inlineStr">
        <is>
          <t>WS0624</t>
        </is>
      </c>
      <c r="C142" s="22" t="inlineStr">
        <is>
          <t>2007</t>
        </is>
      </c>
      <c r="D142" s="22" t="inlineStr">
        <is>
          <t>English</t>
        </is>
      </c>
      <c r="E142" s="22" t="inlineStr">
        <is>
          <t>yes</t>
        </is>
      </c>
      <c r="F142" s="2" t="inlineStr">
        <is>
          <t>Laparoscopic splenopexy for a wandering spleen in a child.</t>
        </is>
      </c>
      <c r="G142" s="22" t="inlineStr">
        <is>
          <t>10.1089/lap.2006.0005</t>
        </is>
      </c>
      <c r="H142" s="22" t="inlineStr">
        <is>
          <t>https://pubmed.ncbi.nlm.nih.gov/17484662/</t>
        </is>
      </c>
    </row>
    <row r="143">
      <c r="A143" s="22" t="n">
        <v>142</v>
      </c>
      <c r="B143" s="22" t="inlineStr">
        <is>
          <t>WS0629</t>
        </is>
      </c>
      <c r="C143" s="22" t="inlineStr">
        <is>
          <t>2007</t>
        </is>
      </c>
      <c r="D143" s="22" t="inlineStr">
        <is>
          <t>English</t>
        </is>
      </c>
      <c r="E143" s="22" t="inlineStr">
        <is>
          <t>no</t>
        </is>
      </c>
      <c r="F143" s="2" t="inlineStr">
        <is>
          <t>Wandering spleen: an unusual association with gastric volvulus.</t>
        </is>
      </c>
      <c r="G143" s="22" t="inlineStr">
        <is>
          <t>10.2214/ajr.05.0672</t>
        </is>
      </c>
      <c r="H143" s="22" t="inlineStr">
        <is>
          <t>https://pubmed.ncbi.nlm.nih.gov/17376999/</t>
        </is>
      </c>
    </row>
    <row r="144">
      <c r="A144" s="22" t="n">
        <v>143</v>
      </c>
      <c r="B144" s="22" t="inlineStr">
        <is>
          <t>WS0630</t>
        </is>
      </c>
      <c r="C144" s="22" t="inlineStr">
        <is>
          <t>2007</t>
        </is>
      </c>
      <c r="D144" s="22" t="inlineStr">
        <is>
          <t>English</t>
        </is>
      </c>
      <c r="E144" s="22" t="inlineStr">
        <is>
          <t>yes</t>
        </is>
      </c>
      <c r="F144" s="2" t="inlineStr">
        <is>
          <t>Surgical treatment of patients with wandering spleen: report of six cases with a review of the literature.</t>
        </is>
      </c>
      <c r="G144" s="22" t="inlineStr">
        <is>
          <t>10.1007/s00595-006-3389-0</t>
        </is>
      </c>
      <c r="H144" s="22" t="inlineStr">
        <is>
          <t>https://pubmed.ncbi.nlm.nih.gov/17342372/</t>
        </is>
      </c>
    </row>
    <row r="145">
      <c r="A145" s="22" t="n">
        <v>144</v>
      </c>
      <c r="B145" s="22" t="inlineStr">
        <is>
          <t>WS0632</t>
        </is>
      </c>
      <c r="C145" s="22" t="inlineStr">
        <is>
          <t>2007</t>
        </is>
      </c>
      <c r="D145" s="22" t="inlineStr">
        <is>
          <t>English</t>
        </is>
      </c>
      <c r="E145" s="22" t="inlineStr">
        <is>
          <t>yes</t>
        </is>
      </c>
      <c r="F145" s="2" t="inlineStr">
        <is>
          <t>Eventration of the diaphragm and associations.</t>
        </is>
      </c>
      <c r="G145" s="22" t="inlineStr">
        <is>
          <t>10.1007/s12098-007-0018-x</t>
        </is>
      </c>
      <c r="H145" s="22" t="inlineStr">
        <is>
          <t>https://pubmed.ncbi.nlm.nih.gov/17337837/</t>
        </is>
      </c>
    </row>
    <row r="146">
      <c r="A146" s="22" t="n">
        <v>145</v>
      </c>
      <c r="B146" s="22" t="inlineStr">
        <is>
          <t>WS0637</t>
        </is>
      </c>
      <c r="C146" s="22" t="inlineStr">
        <is>
          <t>2002</t>
        </is>
      </c>
      <c r="D146" s="22" t="inlineStr">
        <is>
          <t>English</t>
        </is>
      </c>
      <c r="E146" s="22" t="inlineStr">
        <is>
          <t>no</t>
        </is>
      </c>
      <c r="F146" s="2" t="inlineStr">
        <is>
          <t>Torsion of wandering spleen: case report and literature review.</t>
        </is>
      </c>
      <c r="G146" s="22" t="inlineStr">
        <is>
          <t>10.5144/0256-4947.2002.412</t>
        </is>
      </c>
      <c r="H146" s="22" t="inlineStr">
        <is>
          <t>https://pubmed.ncbi.nlm.nih.gov/17146281/</t>
        </is>
      </c>
    </row>
    <row r="147">
      <c r="A147" s="22" t="n">
        <v>146</v>
      </c>
      <c r="B147" s="22" t="inlineStr">
        <is>
          <t>WS0638</t>
        </is>
      </c>
      <c r="C147" s="22" t="inlineStr">
        <is>
          <t>2006</t>
        </is>
      </c>
      <c r="D147" s="22" t="inlineStr">
        <is>
          <t>English</t>
        </is>
      </c>
      <c r="E147" s="22" t="inlineStr">
        <is>
          <t>yes</t>
        </is>
      </c>
      <c r="F147" s="2" t="inlineStr">
        <is>
          <t>Splenic autotransplantation for a congested and enlarged wandering spleen with torsion: report of a case.</t>
        </is>
      </c>
      <c r="G147" s="22" t="inlineStr">
        <is>
          <t>10.1007/s00595-006-3303-9</t>
        </is>
      </c>
      <c r="H147" s="22" t="inlineStr">
        <is>
          <t>https://pubmed.ncbi.nlm.nih.gov/17123138/</t>
        </is>
      </c>
    </row>
    <row r="148">
      <c r="A148" s="22" t="n">
        <v>147</v>
      </c>
      <c r="B148" s="22" t="inlineStr">
        <is>
          <t>WS0642</t>
        </is>
      </c>
      <c r="C148" s="22" t="inlineStr">
        <is>
          <t>2006</t>
        </is>
      </c>
      <c r="D148" s="22" t="inlineStr">
        <is>
          <t>English</t>
        </is>
      </c>
      <c r="E148" s="22" t="inlineStr">
        <is>
          <t>yes</t>
        </is>
      </c>
      <c r="F148" s="2" t="inlineStr">
        <is>
          <t>The wandering spleen: CT findings and possible pitfalls in diagnosis.</t>
        </is>
      </c>
      <c r="G148" s="22" t="inlineStr">
        <is>
          <t>10.1016/j.crad.2006.06.007</t>
        </is>
      </c>
      <c r="H148" s="22" t="inlineStr">
        <is>
          <t>https://pubmed.ncbi.nlm.nih.gov/17018308/</t>
        </is>
      </c>
    </row>
    <row r="149">
      <c r="A149" s="22" t="n">
        <v>148</v>
      </c>
      <c r="B149" s="22" t="inlineStr">
        <is>
          <t>WS0645</t>
        </is>
      </c>
      <c r="C149" s="22" t="inlineStr">
        <is>
          <t>2006</t>
        </is>
      </c>
      <c r="D149" s="22" t="inlineStr">
        <is>
          <t>English</t>
        </is>
      </c>
      <c r="E149" s="22" t="inlineStr">
        <is>
          <t>yes</t>
        </is>
      </c>
      <c r="F149" s="2" t="inlineStr">
        <is>
          <t>Laparoscopic splenopexy for wandering spleen: extraperitoneal pocket splenopexy.</t>
        </is>
      </c>
      <c r="G149" s="22" t="inlineStr">
        <is>
          <t>10.1007/s00383-006-1760-2</t>
        </is>
      </c>
      <c r="H149" s="22" t="inlineStr">
        <is>
          <t>https://pubmed.ncbi.nlm.nih.gov/16944182/</t>
        </is>
      </c>
    </row>
    <row r="150">
      <c r="A150" s="22" t="n">
        <v>149</v>
      </c>
      <c r="B150" s="22" t="inlineStr">
        <is>
          <t>WS0653</t>
        </is>
      </c>
      <c r="C150" s="22" t="inlineStr">
        <is>
          <t>2006</t>
        </is>
      </c>
      <c r="D150" s="22" t="inlineStr">
        <is>
          <t>English</t>
        </is>
      </c>
      <c r="E150" s="22" t="inlineStr">
        <is>
          <t>yes</t>
        </is>
      </c>
      <c r="F150" s="2" t="inlineStr">
        <is>
          <t>Pediatric wandering spleen successfully treated by laparoscopic splenopexy.</t>
        </is>
      </c>
      <c r="G150" s="22" t="inlineStr">
        <is>
          <t>10.1089/lap.2006.16.328</t>
        </is>
      </c>
      <c r="H150" s="22" t="inlineStr">
        <is>
          <t>https://pubmed.ncbi.nlm.nih.gov/16796453/</t>
        </is>
      </c>
    </row>
    <row r="151">
      <c r="A151" s="22" t="n">
        <v>150</v>
      </c>
      <c r="B151" s="22" t="inlineStr">
        <is>
          <t>WS0656</t>
        </is>
      </c>
      <c r="C151" s="22" t="inlineStr">
        <is>
          <t>2006</t>
        </is>
      </c>
      <c r="D151" s="22" t="inlineStr">
        <is>
          <t>English</t>
        </is>
      </c>
      <c r="E151" s="22" t="inlineStr">
        <is>
          <t>yes</t>
        </is>
      </c>
      <c r="F151" s="2" t="inlineStr">
        <is>
          <t>Splenoptosis complicated by a large splenic cyst: case report and discussion of combined management.</t>
        </is>
      </c>
      <c r="G151" s="22" t="inlineStr">
        <is>
          <t>10.1007/s00383-006-1673-0</t>
        </is>
      </c>
      <c r="H151" s="22" t="inlineStr">
        <is>
          <t>https://pubmed.ncbi.nlm.nih.gov/16609899/</t>
        </is>
      </c>
    </row>
    <row r="152">
      <c r="A152" s="22" t="n">
        <v>151</v>
      </c>
      <c r="B152" s="22" t="inlineStr">
        <is>
          <t>WS0658</t>
        </is>
      </c>
      <c r="C152" s="22" t="inlineStr">
        <is>
          <t>2006</t>
        </is>
      </c>
      <c r="D152" s="22" t="inlineStr">
        <is>
          <t>English</t>
        </is>
      </c>
      <c r="E152" s="22" t="inlineStr">
        <is>
          <t>yes</t>
        </is>
      </c>
      <c r="F152" s="2" t="inlineStr">
        <is>
          <t>An unusual case of hemoperitoneum owing to acute splenic torsion in a child with immunoglobulin deficiency.</t>
        </is>
      </c>
      <c r="G152" s="22" t="inlineStr"/>
      <c r="H152" s="22" t="inlineStr">
        <is>
          <t>https://pubmed.ncbi.nlm.nih.gov/16534164/</t>
        </is>
      </c>
    </row>
    <row r="153">
      <c r="A153" s="22" t="n">
        <v>152</v>
      </c>
      <c r="B153" s="22" t="inlineStr">
        <is>
          <t>WS0660</t>
        </is>
      </c>
      <c r="C153" s="22" t="inlineStr">
        <is>
          <t>2005</t>
        </is>
      </c>
      <c r="D153" s="22" t="inlineStr">
        <is>
          <t>English</t>
        </is>
      </c>
      <c r="E153" s="22" t="inlineStr">
        <is>
          <t>yes</t>
        </is>
      </c>
      <c r="F153" s="2" t="inlineStr">
        <is>
          <t>Torsion of a wandering spleen with whorled appearance of the splenic hilum in CT scan.</t>
        </is>
      </c>
      <c r="G153" s="22" t="inlineStr"/>
      <c r="H153" s="22" t="inlineStr">
        <is>
          <t>https://pubmed.ncbi.nlm.nih.gov/16515121/</t>
        </is>
      </c>
    </row>
    <row r="154">
      <c r="A154" s="22" t="n">
        <v>153</v>
      </c>
      <c r="B154" s="22" t="inlineStr">
        <is>
          <t>WS0664</t>
        </is>
      </c>
      <c r="C154" s="22" t="inlineStr">
        <is>
          <t>2005</t>
        </is>
      </c>
      <c r="D154" s="22" t="inlineStr">
        <is>
          <t>English</t>
        </is>
      </c>
      <c r="E154" s="22" t="inlineStr">
        <is>
          <t>yes</t>
        </is>
      </c>
      <c r="F154" s="2" t="inlineStr">
        <is>
          <t>Laparoscopic splenopexy of a pediatric wandering spleen by creation of a retroperitoneal pocket.</t>
        </is>
      </c>
      <c r="G154" s="22" t="inlineStr">
        <is>
          <t>10.1089/lap.2005.15.670</t>
        </is>
      </c>
      <c r="H154" s="22" t="inlineStr">
        <is>
          <t>https://pubmed.ncbi.nlm.nih.gov/16366881/</t>
        </is>
      </c>
    </row>
    <row r="155">
      <c r="A155" s="22" t="n">
        <v>154</v>
      </c>
      <c r="B155" s="22" t="inlineStr">
        <is>
          <t>WS0667</t>
        </is>
      </c>
      <c r="C155" s="22" t="inlineStr">
        <is>
          <t>2005</t>
        </is>
      </c>
      <c r="D155" s="22" t="inlineStr">
        <is>
          <t>English</t>
        </is>
      </c>
      <c r="E155" s="22" t="inlineStr">
        <is>
          <t>no</t>
        </is>
      </c>
      <c r="F155" s="2" t="inlineStr">
        <is>
          <t>Weird activity and the wandering spleen.</t>
        </is>
      </c>
      <c r="G155" s="22" t="inlineStr"/>
      <c r="H155" s="22" t="inlineStr">
        <is>
          <t>https://pubmed.ncbi.nlm.nih.gov/16309003/</t>
        </is>
      </c>
    </row>
    <row r="156">
      <c r="A156" s="22" t="n">
        <v>155</v>
      </c>
      <c r="B156" s="22" t="inlineStr">
        <is>
          <t>WS0668</t>
        </is>
      </c>
      <c r="C156" s="22" t="inlineStr">
        <is>
          <t>2005</t>
        </is>
      </c>
      <c r="D156" s="22" t="inlineStr">
        <is>
          <t>English</t>
        </is>
      </c>
      <c r="E156" s="22" t="inlineStr">
        <is>
          <t>yes</t>
        </is>
      </c>
      <c r="F156" s="2" t="inlineStr">
        <is>
          <t>Wandering spleen--the challenge of ultrasound diagnosis: report of 7 cases.</t>
        </is>
      </c>
      <c r="G156" s="22" t="inlineStr">
        <is>
          <t>10.1002/jcu.20165</t>
        </is>
      </c>
      <c r="H156" s="22" t="inlineStr">
        <is>
          <t>https://pubmed.ncbi.nlm.nih.gov/16281274/</t>
        </is>
      </c>
    </row>
    <row r="157">
      <c r="A157" s="22" t="n">
        <v>156</v>
      </c>
      <c r="B157" s="22" t="inlineStr">
        <is>
          <t>WS0678</t>
        </is>
      </c>
      <c r="C157" s="22" t="inlineStr">
        <is>
          <t>2005</t>
        </is>
      </c>
      <c r="D157" s="22" t="inlineStr">
        <is>
          <t>English</t>
        </is>
      </c>
      <c r="E157" s="22" t="inlineStr">
        <is>
          <t>yes</t>
        </is>
      </c>
      <c r="F157" s="2" t="inlineStr">
        <is>
          <t>Laparoscopic pocket splenopexy for wandering spleen: a case report.</t>
        </is>
      </c>
      <c r="G157" s="22" t="inlineStr">
        <is>
          <t>10.1016/j.jpedsurg.2005.02.009</t>
        </is>
      </c>
      <c r="H157" s="22" t="inlineStr">
        <is>
          <t>https://pubmed.ncbi.nlm.nih.gov/15937839/</t>
        </is>
      </c>
    </row>
    <row r="158">
      <c r="A158" s="22" t="n">
        <v>157</v>
      </c>
      <c r="B158" s="22" t="inlineStr">
        <is>
          <t>WS0681</t>
        </is>
      </c>
      <c r="C158" s="22" t="inlineStr">
        <is>
          <t>2005</t>
        </is>
      </c>
      <c r="D158" s="22" t="inlineStr">
        <is>
          <t>English</t>
        </is>
      </c>
      <c r="E158" s="22" t="inlineStr">
        <is>
          <t>yes</t>
        </is>
      </c>
      <c r="F158" s="2" t="inlineStr">
        <is>
          <t>Enlarged wandering spleen treated with hemisplenectomy and fixation of the residual spleen.</t>
        </is>
      </c>
      <c r="G158" s="22" t="inlineStr">
        <is>
          <t>10.1007/s00383-005-1403-z</t>
        </is>
      </c>
      <c r="H158" s="22" t="inlineStr">
        <is>
          <t>https://pubmed.ncbi.nlm.nih.gov/15803335/</t>
        </is>
      </c>
    </row>
    <row r="159">
      <c r="A159" s="22" t="n">
        <v>158</v>
      </c>
      <c r="B159" s="22" t="inlineStr">
        <is>
          <t>WS0683</t>
        </is>
      </c>
      <c r="C159" s="22" t="inlineStr">
        <is>
          <t>2005</t>
        </is>
      </c>
      <c r="D159" s="22" t="inlineStr">
        <is>
          <t>English</t>
        </is>
      </c>
      <c r="E159" s="22" t="inlineStr">
        <is>
          <t>yes</t>
        </is>
      </c>
      <c r="F159" s="2" t="inlineStr">
        <is>
          <t>The technique of laparoscopic retroperitoneal splenopexy for symptomatic wandering spleen in childhood.</t>
        </is>
      </c>
      <c r="G159" s="22" t="inlineStr">
        <is>
          <t>10.1016/j.jpedsurg.2004.11.020</t>
        </is>
      </c>
      <c r="H159" s="22" t="inlineStr">
        <is>
          <t>https://pubmed.ncbi.nlm.nih.gov/15793739/</t>
        </is>
      </c>
    </row>
    <row r="160">
      <c r="A160" s="22" t="n">
        <v>159</v>
      </c>
      <c r="B160" s="22" t="inlineStr">
        <is>
          <t>WS0686</t>
        </is>
      </c>
      <c r="C160" s="22" t="inlineStr">
        <is>
          <t>2005</t>
        </is>
      </c>
      <c r="D160" s="22" t="inlineStr">
        <is>
          <t>English</t>
        </is>
      </c>
      <c r="E160" s="22" t="inlineStr">
        <is>
          <t>yes</t>
        </is>
      </c>
      <c r="F160" s="2" t="inlineStr">
        <is>
          <t>Autoinfarcted wandering spleen and fatal pneumococcal sepsis in an infant.</t>
        </is>
      </c>
      <c r="G160" s="22" t="inlineStr">
        <is>
          <t>10.1007/s10024-004-7082-2</t>
        </is>
      </c>
      <c r="H160" s="22" t="inlineStr">
        <is>
          <t>https://pubmed.ncbi.nlm.nih.gov/15717114/</t>
        </is>
      </c>
    </row>
    <row r="161">
      <c r="A161" s="22" t="n">
        <v>160</v>
      </c>
      <c r="B161" s="22" t="inlineStr">
        <is>
          <t>WS0687</t>
        </is>
      </c>
      <c r="C161" s="22" t="inlineStr">
        <is>
          <t>2005</t>
        </is>
      </c>
      <c r="D161" s="22" t="inlineStr">
        <is>
          <t>English</t>
        </is>
      </c>
      <c r="E161" s="22" t="inlineStr">
        <is>
          <t>no</t>
        </is>
      </c>
      <c r="F161" s="2" t="inlineStr">
        <is>
          <t>Torsion of a wandering spleen with stomach volvulus and nonrotation: extraperitoneal pocket splenopexy.</t>
        </is>
      </c>
      <c r="G161" s="22" t="inlineStr">
        <is>
          <t>10.1016/j.surg.2004.06.002</t>
        </is>
      </c>
      <c r="H161" s="22" t="inlineStr">
        <is>
          <t>https://pubmed.ncbi.nlm.nih.gov/15674217/</t>
        </is>
      </c>
    </row>
    <row r="162">
      <c r="A162" s="22" t="n">
        <v>161</v>
      </c>
      <c r="B162" s="22" t="inlineStr">
        <is>
          <t>WS0695</t>
        </is>
      </c>
      <c r="C162" s="22" t="inlineStr">
        <is>
          <t>2004</t>
        </is>
      </c>
      <c r="D162" s="22" t="inlineStr">
        <is>
          <t>English</t>
        </is>
      </c>
      <c r="E162" s="22" t="inlineStr">
        <is>
          <t>no</t>
        </is>
      </c>
      <c r="F162" s="2" t="inlineStr">
        <is>
          <t>Recurrent torsion of a wandering spleen.</t>
        </is>
      </c>
      <c r="G162" s="22" t="inlineStr">
        <is>
          <t>10.1016/j.amjsurg.2003.11.042</t>
        </is>
      </c>
      <c r="H162" s="22" t="inlineStr">
        <is>
          <t>https://pubmed.ncbi.nlm.nih.gov/15219495/</t>
        </is>
      </c>
    </row>
    <row r="163">
      <c r="A163" s="22" t="n">
        <v>162</v>
      </c>
      <c r="B163" s="22" t="inlineStr">
        <is>
          <t>WS0696</t>
        </is>
      </c>
      <c r="C163" s="22" t="inlineStr">
        <is>
          <t>2004</t>
        </is>
      </c>
      <c r="D163" s="22" t="inlineStr">
        <is>
          <t>English</t>
        </is>
      </c>
      <c r="E163" s="22" t="inlineStr">
        <is>
          <t>yes</t>
        </is>
      </c>
      <c r="F163" s="2" t="inlineStr">
        <is>
          <t>Associated malformations in delayed presentation of congenital diaphragmatic hernia.</t>
        </is>
      </c>
      <c r="G163" s="22" t="inlineStr">
        <is>
          <t>10.1016/j.jpedsurg.2004.03.050</t>
        </is>
      </c>
      <c r="H163" s="22" t="inlineStr">
        <is>
          <t>https://pubmed.ncbi.nlm.nih.gov/15213902/</t>
        </is>
      </c>
    </row>
    <row r="164">
      <c r="A164" s="22" t="n">
        <v>163</v>
      </c>
      <c r="B164" s="22" t="inlineStr">
        <is>
          <t>WS0699</t>
        </is>
      </c>
      <c r="C164" s="22" t="inlineStr">
        <is>
          <t>2004</t>
        </is>
      </c>
      <c r="D164" s="22" t="inlineStr">
        <is>
          <t>English</t>
        </is>
      </c>
      <c r="E164" s="22" t="inlineStr">
        <is>
          <t>yes</t>
        </is>
      </c>
      <c r="F164" s="2" t="inlineStr">
        <is>
          <t>Torsion of a wandering spleen presenting with acute abdomen: a case report.</t>
        </is>
      </c>
      <c r="G164" s="22" t="inlineStr">
        <is>
          <t>10.1080/00015458.2004.11679541</t>
        </is>
      </c>
      <c r="H164" s="22" t="inlineStr">
        <is>
          <t>https://pubmed.ncbi.nlm.nih.gov/15154585/</t>
        </is>
      </c>
    </row>
    <row r="165">
      <c r="A165" s="22" t="n">
        <v>164</v>
      </c>
      <c r="B165" s="22" t="inlineStr">
        <is>
          <t>WS0702</t>
        </is>
      </c>
      <c r="C165" s="22" t="inlineStr">
        <is>
          <t>2004</t>
        </is>
      </c>
      <c r="D165" s="22" t="inlineStr">
        <is>
          <t>English</t>
        </is>
      </c>
      <c r="E165" s="22" t="inlineStr">
        <is>
          <t>yes</t>
        </is>
      </c>
      <c r="F165" s="2" t="inlineStr">
        <is>
          <t>Wandering spleen: a rare cause of mesenteroaxial gastric volvulus.</t>
        </is>
      </c>
      <c r="G165" s="22" t="inlineStr">
        <is>
          <t>10.1007/s00383-004-1157-z</t>
        </is>
      </c>
      <c r="H165" s="22" t="inlineStr">
        <is>
          <t>https://pubmed.ncbi.nlm.nih.gov/15114488/</t>
        </is>
      </c>
    </row>
    <row r="166">
      <c r="A166" s="22" t="n">
        <v>165</v>
      </c>
      <c r="B166" s="22" t="inlineStr">
        <is>
          <t>WS0705</t>
        </is>
      </c>
      <c r="C166" s="22" t="inlineStr">
        <is>
          <t>2004</t>
        </is>
      </c>
      <c r="D166" s="22" t="inlineStr">
        <is>
          <t>English</t>
        </is>
      </c>
      <c r="E166" s="22" t="inlineStr">
        <is>
          <t>no</t>
        </is>
      </c>
      <c r="F166" s="2" t="inlineStr">
        <is>
          <t>Avulsion of wandering spleen after traumatic torsion.</t>
        </is>
      </c>
      <c r="G166" s="22" t="inlineStr">
        <is>
          <t>10.1016/j.jpedsurg.2003.10.033</t>
        </is>
      </c>
      <c r="H166" s="22" t="inlineStr">
        <is>
          <t>https://pubmed.ncbi.nlm.nih.gov/14966761/</t>
        </is>
      </c>
    </row>
    <row r="167">
      <c r="A167" s="22" t="n">
        <v>166</v>
      </c>
      <c r="B167" s="22" t="inlineStr">
        <is>
          <t>WS0706</t>
        </is>
      </c>
      <c r="C167" s="22" t="inlineStr">
        <is>
          <t>2004</t>
        </is>
      </c>
      <c r="D167" s="22" t="inlineStr">
        <is>
          <t>English</t>
        </is>
      </c>
      <c r="E167" s="22" t="inlineStr">
        <is>
          <t>yes</t>
        </is>
      </c>
      <c r="F167" s="2" t="inlineStr">
        <is>
          <t>Splenic haemorrhage in a newborn as the first manifestation of wandering spleen syndrome.</t>
        </is>
      </c>
      <c r="G167" s="22" t="inlineStr">
        <is>
          <t>10.1016/j.jpedsurg.2003.10.025</t>
        </is>
      </c>
      <c r="H167" s="22" t="inlineStr">
        <is>
          <t>https://pubmed.ncbi.nlm.nih.gov/14966753/</t>
        </is>
      </c>
    </row>
    <row r="168">
      <c r="A168" s="22" t="n">
        <v>167</v>
      </c>
      <c r="B168" s="22" t="inlineStr">
        <is>
          <t>WS0707</t>
        </is>
      </c>
      <c r="C168" s="22" t="inlineStr">
        <is>
          <t>2004</t>
        </is>
      </c>
      <c r="D168" s="22" t="inlineStr">
        <is>
          <t>English</t>
        </is>
      </c>
      <c r="E168" s="22" t="inlineStr">
        <is>
          <t>no</t>
        </is>
      </c>
      <c r="F168" s="2" t="inlineStr">
        <is>
          <t>The wandering spleen: something to bear in mind in the presence of a mobile abdominal mass.</t>
        </is>
      </c>
      <c r="G168" s="22" t="inlineStr">
        <is>
          <t>10.1007/s00431-003-1322-8</t>
        </is>
      </c>
      <c r="H168" s="22" t="inlineStr">
        <is>
          <t>https://pubmed.ncbi.nlm.nih.gov/14963701/</t>
        </is>
      </c>
    </row>
    <row r="169">
      <c r="A169" s="22" t="n">
        <v>168</v>
      </c>
      <c r="B169" s="22" t="inlineStr">
        <is>
          <t>WS0709</t>
        </is>
      </c>
      <c r="C169" s="22" t="inlineStr">
        <is>
          <t>2004</t>
        </is>
      </c>
      <c r="D169" s="22" t="inlineStr">
        <is>
          <t>English</t>
        </is>
      </c>
      <c r="E169" s="22" t="inlineStr">
        <is>
          <t>yes</t>
        </is>
      </c>
      <c r="F169" s="2" t="inlineStr">
        <is>
          <t>Acute torsion of the spleen: diagnosis and management.</t>
        </is>
      </c>
      <c r="G169" s="22" t="inlineStr">
        <is>
          <t>10.1007/s00383-003-1110-6</t>
        </is>
      </c>
      <c r="H169" s="22" t="inlineStr">
        <is>
          <t>https://pubmed.ncbi.nlm.nih.gov/14758498/</t>
        </is>
      </c>
    </row>
    <row r="170">
      <c r="A170" s="22" t="n">
        <v>169</v>
      </c>
      <c r="B170" s="22" t="inlineStr">
        <is>
          <t>WS0714</t>
        </is>
      </c>
      <c r="C170" s="22" t="inlineStr">
        <is>
          <t>2003</t>
        </is>
      </c>
      <c r="D170" s="22" t="inlineStr">
        <is>
          <t>English</t>
        </is>
      </c>
      <c r="E170" s="22" t="inlineStr">
        <is>
          <t>yes</t>
        </is>
      </c>
      <c r="F170" s="2" t="inlineStr">
        <is>
          <t>Wandering spleen: a rare cause of abdominal pain.</t>
        </is>
      </c>
      <c r="G170" s="22" t="inlineStr">
        <is>
          <t>10.1097/01.pec.0000101582.65509.cc</t>
        </is>
      </c>
      <c r="H170" s="22" t="inlineStr">
        <is>
          <t>https://pubmed.ncbi.nlm.nih.gov/14676491/</t>
        </is>
      </c>
    </row>
    <row r="171">
      <c r="A171" s="22" t="n">
        <v>170</v>
      </c>
      <c r="B171" s="22" t="inlineStr">
        <is>
          <t>WS0717</t>
        </is>
      </c>
      <c r="C171" s="22" t="inlineStr">
        <is>
          <t>2003</t>
        </is>
      </c>
      <c r="D171" s="22" t="inlineStr">
        <is>
          <t>English</t>
        </is>
      </c>
      <c r="E171" s="22" t="inlineStr">
        <is>
          <t>no</t>
        </is>
      </c>
      <c r="F171" s="2" t="inlineStr">
        <is>
          <t>Splenic volvulus.</t>
        </is>
      </c>
      <c r="G171" s="22" t="inlineStr">
        <is>
          <t>10.1016/j.jamcollsurg.2003.05.002</t>
        </is>
      </c>
      <c r="H171" s="22" t="inlineStr">
        <is>
          <t>https://pubmed.ncbi.nlm.nih.gov/14644294/</t>
        </is>
      </c>
    </row>
    <row r="172">
      <c r="A172" s="22" t="n">
        <v>171</v>
      </c>
      <c r="B172" s="22" t="inlineStr">
        <is>
          <t>WS0719</t>
        </is>
      </c>
      <c r="C172" s="22" t="inlineStr">
        <is>
          <t>2003</t>
        </is>
      </c>
      <c r="D172" s="22" t="inlineStr">
        <is>
          <t>English</t>
        </is>
      </c>
      <c r="E172" s="22" t="inlineStr">
        <is>
          <t>yes</t>
        </is>
      </c>
      <c r="F172" s="2" t="inlineStr">
        <is>
          <t>Wandering spleen and its complications in children: a case series and review of the literature.</t>
        </is>
      </c>
      <c r="G172" s="22" t="inlineStr">
        <is>
          <t>10.1016/s0022-3468(03)00582-7</t>
        </is>
      </c>
      <c r="H172" s="22" t="inlineStr">
        <is>
          <t>https://pubmed.ncbi.nlm.nih.gov/14614725/</t>
        </is>
      </c>
    </row>
    <row r="173">
      <c r="A173" s="22" t="n">
        <v>172</v>
      </c>
      <c r="B173" s="22" t="inlineStr">
        <is>
          <t>WS0724</t>
        </is>
      </c>
      <c r="C173" s="22" t="inlineStr">
        <is>
          <t>2003</t>
        </is>
      </c>
      <c r="D173" s="22" t="inlineStr">
        <is>
          <t>English</t>
        </is>
      </c>
      <c r="E173" s="22" t="inlineStr">
        <is>
          <t>yes</t>
        </is>
      </c>
      <c r="F173" s="2" t="inlineStr">
        <is>
          <t>Mass at the splenic hilum: a clue to torsion of a wandering spleen located in a normal left upper quadrant position.</t>
        </is>
      </c>
      <c r="G173" s="22" t="inlineStr">
        <is>
          <t>10.7863/jum.2003.22.5.527</t>
        </is>
      </c>
      <c r="H173" s="22" t="inlineStr">
        <is>
          <t>https://pubmed.ncbi.nlm.nih.gov/12751865/</t>
        </is>
      </c>
    </row>
    <row r="174">
      <c r="A174" s="22" t="n">
        <v>173</v>
      </c>
      <c r="B174" s="22" t="inlineStr">
        <is>
          <t>WS0731</t>
        </is>
      </c>
      <c r="C174" s="22" t="inlineStr">
        <is>
          <t>2003</t>
        </is>
      </c>
      <c r="D174" s="22" t="inlineStr">
        <is>
          <t>English</t>
        </is>
      </c>
      <c r="E174" s="22" t="inlineStr">
        <is>
          <t>yes</t>
        </is>
      </c>
      <c r="F174" s="2" t="inlineStr">
        <is>
          <t>Avulsion of wandering spleen after traumatic torsion.</t>
        </is>
      </c>
      <c r="G174" s="22" t="inlineStr">
        <is>
          <t>10.1053/jpsu.2003.50136</t>
        </is>
      </c>
      <c r="H174" s="22" t="inlineStr">
        <is>
          <t>https://pubmed.ncbi.nlm.nih.gov/12677580/</t>
        </is>
      </c>
    </row>
    <row r="175">
      <c r="A175" s="22" t="n">
        <v>174</v>
      </c>
      <c r="B175" s="22" t="inlineStr">
        <is>
          <t>WS0732</t>
        </is>
      </c>
      <c r="C175" s="22" t="inlineStr">
        <is>
          <t>2003</t>
        </is>
      </c>
      <c r="D175" s="22" t="inlineStr">
        <is>
          <t>English</t>
        </is>
      </c>
      <c r="E175" s="22" t="inlineStr">
        <is>
          <t>no</t>
        </is>
      </c>
      <c r="F175" s="2" t="inlineStr">
        <is>
          <t>Splenic torsion.</t>
        </is>
      </c>
      <c r="G175" s="22" t="inlineStr">
        <is>
          <t>10.1148/rg.232025110</t>
        </is>
      </c>
      <c r="H175" s="22" t="inlineStr">
        <is>
          <t>https://pubmed.ncbi.nlm.nih.gov/12640148/</t>
        </is>
      </c>
    </row>
    <row r="176">
      <c r="A176" s="22" t="n">
        <v>175</v>
      </c>
      <c r="B176" s="22" t="inlineStr">
        <is>
          <t>WS0734</t>
        </is>
      </c>
      <c r="C176" s="22" t="inlineStr">
        <is>
          <t>2003</t>
        </is>
      </c>
      <c r="D176" s="22" t="inlineStr">
        <is>
          <t>English</t>
        </is>
      </c>
      <c r="E176" s="22" t="inlineStr">
        <is>
          <t>no</t>
        </is>
      </c>
      <c r="F176" s="2" t="inlineStr">
        <is>
          <t>Multidetector-row CT appearance of acute torsion of wandering spleen in a child.</t>
        </is>
      </c>
      <c r="G176" s="22" t="inlineStr">
        <is>
          <t>10.1034/j.1600-0455.2003.00001.x</t>
        </is>
      </c>
      <c r="H176" s="22" t="inlineStr">
        <is>
          <t>https://pubmed.ncbi.nlm.nih.gov/12631009/</t>
        </is>
      </c>
    </row>
    <row r="177">
      <c r="A177" s="22" t="n">
        <v>176</v>
      </c>
      <c r="B177" s="22" t="inlineStr">
        <is>
          <t>WS0741</t>
        </is>
      </c>
      <c r="C177" s="22" t="inlineStr">
        <is>
          <t>2002</t>
        </is>
      </c>
      <c r="D177" s="22" t="inlineStr">
        <is>
          <t>English</t>
        </is>
      </c>
      <c r="E177" s="22" t="inlineStr">
        <is>
          <t>yes</t>
        </is>
      </c>
      <c r="F177" s="2" t="inlineStr">
        <is>
          <t>Clinical presentation of wandering spleen.</t>
        </is>
      </c>
      <c r="G177" s="22" t="inlineStr">
        <is>
          <t>10.1053/jpsu.2002.35443</t>
        </is>
      </c>
      <c r="H177" s="22" t="inlineStr">
        <is>
          <t>https://pubmed.ncbi.nlm.nih.gov/12378476/</t>
        </is>
      </c>
    </row>
    <row r="178">
      <c r="A178" s="22" t="n">
        <v>177</v>
      </c>
      <c r="B178" s="22" t="inlineStr">
        <is>
          <t>WS0746</t>
        </is>
      </c>
      <c r="C178" s="22" t="inlineStr">
        <is>
          <t>2002</t>
        </is>
      </c>
      <c r="D178" s="22" t="inlineStr">
        <is>
          <t>English</t>
        </is>
      </c>
      <c r="E178" s="22" t="inlineStr">
        <is>
          <t>no</t>
        </is>
      </c>
      <c r="F178" s="2" t="inlineStr">
        <is>
          <t>Torsion of a wandering spleen.</t>
        </is>
      </c>
      <c r="G178" s="22" t="inlineStr"/>
      <c r="H178" s="22" t="inlineStr">
        <is>
          <t>https://pubmed.ncbi.nlm.nih.gov/12183881/</t>
        </is>
      </c>
    </row>
    <row r="179">
      <c r="A179" s="22" t="n">
        <v>178</v>
      </c>
      <c r="B179" s="22" t="inlineStr">
        <is>
          <t>WS0749</t>
        </is>
      </c>
      <c r="C179" s="22" t="inlineStr">
        <is>
          <t>2002</t>
        </is>
      </c>
      <c r="D179" s="22" t="inlineStr">
        <is>
          <t>English</t>
        </is>
      </c>
      <c r="E179" s="22" t="inlineStr">
        <is>
          <t>yes</t>
        </is>
      </c>
      <c r="F179" s="2" t="inlineStr">
        <is>
          <t>Wandering spleen: case report and literature review.</t>
        </is>
      </c>
      <c r="G179" s="22" t="inlineStr"/>
      <c r="H179" s="22" t="inlineStr">
        <is>
          <t>https://pubmed.ncbi.nlm.nih.gov/12018698/</t>
        </is>
      </c>
    </row>
    <row r="180">
      <c r="A180" s="22" t="n">
        <v>179</v>
      </c>
      <c r="B180" s="22" t="inlineStr">
        <is>
          <t>WS0760</t>
        </is>
      </c>
      <c r="C180" s="22" t="inlineStr">
        <is>
          <t>2001</t>
        </is>
      </c>
      <c r="D180" s="22" t="inlineStr">
        <is>
          <t>English</t>
        </is>
      </c>
      <c r="E180" s="22" t="inlineStr">
        <is>
          <t>no</t>
        </is>
      </c>
      <c r="F180" s="2" t="inlineStr">
        <is>
          <t>Re: "Gastric volvulus associated with wandering spleen in a child".</t>
        </is>
      </c>
      <c r="G180" s="22" t="inlineStr">
        <is>
          <t>10.1016/s0022-3468(01)70004-8</t>
        </is>
      </c>
      <c r="H180" s="22" t="inlineStr">
        <is>
          <t>https://pubmed.ncbi.nlm.nih.gov/11528630/</t>
        </is>
      </c>
    </row>
    <row r="181">
      <c r="A181" s="22" t="n">
        <v>180</v>
      </c>
      <c r="B181" s="22" t="inlineStr">
        <is>
          <t>WS0761</t>
        </is>
      </c>
      <c r="C181" s="22" t="inlineStr">
        <is>
          <t>2001</t>
        </is>
      </c>
      <c r="D181" s="22" t="inlineStr">
        <is>
          <t>English</t>
        </is>
      </c>
      <c r="E181" s="22" t="inlineStr">
        <is>
          <t>no</t>
        </is>
      </c>
      <c r="F181" s="2" t="inlineStr">
        <is>
          <t>Wandering spleen in a young girl with Gaucher disease.</t>
        </is>
      </c>
      <c r="G181" s="22" t="inlineStr"/>
      <c r="H181" s="22" t="inlineStr">
        <is>
          <t>https://pubmed.ncbi.nlm.nih.gov/11519393/</t>
        </is>
      </c>
    </row>
    <row r="182">
      <c r="A182" s="22" t="n">
        <v>181</v>
      </c>
      <c r="B182" s="22" t="inlineStr">
        <is>
          <t>WS0765</t>
        </is>
      </c>
      <c r="C182" s="22" t="inlineStr">
        <is>
          <t>2001</t>
        </is>
      </c>
      <c r="D182" s="22" t="inlineStr">
        <is>
          <t>English</t>
        </is>
      </c>
      <c r="E182" s="22" t="inlineStr">
        <is>
          <t>yes</t>
        </is>
      </c>
      <c r="F182" s="2" t="inlineStr">
        <is>
          <t>Gastric volvulus associated with congenital diaphragmatic hernia, wandering spleen, and intrathoracic left kidney: CT findings.</t>
        </is>
      </c>
      <c r="G182" s="22" t="inlineStr">
        <is>
          <t>10.1007/s002610000171</t>
        </is>
      </c>
      <c r="H182" s="22" t="inlineStr">
        <is>
          <t>https://pubmed.ncbi.nlm.nih.gov/11429960/</t>
        </is>
      </c>
    </row>
    <row r="183">
      <c r="A183" s="22" t="n">
        <v>182</v>
      </c>
      <c r="B183" s="22" t="inlineStr">
        <is>
          <t>WS0771</t>
        </is>
      </c>
      <c r="C183" s="22" t="inlineStr">
        <is>
          <t>2001</t>
        </is>
      </c>
      <c r="D183" s="22" t="inlineStr">
        <is>
          <t>English</t>
        </is>
      </c>
      <c r="E183" s="22" t="inlineStr">
        <is>
          <t>yes</t>
        </is>
      </c>
      <c r="F183" s="2" t="inlineStr">
        <is>
          <t>Left diaphragmatic eventration with a suprapubic spleen: report of a case.</t>
        </is>
      </c>
      <c r="G183" s="22" t="inlineStr">
        <is>
          <t>10.1007/s005950170209</t>
        </is>
      </c>
      <c r="H183" s="22" t="inlineStr">
        <is>
          <t>https://pubmed.ncbi.nlm.nih.gov/11291719/</t>
        </is>
      </c>
    </row>
    <row r="184">
      <c r="A184" s="22" t="n">
        <v>183</v>
      </c>
      <c r="B184" s="22" t="inlineStr">
        <is>
          <t>WS0776</t>
        </is>
      </c>
      <c r="C184" s="22" t="inlineStr">
        <is>
          <t>2001</t>
        </is>
      </c>
      <c r="D184" s="22" t="inlineStr">
        <is>
          <t>English</t>
        </is>
      </c>
      <c r="E184" s="22" t="inlineStr">
        <is>
          <t>no</t>
        </is>
      </c>
      <c r="F184" s="2" t="inlineStr">
        <is>
          <t>Value of power Doppler sonography in the evaluation of torsion in a wandering spleen.</t>
        </is>
      </c>
      <c r="G184" s="22" t="inlineStr">
        <is>
          <t>10.1002/1097-0096(200101)29:1&lt;60::aid-jcu11&gt;3.0.co;2-o</t>
        </is>
      </c>
      <c r="H184" s="22" t="inlineStr">
        <is>
          <t>https://pubmed.ncbi.nlm.nih.gov/11180188/</t>
        </is>
      </c>
    </row>
    <row r="185">
      <c r="A185" s="22" t="n">
        <v>184</v>
      </c>
      <c r="B185" s="22" t="inlineStr">
        <is>
          <t>WS0777</t>
        </is>
      </c>
      <c r="C185" s="22" t="inlineStr">
        <is>
          <t>2000</t>
        </is>
      </c>
      <c r="D185" s="22" t="inlineStr">
        <is>
          <t>English</t>
        </is>
      </c>
      <c r="E185" s="22" t="inlineStr">
        <is>
          <t>no</t>
        </is>
      </c>
      <c r="F185" s="2" t="inlineStr">
        <is>
          <t>Wandering spleen presenting as an asymptomatic mass.</t>
        </is>
      </c>
      <c r="G185" s="22" t="inlineStr">
        <is>
          <t>10.1046/j.1440-1622.2000.02008.x</t>
        </is>
      </c>
      <c r="H185" s="22" t="inlineStr">
        <is>
          <t>https://pubmed.ncbi.nlm.nih.gov/11167584/</t>
        </is>
      </c>
    </row>
    <row r="186">
      <c r="A186" s="22" t="n">
        <v>185</v>
      </c>
      <c r="B186" s="22" t="inlineStr">
        <is>
          <t>WS0778</t>
        </is>
      </c>
      <c r="C186" s="22" t="inlineStr">
        <is>
          <t>2000</t>
        </is>
      </c>
      <c r="D186" s="22" t="inlineStr">
        <is>
          <t>English</t>
        </is>
      </c>
      <c r="E186" s="22" t="inlineStr">
        <is>
          <t>yes</t>
        </is>
      </c>
      <c r="F186" s="2" t="inlineStr">
        <is>
          <t>A case of wandering spleen causing urinary symptoms after correction of a posterolateral diaphragmatic hernia.</t>
        </is>
      </c>
      <c r="G186" s="22" t="inlineStr">
        <is>
          <t>10.1007/s003830000353</t>
        </is>
      </c>
      <c r="H186" s="22" t="inlineStr">
        <is>
          <t>https://pubmed.ncbi.nlm.nih.gov/11149406/</t>
        </is>
      </c>
    </row>
    <row r="187">
      <c r="A187" s="22" t="n">
        <v>186</v>
      </c>
      <c r="B187" s="22" t="inlineStr">
        <is>
          <t>WS0780</t>
        </is>
      </c>
      <c r="C187" s="22" t="inlineStr">
        <is>
          <t>2000</t>
        </is>
      </c>
      <c r="D187" s="22" t="inlineStr">
        <is>
          <t>English</t>
        </is>
      </c>
      <c r="E187" s="22" t="inlineStr">
        <is>
          <t>yes</t>
        </is>
      </c>
      <c r="F187" s="2" t="inlineStr">
        <is>
          <t>Intrauterine torsion of a wandering spleen presenting as an abdominal cystic swelling.</t>
        </is>
      </c>
      <c r="G187" s="22" t="inlineStr">
        <is>
          <t>10.1053/jpsu.2000.16427</t>
        </is>
      </c>
      <c r="H187" s="22" t="inlineStr">
        <is>
          <t>https://pubmed.ncbi.nlm.nih.gov/11051164/</t>
        </is>
      </c>
    </row>
    <row r="188">
      <c r="A188" s="22" t="n">
        <v>187</v>
      </c>
      <c r="B188" s="22" t="inlineStr">
        <is>
          <t>WS0789</t>
        </is>
      </c>
      <c r="C188" s="22" t="inlineStr">
        <is>
          <t>2000</t>
        </is>
      </c>
      <c r="D188" s="22" t="inlineStr">
        <is>
          <t>English</t>
        </is>
      </c>
      <c r="E188" s="22" t="inlineStr">
        <is>
          <t>yes</t>
        </is>
      </c>
      <c r="F188" s="2" t="inlineStr">
        <is>
          <t>Gastric volvulus associated with wandering spleen in a child.</t>
        </is>
      </c>
      <c r="G188" s="22" t="inlineStr">
        <is>
          <t>10.1053/jpsu.2000.0350641</t>
        </is>
      </c>
      <c r="H188" s="22" t="inlineStr">
        <is>
          <t>https://pubmed.ncbi.nlm.nih.gov/10770406/</t>
        </is>
      </c>
    </row>
    <row r="189">
      <c r="A189" s="22" t="n">
        <v>188</v>
      </c>
      <c r="B189" s="22" t="inlineStr">
        <is>
          <t>WS1283</t>
        </is>
      </c>
      <c r="C189" s="22" t="inlineStr">
        <is>
          <t>2026</t>
        </is>
      </c>
      <c r="D189" s="22" t="inlineStr">
        <is>
          <t>English</t>
        </is>
      </c>
      <c r="E189" s="22" t="inlineStr">
        <is>
          <t>yes</t>
        </is>
      </c>
      <c r="F189" s="2" t="inlineStr">
        <is>
          <t>Splenic torsion of a wandering spleen and polysplenia syndrome in a 10-year-old boy with cyanotic congenital heart disease: A case report</t>
        </is>
      </c>
      <c r="G189" s="22" t="inlineStr">
        <is>
          <t>10.1016/j.epsc.2026.103340</t>
        </is>
      </c>
      <c r="H189" s="22" t="inlineStr">
        <is>
          <t>https://doi.org/10.1016/j.epsc.2026.103340</t>
        </is>
      </c>
    </row>
    <row r="190">
      <c r="A190" s="22" t="n">
        <v>189</v>
      </c>
      <c r="B190" s="22" t="inlineStr">
        <is>
          <t>WS1289</t>
        </is>
      </c>
      <c r="C190" s="22" t="inlineStr">
        <is>
          <t>2021</t>
        </is>
      </c>
      <c r="D190" s="22" t="inlineStr">
        <is>
          <t>English</t>
        </is>
      </c>
      <c r="E190" s="22" t="inlineStr">
        <is>
          <t>yes</t>
        </is>
      </c>
      <c r="F190" s="2" t="inlineStr">
        <is>
          <t>Splenic infarction: Torsion of a wandering spleen in a child</t>
        </is>
      </c>
      <c r="G190" s="22" t="inlineStr">
        <is>
          <t>10.1016/j.epsc.2020.101702</t>
        </is>
      </c>
      <c r="H190" s="22" t="inlineStr">
        <is>
          <t>https://doi.org/10.1016/j.epsc.2020.101702</t>
        </is>
      </c>
    </row>
    <row r="191">
      <c r="A191" s="22" t="n">
        <v>190</v>
      </c>
      <c r="B191" s="22" t="inlineStr">
        <is>
          <t>WS1293</t>
        </is>
      </c>
      <c r="C191" s="22" t="inlineStr">
        <is>
          <t>2025</t>
        </is>
      </c>
      <c r="D191" s="22" t="inlineStr">
        <is>
          <t>English</t>
        </is>
      </c>
      <c r="E191" s="22" t="inlineStr">
        <is>
          <t>yes</t>
        </is>
      </c>
      <c r="F191" s="2" t="inlineStr">
        <is>
          <t>Wandering spleen and intestinal malrotation in a 14-year-old female: a case report</t>
        </is>
      </c>
      <c r="G191" s="22" t="inlineStr">
        <is>
          <t>10.1016/j.epsc.2025.103046</t>
        </is>
      </c>
      <c r="H191" s="22" t="inlineStr">
        <is>
          <t>https://doi.org/10.1016/j.epsc.2025.103046</t>
        </is>
      </c>
    </row>
    <row r="192">
      <c r="A192" s="22" t="n">
        <v>191</v>
      </c>
      <c r="B192" s="22" t="inlineStr">
        <is>
          <t>WS1311</t>
        </is>
      </c>
      <c r="C192" s="22" t="inlineStr">
        <is>
          <t>2024</t>
        </is>
      </c>
      <c r="D192" s="22" t="inlineStr">
        <is>
          <t>English</t>
        </is>
      </c>
      <c r="E192" s="22" t="inlineStr">
        <is>
          <t>yes</t>
        </is>
      </c>
      <c r="F192" s="2" t="inlineStr">
        <is>
          <t>Splenic infarction following recurrent torsion of a wandering spleen: A case report</t>
        </is>
      </c>
      <c r="G192" s="22" t="inlineStr">
        <is>
          <t>10.1016/j.epsc.2024.102793</t>
        </is>
      </c>
      <c r="H192" s="22" t="inlineStr">
        <is>
          <t>https://doi.org/10.1016/j.epsc.2024.102793</t>
        </is>
      </c>
    </row>
    <row r="193">
      <c r="A193" s="22" t="n">
        <v>192</v>
      </c>
      <c r="B193" s="22" t="inlineStr">
        <is>
          <t>WS1339</t>
        </is>
      </c>
      <c r="C193" s="22" t="inlineStr">
        <is>
          <t>2024</t>
        </is>
      </c>
      <c r="D193" s="22" t="inlineStr">
        <is>
          <t>English</t>
        </is>
      </c>
      <c r="E193" s="22" t="inlineStr">
        <is>
          <t>yes</t>
        </is>
      </c>
      <c r="F193" s="2" t="inlineStr">
        <is>
          <t>Wandering spleen resulting in gastric volvulus in a child with vanishing gastroschisis: A case report</t>
        </is>
      </c>
      <c r="G193" s="22" t="inlineStr">
        <is>
          <t>10.1016/j.epsc.2024.102840</t>
        </is>
      </c>
      <c r="H193" s="22" t="inlineStr">
        <is>
          <t>https://doi.org/10.1016/j.epsc.2024.102840</t>
        </is>
      </c>
    </row>
    <row r="194">
      <c r="A194" s="22" t="n">
        <v>193</v>
      </c>
      <c r="B194" s="22" t="inlineStr">
        <is>
          <t>WS1352</t>
        </is>
      </c>
      <c r="C194" s="22" t="inlineStr">
        <is>
          <t>2024</t>
        </is>
      </c>
      <c r="D194" s="22" t="inlineStr">
        <is>
          <t>English</t>
        </is>
      </c>
      <c r="E194" s="22" t="inlineStr">
        <is>
          <t>no</t>
        </is>
      </c>
      <c r="F194" s="2" t="inlineStr">
        <is>
          <t>Clinics in diagnostic imaging (218)</t>
        </is>
      </c>
      <c r="G194" s="22" t="inlineStr">
        <is>
          <t>10.4103/singaporemedj.smj-2022-120</t>
        </is>
      </c>
      <c r="H194" s="22" t="inlineStr">
        <is>
          <t>https://doi.org/10.4103/singaporemedj.smj-2022-120</t>
        </is>
      </c>
    </row>
    <row r="195">
      <c r="A195" s="22" t="n">
        <v>194</v>
      </c>
      <c r="B195" s="22" t="inlineStr">
        <is>
          <t>WS1359</t>
        </is>
      </c>
      <c r="C195" s="22" t="inlineStr">
        <is>
          <t>2022</t>
        </is>
      </c>
      <c r="D195" s="22" t="inlineStr">
        <is>
          <t>English</t>
        </is>
      </c>
      <c r="E195" s="22" t="inlineStr">
        <is>
          <t>no</t>
        </is>
      </c>
      <c r="F195" s="2" t="inlineStr">
        <is>
          <t>Wandering Spleen Torsion: A Rare Case of Acute Abdomen</t>
        </is>
      </c>
      <c r="G195" s="22" t="inlineStr">
        <is>
          <t>10.4103/injms.injms_18_22</t>
        </is>
      </c>
      <c r="H195" s="22" t="inlineStr">
        <is>
          <t>https://doi.org/10.4103/injms.injms_18_22</t>
        </is>
      </c>
    </row>
    <row r="196">
      <c r="A196" s="22" t="n">
        <v>195</v>
      </c>
      <c r="B196" s="22" t="inlineStr">
        <is>
          <t>WS1361</t>
        </is>
      </c>
      <c r="C196" s="22" t="inlineStr">
        <is>
          <t>2021</t>
        </is>
      </c>
      <c r="D196" s="22" t="inlineStr">
        <is>
          <t>English</t>
        </is>
      </c>
      <c r="E196" s="22" t="inlineStr">
        <is>
          <t>yes</t>
        </is>
      </c>
      <c r="F196" s="2" t="inlineStr">
        <is>
          <t>Torsion of wandering spleen, splenectomy and autotransplantation of splenic slices</t>
        </is>
      </c>
      <c r="G196" s="22" t="inlineStr">
        <is>
          <t>10.1016/j.epsc.2021.101848</t>
        </is>
      </c>
      <c r="H196" s="22" t="inlineStr">
        <is>
          <t>https://doi.org/10.1016/j.epsc.2021.101848</t>
        </is>
      </c>
    </row>
    <row r="197">
      <c r="A197" s="22" t="n">
        <v>196</v>
      </c>
      <c r="B197" s="22" t="inlineStr">
        <is>
          <t>WS1367</t>
        </is>
      </c>
      <c r="C197" s="22" t="inlineStr">
        <is>
          <t>2025</t>
        </is>
      </c>
      <c r="D197" s="22" t="inlineStr">
        <is>
          <t>English</t>
        </is>
      </c>
      <c r="E197" s="22" t="inlineStr">
        <is>
          <t>yes</t>
        </is>
      </c>
      <c r="F197" s="2" t="inlineStr">
        <is>
          <t>Beyond the usual: three unique cases of wandering spleen in Indonesia</t>
        </is>
      </c>
      <c r="G197" s="22" t="inlineStr">
        <is>
          <t>10.1186/s43055-025-01488-z</t>
        </is>
      </c>
      <c r="H197" s="22" t="inlineStr">
        <is>
          <t>https://doi.org/10.1186/s43055-025-01488-z</t>
        </is>
      </c>
    </row>
    <row r="198">
      <c r="A198" s="22" t="n">
        <v>197</v>
      </c>
      <c r="B198" s="22" t="inlineStr">
        <is>
          <t>WS1373</t>
        </is>
      </c>
      <c r="C198" s="22" t="inlineStr">
        <is>
          <t>2020</t>
        </is>
      </c>
      <c r="D198" s="22" t="inlineStr">
        <is>
          <t>English</t>
        </is>
      </c>
      <c r="E198" s="22" t="inlineStr">
        <is>
          <t>no</t>
        </is>
      </c>
      <c r="F198" s="2" t="inlineStr">
        <is>
          <t>Wandering spleen in a pediatric patient</t>
        </is>
      </c>
      <c r="G198" s="22" t="inlineStr">
        <is>
          <t>10.1016/j.surg.2020.04.022</t>
        </is>
      </c>
      <c r="H198" s="22" t="inlineStr">
        <is>
          <t>https://doi.org/10.1016/j.surg.2020.04.022</t>
        </is>
      </c>
    </row>
    <row r="199">
      <c r="A199" s="22" t="n">
        <v>198</v>
      </c>
      <c r="B199" s="22" t="inlineStr">
        <is>
          <t>WS1388</t>
        </is>
      </c>
      <c r="C199" s="22" t="inlineStr">
        <is>
          <t>2024</t>
        </is>
      </c>
      <c r="D199" s="22" t="inlineStr">
        <is>
          <t>English</t>
        </is>
      </c>
      <c r="E199" s="22" t="inlineStr">
        <is>
          <t>yes</t>
        </is>
      </c>
      <c r="F199" s="2" t="inlineStr">
        <is>
          <t>Recurrent splenic volvulus after splenopexy in an 11-year-old child: A case report</t>
        </is>
      </c>
      <c r="G199" s="22" t="inlineStr">
        <is>
          <t>10.1016/j.epsc.2024.102877</t>
        </is>
      </c>
      <c r="H199" s="22" t="inlineStr">
        <is>
          <t>https://doi.org/10.1016/j.epsc.2024.102877</t>
        </is>
      </c>
    </row>
    <row r="200">
      <c r="A200" s="22" t="n">
        <v>199</v>
      </c>
      <c r="B200" s="22" t="inlineStr">
        <is>
          <t>WS1439</t>
        </is>
      </c>
      <c r="C200" s="22" t="inlineStr">
        <is>
          <t>2020</t>
        </is>
      </c>
      <c r="D200" s="22" t="inlineStr">
        <is>
          <t>English</t>
        </is>
      </c>
      <c r="E200" s="22" t="inlineStr">
        <is>
          <t>yes</t>
        </is>
      </c>
      <c r="F200" s="2" t="inlineStr">
        <is>
          <t>Adolescent with Spontaneous Splenic Rupture as a Cause of Hemoperitoneum in the Emergency Department: Case Report and Literature Review</t>
        </is>
      </c>
      <c r="G200" s="22" t="inlineStr">
        <is>
          <t>10.1097/pec.0000000000001520</t>
        </is>
      </c>
      <c r="H200" s="22" t="inlineStr">
        <is>
          <t>https://doi.org/10.1097/pec.0000000000001520</t>
        </is>
      </c>
    </row>
    <row r="201">
      <c r="A201" s="22" t="n">
        <v>200</v>
      </c>
      <c r="B201" s="22" t="inlineStr">
        <is>
          <t>WS1507</t>
        </is>
      </c>
      <c r="C201" s="22" t="inlineStr">
        <is>
          <t>2017</t>
        </is>
      </c>
      <c r="D201" s="22" t="inlineStr">
        <is>
          <t>English</t>
        </is>
      </c>
      <c r="E201" s="22" t="inlineStr">
        <is>
          <t>yes</t>
        </is>
      </c>
      <c r="F201" s="2" t="inlineStr">
        <is>
          <t>Wandering spleen associated with omphalocele in a neonate: An unusual case with non-operative management</t>
        </is>
      </c>
      <c r="G201" s="22" t="inlineStr">
        <is>
          <t>10.1016/j.epsc.2017.06.003</t>
        </is>
      </c>
      <c r="H201" s="22" t="inlineStr">
        <is>
          <t>https://doi.org/10.1016/j.epsc.2017.06.003</t>
        </is>
      </c>
    </row>
    <row r="202">
      <c r="A202" s="22" t="n">
        <v>201</v>
      </c>
      <c r="B202" s="22" t="inlineStr">
        <is>
          <t>WS1512</t>
        </is>
      </c>
      <c r="C202" s="22" t="inlineStr">
        <is>
          <t>2017</t>
        </is>
      </c>
      <c r="D202" s="22" t="inlineStr">
        <is>
          <t>English</t>
        </is>
      </c>
      <c r="E202" s="22" t="inlineStr">
        <is>
          <t>yes</t>
        </is>
      </c>
      <c r="F202" s="2" t="inlineStr">
        <is>
          <t>Splenic torsion presenting as splenic vein thrombosis</t>
        </is>
      </c>
      <c r="G202" s="22" t="inlineStr">
        <is>
          <t>10.1016/j.epsc.2016.04.024</t>
        </is>
      </c>
      <c r="H202" s="22" t="inlineStr">
        <is>
          <t>https://doi.org/10.1016/j.epsc.2016.04.024</t>
        </is>
      </c>
    </row>
    <row r="203">
      <c r="A203" s="22" t="n">
        <v>202</v>
      </c>
      <c r="B203" s="22" t="inlineStr">
        <is>
          <t>WS1513</t>
        </is>
      </c>
      <c r="C203" s="22" t="inlineStr">
        <is>
          <t>2023</t>
        </is>
      </c>
      <c r="D203" s="22" t="inlineStr">
        <is>
          <t>Chinese</t>
        </is>
      </c>
      <c r="E203" s="22" t="inlineStr">
        <is>
          <t>yes</t>
        </is>
      </c>
      <c r="F203" s="2" t="inlineStr">
        <is>
          <t>小儿脾韧带缺如并原位脾扭转1例并文献复习</t>
        </is>
      </c>
      <c r="G203" s="22" t="inlineStr">
        <is>
          <t>10.3760/cma.j.cn101785—202205024—016</t>
        </is>
      </c>
      <c r="H203" s="22" t="inlineStr">
        <is>
          <t>https://doi.org/10.3760/cma.j.cn101785—202205024—016</t>
        </is>
      </c>
    </row>
    <row r="204">
      <c r="A204" s="22" t="n">
        <v>203</v>
      </c>
      <c r="B204" s="22" t="inlineStr">
        <is>
          <t>WS1526</t>
        </is>
      </c>
      <c r="C204" s="22" t="inlineStr">
        <is>
          <t>2026</t>
        </is>
      </c>
      <c r="D204" s="22" t="inlineStr">
        <is>
          <t>English</t>
        </is>
      </c>
      <c r="E204" s="22" t="inlineStr">
        <is>
          <t>no</t>
        </is>
      </c>
      <c r="F204" s="2" t="inlineStr">
        <is>
          <t>Splenic torsion secondary to a pelvic wandering spleen</t>
        </is>
      </c>
      <c r="G204" s="22" t="inlineStr">
        <is>
          <t>10.1016/j.asjsur.2026.02.220</t>
        </is>
      </c>
      <c r="H204" s="22" t="inlineStr">
        <is>
          <t>https://doi.org/10.1016/j.asjsur.2026.02.220</t>
        </is>
      </c>
    </row>
    <row r="205">
      <c r="A205" s="22" t="n">
        <v>204</v>
      </c>
      <c r="B205" s="22" t="inlineStr">
        <is>
          <t>WS1527</t>
        </is>
      </c>
      <c r="C205" s="22" t="inlineStr">
        <is>
          <t>2019</t>
        </is>
      </c>
      <c r="D205" s="22" t="inlineStr">
        <is>
          <t>English</t>
        </is>
      </c>
      <c r="E205" s="22" t="inlineStr">
        <is>
          <t>yes</t>
        </is>
      </c>
      <c r="F205" s="2" t="inlineStr">
        <is>
          <t>Torsion of wandering spleen in an infant associated with hamartomatous vascular malformation</t>
        </is>
      </c>
      <c r="G205" s="22" t="inlineStr">
        <is>
          <t>10.1016/j.epsc.2018.10.001</t>
        </is>
      </c>
      <c r="H205" s="22" t="inlineStr">
        <is>
          <t>https://doi.org/10.1016/j.epsc.2018.10.001</t>
        </is>
      </c>
    </row>
    <row r="206">
      <c r="A206" s="22" t="n">
        <v>205</v>
      </c>
      <c r="B206" s="22" t="inlineStr">
        <is>
          <t>WS1537</t>
        </is>
      </c>
      <c r="C206" s="22" t="inlineStr">
        <is>
          <t>2023</t>
        </is>
      </c>
      <c r="D206" s="22" t="inlineStr">
        <is>
          <t>English</t>
        </is>
      </c>
      <c r="E206" s="22" t="inlineStr">
        <is>
          <t>yes</t>
        </is>
      </c>
      <c r="F206" s="2" t="inlineStr">
        <is>
          <t>Surgical crossroads: Unravelling mesenteroaxial volvulus and diaphragmatic eventration</t>
        </is>
      </c>
      <c r="G206" s="22" t="inlineStr">
        <is>
          <t>10.1016/j.gpeds.2023.100090</t>
        </is>
      </c>
      <c r="H206" s="22" t="inlineStr">
        <is>
          <t>https://doi.org/10.1016/j.gpeds.2023.100090</t>
        </is>
      </c>
    </row>
    <row r="207">
      <c r="A207" s="22" t="n">
        <v>206</v>
      </c>
      <c r="B207" s="22" t="inlineStr">
        <is>
          <t>WS1553</t>
        </is>
      </c>
      <c r="C207" s="22" t="inlineStr">
        <is>
          <t>2017</t>
        </is>
      </c>
      <c r="D207" s="22" t="inlineStr">
        <is>
          <t>English</t>
        </is>
      </c>
      <c r="E207" s="22" t="inlineStr">
        <is>
          <t>no</t>
        </is>
      </c>
      <c r="F207" s="2" t="inlineStr">
        <is>
          <t>Splenic and pancreatic torsion after giant omphalocele repair</t>
        </is>
      </c>
      <c r="G207" s="22" t="inlineStr">
        <is>
          <t>10.1016/j.epsc.2017.08.002</t>
        </is>
      </c>
      <c r="H207" s="22" t="inlineStr">
        <is>
          <t>https://doi.org/10.1016/j.epsc.2017.08.002</t>
        </is>
      </c>
    </row>
    <row r="208">
      <c r="A208" s="22" t="n">
        <v>207</v>
      </c>
      <c r="B208" s="22" t="inlineStr">
        <is>
          <t>WS1565</t>
        </is>
      </c>
      <c r="C208" s="22" t="inlineStr">
        <is>
          <t>2018</t>
        </is>
      </c>
      <c r="D208" s="22" t="inlineStr">
        <is>
          <t>Chinese</t>
        </is>
      </c>
      <c r="E208" s="22" t="inlineStr">
        <is>
          <t>yes</t>
        </is>
      </c>
      <c r="F208" s="2" t="inlineStr">
        <is>
          <t>脾扭转1例</t>
        </is>
      </c>
      <c r="G208" s="22" t="inlineStr">
        <is>
          <t>10.13929/j.1003-3289.201803054</t>
        </is>
      </c>
      <c r="H208" s="22" t="inlineStr">
        <is>
          <t>https://doi.org/10.13929/j.1003-3289.201803054</t>
        </is>
      </c>
    </row>
    <row r="209">
      <c r="A209" s="22" t="n">
        <v>208</v>
      </c>
      <c r="B209" s="22" t="inlineStr">
        <is>
          <t>WS1577</t>
        </is>
      </c>
      <c r="C209" s="22" t="inlineStr">
        <is>
          <t>2017</t>
        </is>
      </c>
      <c r="D209" s="22" t="inlineStr">
        <is>
          <t>English</t>
        </is>
      </c>
      <c r="E209" s="22" t="inlineStr">
        <is>
          <t>no</t>
        </is>
      </c>
      <c r="F209" s="2" t="inlineStr">
        <is>
          <t>Update on a previously reported male with a FLNA missense mutation</t>
        </is>
      </c>
      <c r="G209" s="22" t="inlineStr">
        <is>
          <t>10.1038/ejhg.2016.156</t>
        </is>
      </c>
      <c r="H209" s="22" t="inlineStr">
        <is>
          <t>https://doi.org/10.1038/ejhg.2016.156</t>
        </is>
      </c>
    </row>
    <row r="210">
      <c r="A210" s="22" t="n">
        <v>209</v>
      </c>
      <c r="B210" s="22" t="inlineStr">
        <is>
          <t>WS1578</t>
        </is>
      </c>
      <c r="C210" s="22" t="inlineStr">
        <is>
          <t>2019</t>
        </is>
      </c>
      <c r="D210" s="22" t="inlineStr">
        <is>
          <t>English</t>
        </is>
      </c>
      <c r="E210" s="22" t="inlineStr">
        <is>
          <t>yes</t>
        </is>
      </c>
      <c r="F210" s="2" t="inlineStr">
        <is>
          <t>Acute presentation of pediatric splenic torsion</t>
        </is>
      </c>
      <c r="G210" s="22" t="inlineStr">
        <is>
          <t>10.1016/j.epsc.2019.101267</t>
        </is>
      </c>
      <c r="H210" s="22" t="inlineStr">
        <is>
          <t>https://doi.org/10.1016/j.epsc.2019.101267</t>
        </is>
      </c>
    </row>
    <row r="211">
      <c r="A211" s="22" t="n">
        <v>210</v>
      </c>
      <c r="B211" s="22" t="inlineStr">
        <is>
          <t>WS1584</t>
        </is>
      </c>
      <c r="C211" s="22" t="inlineStr">
        <is>
          <t>2024</t>
        </is>
      </c>
      <c r="D211" s="22" t="inlineStr">
        <is>
          <t>English</t>
        </is>
      </c>
      <c r="E211" s="22" t="inlineStr">
        <is>
          <t>no</t>
        </is>
      </c>
      <c r="F211" s="2" t="inlineStr">
        <is>
          <t>Unusual gastric distention in a 1-year-old infant</t>
        </is>
      </c>
      <c r="G211" s="22" t="inlineStr">
        <is>
          <t>10.1002/emp2.13124</t>
        </is>
      </c>
      <c r="H211" s="22" t="inlineStr">
        <is>
          <t>https://doi.org/10.1002/emp2.13124</t>
        </is>
      </c>
    </row>
    <row r="212">
      <c r="A212" s="22" t="n">
        <v>211</v>
      </c>
      <c r="B212" s="22" t="inlineStr">
        <is>
          <t>WS1589</t>
        </is>
      </c>
      <c r="C212" s="22" t="inlineStr">
        <is>
          <t>2025</t>
        </is>
      </c>
      <c r="D212" s="22" t="inlineStr">
        <is>
          <t>English</t>
        </is>
      </c>
      <c r="E212" s="22" t="inlineStr">
        <is>
          <t>yes</t>
        </is>
      </c>
      <c r="F212" s="2" t="inlineStr">
        <is>
          <t>CLINICAL CASE OF COMBINATION OF ACUTE APPENDICITIS WITH SPLEEN TORSION IN A CHILD</t>
        </is>
      </c>
      <c r="G212" s="22" t="inlineStr">
        <is>
          <t>10.14300/mnnc.2025.20040</t>
        </is>
      </c>
      <c r="H212" s="22" t="inlineStr">
        <is>
          <t>https://doi.org/10.14300/mnnc.2025.20040</t>
        </is>
      </c>
    </row>
    <row r="213">
      <c r="A213" s="22" t="n">
        <v>212</v>
      </c>
      <c r="B213" s="22" t="inlineStr">
        <is>
          <t>WS1592</t>
        </is>
      </c>
      <c r="C213" s="22" t="inlineStr">
        <is>
          <t>2019</t>
        </is>
      </c>
      <c r="D213" s="22" t="inlineStr">
        <is>
          <t>English</t>
        </is>
      </c>
      <c r="E213" s="22" t="inlineStr">
        <is>
          <t>yes</t>
        </is>
      </c>
      <c r="F213" s="2" t="inlineStr">
        <is>
          <t>Recurrent abdominal pain with thrombocytosis:A presentation of wandering spleen</t>
        </is>
      </c>
      <c r="G213" s="22" t="inlineStr">
        <is>
          <t>10.4103/fjs.fjs_34_19</t>
        </is>
      </c>
      <c r="H213" s="22" t="inlineStr">
        <is>
          <t>https://doi.org/10.4103/fjs.fjs_34_19</t>
        </is>
      </c>
    </row>
    <row r="214">
      <c r="A214" s="22" t="n">
        <v>213</v>
      </c>
      <c r="B214" s="22" t="inlineStr">
        <is>
          <t>WS1614</t>
        </is>
      </c>
      <c r="C214" s="22" t="inlineStr">
        <is>
          <t>2021</t>
        </is>
      </c>
      <c r="D214" s="22" t="inlineStr">
        <is>
          <t>English</t>
        </is>
      </c>
      <c r="E214" s="22" t="inlineStr">
        <is>
          <t>yes</t>
        </is>
      </c>
      <c r="F214" s="2" t="inlineStr">
        <is>
          <t>Wandering spleen-a possible cause of adrenal ”mass“-case report</t>
        </is>
      </c>
      <c r="G214" s="22" t="inlineStr">
        <is>
          <t>10.2478/sjecr-2019-0004</t>
        </is>
      </c>
      <c r="H214" s="22" t="inlineStr">
        <is>
          <t>https://doi.org/10.2478/sjecr-2019-0004</t>
        </is>
      </c>
    </row>
    <row r="215">
      <c r="A215" s="22" t="n">
        <v>214</v>
      </c>
      <c r="B215" s="22" t="inlineStr">
        <is>
          <t>WS1639</t>
        </is>
      </c>
      <c r="C215" s="22" t="inlineStr">
        <is>
          <t>2013</t>
        </is>
      </c>
      <c r="D215" s="22" t="inlineStr">
        <is>
          <t>English</t>
        </is>
      </c>
      <c r="E215" s="22" t="inlineStr">
        <is>
          <t>yes</t>
        </is>
      </c>
      <c r="F215" s="2" t="inlineStr">
        <is>
          <t>Acute gastric volvulus and wandering spleen: A rare association</t>
        </is>
      </c>
      <c r="G215" s="22" t="inlineStr">
        <is>
          <t>10.1016/j.epsc.2013.03.019</t>
        </is>
      </c>
      <c r="H215" s="22" t="inlineStr">
        <is>
          <t>https://doi.org/10.1016/j.epsc.2013.03.019</t>
        </is>
      </c>
    </row>
    <row r="216">
      <c r="A216" s="22" t="n">
        <v>215</v>
      </c>
      <c r="B216" s="22" t="inlineStr">
        <is>
          <t>WS1649</t>
        </is>
      </c>
      <c r="C216" s="22" t="inlineStr">
        <is>
          <t>2013</t>
        </is>
      </c>
      <c r="D216" s="22" t="inlineStr">
        <is>
          <t>English</t>
        </is>
      </c>
      <c r="E216" s="22" t="inlineStr">
        <is>
          <t>yes</t>
        </is>
      </c>
      <c r="F216" s="2" t="inlineStr">
        <is>
          <t>Wandering spleen and splenic torsion associated with upper respiratory tract infection</t>
        </is>
      </c>
      <c r="G216" s="22" t="inlineStr">
        <is>
          <t>10.1016/j.epsc.2013.05.006</t>
        </is>
      </c>
      <c r="H216" s="22" t="inlineStr">
        <is>
          <t>https://doi.org/10.1016/j.epsc.2013.05.006</t>
        </is>
      </c>
    </row>
    <row r="217">
      <c r="A217" s="22" t="n">
        <v>216</v>
      </c>
      <c r="B217" s="22" t="inlineStr">
        <is>
          <t>WS1651</t>
        </is>
      </c>
      <c r="C217" s="22" t="inlineStr">
        <is>
          <t>2008</t>
        </is>
      </c>
      <c r="D217" s="22" t="inlineStr">
        <is>
          <t>English</t>
        </is>
      </c>
      <c r="E217" s="22" t="inlineStr">
        <is>
          <t>no</t>
        </is>
      </c>
      <c r="F217" s="2" t="inlineStr">
        <is>
          <t>Wandering spleen presenting as recurrent abdominal pain in a young female</t>
        </is>
      </c>
      <c r="G217" s="22" t="inlineStr"/>
      <c r="H217" s="22" t="inlineStr">
        <is>
          <t>https://www.scopus.com/pages/publications/77953376698?origin=resultslist</t>
        </is>
      </c>
    </row>
    <row r="218">
      <c r="A218" s="22" t="n">
        <v>217</v>
      </c>
      <c r="B218" s="22" t="inlineStr">
        <is>
          <t>WS1685</t>
        </is>
      </c>
      <c r="C218" s="22" t="inlineStr">
        <is>
          <t>2010</t>
        </is>
      </c>
      <c r="D218" s="22" t="inlineStr">
        <is>
          <t>English</t>
        </is>
      </c>
      <c r="E218" s="22" t="inlineStr">
        <is>
          <t>yes</t>
        </is>
      </c>
      <c r="F218" s="2" t="inlineStr">
        <is>
          <t>A wandering spleen: A common presentation of an uncommon anomaly</t>
        </is>
      </c>
      <c r="G218" s="22" t="inlineStr">
        <is>
          <t>10.1080/20786204.2010.10873930</t>
        </is>
      </c>
      <c r="H218" s="22" t="inlineStr">
        <is>
          <t>https://doi.org/10.1080/20786204.2010.10873930</t>
        </is>
      </c>
    </row>
    <row r="219">
      <c r="A219" s="22" t="n">
        <v>218</v>
      </c>
      <c r="B219" s="22" t="inlineStr">
        <is>
          <t>WS1704</t>
        </is>
      </c>
      <c r="C219" s="22" t="inlineStr">
        <is>
          <t>2007</t>
        </is>
      </c>
      <c r="D219" s="22" t="inlineStr">
        <is>
          <t>English</t>
        </is>
      </c>
      <c r="E219" s="22" t="inlineStr">
        <is>
          <t>yes</t>
        </is>
      </c>
      <c r="F219" s="2" t="inlineStr">
        <is>
          <t>Torsion in a paediatric wandering spleen: Case report and review of literature</t>
        </is>
      </c>
      <c r="G219" s="22" t="inlineStr">
        <is>
          <t>10.4103/0971-9261.31087</t>
        </is>
      </c>
      <c r="H219" s="22" t="inlineStr">
        <is>
          <t>https://doi.org/10.4103/0971-9261.31087</t>
        </is>
      </c>
    </row>
    <row r="220">
      <c r="A220" s="22" t="n">
        <v>219</v>
      </c>
      <c r="B220" s="22" t="inlineStr">
        <is>
          <t>WS1856</t>
        </is>
      </c>
      <c r="C220" s="22" t="inlineStr">
        <is>
          <t>2024</t>
        </is>
      </c>
      <c r="D220" s="22" t="inlineStr">
        <is>
          <t>Chinese</t>
        </is>
      </c>
      <c r="E220" s="22" t="inlineStr">
        <is>
          <t>yes</t>
        </is>
      </c>
      <c r="F220" s="2" t="inlineStr">
        <is>
          <t>以急腹症表现的儿童游走脾伴脾功能亢进1例</t>
        </is>
      </c>
      <c r="G220" s="22" t="inlineStr">
        <is>
          <t>10.19542/j.cnki.1006-5180.2311-140</t>
        </is>
      </c>
      <c r="H220" s="22" t="inlineStr">
        <is>
          <t>https://doi.org/10.19542/j.cnki.1006-5180.2311-140</t>
        </is>
      </c>
    </row>
    <row r="221">
      <c r="A221" s="22" t="n">
        <v>220</v>
      </c>
      <c r="B221" s="22" t="inlineStr">
        <is>
          <t>WS1859</t>
        </is>
      </c>
      <c r="C221" s="22" t="inlineStr">
        <is>
          <t>2024</t>
        </is>
      </c>
      <c r="D221" s="22" t="inlineStr">
        <is>
          <t>Chinese</t>
        </is>
      </c>
      <c r="E221" s="22" t="inlineStr">
        <is>
          <t>yes</t>
        </is>
      </c>
      <c r="F221" s="2" t="inlineStr">
        <is>
          <t>儿童脾扭转诊治的单中心回顾性研究</t>
        </is>
      </c>
      <c r="G221" s="22" t="inlineStr">
        <is>
          <t>10.3969/j.issn.2095-5340.2024.05.008</t>
        </is>
      </c>
      <c r="H221" s="22" t="inlineStr">
        <is>
          <t>https://doi.org/10.3969/j.issn.2095-5340.2024.05.008</t>
        </is>
      </c>
    </row>
    <row r="222">
      <c r="A222" s="22" t="n">
        <v>221</v>
      </c>
      <c r="B222" s="22" t="inlineStr">
        <is>
          <t>WS1860</t>
        </is>
      </c>
      <c r="C222" s="22" t="inlineStr">
        <is>
          <t>2024</t>
        </is>
      </c>
      <c r="D222" s="22" t="inlineStr">
        <is>
          <t>Chinese</t>
        </is>
      </c>
      <c r="E222" s="22" t="inlineStr">
        <is>
          <t>yes</t>
        </is>
      </c>
      <c r="F222" s="2" t="inlineStr">
        <is>
          <t>儿童游离脾伴脾蒂及胰尾扭转一例</t>
        </is>
      </c>
      <c r="G222" s="22" t="inlineStr">
        <is>
          <t>10.11952/j.issn.1007-1954.2024.06.011</t>
        </is>
      </c>
      <c r="H222" s="22" t="inlineStr">
        <is>
          <t>https://doi.org/10.11952/j.issn.1007-1954.2024.06.011</t>
        </is>
      </c>
    </row>
    <row r="223">
      <c r="A223" s="22" t="n">
        <v>222</v>
      </c>
      <c r="B223" s="22" t="inlineStr">
        <is>
          <t>WS1867</t>
        </is>
      </c>
      <c r="C223" s="22" t="inlineStr">
        <is>
          <t>2023</t>
        </is>
      </c>
      <c r="D223" s="22" t="inlineStr">
        <is>
          <t>Chinese</t>
        </is>
      </c>
      <c r="E223" s="22" t="inlineStr">
        <is>
          <t>yes</t>
        </is>
      </c>
      <c r="F223" s="2" t="inlineStr">
        <is>
          <t>游走脾伴蒂扭转1例</t>
        </is>
      </c>
      <c r="G223" s="22" t="inlineStr">
        <is>
          <t>10.13499/j.cnki.fqjwkzz.2023.10.799</t>
        </is>
      </c>
      <c r="H223" s="22" t="inlineStr">
        <is>
          <t>https://doi.org/10.13499/j.cnki.fqjwkzz.2023.10.799</t>
        </is>
      </c>
    </row>
    <row r="224">
      <c r="A224" s="22" t="n">
        <v>223</v>
      </c>
      <c r="B224" s="22" t="inlineStr">
        <is>
          <t>WS1868</t>
        </is>
      </c>
      <c r="C224" s="22" t="inlineStr">
        <is>
          <t>2023</t>
        </is>
      </c>
      <c r="D224" s="22" t="inlineStr">
        <is>
          <t>Chinese</t>
        </is>
      </c>
      <c r="E224" s="22" t="inlineStr">
        <is>
          <t>yes</t>
        </is>
      </c>
      <c r="F224" s="2" t="inlineStr">
        <is>
          <t>“十字”切口型腹膜囊袋脾固定术治疗先天性游走脾伴扭转</t>
        </is>
      </c>
      <c r="G224" s="22" t="inlineStr">
        <is>
          <t>10.3760/cma.j.cn113855-20230217-00066</t>
        </is>
      </c>
      <c r="H224" s="22" t="inlineStr">
        <is>
          <t>https://doi.org/10.3760/cma.j.cn113855-20230217-00066</t>
        </is>
      </c>
    </row>
    <row r="225">
      <c r="A225" s="22" t="n">
        <v>224</v>
      </c>
      <c r="B225" s="22" t="inlineStr">
        <is>
          <t>WS1869</t>
        </is>
      </c>
      <c r="C225" s="22" t="inlineStr">
        <is>
          <t>2023</t>
        </is>
      </c>
      <c r="D225" s="22" t="inlineStr">
        <is>
          <t>Chinese</t>
        </is>
      </c>
      <c r="E225" s="22" t="inlineStr">
        <is>
          <t>yes</t>
        </is>
      </c>
      <c r="F225" s="2" t="inlineStr">
        <is>
          <t>儿童游走脾伴蒂扭转、脾梗死1例</t>
        </is>
      </c>
      <c r="G225" s="22" t="inlineStr">
        <is>
          <t>10.3969/j.issn.1009-9905.2023.09.019</t>
        </is>
      </c>
      <c r="H225" s="22" t="inlineStr">
        <is>
          <t>https://doi.org/10.3969/j.issn.1009-9905.2023.09.019</t>
        </is>
      </c>
    </row>
    <row r="226">
      <c r="A226" s="22" t="n">
        <v>225</v>
      </c>
      <c r="B226" s="22" t="inlineStr">
        <is>
          <t>WS1880</t>
        </is>
      </c>
      <c r="C226" s="22" t="inlineStr">
        <is>
          <t>2022</t>
        </is>
      </c>
      <c r="D226" s="22" t="inlineStr">
        <is>
          <t>Chinese</t>
        </is>
      </c>
      <c r="E226" s="22" t="inlineStr">
        <is>
          <t>yes</t>
        </is>
      </c>
      <c r="F226" s="2" t="inlineStr">
        <is>
          <t>游走脾急腹症1例</t>
        </is>
      </c>
      <c r="G226" s="22" t="inlineStr">
        <is>
          <t>10.3969/j.issn.1004-3594.2022.12.016</t>
        </is>
      </c>
      <c r="H226" s="22" t="inlineStr">
        <is>
          <t>https://doi.org/10.3969/j.issn.1004-3594.2022.12.016</t>
        </is>
      </c>
    </row>
    <row r="227">
      <c r="A227" s="22" t="n">
        <v>226</v>
      </c>
      <c r="B227" s="22" t="inlineStr">
        <is>
          <t>WS1890</t>
        </is>
      </c>
      <c r="C227" s="22" t="inlineStr">
        <is>
          <t>2021</t>
        </is>
      </c>
      <c r="D227" s="22" t="inlineStr">
        <is>
          <t>Chinese</t>
        </is>
      </c>
      <c r="E227" s="22" t="inlineStr">
        <is>
          <t>yes</t>
        </is>
      </c>
      <c r="F227" s="2" t="inlineStr">
        <is>
          <t>游走脾合并胃扭转、左侧膈疝一例报告并文献复习</t>
        </is>
      </c>
      <c r="G227" s="22" t="inlineStr">
        <is>
          <t>10.3760/cma.j.cn115455-20200318-00314</t>
        </is>
      </c>
      <c r="H227" s="22" t="inlineStr">
        <is>
          <t>https://doi.org/10.3760/cma.j.cn115455-20200318-00314</t>
        </is>
      </c>
    </row>
    <row r="228">
      <c r="A228" s="22" t="n">
        <v>227</v>
      </c>
      <c r="B228" s="22" t="inlineStr">
        <is>
          <t>WS1892</t>
        </is>
      </c>
      <c r="C228" s="22" t="inlineStr">
        <is>
          <t>2021</t>
        </is>
      </c>
      <c r="D228" s="22" t="inlineStr">
        <is>
          <t>Chinese</t>
        </is>
      </c>
      <c r="E228" s="22" t="inlineStr">
        <is>
          <t>yes</t>
        </is>
      </c>
      <c r="F228" s="2" t="inlineStr">
        <is>
          <t>超声诊断儿童脾扭转并副脾扭转1例</t>
        </is>
      </c>
      <c r="G228" s="22" t="inlineStr">
        <is>
          <t>10.3969/j.issn.1008-6978.2021.03.028</t>
        </is>
      </c>
      <c r="H228" s="22" t="inlineStr">
        <is>
          <t>https://doi.org/10.3969/j.issn.1008-6978.2021.03.028</t>
        </is>
      </c>
    </row>
    <row r="229">
      <c r="A229" s="22" t="n">
        <v>228</v>
      </c>
      <c r="B229" s="22" t="inlineStr">
        <is>
          <t>WS1902</t>
        </is>
      </c>
      <c r="C229" s="22" t="inlineStr">
        <is>
          <t>2020</t>
        </is>
      </c>
      <c r="D229" s="22" t="inlineStr">
        <is>
          <t>Chinese</t>
        </is>
      </c>
      <c r="E229" s="22" t="inlineStr">
        <is>
          <t>yes</t>
        </is>
      </c>
      <c r="F229" s="2" t="inlineStr">
        <is>
          <t>腹腔镜梗死脾切除、残余脾腹膜后固定术治疗游走脾扭转2例并文献复习</t>
        </is>
      </c>
      <c r="G229" s="22" t="inlineStr">
        <is>
          <t>10.3969/j.issn.1671-6353.2020.03.017</t>
        </is>
      </c>
      <c r="H229" s="22" t="inlineStr">
        <is>
          <t>https://doi.org/10.3969/j.issn.1671-6353.2020.03.017</t>
        </is>
      </c>
    </row>
    <row r="230">
      <c r="A230" s="22" t="n">
        <v>229</v>
      </c>
      <c r="B230" s="22" t="inlineStr">
        <is>
          <t>WS1903</t>
        </is>
      </c>
      <c r="C230" s="22" t="inlineStr">
        <is>
          <t>2020</t>
        </is>
      </c>
      <c r="D230" s="22" t="inlineStr">
        <is>
          <t>Chinese</t>
        </is>
      </c>
      <c r="E230" s="22" t="inlineStr">
        <is>
          <t>yes</t>
        </is>
      </c>
      <c r="F230" s="2" t="inlineStr">
        <is>
          <t>腹腔镜切除异位脾扭转1例报告</t>
        </is>
      </c>
      <c r="G230" s="22" t="inlineStr">
        <is>
          <t>10.13499/j.cnki.fqjwkzz.2020.03.239</t>
        </is>
      </c>
      <c r="H230" s="22" t="inlineStr">
        <is>
          <t>https://doi.org/10.13499/j.cnki.fqjwkzz.2020.03.239</t>
        </is>
      </c>
    </row>
    <row r="231">
      <c r="A231" s="22" t="n">
        <v>230</v>
      </c>
      <c r="B231" s="22" t="inlineStr">
        <is>
          <t>WS1908</t>
        </is>
      </c>
      <c r="C231" s="22" t="inlineStr">
        <is>
          <t>2019</t>
        </is>
      </c>
      <c r="D231" s="22" t="inlineStr">
        <is>
          <t>Chinese</t>
        </is>
      </c>
      <c r="E231" s="22" t="inlineStr">
        <is>
          <t>yes</t>
        </is>
      </c>
      <c r="F231" s="2" t="inlineStr">
        <is>
          <t>一例游离脾伴胃扭转的病例汇报</t>
        </is>
      </c>
      <c r="G231" s="22" t="inlineStr">
        <is>
          <t>10.19613/j.cnki.1671-3141.2019.92.217</t>
        </is>
      </c>
      <c r="H231" s="22" t="inlineStr">
        <is>
          <t>https://doi.org/10.19613/j.cnki.1671-3141.2019.92.217</t>
        </is>
      </c>
    </row>
    <row r="232">
      <c r="A232" s="22" t="n">
        <v>231</v>
      </c>
      <c r="B232" s="22" t="inlineStr">
        <is>
          <t>WS1913</t>
        </is>
      </c>
      <c r="C232" s="22" t="inlineStr">
        <is>
          <t>2019</t>
        </is>
      </c>
      <c r="D232" s="22" t="inlineStr">
        <is>
          <t>Chinese</t>
        </is>
      </c>
      <c r="E232" s="22" t="inlineStr">
        <is>
          <t>yes</t>
        </is>
      </c>
      <c r="F232" s="2" t="inlineStr">
        <is>
          <t>游走脾并蒂扭转、脾梗死1例报告</t>
        </is>
      </c>
      <c r="G232" s="22" t="inlineStr">
        <is>
          <t>10.19538/j.cjps.issn1005-2208.2019.09.28</t>
        </is>
      </c>
      <c r="H232" s="22" t="inlineStr">
        <is>
          <t>https://doi.org/10.19538/j.cjps.issn1005-2208.2019.09.28</t>
        </is>
      </c>
    </row>
    <row r="233">
      <c r="A233" s="22" t="n">
        <v>232</v>
      </c>
      <c r="B233" s="22" t="inlineStr">
        <is>
          <t>WS1916</t>
        </is>
      </c>
      <c r="C233" s="22" t="inlineStr">
        <is>
          <t>2019</t>
        </is>
      </c>
      <c r="D233" s="22" t="inlineStr">
        <is>
          <t>Chinese</t>
        </is>
      </c>
      <c r="E233" s="22" t="inlineStr">
        <is>
          <t>yes</t>
        </is>
      </c>
      <c r="F233" s="2" t="inlineStr">
        <is>
          <t>游走脾发育不良合并腹股沟疝超声表现1例</t>
        </is>
      </c>
      <c r="G233" s="22" t="inlineStr">
        <is>
          <t>10.3760/cma.j.issn.1004‐4477.2019.08.018</t>
        </is>
      </c>
      <c r="H233" s="22" t="inlineStr">
        <is>
          <t>https://doi.org/10.3760/cma.j.issn.1004‐4477.2019.08.018</t>
        </is>
      </c>
    </row>
    <row r="234">
      <c r="A234" s="22" t="n">
        <v>233</v>
      </c>
      <c r="B234" s="22" t="inlineStr">
        <is>
          <t>WS1925</t>
        </is>
      </c>
      <c r="C234" s="22" t="inlineStr">
        <is>
          <t>2018</t>
        </is>
      </c>
      <c r="D234" s="22" t="inlineStr">
        <is>
          <t>Chinese</t>
        </is>
      </c>
      <c r="E234" s="22" t="inlineStr">
        <is>
          <t>yes</t>
        </is>
      </c>
      <c r="F234" s="2" t="inlineStr">
        <is>
          <t>T型腹膜囊袋固定术治疗游走脾二例</t>
        </is>
      </c>
      <c r="G234" s="22" t="inlineStr">
        <is>
          <t>10.3760/cma.j.issn.1007-631x.2018.11.026</t>
        </is>
      </c>
      <c r="H234" s="22" t="inlineStr">
        <is>
          <t>https://doi.org/10.3760/cma.j.issn.1007-631x.2018.11.026</t>
        </is>
      </c>
    </row>
    <row r="235">
      <c r="A235" s="22" t="n">
        <v>234</v>
      </c>
      <c r="B235" s="22" t="inlineStr">
        <is>
          <t>WS1927</t>
        </is>
      </c>
      <c r="C235" s="22" t="inlineStr">
        <is>
          <t>2018</t>
        </is>
      </c>
      <c r="D235" s="22" t="inlineStr">
        <is>
          <t>Chinese</t>
        </is>
      </c>
      <c r="E235" s="22" t="inlineStr">
        <is>
          <t>yes</t>
        </is>
      </c>
      <c r="F235" s="2" t="inlineStr">
        <is>
          <t>妊娠合并异位脾一例并文献分析</t>
        </is>
      </c>
      <c r="G235" s="22" t="inlineStr">
        <is>
          <t>10.3760/cma.j.issn.1673-4904.2018.10.017</t>
        </is>
      </c>
      <c r="H235" s="22" t="inlineStr">
        <is>
          <t>https://doi.org/10.3760/cma.j.issn.1673-4904.2018.10.017</t>
        </is>
      </c>
    </row>
    <row r="236">
      <c r="A236" s="22" t="n">
        <v>235</v>
      </c>
      <c r="B236" s="22" t="inlineStr">
        <is>
          <t>WS1929</t>
        </is>
      </c>
      <c r="C236" s="22" t="inlineStr">
        <is>
          <t>2018</t>
        </is>
      </c>
      <c r="D236" s="22" t="inlineStr">
        <is>
          <t>Chinese</t>
        </is>
      </c>
      <c r="E236" s="22" t="inlineStr">
        <is>
          <t>yes</t>
        </is>
      </c>
      <c r="F236" s="2" t="inlineStr">
        <is>
          <t>腹腔镜切除异位脾扭转一例</t>
        </is>
      </c>
      <c r="G236" s="22" t="inlineStr">
        <is>
          <t>10.3969/j.issn.1003-5591.2018.04.018</t>
        </is>
      </c>
      <c r="H236" s="22" t="inlineStr">
        <is>
          <t>https://doi.org/10.3969/j.issn.1003-5591.2018.04.018</t>
        </is>
      </c>
    </row>
    <row r="237">
      <c r="A237" s="22" t="n">
        <v>236</v>
      </c>
      <c r="B237" s="22" t="inlineStr">
        <is>
          <t>WS1972</t>
        </is>
      </c>
      <c r="C237" s="22" t="inlineStr">
        <is>
          <t>2014</t>
        </is>
      </c>
      <c r="D237" s="22" t="inlineStr">
        <is>
          <t>Chinese</t>
        </is>
      </c>
      <c r="E237" s="22" t="inlineStr">
        <is>
          <t>yes</t>
        </is>
      </c>
      <c r="F237" s="2" t="inlineStr">
        <is>
          <t>超声诊断内脏反位伴多脾合并游走脾扭转1例</t>
        </is>
      </c>
      <c r="G237" s="22" t="inlineStr">
        <is>
          <t>10.3969/j.issn.1002-0101.2014.09.035</t>
        </is>
      </c>
      <c r="H237" s="22" t="inlineStr">
        <is>
          <t>https://doi.org/10.3969/j.issn.1002-0101.2014.09.035</t>
        </is>
      </c>
    </row>
    <row r="238">
      <c r="A238" s="22" t="n">
        <v>237</v>
      </c>
      <c r="B238" s="22" t="inlineStr">
        <is>
          <t>WS2001</t>
        </is>
      </c>
      <c r="C238" s="22" t="inlineStr">
        <is>
          <t>2012</t>
        </is>
      </c>
      <c r="D238" s="22" t="inlineStr">
        <is>
          <t>Chinese</t>
        </is>
      </c>
      <c r="E238" s="22" t="inlineStr">
        <is>
          <t>yes</t>
        </is>
      </c>
      <c r="F238" s="2" t="inlineStr">
        <is>
          <t>超声诊断小儿游走脾并脾扭转、脾梗死1例</t>
        </is>
      </c>
      <c r="G238" s="22" t="inlineStr">
        <is>
          <t>10.3760/cma.j.issn.1004-4477.2012.11.015</t>
        </is>
      </c>
      <c r="H238" s="22" t="inlineStr">
        <is>
          <t>https://doi.org/10.3760/cma.j.issn.1004-4477.2012.11.015</t>
        </is>
      </c>
    </row>
    <row r="239">
      <c r="A239" s="22" t="n">
        <v>238</v>
      </c>
      <c r="B239" s="22" t="inlineStr">
        <is>
          <t>WS2011</t>
        </is>
      </c>
      <c r="C239" s="22" t="inlineStr">
        <is>
          <t>2011</t>
        </is>
      </c>
      <c r="D239" s="22" t="inlineStr">
        <is>
          <t>Chinese</t>
        </is>
      </c>
      <c r="E239" s="22" t="inlineStr">
        <is>
          <t>yes</t>
        </is>
      </c>
      <c r="F239" s="2" t="inlineStr">
        <is>
          <t>腹腔镜脾部分切除、残余脾腹膜外固定术治疗游走脾并扭转一例</t>
        </is>
      </c>
      <c r="G239" s="22" t="inlineStr">
        <is>
          <t>10.3760/cma.j.issn.0253-3006.2011.07.026</t>
        </is>
      </c>
      <c r="H239" s="22" t="inlineStr">
        <is>
          <t>https://doi.org/10.3760/cma.j.issn.0253-3006.2011.07.026</t>
        </is>
      </c>
    </row>
    <row r="240">
      <c r="A240" s="22" t="n">
        <v>239</v>
      </c>
      <c r="B240" s="22" t="inlineStr">
        <is>
          <t>WS2018</t>
        </is>
      </c>
      <c r="C240" s="22" t="inlineStr">
        <is>
          <t>2011</t>
        </is>
      </c>
      <c r="D240" s="22" t="inlineStr">
        <is>
          <t>Chinese</t>
        </is>
      </c>
      <c r="E240" s="22" t="inlineStr">
        <is>
          <t>yes</t>
        </is>
      </c>
      <c r="F240" s="2" t="inlineStr">
        <is>
          <t>CT诊断儿童游走脾伴脾蒂扭转一例</t>
        </is>
      </c>
      <c r="G240" s="22" t="inlineStr">
        <is>
          <t>10.3969/j.issn.1000-0313.2011.04.041</t>
        </is>
      </c>
      <c r="H240" s="22" t="inlineStr">
        <is>
          <t>https://doi.org/10.3969/j.issn.1000-0313.2011.04.041</t>
        </is>
      </c>
    </row>
    <row r="241">
      <c r="A241" s="22" t="n">
        <v>240</v>
      </c>
      <c r="B241" s="22" t="inlineStr">
        <is>
          <t>WS2025</t>
        </is>
      </c>
      <c r="C241" s="22" t="inlineStr">
        <is>
          <t>2010</t>
        </is>
      </c>
      <c r="D241" s="22" t="inlineStr">
        <is>
          <t>Chinese</t>
        </is>
      </c>
      <c r="E241" s="22" t="inlineStr">
        <is>
          <t>yes</t>
        </is>
      </c>
      <c r="F241" s="2" t="inlineStr">
        <is>
          <t>游走脾脏一例</t>
        </is>
      </c>
      <c r="G241" s="22" t="inlineStr"/>
      <c r="H241" s="22" t="inlineStr">
        <is>
          <t>https://kns.cnki.net/kcms2/article/abstract?v=DgjXjbKQq8fVckySnTbODO0EhEQ2_XqnSAGvZCl1UfTG_GOrKdr-cmTTQ2eCqVCg_xZLZnLbx0Cfte0BCro3LaWoMwg9eBnyP1LEn4U0mO6VajPqBT9AfllYs7jzk0oekOcBc88jc_sCyiw6aXntXv_X_iOOlFoHJaR2HoYsf1eQvUHYB_5oPg==&amp;uniplatform=NZKPT&amp;language=CHS</t>
        </is>
      </c>
    </row>
    <row r="242">
      <c r="A242" s="22" t="n">
        <v>241</v>
      </c>
      <c r="B242" s="22" t="inlineStr">
        <is>
          <t>WS2032</t>
        </is>
      </c>
      <c r="C242" s="22" t="inlineStr">
        <is>
          <t>2010</t>
        </is>
      </c>
      <c r="D242" s="22" t="inlineStr">
        <is>
          <t>Chinese</t>
        </is>
      </c>
      <c r="E242" s="22" t="inlineStr">
        <is>
          <t>yes</t>
        </is>
      </c>
      <c r="F242" s="2" t="inlineStr">
        <is>
          <t>小儿游离脾扭转一例</t>
        </is>
      </c>
      <c r="G242" s="22" t="inlineStr">
        <is>
          <t>10.3760/cma.j.issn.0253-3006.2010.01.026</t>
        </is>
      </c>
      <c r="H242" s="22" t="inlineStr">
        <is>
          <t>https://doi.org/10.3760/cma.j.issn.0253-3006.2010.01.026</t>
        </is>
      </c>
    </row>
    <row r="243">
      <c r="A243" s="22" t="n">
        <v>242</v>
      </c>
      <c r="B243" s="22" t="inlineStr">
        <is>
          <t>WS2040</t>
        </is>
      </c>
      <c r="C243" s="22" t="inlineStr">
        <is>
          <t>2009</t>
        </is>
      </c>
      <c r="D243" s="22" t="inlineStr">
        <is>
          <t>Chinese</t>
        </is>
      </c>
      <c r="E243" s="22" t="inlineStr">
        <is>
          <t>yes</t>
        </is>
      </c>
      <c r="F243" s="2" t="inlineStr">
        <is>
          <t>脾扭转的CT诊断1例</t>
        </is>
      </c>
      <c r="G243" s="22" t="inlineStr">
        <is>
          <t>10.3969/j.issn.1672-0512.2009.04.030</t>
        </is>
      </c>
      <c r="H243" s="22" t="inlineStr">
        <is>
          <t>https://doi.org/10.3969/j.issn.1672-0512.2009.04.030</t>
        </is>
      </c>
    </row>
    <row r="244">
      <c r="A244" s="22" t="n">
        <v>243</v>
      </c>
      <c r="B244" s="22" t="inlineStr">
        <is>
          <t>WS2041</t>
        </is>
      </c>
      <c r="C244" s="22" t="inlineStr">
        <is>
          <t>2009</t>
        </is>
      </c>
      <c r="D244" s="22" t="inlineStr">
        <is>
          <t>Chinese</t>
        </is>
      </c>
      <c r="E244" s="22" t="inlineStr">
        <is>
          <t>yes</t>
        </is>
      </c>
      <c r="F244" s="2" t="inlineStr">
        <is>
          <t>游走脾并脾扭转一例</t>
        </is>
      </c>
      <c r="G244" s="22" t="inlineStr">
        <is>
          <t>10.13437/j.cnki.jcr.2009.08.011</t>
        </is>
      </c>
      <c r="H244" s="22" t="inlineStr">
        <is>
          <t>https://doi.org/10.13437/j.cnki.jcr.2009.08.011</t>
        </is>
      </c>
    </row>
    <row r="245">
      <c r="A245" s="22" t="n">
        <v>244</v>
      </c>
      <c r="B245" s="22" t="inlineStr">
        <is>
          <t>WS2044</t>
        </is>
      </c>
      <c r="C245" s="22" t="inlineStr">
        <is>
          <t>2009</t>
        </is>
      </c>
      <c r="D245" s="22" t="inlineStr">
        <is>
          <t>Chinese</t>
        </is>
      </c>
      <c r="E245" s="22" t="inlineStr">
        <is>
          <t>yes</t>
        </is>
      </c>
      <c r="F245" s="2" t="inlineStr">
        <is>
          <t>一例小儿游离脾扭转行脾切除围手术期的护理</t>
        </is>
      </c>
      <c r="G245" s="22" t="inlineStr"/>
      <c r="H245" s="22" t="inlineStr">
        <is>
          <t>https://kns.cnki.net/kcms2/article/abstract?v=DgjXjbKQq8d_cqUgnskTkbYITA5FTQZq8uL5nG_q50LnaLd3BTPpLdmK89LFd8lDuJeVURyaeChDE2_fX3-jCilf9NEWkuk0MIKrNJWk6yw4h6hR_1mnbTusq1Fi23JXfGrINhj-5S8PVGWLe7gbWfzs_RiS3PdUOkY-rTdqSb07a1MVKleoFJYv02RthRQg&amp;uniplatform=NZKPT&amp;language=CHS</t>
        </is>
      </c>
    </row>
    <row r="246">
      <c r="A246" s="22" t="n">
        <v>245</v>
      </c>
      <c r="B246" s="22" t="inlineStr">
        <is>
          <t>WS2046</t>
        </is>
      </c>
      <c r="C246" s="22" t="inlineStr">
        <is>
          <t>2009</t>
        </is>
      </c>
      <c r="D246" s="22" t="inlineStr">
        <is>
          <t>Chinese</t>
        </is>
      </c>
      <c r="E246" s="22" t="inlineStr">
        <is>
          <t>yes</t>
        </is>
      </c>
      <c r="F246" s="2" t="inlineStr">
        <is>
          <t>游走脾扭转</t>
        </is>
      </c>
      <c r="G246" s="22" t="inlineStr">
        <is>
          <t>10.3760/cma.j.issn.1673-4904.2009.02.033</t>
        </is>
      </c>
      <c r="H246" s="22" t="inlineStr">
        <is>
          <t>https://doi.org/10.3760/cma.j.issn.1673-4904.2009.02.033</t>
        </is>
      </c>
    </row>
    <row r="247">
      <c r="A247" s="22" t="n">
        <v>246</v>
      </c>
      <c r="B247" s="22" t="inlineStr">
        <is>
          <t>WS2058</t>
        </is>
      </c>
      <c r="C247" s="22" t="inlineStr">
        <is>
          <t>2008</t>
        </is>
      </c>
      <c r="D247" s="22" t="inlineStr">
        <is>
          <t>Chinese</t>
        </is>
      </c>
      <c r="E247" s="22" t="inlineStr">
        <is>
          <t>yes</t>
        </is>
      </c>
      <c r="F247" s="2" t="inlineStr">
        <is>
          <t>超声诊断游走脾1例</t>
        </is>
      </c>
      <c r="G247" s="22" t="inlineStr">
        <is>
          <t>10.3321/j.issn:1004-4477.2008.01.028</t>
        </is>
      </c>
      <c r="H247" s="22" t="inlineStr">
        <is>
          <t>https://doi.org/10.3321/j.issn:1004-4477.2008.01.028</t>
        </is>
      </c>
    </row>
    <row r="248">
      <c r="A248" s="22" t="n">
        <v>247</v>
      </c>
      <c r="B248" s="22" t="inlineStr">
        <is>
          <t>WS2059</t>
        </is>
      </c>
      <c r="C248" s="22" t="inlineStr">
        <is>
          <t>2007</t>
        </is>
      </c>
      <c r="D248" s="22" t="inlineStr">
        <is>
          <t>Chinese</t>
        </is>
      </c>
      <c r="E248" s="22" t="inlineStr">
        <is>
          <t>yes</t>
        </is>
      </c>
      <c r="F248" s="2" t="inlineStr">
        <is>
          <t>异位脾误诊为盆腔肿物1例</t>
        </is>
      </c>
      <c r="G248" s="22" t="inlineStr"/>
      <c r="H248" s="22" t="inlineStr">
        <is>
          <t>https://kns.cnki.net/kcms2/article/abstract?v=DgjXjbKQq8fjLYRDkSdaeklGK60lNJNYuSrMztWSP1Y3NRRA_ZEPgavbPwpsIS1vXXz-GSHs3y6_XdJzKLodbs9mCPVwllvZoPemRsKSvEhy6sjpUsJHQzDF_rmlbnSK8nQ8gAgUNB9O43v3VvRs25ZHgIGR4asi5ZbNVnUgBBa85WuNX7f2AQ==&amp;uniplatform=NZKPT&amp;language=CHS</t>
        </is>
      </c>
    </row>
    <row r="249">
      <c r="A249" s="22" t="n">
        <v>248</v>
      </c>
      <c r="B249" s="22" t="inlineStr">
        <is>
          <t>WS2062</t>
        </is>
      </c>
      <c r="C249" s="22" t="inlineStr">
        <is>
          <t>2007</t>
        </is>
      </c>
      <c r="D249" s="22" t="inlineStr">
        <is>
          <t>Chinese</t>
        </is>
      </c>
      <c r="E249" s="22" t="inlineStr">
        <is>
          <t>yes</t>
        </is>
      </c>
      <c r="F249" s="2" t="inlineStr">
        <is>
          <t>游走脾合并蒂扭转一例报道</t>
        </is>
      </c>
      <c r="G249" s="22" t="inlineStr">
        <is>
          <t>10.3969/j.issn.1003-5591.2007.03.030</t>
        </is>
      </c>
      <c r="H249" s="22" t="inlineStr">
        <is>
          <t>https://doi.org/10.3969/j.issn.1003-5591.2007.03.030</t>
        </is>
      </c>
    </row>
    <row r="250">
      <c r="A250" s="22" t="n">
        <v>249</v>
      </c>
      <c r="B250" s="22" t="inlineStr">
        <is>
          <t>WS2083</t>
        </is>
      </c>
      <c r="C250" s="22" t="inlineStr">
        <is>
          <t>2005</t>
        </is>
      </c>
      <c r="D250" s="22" t="inlineStr">
        <is>
          <t>Chinese</t>
        </is>
      </c>
      <c r="E250" s="22" t="inlineStr">
        <is>
          <t>yes</t>
        </is>
      </c>
      <c r="F250" s="2" t="inlineStr">
        <is>
          <t>游走脾并脾蒂扭转二例</t>
        </is>
      </c>
      <c r="G250" s="22" t="inlineStr">
        <is>
          <t>10.3760/j.issn:1005-1201.2005.10.025</t>
        </is>
      </c>
      <c r="H250" s="22" t="inlineStr">
        <is>
          <t>https://doi.org/10.3760/j.issn:1005-1201.2005.10.025</t>
        </is>
      </c>
    </row>
    <row r="251">
      <c r="A251" s="22" t="n">
        <v>250</v>
      </c>
      <c r="B251" s="22" t="inlineStr">
        <is>
          <t>WS2092</t>
        </is>
      </c>
      <c r="C251" s="22" t="inlineStr">
        <is>
          <t>2004</t>
        </is>
      </c>
      <c r="D251" s="22" t="inlineStr">
        <is>
          <t>Chinese</t>
        </is>
      </c>
      <c r="E251" s="22" t="inlineStr">
        <is>
          <t>yes</t>
        </is>
      </c>
      <c r="F251" s="2" t="inlineStr">
        <is>
          <t>游离脾扭转1例</t>
        </is>
      </c>
      <c r="G251" s="22" t="inlineStr">
        <is>
          <t>10.3969/j.issn.1008-6978.2004.04.038</t>
        </is>
      </c>
      <c r="H251" s="22" t="inlineStr">
        <is>
          <t>https://doi.org/10.3969/j.issn.1008-6978.2004.04.038</t>
        </is>
      </c>
    </row>
    <row r="252">
      <c r="A252" s="22" t="n">
        <v>251</v>
      </c>
      <c r="B252" s="22" t="inlineStr">
        <is>
          <t>WS2093</t>
        </is>
      </c>
      <c r="C252" s="22" t="inlineStr">
        <is>
          <t>2004</t>
        </is>
      </c>
      <c r="D252" s="22" t="inlineStr">
        <is>
          <t>Chinese</t>
        </is>
      </c>
      <c r="E252" s="22" t="inlineStr">
        <is>
          <t>yes</t>
        </is>
      </c>
      <c r="F252" s="2" t="inlineStr">
        <is>
          <t>腹腔镜下胃固定术治疗小儿胃扭转并游走脾一例</t>
        </is>
      </c>
      <c r="G252" s="22" t="inlineStr">
        <is>
          <t>10.3760/cma.j.issn.0253-3006.2004.04.036</t>
        </is>
      </c>
      <c r="H252" s="22" t="inlineStr">
        <is>
          <t>https://doi.org/10.3760/cma.j.issn.0253-3006.2004.04.036</t>
        </is>
      </c>
    </row>
    <row r="253">
      <c r="A253" s="22" t="n">
        <v>252</v>
      </c>
      <c r="B253" s="22" t="inlineStr">
        <is>
          <t>WS2101</t>
        </is>
      </c>
      <c r="C253" s="22" t="inlineStr">
        <is>
          <t>2003</t>
        </is>
      </c>
      <c r="D253" s="22" t="inlineStr">
        <is>
          <t>Chinese</t>
        </is>
      </c>
      <c r="E253" s="22" t="inlineStr">
        <is>
          <t>yes</t>
        </is>
      </c>
      <c r="F253" s="2" t="inlineStr">
        <is>
          <t>超声诊断异位脾、脾蒂扭转1例</t>
        </is>
      </c>
      <c r="G253" s="22" t="inlineStr">
        <is>
          <t>10.3969/j.issn.1671-5098.2003.12.027</t>
        </is>
      </c>
      <c r="H253" s="22" t="inlineStr">
        <is>
          <t>https://doi.org/10.3969/j.issn.1671-5098.2003.12.027</t>
        </is>
      </c>
    </row>
    <row r="254">
      <c r="A254" s="22" t="n">
        <v>253</v>
      </c>
      <c r="B254" s="22" t="inlineStr">
        <is>
          <t>WS2111</t>
        </is>
      </c>
      <c r="C254" s="22" t="inlineStr">
        <is>
          <t>2003</t>
        </is>
      </c>
      <c r="D254" s="22" t="inlineStr">
        <is>
          <t>Chinese</t>
        </is>
      </c>
      <c r="E254" s="22" t="inlineStr">
        <is>
          <t>yes</t>
        </is>
      </c>
      <c r="F254" s="2" t="inlineStr">
        <is>
          <t>异位脾扭转合并副脾误诊1例</t>
        </is>
      </c>
      <c r="G254" s="22" t="inlineStr">
        <is>
          <t>10.3760/j.issn:1004-4477.2003.02.027</t>
        </is>
      </c>
      <c r="H254" s="22" t="inlineStr">
        <is>
          <t>https://doi.org/10.3760/j.issn:1004-4477.2003.02.027</t>
        </is>
      </c>
    </row>
    <row r="255">
      <c r="A255" s="22" t="n">
        <v>254</v>
      </c>
      <c r="B255" s="22" t="inlineStr">
        <is>
          <t>WS2114</t>
        </is>
      </c>
      <c r="C255" s="22" t="inlineStr">
        <is>
          <t>2002</t>
        </is>
      </c>
      <c r="D255" s="22" t="inlineStr">
        <is>
          <t>Chinese</t>
        </is>
      </c>
      <c r="E255" s="22" t="inlineStr">
        <is>
          <t>yes</t>
        </is>
      </c>
      <c r="F255" s="2" t="inlineStr">
        <is>
          <t>游离脾扭转误诊为卵巢肿瘤1例</t>
        </is>
      </c>
      <c r="G255" s="22" t="inlineStr">
        <is>
          <t>10.3760/cma.j.issn.1674-4756.2002.09.078</t>
        </is>
      </c>
      <c r="H255" s="22" t="inlineStr">
        <is>
          <t>https://doi.org/10.3760/cma.j.issn.1674-4756.2002.09.078</t>
        </is>
      </c>
    </row>
    <row r="256">
      <c r="A256" s="22" t="n">
        <v>255</v>
      </c>
      <c r="B256" s="22" t="inlineStr">
        <is>
          <t>WS2116</t>
        </is>
      </c>
      <c r="C256" s="22" t="inlineStr">
        <is>
          <t>2002</t>
        </is>
      </c>
      <c r="D256" s="22" t="inlineStr">
        <is>
          <t>Chinese</t>
        </is>
      </c>
      <c r="E256" s="22" t="inlineStr">
        <is>
          <t>yes</t>
        </is>
      </c>
      <c r="F256" s="2" t="inlineStr">
        <is>
          <t>超声诊断游走脾1例</t>
        </is>
      </c>
      <c r="G256" s="22" t="inlineStr">
        <is>
          <t>10.3969/j.issn.1002-0101.2002.06.027</t>
        </is>
      </c>
      <c r="H256" s="22" t="inlineStr">
        <is>
          <t>https://doi.org/10.3969/j.issn.1002-0101.2002.06.027</t>
        </is>
      </c>
    </row>
    <row r="257">
      <c r="A257" s="22" t="n">
        <v>256</v>
      </c>
      <c r="B257" s="22" t="inlineStr">
        <is>
          <t>WS2119</t>
        </is>
      </c>
      <c r="C257" s="22" t="inlineStr">
        <is>
          <t>2002</t>
        </is>
      </c>
      <c r="D257" s="22" t="inlineStr">
        <is>
          <t>Chinese</t>
        </is>
      </c>
      <c r="E257" s="22" t="inlineStr">
        <is>
          <t>yes</t>
        </is>
      </c>
      <c r="F257" s="2" t="inlineStr">
        <is>
          <t>脾扭转误诊2例</t>
        </is>
      </c>
      <c r="G257" s="22" t="inlineStr">
        <is>
          <t>10.3969/j.issn.1004-6879.2002.01.055</t>
        </is>
      </c>
      <c r="H257" s="22" t="inlineStr">
        <is>
          <t>https://doi.org/10.3969/j.issn.1004-6879.2002.01.055</t>
        </is>
      </c>
    </row>
    <row r="258">
      <c r="A258" s="22" t="n">
        <v>257</v>
      </c>
      <c r="B258" s="22" t="inlineStr">
        <is>
          <t>WS2125</t>
        </is>
      </c>
      <c r="C258" s="22" t="inlineStr">
        <is>
          <t>2001</t>
        </is>
      </c>
      <c r="D258" s="22" t="inlineStr">
        <is>
          <t>Chinese</t>
        </is>
      </c>
      <c r="E258" s="22" t="inlineStr">
        <is>
          <t>yes</t>
        </is>
      </c>
      <c r="F258" s="2" t="inlineStr">
        <is>
          <t>游走脾误诊为卵巢性腺瘤1例</t>
        </is>
      </c>
      <c r="G258" s="22" t="inlineStr">
        <is>
          <t>10.3969/j.issn.1004-3101.2001.03.076</t>
        </is>
      </c>
      <c r="H258" s="22" t="inlineStr">
        <is>
          <t>https://doi.org/10.3969/j.issn.1004-3101.2001.03.076</t>
        </is>
      </c>
    </row>
    <row r="259">
      <c r="A259" s="22" t="n">
        <v>258</v>
      </c>
      <c r="B259" s="22" t="inlineStr">
        <is>
          <t>WS2127</t>
        </is>
      </c>
      <c r="C259" s="22" t="inlineStr">
        <is>
          <t>2001</t>
        </is>
      </c>
      <c r="D259" s="22" t="inlineStr">
        <is>
          <t>Chinese</t>
        </is>
      </c>
      <c r="E259" s="22" t="inlineStr">
        <is>
          <t>yes</t>
        </is>
      </c>
      <c r="F259" s="2" t="inlineStr">
        <is>
          <t>B超诊断游走脾蒂扭转脾梗塞1例</t>
        </is>
      </c>
      <c r="G259" s="22" t="inlineStr"/>
      <c r="H259" s="22" t="inlineStr">
        <is>
          <t>https://kns.cnki.net/kcms2/article/abstract?v=DgjXjbKQq8dLOo97PlXuXc85pN4oNAYFVPem728iamJxnYRjNQ0V40SAmu94mB71sCHGkJp83j26QuP6R49fNQerg4YjD_Z7vZ7b2Fo1doSBMvDxNOP4yDRCiSdcPxjeEQ4m0Y6xORzhGOg27li5DmQYJFRydlul6oPG72qCba5oOqHys9T5Qw==&amp;uniplatform=NZKPT&amp;language=CHS</t>
        </is>
      </c>
    </row>
    <row r="260">
      <c r="A260" s="22" t="n">
        <v>259</v>
      </c>
      <c r="B260" s="22" t="inlineStr">
        <is>
          <t>WS2130</t>
        </is>
      </c>
      <c r="C260" s="22" t="inlineStr">
        <is>
          <t>2001</t>
        </is>
      </c>
      <c r="D260" s="22" t="inlineStr">
        <is>
          <t>Chinese</t>
        </is>
      </c>
      <c r="E260" s="22" t="inlineStr">
        <is>
          <t>yes</t>
        </is>
      </c>
      <c r="F260" s="2" t="inlineStr">
        <is>
          <t>小儿游走脾致脾梗死1例</t>
        </is>
      </c>
      <c r="G260" s="22" t="inlineStr">
        <is>
          <t>10.3969/j.issn.1671-8631.2001.04.049</t>
        </is>
      </c>
      <c r="H260" s="22" t="inlineStr">
        <is>
          <t>https://doi.org/10.3969/j.issn.1671-8631.2001.04.049</t>
        </is>
      </c>
    </row>
    <row r="261">
      <c r="A261" s="22" t="n">
        <v>260</v>
      </c>
      <c r="B261" s="22" t="inlineStr">
        <is>
          <t>WS2135</t>
        </is>
      </c>
      <c r="C261" s="22" t="inlineStr">
        <is>
          <t>2001</t>
        </is>
      </c>
      <c r="D261" s="22" t="inlineStr">
        <is>
          <t>Chinese</t>
        </is>
      </c>
      <c r="E261" s="22" t="inlineStr">
        <is>
          <t>yes</t>
        </is>
      </c>
      <c r="F261" s="2" t="inlineStr">
        <is>
          <t>超声诊断小儿游走脾伴脾蒂扭转2例</t>
        </is>
      </c>
      <c r="G261" s="22" t="inlineStr">
        <is>
          <t>10.3760/j.issn:1004-4477.2001.02.031</t>
        </is>
      </c>
      <c r="H261" s="22" t="inlineStr">
        <is>
          <t>https://doi.org/10.3760/j.issn:1004-4477.2001.02.031</t>
        </is>
      </c>
    </row>
    <row r="262">
      <c r="A262" s="22" t="n">
        <v>261</v>
      </c>
      <c r="B262" s="22" t="inlineStr">
        <is>
          <t>WS2137</t>
        </is>
      </c>
      <c r="C262" s="22" t="inlineStr">
        <is>
          <t>2000</t>
        </is>
      </c>
      <c r="D262" s="22" t="inlineStr">
        <is>
          <t>Chinese</t>
        </is>
      </c>
      <c r="E262" s="22" t="inlineStr">
        <is>
          <t>yes</t>
        </is>
      </c>
      <c r="F262" s="2" t="inlineStr">
        <is>
          <t>游走脾并蒂扭转1例报告</t>
        </is>
      </c>
      <c r="G262" s="22" t="inlineStr">
        <is>
          <t>10.3969/j.issn.1007-9564.2000.11.100</t>
        </is>
      </c>
      <c r="H262" s="22" t="inlineStr">
        <is>
          <t>https://doi.org/10.3969/j.issn.1007-9564.2000.11.100</t>
        </is>
      </c>
    </row>
    <row r="263">
      <c r="A263" s="22" t="n">
        <v>262</v>
      </c>
      <c r="B263" s="22" t="inlineStr">
        <is>
          <t>WS2138</t>
        </is>
      </c>
      <c r="C263" s="22" t="inlineStr">
        <is>
          <t>2000</t>
        </is>
      </c>
      <c r="D263" s="22" t="inlineStr">
        <is>
          <t>Chinese</t>
        </is>
      </c>
      <c r="E263" s="22" t="inlineStr">
        <is>
          <t>yes</t>
        </is>
      </c>
      <c r="F263" s="2" t="inlineStr">
        <is>
          <t>游走脾伴脾蒂扭转1例报告</t>
        </is>
      </c>
      <c r="G263" s="22" t="inlineStr">
        <is>
          <t>10.3969/j.issn.1007-9424.2000.06.040</t>
        </is>
      </c>
      <c r="H263" s="22" t="inlineStr">
        <is>
          <t>https://doi.org/10.3969/j.issn.1007-9424.2000.06.040</t>
        </is>
      </c>
    </row>
    <row r="264">
      <c r="A264" s="22" t="n">
        <v>263</v>
      </c>
      <c r="B264" s="22" t="inlineStr">
        <is>
          <t>WS2145</t>
        </is>
      </c>
      <c r="C264" s="22" t="inlineStr">
        <is>
          <t>2000</t>
        </is>
      </c>
      <c r="D264" s="22" t="inlineStr">
        <is>
          <t>Chinese</t>
        </is>
      </c>
      <c r="E264" s="22" t="inlineStr">
        <is>
          <t>no</t>
        </is>
      </c>
      <c r="F264" s="2" t="inlineStr">
        <is>
          <t>游走脾并发胃扭转三例</t>
        </is>
      </c>
      <c r="G264" s="22" t="inlineStr">
        <is>
          <t>10.3760/j:issn:0376-2491.2000.01.031</t>
        </is>
      </c>
      <c r="H264" s="22" t="inlineStr">
        <is>
          <t>https://doi.org/10.3760/j:issn:0376-2491.2000.01.031</t>
        </is>
      </c>
    </row>
    <row r="265">
      <c r="A265" s="22" t="n">
        <v>264</v>
      </c>
      <c r="B265" s="22" t="inlineStr">
        <is>
          <t>WS2313</t>
        </is>
      </c>
      <c r="C265" s="22" t="inlineStr">
        <is>
          <t>2021</t>
        </is>
      </c>
      <c r="D265" s="22" t="inlineStr">
        <is>
          <t>Chinese</t>
        </is>
      </c>
      <c r="E265" s="22" t="inlineStr">
        <is>
          <t>yes</t>
        </is>
      </c>
      <c r="F265" s="2" t="inlineStr">
        <is>
          <t>儿童脾扭转1例</t>
        </is>
      </c>
      <c r="G265" s="22" t="inlineStr"/>
      <c r="H265" s="22" t="inlineStr">
        <is>
          <t>https://d.wanfangdata.com.cn/periodical/CiBQZXJpb2RpY2FsQ0hJU29scjkyMDI2MDkxNTE0MjIxORISemdianl5LWtwMjAyMTI0MDcxGghpYjFiMnVoeg%3D%3D</t>
        </is>
      </c>
    </row>
    <row r="266">
      <c r="A266" s="22" t="n">
        <v>265</v>
      </c>
      <c r="B266" s="22" t="inlineStr">
        <is>
          <t>WS2314</t>
        </is>
      </c>
      <c r="C266" s="22" t="inlineStr">
        <is>
          <t>2014</t>
        </is>
      </c>
      <c r="D266" s="22" t="inlineStr">
        <is>
          <t>Chinese</t>
        </is>
      </c>
      <c r="E266" s="22" t="inlineStr">
        <is>
          <t>yes</t>
        </is>
      </c>
      <c r="F266" s="2" t="inlineStr">
        <is>
          <t>儿童游走脾并蒂扭转、脾坏死1例</t>
        </is>
      </c>
      <c r="G266" s="22" t="inlineStr">
        <is>
          <t>10.3969/j.issn.1671-6353.2014.04.034</t>
        </is>
      </c>
      <c r="H266" s="22" t="inlineStr">
        <is>
          <t>https://doi.org/10.3969/j.issn.1671-6353.2014.04.034</t>
        </is>
      </c>
    </row>
    <row r="267">
      <c r="A267" s="22" t="n">
        <v>266</v>
      </c>
      <c r="B267" s="22" t="inlineStr">
        <is>
          <t>WS2317</t>
        </is>
      </c>
      <c r="C267" s="22" t="inlineStr">
        <is>
          <t>2007</t>
        </is>
      </c>
      <c r="D267" s="22" t="inlineStr">
        <is>
          <t>Chinese</t>
        </is>
      </c>
      <c r="E267" s="22" t="inlineStr">
        <is>
          <t>no</t>
        </is>
      </c>
      <c r="F267" s="2" t="inlineStr">
        <is>
          <t>静脉滴注银杏达莫注射液过敏1例/斜视术后反复发生的结膜囊肿1例/异位脾误诊为盆腔肿物1例/侵蚀性葡萄胎引起心力衰竭1例</t>
        </is>
      </c>
      <c r="G267" s="22" t="inlineStr"/>
      <c r="H267" s="22" t="inlineStr">
        <is>
          <t>https://d.wanfangdata.com.cn/periodical/CiBQZXJpb2RpY2FsQ0hJU29scjkyMDI2MDkxNTE0MjIxORIQemd3enh6ejIwMDcyMDI0ORoIaWIxYjJ1aHo%3D</t>
        </is>
      </c>
    </row>
    <row r="268">
      <c r="A268" s="22" t="n">
        <v>267</v>
      </c>
      <c r="B268" s="22" t="inlineStr">
        <is>
          <t>WS2348</t>
        </is>
      </c>
      <c r="C268" s="22" t="inlineStr">
        <is>
          <t>2023</t>
        </is>
      </c>
      <c r="D268" s="22" t="inlineStr">
        <is>
          <t>Chinese</t>
        </is>
      </c>
      <c r="E268" s="22" t="inlineStr">
        <is>
          <t>yes</t>
        </is>
      </c>
      <c r="F268" s="2" t="inlineStr">
        <is>
          <t>儿童游走脾扭转并破裂出血1例报告并文献复习</t>
        </is>
      </c>
      <c r="G268" s="22" t="inlineStr">
        <is>
          <t>10.12677/acm.2023.132320</t>
        </is>
      </c>
      <c r="H268" s="22" t="inlineStr">
        <is>
          <t>https://doi.org/10.12677/acm.2023.132320</t>
        </is>
      </c>
    </row>
    <row r="269">
      <c r="A269" s="22" t="n">
        <v>268</v>
      </c>
      <c r="B269" s="22" t="inlineStr">
        <is>
          <t>WS2480</t>
        </is>
      </c>
      <c r="C269" s="22" t="inlineStr">
        <is>
          <t>2010</t>
        </is>
      </c>
      <c r="D269" s="22" t="inlineStr">
        <is>
          <t>Chinese</t>
        </is>
      </c>
      <c r="E269" s="22" t="inlineStr">
        <is>
          <t>yes</t>
        </is>
      </c>
      <c r="F269" s="2" t="inlineStr">
        <is>
          <t>游走脾脏1例</t>
        </is>
      </c>
      <c r="G269" s="22" t="inlineStr"/>
      <c r="H269" s="22" t="inlineStr"/>
    </row>
    <row r="270">
      <c r="A270" s="22" t="n">
        <v>269</v>
      </c>
      <c r="B270" s="22" t="inlineStr">
        <is>
          <t>WS2484</t>
        </is>
      </c>
      <c r="C270" s="22" t="inlineStr">
        <is>
          <t>2010</t>
        </is>
      </c>
      <c r="D270" s="22" t="inlineStr">
        <is>
          <t>Chinese</t>
        </is>
      </c>
      <c r="E270" s="22" t="inlineStr">
        <is>
          <t>yes</t>
        </is>
      </c>
      <c r="F270" s="2" t="inlineStr">
        <is>
          <t>小儿游离脾扭转1例</t>
        </is>
      </c>
      <c r="G270" s="22" t="inlineStr"/>
      <c r="H270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= 舒俊，E2 = 卞红强，Consensus</t>
        </is>
      </c>
      <c r="P3" s="7" t="inlineStr">
        <is>
          <t>yyyy-mm-dd</t>
        </is>
      </c>
      <c r="Q3" s="7" t="inlineStr"/>
    </row>
    <row r="4">
      <c r="A4" t="inlineStr">
        <is>
          <t>WS0002</t>
        </is>
      </c>
      <c r="N4" s="9">
        <f>IF(ISNUMBER(C4),IF(C4&lt;2000,"before 2000",IF(C4&lt;=2014,"2000-2014","2015 onward")),"")</f>
        <v/>
      </c>
      <c r="O4" t="inlineStr">
        <is>
          <t>E1</t>
        </is>
      </c>
      <c r="P4" s="8" t="n"/>
    </row>
    <row r="5">
      <c r="A5" t="inlineStr">
        <is>
          <t>WS0008</t>
        </is>
      </c>
      <c r="N5" s="9">
        <f>IF(ISNUMBER(C5),IF(C5&lt;2000,"before 2000",IF(C5&lt;=2014,"2000-2014","2015 onward")),"")</f>
        <v/>
      </c>
      <c r="O5" t="inlineStr">
        <is>
          <t>E1</t>
        </is>
      </c>
      <c r="P5" s="8" t="n"/>
    </row>
    <row r="6">
      <c r="A6" t="inlineStr">
        <is>
          <t>WS0011</t>
        </is>
      </c>
      <c r="N6" s="9">
        <f>IF(ISNUMBER(C6),IF(C6&lt;2000,"before 2000",IF(C6&lt;=2014,"2000-2014","2015 onward")),"")</f>
        <v/>
      </c>
      <c r="O6" t="inlineStr">
        <is>
          <t>E1</t>
        </is>
      </c>
      <c r="P6" s="8" t="n"/>
    </row>
    <row r="7">
      <c r="A7" t="inlineStr">
        <is>
          <t>WS0016</t>
        </is>
      </c>
      <c r="N7" s="9">
        <f>IF(ISNUMBER(C7),IF(C7&lt;2000,"before 2000",IF(C7&lt;=2014,"2000-2014","2015 onward")),"")</f>
        <v/>
      </c>
      <c r="O7" t="inlineStr">
        <is>
          <t>E1</t>
        </is>
      </c>
      <c r="P7" s="8" t="n"/>
    </row>
    <row r="8">
      <c r="A8" t="inlineStr">
        <is>
          <t>WS0031</t>
        </is>
      </c>
      <c r="N8" s="9">
        <f>IF(ISNUMBER(C8),IF(C8&lt;2000,"before 2000",IF(C8&lt;=2014,"2000-2014","2015 onward")),"")</f>
        <v/>
      </c>
      <c r="O8" t="inlineStr">
        <is>
          <t>E1</t>
        </is>
      </c>
      <c r="P8" s="8" t="n"/>
    </row>
    <row r="9">
      <c r="A9" t="inlineStr">
        <is>
          <t>WS0038</t>
        </is>
      </c>
      <c r="N9" s="9">
        <f>IF(ISNUMBER(C9),IF(C9&lt;2000,"before 2000",IF(C9&lt;=2014,"2000-2014","2015 onward")),"")</f>
        <v/>
      </c>
      <c r="O9" t="inlineStr">
        <is>
          <t>E1</t>
        </is>
      </c>
      <c r="P9" s="8" t="n"/>
    </row>
    <row r="10">
      <c r="A10" t="inlineStr">
        <is>
          <t>WS0040</t>
        </is>
      </c>
      <c r="N10" s="9">
        <f>IF(ISNUMBER(C10),IF(C10&lt;2000,"before 2000",IF(C10&lt;=2014,"2000-2014","2015 onward")),"")</f>
        <v/>
      </c>
      <c r="O10" t="inlineStr">
        <is>
          <t>E1</t>
        </is>
      </c>
      <c r="P10" s="8" t="n"/>
    </row>
    <row r="11">
      <c r="A11" t="inlineStr">
        <is>
          <t>WS0042</t>
        </is>
      </c>
      <c r="N11" s="9">
        <f>IF(ISNUMBER(C11),IF(C11&lt;2000,"before 2000",IF(C11&lt;=2014,"2000-2014","2015 onward")),"")</f>
        <v/>
      </c>
      <c r="O11" t="inlineStr">
        <is>
          <t>E1</t>
        </is>
      </c>
      <c r="P11" s="8" t="n"/>
    </row>
    <row r="12">
      <c r="A12" t="inlineStr">
        <is>
          <t>WS0043</t>
        </is>
      </c>
      <c r="N12" s="9">
        <f>IF(ISNUMBER(C12),IF(C12&lt;2000,"before 2000",IF(C12&lt;=2014,"2000-2014","2015 onward")),"")</f>
        <v/>
      </c>
      <c r="O12" t="inlineStr">
        <is>
          <t>E1</t>
        </is>
      </c>
      <c r="P12" s="8" t="n"/>
    </row>
    <row r="13">
      <c r="A13" t="inlineStr">
        <is>
          <t>WS0044</t>
        </is>
      </c>
      <c r="N13" s="9">
        <f>IF(ISNUMBER(C13),IF(C13&lt;2000,"before 2000",IF(C13&lt;=2014,"2000-2014","2015 onward")),"")</f>
        <v/>
      </c>
      <c r="O13" t="inlineStr">
        <is>
          <t>E1</t>
        </is>
      </c>
      <c r="P13" s="8" t="n"/>
    </row>
    <row r="14">
      <c r="A14" t="inlineStr">
        <is>
          <t>WS0045</t>
        </is>
      </c>
      <c r="N14" s="9">
        <f>IF(ISNUMBER(C14),IF(C14&lt;2000,"before 2000",IF(C14&lt;=2014,"2000-2014","2015 onward")),"")</f>
        <v/>
      </c>
      <c r="O14" t="inlineStr">
        <is>
          <t>E1</t>
        </is>
      </c>
      <c r="P14" s="8" t="n"/>
    </row>
    <row r="15">
      <c r="A15" t="inlineStr">
        <is>
          <t>WS0047</t>
        </is>
      </c>
      <c r="N15" s="9">
        <f>IF(ISNUMBER(C15),IF(C15&lt;2000,"before 2000",IF(C15&lt;=2014,"2000-2014","2015 onward")),"")</f>
        <v/>
      </c>
      <c r="O15" t="inlineStr">
        <is>
          <t>E1</t>
        </is>
      </c>
      <c r="P15" s="8" t="n"/>
    </row>
    <row r="16">
      <c r="A16" t="inlineStr">
        <is>
          <t>WS0048</t>
        </is>
      </c>
      <c r="N16" s="9">
        <f>IF(ISNUMBER(C16),IF(C16&lt;2000,"before 2000",IF(C16&lt;=2014,"2000-2014","2015 onward")),"")</f>
        <v/>
      </c>
      <c r="O16" t="inlineStr">
        <is>
          <t>E1</t>
        </is>
      </c>
      <c r="P16" s="8" t="n"/>
    </row>
    <row r="17">
      <c r="A17" t="inlineStr">
        <is>
          <t>WS0049</t>
        </is>
      </c>
      <c r="N17" s="9">
        <f>IF(ISNUMBER(C17),IF(C17&lt;2000,"before 2000",IF(C17&lt;=2014,"2000-2014","2015 onward")),"")</f>
        <v/>
      </c>
      <c r="O17" t="inlineStr">
        <is>
          <t>E1</t>
        </is>
      </c>
      <c r="P17" s="8" t="n"/>
    </row>
    <row r="18">
      <c r="A18" t="inlineStr">
        <is>
          <t>WS0052</t>
        </is>
      </c>
      <c r="N18" s="9">
        <f>IF(ISNUMBER(C18),IF(C18&lt;2000,"before 2000",IF(C18&lt;=2014,"2000-2014","2015 onward")),"")</f>
        <v/>
      </c>
      <c r="O18" t="inlineStr">
        <is>
          <t>E1</t>
        </is>
      </c>
      <c r="P18" s="8" t="n"/>
    </row>
    <row r="19">
      <c r="A19" t="inlineStr">
        <is>
          <t>WS0055</t>
        </is>
      </c>
      <c r="N19" s="9">
        <f>IF(ISNUMBER(C19),IF(C19&lt;2000,"before 2000",IF(C19&lt;=2014,"2000-2014","2015 onward")),"")</f>
        <v/>
      </c>
      <c r="O19" t="inlineStr">
        <is>
          <t>E1</t>
        </is>
      </c>
      <c r="P19" s="8" t="n"/>
    </row>
    <row r="20">
      <c r="A20" t="inlineStr">
        <is>
          <t>WS0057</t>
        </is>
      </c>
      <c r="N20" s="9">
        <f>IF(ISNUMBER(C20),IF(C20&lt;2000,"before 2000",IF(C20&lt;=2014,"2000-2014","2015 onward")),"")</f>
        <v/>
      </c>
      <c r="O20" t="inlineStr">
        <is>
          <t>E1</t>
        </is>
      </c>
      <c r="P20" s="8" t="n"/>
    </row>
    <row r="21">
      <c r="A21" t="inlineStr">
        <is>
          <t>WS0067</t>
        </is>
      </c>
      <c r="N21" s="9">
        <f>IF(ISNUMBER(C21),IF(C21&lt;2000,"before 2000",IF(C21&lt;=2014,"2000-2014","2015 onward")),"")</f>
        <v/>
      </c>
      <c r="O21" t="inlineStr">
        <is>
          <t>E1</t>
        </is>
      </c>
      <c r="P21" s="8" t="n"/>
    </row>
    <row r="22">
      <c r="A22" t="inlineStr">
        <is>
          <t>WS0068</t>
        </is>
      </c>
      <c r="N22" s="9">
        <f>IF(ISNUMBER(C22),IF(C22&lt;2000,"before 2000",IF(C22&lt;=2014,"2000-2014","2015 onward")),"")</f>
        <v/>
      </c>
      <c r="O22" t="inlineStr">
        <is>
          <t>E1</t>
        </is>
      </c>
      <c r="P22" s="8" t="n"/>
    </row>
    <row r="23">
      <c r="A23" t="inlineStr">
        <is>
          <t>WS0069</t>
        </is>
      </c>
      <c r="N23" s="9">
        <f>IF(ISNUMBER(C23),IF(C23&lt;2000,"before 2000",IF(C23&lt;=2014,"2000-2014","2015 onward")),"")</f>
        <v/>
      </c>
      <c r="O23" t="inlineStr">
        <is>
          <t>E1</t>
        </is>
      </c>
      <c r="P23" s="8" t="n"/>
    </row>
    <row r="24">
      <c r="A24" t="inlineStr">
        <is>
          <t>WS0072</t>
        </is>
      </c>
      <c r="N24" s="9">
        <f>IF(ISNUMBER(C24),IF(C24&lt;2000,"before 2000",IF(C24&lt;=2014,"2000-2014","2015 onward")),"")</f>
        <v/>
      </c>
      <c r="O24" t="inlineStr">
        <is>
          <t>E1</t>
        </is>
      </c>
      <c r="P24" s="8" t="n"/>
    </row>
    <row r="25">
      <c r="A25" t="inlineStr">
        <is>
          <t>WS0075</t>
        </is>
      </c>
      <c r="N25" s="9">
        <f>IF(ISNUMBER(C25),IF(C25&lt;2000,"before 2000",IF(C25&lt;=2014,"2000-2014","2015 onward")),"")</f>
        <v/>
      </c>
      <c r="O25" t="inlineStr">
        <is>
          <t>E1</t>
        </is>
      </c>
      <c r="P25" s="8" t="n"/>
    </row>
    <row r="26">
      <c r="A26" t="inlineStr">
        <is>
          <t>WS0077</t>
        </is>
      </c>
      <c r="N26" s="9">
        <f>IF(ISNUMBER(C26),IF(C26&lt;2000,"before 2000",IF(C26&lt;=2014,"2000-2014","2015 onward")),"")</f>
        <v/>
      </c>
      <c r="O26" t="inlineStr">
        <is>
          <t>E1</t>
        </is>
      </c>
      <c r="P26" s="8" t="n"/>
    </row>
    <row r="27">
      <c r="A27" t="inlineStr">
        <is>
          <t>WS0078</t>
        </is>
      </c>
      <c r="N27" s="9">
        <f>IF(ISNUMBER(C27),IF(C27&lt;2000,"before 2000",IF(C27&lt;=2014,"2000-2014","2015 onward")),"")</f>
        <v/>
      </c>
      <c r="O27" t="inlineStr">
        <is>
          <t>E1</t>
        </is>
      </c>
      <c r="P27" s="8" t="n"/>
    </row>
    <row r="28">
      <c r="A28" t="inlineStr">
        <is>
          <t>WS0079</t>
        </is>
      </c>
      <c r="N28" s="9">
        <f>IF(ISNUMBER(C28),IF(C28&lt;2000,"before 2000",IF(C28&lt;=2014,"2000-2014","2015 onward")),"")</f>
        <v/>
      </c>
      <c r="O28" t="inlineStr">
        <is>
          <t>E1</t>
        </is>
      </c>
      <c r="P28" s="8" t="n"/>
    </row>
    <row r="29">
      <c r="A29" t="inlineStr">
        <is>
          <t>WS0092</t>
        </is>
      </c>
      <c r="N29" s="9">
        <f>IF(ISNUMBER(C29),IF(C29&lt;2000,"before 2000",IF(C29&lt;=2014,"2000-2014","2015 onward")),"")</f>
        <v/>
      </c>
      <c r="O29" t="inlineStr">
        <is>
          <t>E1</t>
        </is>
      </c>
      <c r="P29" s="8" t="n"/>
    </row>
    <row r="30">
      <c r="A30" t="inlineStr">
        <is>
          <t>WS0093</t>
        </is>
      </c>
      <c r="N30" s="9">
        <f>IF(ISNUMBER(C30),IF(C30&lt;2000,"before 2000",IF(C30&lt;=2014,"2000-2014","2015 onward")),"")</f>
        <v/>
      </c>
      <c r="O30" t="inlineStr">
        <is>
          <t>E1</t>
        </is>
      </c>
      <c r="P30" s="8" t="n"/>
    </row>
    <row r="31">
      <c r="A31" t="inlineStr">
        <is>
          <t>WS0108</t>
        </is>
      </c>
      <c r="N31" s="9">
        <f>IF(ISNUMBER(C31),IF(C31&lt;2000,"before 2000",IF(C31&lt;=2014,"2000-2014","2015 onward")),"")</f>
        <v/>
      </c>
      <c r="O31" t="inlineStr">
        <is>
          <t>E1</t>
        </is>
      </c>
      <c r="P31" s="8" t="n"/>
    </row>
    <row r="32">
      <c r="A32" t="inlineStr">
        <is>
          <t>WS0114</t>
        </is>
      </c>
      <c r="N32" s="9">
        <f>IF(ISNUMBER(C32),IF(C32&lt;2000,"before 2000",IF(C32&lt;=2014,"2000-2014","2015 onward")),"")</f>
        <v/>
      </c>
      <c r="O32" t="inlineStr">
        <is>
          <t>E1</t>
        </is>
      </c>
      <c r="P32" s="8" t="n"/>
    </row>
    <row r="33">
      <c r="A33" t="inlineStr">
        <is>
          <t>WS0117</t>
        </is>
      </c>
      <c r="N33" s="9">
        <f>IF(ISNUMBER(C33),IF(C33&lt;2000,"before 2000",IF(C33&lt;=2014,"2000-2014","2015 onward")),"")</f>
        <v/>
      </c>
      <c r="O33" t="inlineStr">
        <is>
          <t>E1</t>
        </is>
      </c>
      <c r="P33" s="8" t="n"/>
    </row>
    <row r="34">
      <c r="A34" t="inlineStr">
        <is>
          <t>WS0120</t>
        </is>
      </c>
      <c r="N34" s="9">
        <f>IF(ISNUMBER(C34),IF(C34&lt;2000,"before 2000",IF(C34&lt;=2014,"2000-2014","2015 onward")),"")</f>
        <v/>
      </c>
      <c r="O34" t="inlineStr">
        <is>
          <t>E1</t>
        </is>
      </c>
      <c r="P34" s="8" t="n"/>
    </row>
    <row r="35">
      <c r="A35" t="inlineStr">
        <is>
          <t>WS0124</t>
        </is>
      </c>
      <c r="N35" s="9">
        <f>IF(ISNUMBER(C35),IF(C35&lt;2000,"before 2000",IF(C35&lt;=2014,"2000-2014","2015 onward")),"")</f>
        <v/>
      </c>
      <c r="O35" t="inlineStr">
        <is>
          <t>E1</t>
        </is>
      </c>
      <c r="P35" s="8" t="n"/>
    </row>
    <row r="36">
      <c r="A36" t="inlineStr">
        <is>
          <t>WS0132</t>
        </is>
      </c>
      <c r="N36" s="9">
        <f>IF(ISNUMBER(C36),IF(C36&lt;2000,"before 2000",IF(C36&lt;=2014,"2000-2014","2015 onward")),"")</f>
        <v/>
      </c>
      <c r="O36" t="inlineStr">
        <is>
          <t>E1</t>
        </is>
      </c>
      <c r="P36" s="8" t="n"/>
    </row>
    <row r="37">
      <c r="A37" t="inlineStr">
        <is>
          <t>WS0141</t>
        </is>
      </c>
      <c r="N37" s="9">
        <f>IF(ISNUMBER(C37),IF(C37&lt;2000,"before 2000",IF(C37&lt;=2014,"2000-2014","2015 onward")),"")</f>
        <v/>
      </c>
      <c r="O37" t="inlineStr">
        <is>
          <t>E1</t>
        </is>
      </c>
      <c r="P37" s="8" t="n"/>
    </row>
    <row r="38">
      <c r="A38" t="inlineStr">
        <is>
          <t>WS0142</t>
        </is>
      </c>
      <c r="N38" s="9">
        <f>IF(ISNUMBER(C38),IF(C38&lt;2000,"before 2000",IF(C38&lt;=2014,"2000-2014","2015 onward")),"")</f>
        <v/>
      </c>
      <c r="O38" t="inlineStr">
        <is>
          <t>E1</t>
        </is>
      </c>
      <c r="P38" s="8" t="n"/>
    </row>
    <row r="39">
      <c r="A39" t="inlineStr">
        <is>
          <t>WS0150</t>
        </is>
      </c>
      <c r="N39" s="9">
        <f>IF(ISNUMBER(C39),IF(C39&lt;2000,"before 2000",IF(C39&lt;=2014,"2000-2014","2015 onward")),"")</f>
        <v/>
      </c>
      <c r="O39" t="inlineStr">
        <is>
          <t>E1</t>
        </is>
      </c>
      <c r="P39" s="8" t="n"/>
    </row>
    <row r="40">
      <c r="A40" t="inlineStr">
        <is>
          <t>WS0156</t>
        </is>
      </c>
      <c r="N40" s="9">
        <f>IF(ISNUMBER(C40),IF(C40&lt;2000,"before 2000",IF(C40&lt;=2014,"2000-2014","2015 onward")),"")</f>
        <v/>
      </c>
      <c r="O40" t="inlineStr">
        <is>
          <t>E1</t>
        </is>
      </c>
      <c r="P40" s="8" t="n"/>
    </row>
    <row r="41">
      <c r="A41" t="inlineStr">
        <is>
          <t>WS0159</t>
        </is>
      </c>
      <c r="N41" s="9">
        <f>IF(ISNUMBER(C41),IF(C41&lt;2000,"before 2000",IF(C41&lt;=2014,"2000-2014","2015 onward")),"")</f>
        <v/>
      </c>
      <c r="O41" t="inlineStr">
        <is>
          <t>E1</t>
        </is>
      </c>
      <c r="P41" s="8" t="n"/>
    </row>
    <row r="42">
      <c r="A42" t="inlineStr">
        <is>
          <t>WS0160</t>
        </is>
      </c>
      <c r="N42" s="9">
        <f>IF(ISNUMBER(C42),IF(C42&lt;2000,"before 2000",IF(C42&lt;=2014,"2000-2014","2015 onward")),"")</f>
        <v/>
      </c>
      <c r="O42" t="inlineStr">
        <is>
          <t>E1</t>
        </is>
      </c>
      <c r="P42" s="8" t="n"/>
    </row>
    <row r="43">
      <c r="A43" t="inlineStr">
        <is>
          <t>WS0164</t>
        </is>
      </c>
      <c r="N43" s="9">
        <f>IF(ISNUMBER(C43),IF(C43&lt;2000,"before 2000",IF(C43&lt;=2014,"2000-2014","2015 onward")),"")</f>
        <v/>
      </c>
      <c r="O43" t="inlineStr">
        <is>
          <t>E1</t>
        </is>
      </c>
      <c r="P43" s="8" t="n"/>
    </row>
    <row r="44">
      <c r="A44" t="inlineStr">
        <is>
          <t>WS0167</t>
        </is>
      </c>
      <c r="N44" s="9">
        <f>IF(ISNUMBER(C44),IF(C44&lt;2000,"before 2000",IF(C44&lt;=2014,"2000-2014","2015 onward")),"")</f>
        <v/>
      </c>
      <c r="O44" t="inlineStr">
        <is>
          <t>E1</t>
        </is>
      </c>
      <c r="P44" s="8" t="n"/>
    </row>
    <row r="45">
      <c r="A45" t="inlineStr">
        <is>
          <t>WS0168</t>
        </is>
      </c>
      <c r="N45" s="9">
        <f>IF(ISNUMBER(C45),IF(C45&lt;2000,"before 2000",IF(C45&lt;=2014,"2000-2014","2015 onward")),"")</f>
        <v/>
      </c>
      <c r="O45" t="inlineStr">
        <is>
          <t>E1</t>
        </is>
      </c>
      <c r="P45" s="8" t="n"/>
    </row>
    <row r="46">
      <c r="A46" t="inlineStr">
        <is>
          <t>WS0172</t>
        </is>
      </c>
      <c r="N46" s="9">
        <f>IF(ISNUMBER(C46),IF(C46&lt;2000,"before 2000",IF(C46&lt;=2014,"2000-2014","2015 onward")),"")</f>
        <v/>
      </c>
      <c r="O46" t="inlineStr">
        <is>
          <t>E1</t>
        </is>
      </c>
      <c r="P46" s="8" t="n"/>
    </row>
    <row r="47">
      <c r="A47" t="inlineStr">
        <is>
          <t>WS0173</t>
        </is>
      </c>
      <c r="N47" s="9">
        <f>IF(ISNUMBER(C47),IF(C47&lt;2000,"before 2000",IF(C47&lt;=2014,"2000-2014","2015 onward")),"")</f>
        <v/>
      </c>
      <c r="O47" t="inlineStr">
        <is>
          <t>E1</t>
        </is>
      </c>
      <c r="P47" s="8" t="n"/>
    </row>
    <row r="48">
      <c r="A48" t="inlineStr">
        <is>
          <t>WS0175</t>
        </is>
      </c>
      <c r="N48" s="9">
        <f>IF(ISNUMBER(C48),IF(C48&lt;2000,"before 2000",IF(C48&lt;=2014,"2000-2014","2015 onward")),"")</f>
        <v/>
      </c>
      <c r="O48" t="inlineStr">
        <is>
          <t>E1</t>
        </is>
      </c>
      <c r="P48" s="8" t="n"/>
    </row>
    <row r="49">
      <c r="A49" t="inlineStr">
        <is>
          <t>WS0176</t>
        </is>
      </c>
      <c r="N49" s="9">
        <f>IF(ISNUMBER(C49),IF(C49&lt;2000,"before 2000",IF(C49&lt;=2014,"2000-2014","2015 onward")),"")</f>
        <v/>
      </c>
      <c r="O49" t="inlineStr">
        <is>
          <t>E1</t>
        </is>
      </c>
      <c r="P49" s="8" t="n"/>
    </row>
    <row r="50">
      <c r="A50" t="inlineStr">
        <is>
          <t>WS0179</t>
        </is>
      </c>
      <c r="N50" s="9">
        <f>IF(ISNUMBER(C50),IF(C50&lt;2000,"before 2000",IF(C50&lt;=2014,"2000-2014","2015 onward")),"")</f>
        <v/>
      </c>
      <c r="O50" t="inlineStr">
        <is>
          <t>E1</t>
        </is>
      </c>
      <c r="P50" s="8" t="n"/>
    </row>
    <row r="51">
      <c r="A51" t="inlineStr">
        <is>
          <t>WS0180</t>
        </is>
      </c>
      <c r="N51" s="9">
        <f>IF(ISNUMBER(C51),IF(C51&lt;2000,"before 2000",IF(C51&lt;=2014,"2000-2014","2015 onward")),"")</f>
        <v/>
      </c>
      <c r="O51" t="inlineStr">
        <is>
          <t>E1</t>
        </is>
      </c>
      <c r="P51" s="8" t="n"/>
    </row>
    <row r="52">
      <c r="A52" t="inlineStr">
        <is>
          <t>WS0182</t>
        </is>
      </c>
      <c r="N52" s="9">
        <f>IF(ISNUMBER(C52),IF(C52&lt;2000,"before 2000",IF(C52&lt;=2014,"2000-2014","2015 onward")),"")</f>
        <v/>
      </c>
      <c r="O52" t="inlineStr">
        <is>
          <t>E1</t>
        </is>
      </c>
      <c r="P52" s="8" t="n"/>
    </row>
    <row r="53">
      <c r="A53" t="inlineStr">
        <is>
          <t>WS0183</t>
        </is>
      </c>
      <c r="N53" s="9">
        <f>IF(ISNUMBER(C53),IF(C53&lt;2000,"before 2000",IF(C53&lt;=2014,"2000-2014","2015 onward")),"")</f>
        <v/>
      </c>
      <c r="O53" t="inlineStr">
        <is>
          <t>E1</t>
        </is>
      </c>
      <c r="P53" s="8" t="n"/>
    </row>
    <row r="54">
      <c r="A54" t="inlineStr">
        <is>
          <t>WS0186</t>
        </is>
      </c>
      <c r="N54" s="9">
        <f>IF(ISNUMBER(C54),IF(C54&lt;2000,"before 2000",IF(C54&lt;=2014,"2000-2014","2015 onward")),"")</f>
        <v/>
      </c>
      <c r="O54" t="inlineStr">
        <is>
          <t>E1</t>
        </is>
      </c>
      <c r="P54" s="8" t="n"/>
    </row>
    <row r="55">
      <c r="A55" t="inlineStr">
        <is>
          <t>WS0188</t>
        </is>
      </c>
      <c r="N55" s="9">
        <f>IF(ISNUMBER(C55),IF(C55&lt;2000,"before 2000",IF(C55&lt;=2014,"2000-2014","2015 onward")),"")</f>
        <v/>
      </c>
      <c r="O55" t="inlineStr">
        <is>
          <t>E1</t>
        </is>
      </c>
      <c r="P55" s="8" t="n"/>
    </row>
    <row r="56">
      <c r="A56" t="inlineStr">
        <is>
          <t>WS0191</t>
        </is>
      </c>
      <c r="N56" s="9">
        <f>IF(ISNUMBER(C56),IF(C56&lt;2000,"before 2000",IF(C56&lt;=2014,"2000-2014","2015 onward")),"")</f>
        <v/>
      </c>
      <c r="O56" t="inlineStr">
        <is>
          <t>E1</t>
        </is>
      </c>
      <c r="P56" s="8" t="n"/>
    </row>
    <row r="57">
      <c r="A57" t="inlineStr">
        <is>
          <t>WS0193</t>
        </is>
      </c>
      <c r="N57" s="9">
        <f>IF(ISNUMBER(C57),IF(C57&lt;2000,"before 2000",IF(C57&lt;=2014,"2000-2014","2015 onward")),"")</f>
        <v/>
      </c>
      <c r="O57" t="inlineStr">
        <is>
          <t>E1</t>
        </is>
      </c>
      <c r="P57" s="8" t="n"/>
    </row>
    <row r="58">
      <c r="A58" t="inlineStr">
        <is>
          <t>WS0199</t>
        </is>
      </c>
      <c r="N58" s="9">
        <f>IF(ISNUMBER(C58),IF(C58&lt;2000,"before 2000",IF(C58&lt;=2014,"2000-2014","2015 onward")),"")</f>
        <v/>
      </c>
      <c r="O58" t="inlineStr">
        <is>
          <t>E1</t>
        </is>
      </c>
      <c r="P58" s="8" t="n"/>
    </row>
    <row r="59">
      <c r="A59" t="inlineStr">
        <is>
          <t>WS0205</t>
        </is>
      </c>
      <c r="N59" s="9">
        <f>IF(ISNUMBER(C59),IF(C59&lt;2000,"before 2000",IF(C59&lt;=2014,"2000-2014","2015 onward")),"")</f>
        <v/>
      </c>
      <c r="O59" t="inlineStr">
        <is>
          <t>E1</t>
        </is>
      </c>
      <c r="P59" s="8" t="n"/>
    </row>
    <row r="60">
      <c r="A60" t="inlineStr">
        <is>
          <t>WS0212</t>
        </is>
      </c>
      <c r="N60" s="9">
        <f>IF(ISNUMBER(C60),IF(C60&lt;2000,"before 2000",IF(C60&lt;=2014,"2000-2014","2015 onward")),"")</f>
        <v/>
      </c>
      <c r="O60" t="inlineStr">
        <is>
          <t>E1</t>
        </is>
      </c>
      <c r="P60" s="8" t="n"/>
    </row>
    <row r="61">
      <c r="A61" t="inlineStr">
        <is>
          <t>WS0216</t>
        </is>
      </c>
      <c r="N61" s="9">
        <f>IF(ISNUMBER(C61),IF(C61&lt;2000,"before 2000",IF(C61&lt;=2014,"2000-2014","2015 onward")),"")</f>
        <v/>
      </c>
      <c r="O61" t="inlineStr">
        <is>
          <t>E1</t>
        </is>
      </c>
      <c r="P61" s="8" t="n"/>
    </row>
    <row r="62">
      <c r="A62" t="inlineStr">
        <is>
          <t>WS0220</t>
        </is>
      </c>
      <c r="N62" s="9">
        <f>IF(ISNUMBER(C62),IF(C62&lt;2000,"before 2000",IF(C62&lt;=2014,"2000-2014","2015 onward")),"")</f>
        <v/>
      </c>
      <c r="O62" t="inlineStr">
        <is>
          <t>E1</t>
        </is>
      </c>
      <c r="P62" s="8" t="n"/>
    </row>
    <row r="63">
      <c r="A63" t="inlineStr">
        <is>
          <t>WS0228</t>
        </is>
      </c>
      <c r="N63" s="9">
        <f>IF(ISNUMBER(C63),IF(C63&lt;2000,"before 2000",IF(C63&lt;=2014,"2000-2014","2015 onward")),"")</f>
        <v/>
      </c>
      <c r="O63" t="inlineStr">
        <is>
          <t>E1</t>
        </is>
      </c>
      <c r="P63" s="8" t="n"/>
    </row>
    <row r="64">
      <c r="A64" t="inlineStr">
        <is>
          <t>WS0229</t>
        </is>
      </c>
      <c r="N64" s="9">
        <f>IF(ISNUMBER(C64),IF(C64&lt;2000,"before 2000",IF(C64&lt;=2014,"2000-2014","2015 onward")),"")</f>
        <v/>
      </c>
      <c r="O64" t="inlineStr">
        <is>
          <t>E1</t>
        </is>
      </c>
      <c r="P64" s="8" t="n"/>
    </row>
    <row r="65">
      <c r="A65" t="inlineStr">
        <is>
          <t>WS0232</t>
        </is>
      </c>
      <c r="N65" s="9">
        <f>IF(ISNUMBER(C65),IF(C65&lt;2000,"before 2000",IF(C65&lt;=2014,"2000-2014","2015 onward")),"")</f>
        <v/>
      </c>
      <c r="O65" t="inlineStr">
        <is>
          <t>E1</t>
        </is>
      </c>
      <c r="P65" s="8" t="n"/>
    </row>
    <row r="66">
      <c r="A66" t="inlineStr">
        <is>
          <t>WS0237</t>
        </is>
      </c>
      <c r="N66" s="9">
        <f>IF(ISNUMBER(C66),IF(C66&lt;2000,"before 2000",IF(C66&lt;=2014,"2000-2014","2015 onward")),"")</f>
        <v/>
      </c>
      <c r="O66" t="inlineStr">
        <is>
          <t>E1</t>
        </is>
      </c>
      <c r="P66" s="8" t="n"/>
    </row>
    <row r="67">
      <c r="A67" t="inlineStr">
        <is>
          <t>WS0239</t>
        </is>
      </c>
      <c r="N67" s="9">
        <f>IF(ISNUMBER(C67),IF(C67&lt;2000,"before 2000",IF(C67&lt;=2014,"2000-2014","2015 onward")),"")</f>
        <v/>
      </c>
      <c r="O67" t="inlineStr">
        <is>
          <t>E1</t>
        </is>
      </c>
      <c r="P67" s="8" t="n"/>
    </row>
    <row r="68">
      <c r="A68" t="inlineStr">
        <is>
          <t>WS0240</t>
        </is>
      </c>
      <c r="N68" s="9">
        <f>IF(ISNUMBER(C68),IF(C68&lt;2000,"before 2000",IF(C68&lt;=2014,"2000-2014","2015 onward")),"")</f>
        <v/>
      </c>
      <c r="O68" t="inlineStr">
        <is>
          <t>E1</t>
        </is>
      </c>
      <c r="P68" s="8" t="n"/>
    </row>
    <row r="69">
      <c r="A69" t="inlineStr">
        <is>
          <t>WS0244</t>
        </is>
      </c>
      <c r="N69" s="9">
        <f>IF(ISNUMBER(C69),IF(C69&lt;2000,"before 2000",IF(C69&lt;=2014,"2000-2014","2015 onward")),"")</f>
        <v/>
      </c>
      <c r="O69" t="inlineStr">
        <is>
          <t>E1</t>
        </is>
      </c>
      <c r="P69" s="8" t="n"/>
    </row>
    <row r="70">
      <c r="A70" t="inlineStr">
        <is>
          <t>WS0248</t>
        </is>
      </c>
      <c r="N70" s="9">
        <f>IF(ISNUMBER(C70),IF(C70&lt;2000,"before 2000",IF(C70&lt;=2014,"2000-2014","2015 onward")),"")</f>
        <v/>
      </c>
      <c r="O70" t="inlineStr">
        <is>
          <t>E1</t>
        </is>
      </c>
      <c r="P70" s="8" t="n"/>
    </row>
    <row r="71">
      <c r="A71" t="inlineStr">
        <is>
          <t>WS0253</t>
        </is>
      </c>
      <c r="N71" s="9">
        <f>IF(ISNUMBER(C71),IF(C71&lt;2000,"before 2000",IF(C71&lt;=2014,"2000-2014","2015 onward")),"")</f>
        <v/>
      </c>
      <c r="O71" t="inlineStr">
        <is>
          <t>E1</t>
        </is>
      </c>
      <c r="P71" s="8" t="n"/>
    </row>
    <row r="72">
      <c r="A72" t="inlineStr">
        <is>
          <t>WS0257</t>
        </is>
      </c>
      <c r="N72" s="9">
        <f>IF(ISNUMBER(C72),IF(C72&lt;2000,"before 2000",IF(C72&lt;=2014,"2000-2014","2015 onward")),"")</f>
        <v/>
      </c>
      <c r="O72" t="inlineStr">
        <is>
          <t>E1</t>
        </is>
      </c>
      <c r="P72" s="8" t="n"/>
    </row>
    <row r="73">
      <c r="A73" t="inlineStr">
        <is>
          <t>WS0264</t>
        </is>
      </c>
      <c r="N73" s="9">
        <f>IF(ISNUMBER(C73),IF(C73&lt;2000,"before 2000",IF(C73&lt;=2014,"2000-2014","2015 onward")),"")</f>
        <v/>
      </c>
      <c r="O73" t="inlineStr">
        <is>
          <t>E1</t>
        </is>
      </c>
      <c r="P73" s="8" t="n"/>
    </row>
    <row r="74">
      <c r="A74" t="inlineStr">
        <is>
          <t>WS0272</t>
        </is>
      </c>
      <c r="N74" s="9">
        <f>IF(ISNUMBER(C74),IF(C74&lt;2000,"before 2000",IF(C74&lt;=2014,"2000-2014","2015 onward")),"")</f>
        <v/>
      </c>
      <c r="O74" t="inlineStr">
        <is>
          <t>E1</t>
        </is>
      </c>
      <c r="P74" s="8" t="n"/>
    </row>
    <row r="75">
      <c r="A75" t="inlineStr">
        <is>
          <t>WS0277</t>
        </is>
      </c>
      <c r="N75" s="9">
        <f>IF(ISNUMBER(C75),IF(C75&lt;2000,"before 2000",IF(C75&lt;=2014,"2000-2014","2015 onward")),"")</f>
        <v/>
      </c>
      <c r="O75" t="inlineStr">
        <is>
          <t>E1</t>
        </is>
      </c>
      <c r="P75" s="8" t="n"/>
    </row>
    <row r="76">
      <c r="A76" t="inlineStr">
        <is>
          <t>WS0286</t>
        </is>
      </c>
      <c r="N76" s="9">
        <f>IF(ISNUMBER(C76),IF(C76&lt;2000,"before 2000",IF(C76&lt;=2014,"2000-2014","2015 onward")),"")</f>
        <v/>
      </c>
      <c r="O76" t="inlineStr">
        <is>
          <t>E1</t>
        </is>
      </c>
      <c r="P76" s="8" t="n"/>
    </row>
    <row r="77">
      <c r="A77" t="inlineStr">
        <is>
          <t>WS0292</t>
        </is>
      </c>
      <c r="N77" s="9">
        <f>IF(ISNUMBER(C77),IF(C77&lt;2000,"before 2000",IF(C77&lt;=2014,"2000-2014","2015 onward")),"")</f>
        <v/>
      </c>
      <c r="O77" t="inlineStr">
        <is>
          <t>E1</t>
        </is>
      </c>
      <c r="P77" s="8" t="n"/>
    </row>
    <row r="78">
      <c r="A78" t="inlineStr">
        <is>
          <t>WS0293</t>
        </is>
      </c>
      <c r="N78" s="9">
        <f>IF(ISNUMBER(C78),IF(C78&lt;2000,"before 2000",IF(C78&lt;=2014,"2000-2014","2015 onward")),"")</f>
        <v/>
      </c>
      <c r="O78" t="inlineStr">
        <is>
          <t>E1</t>
        </is>
      </c>
      <c r="P78" s="8" t="n"/>
    </row>
    <row r="79">
      <c r="A79" t="inlineStr">
        <is>
          <t>WS0320</t>
        </is>
      </c>
      <c r="N79" s="9">
        <f>IF(ISNUMBER(C79),IF(C79&lt;2000,"before 2000",IF(C79&lt;=2014,"2000-2014","2015 onward")),"")</f>
        <v/>
      </c>
      <c r="O79" t="inlineStr">
        <is>
          <t>E1</t>
        </is>
      </c>
      <c r="P79" s="8" t="n"/>
    </row>
    <row r="80">
      <c r="A80" t="inlineStr">
        <is>
          <t>WS0321</t>
        </is>
      </c>
      <c r="N80" s="9">
        <f>IF(ISNUMBER(C80),IF(C80&lt;2000,"before 2000",IF(C80&lt;=2014,"2000-2014","2015 onward")),"")</f>
        <v/>
      </c>
      <c r="O80" t="inlineStr">
        <is>
          <t>E1</t>
        </is>
      </c>
      <c r="P80" s="8" t="n"/>
    </row>
    <row r="81">
      <c r="A81" t="inlineStr">
        <is>
          <t>WS0330</t>
        </is>
      </c>
      <c r="N81" s="9">
        <f>IF(ISNUMBER(C81),IF(C81&lt;2000,"before 2000",IF(C81&lt;=2014,"2000-2014","2015 onward")),"")</f>
        <v/>
      </c>
      <c r="O81" t="inlineStr">
        <is>
          <t>E1</t>
        </is>
      </c>
      <c r="P81" s="8" t="n"/>
    </row>
    <row r="82">
      <c r="A82" t="inlineStr">
        <is>
          <t>WS0336</t>
        </is>
      </c>
      <c r="N82" s="9">
        <f>IF(ISNUMBER(C82),IF(C82&lt;2000,"before 2000",IF(C82&lt;=2014,"2000-2014","2015 onward")),"")</f>
        <v/>
      </c>
      <c r="O82" t="inlineStr">
        <is>
          <t>E1</t>
        </is>
      </c>
      <c r="P82" s="8" t="n"/>
    </row>
    <row r="83">
      <c r="A83" t="inlineStr">
        <is>
          <t>WS0342</t>
        </is>
      </c>
      <c r="N83" s="9">
        <f>IF(ISNUMBER(C83),IF(C83&lt;2000,"before 2000",IF(C83&lt;=2014,"2000-2014","2015 onward")),"")</f>
        <v/>
      </c>
      <c r="O83" t="inlineStr">
        <is>
          <t>E1</t>
        </is>
      </c>
      <c r="P83" s="8" t="n"/>
    </row>
    <row r="84">
      <c r="A84" t="inlineStr">
        <is>
          <t>WS0344</t>
        </is>
      </c>
      <c r="N84" s="9">
        <f>IF(ISNUMBER(C84),IF(C84&lt;2000,"before 2000",IF(C84&lt;=2014,"2000-2014","2015 onward")),"")</f>
        <v/>
      </c>
      <c r="O84" t="inlineStr">
        <is>
          <t>E1</t>
        </is>
      </c>
      <c r="P84" s="8" t="n"/>
    </row>
    <row r="85">
      <c r="A85" t="inlineStr">
        <is>
          <t>WS0354</t>
        </is>
      </c>
      <c r="N85" s="9">
        <f>IF(ISNUMBER(C85),IF(C85&lt;2000,"before 2000",IF(C85&lt;=2014,"2000-2014","2015 onward")),"")</f>
        <v/>
      </c>
      <c r="O85" t="inlineStr">
        <is>
          <t>E1</t>
        </is>
      </c>
      <c r="P85" s="8" t="n"/>
    </row>
    <row r="86">
      <c r="A86" t="inlineStr">
        <is>
          <t>WS0357</t>
        </is>
      </c>
      <c r="N86" s="9">
        <f>IF(ISNUMBER(C86),IF(C86&lt;2000,"before 2000",IF(C86&lt;=2014,"2000-2014","2015 onward")),"")</f>
        <v/>
      </c>
      <c r="O86" t="inlineStr">
        <is>
          <t>E1</t>
        </is>
      </c>
      <c r="P86" s="8" t="n"/>
    </row>
    <row r="87">
      <c r="A87" t="inlineStr">
        <is>
          <t>WS0359</t>
        </is>
      </c>
      <c r="N87" s="9">
        <f>IF(ISNUMBER(C87),IF(C87&lt;2000,"before 2000",IF(C87&lt;=2014,"2000-2014","2015 onward")),"")</f>
        <v/>
      </c>
      <c r="O87" t="inlineStr">
        <is>
          <t>E1</t>
        </is>
      </c>
      <c r="P87" s="8" t="n"/>
    </row>
    <row r="88">
      <c r="A88" t="inlineStr">
        <is>
          <t>WS0363</t>
        </is>
      </c>
      <c r="N88" s="9">
        <f>IF(ISNUMBER(C88),IF(C88&lt;2000,"before 2000",IF(C88&lt;=2014,"2000-2014","2015 onward")),"")</f>
        <v/>
      </c>
      <c r="O88" t="inlineStr">
        <is>
          <t>E1</t>
        </is>
      </c>
      <c r="P88" s="8" t="n"/>
    </row>
    <row r="89">
      <c r="A89" t="inlineStr">
        <is>
          <t>WS0368</t>
        </is>
      </c>
      <c r="N89" s="9">
        <f>IF(ISNUMBER(C89),IF(C89&lt;2000,"before 2000",IF(C89&lt;=2014,"2000-2014","2015 onward")),"")</f>
        <v/>
      </c>
      <c r="O89" t="inlineStr">
        <is>
          <t>E1</t>
        </is>
      </c>
      <c r="P89" s="8" t="n"/>
    </row>
    <row r="90">
      <c r="A90" t="inlineStr">
        <is>
          <t>WS0378</t>
        </is>
      </c>
      <c r="N90" s="9">
        <f>IF(ISNUMBER(C90),IF(C90&lt;2000,"before 2000",IF(C90&lt;=2014,"2000-2014","2015 onward")),"")</f>
        <v/>
      </c>
      <c r="O90" t="inlineStr">
        <is>
          <t>E1</t>
        </is>
      </c>
      <c r="P90" s="8" t="n"/>
    </row>
    <row r="91">
      <c r="A91" t="inlineStr">
        <is>
          <t>WS0381</t>
        </is>
      </c>
      <c r="N91" s="9">
        <f>IF(ISNUMBER(C91),IF(C91&lt;2000,"before 2000",IF(C91&lt;=2014,"2000-2014","2015 onward")),"")</f>
        <v/>
      </c>
      <c r="O91" t="inlineStr">
        <is>
          <t>E1</t>
        </is>
      </c>
      <c r="P91" s="8" t="n"/>
    </row>
    <row r="92">
      <c r="A92" t="inlineStr">
        <is>
          <t>WS0396</t>
        </is>
      </c>
      <c r="N92" s="9">
        <f>IF(ISNUMBER(C92),IF(C92&lt;2000,"before 2000",IF(C92&lt;=2014,"2000-2014","2015 onward")),"")</f>
        <v/>
      </c>
      <c r="O92" t="inlineStr">
        <is>
          <t>E1</t>
        </is>
      </c>
      <c r="P92" s="8" t="n"/>
    </row>
    <row r="93">
      <c r="A93" t="inlineStr">
        <is>
          <t>WS0399</t>
        </is>
      </c>
      <c r="N93" s="9">
        <f>IF(ISNUMBER(C93),IF(C93&lt;2000,"before 2000",IF(C93&lt;=2014,"2000-2014","2015 onward")),"")</f>
        <v/>
      </c>
      <c r="O93" t="inlineStr">
        <is>
          <t>E1</t>
        </is>
      </c>
      <c r="P93" s="8" t="n"/>
    </row>
    <row r="94">
      <c r="A94" t="inlineStr">
        <is>
          <t>WS0400</t>
        </is>
      </c>
      <c r="N94" s="9">
        <f>IF(ISNUMBER(C94),IF(C94&lt;2000,"before 2000",IF(C94&lt;=2014,"2000-2014","2015 onward")),"")</f>
        <v/>
      </c>
      <c r="O94" t="inlineStr">
        <is>
          <t>E1</t>
        </is>
      </c>
      <c r="P94" s="8" t="n"/>
    </row>
    <row r="95">
      <c r="A95" t="inlineStr">
        <is>
          <t>WS0411</t>
        </is>
      </c>
      <c r="N95" s="9">
        <f>IF(ISNUMBER(C95),IF(C95&lt;2000,"before 2000",IF(C95&lt;=2014,"2000-2014","2015 onward")),"")</f>
        <v/>
      </c>
      <c r="O95" t="inlineStr">
        <is>
          <t>E1</t>
        </is>
      </c>
      <c r="P95" s="8" t="n"/>
    </row>
    <row r="96">
      <c r="A96" t="inlineStr">
        <is>
          <t>WS0412</t>
        </is>
      </c>
      <c r="N96" s="9">
        <f>IF(ISNUMBER(C96),IF(C96&lt;2000,"before 2000",IF(C96&lt;=2014,"2000-2014","2015 onward")),"")</f>
        <v/>
      </c>
      <c r="O96" t="inlineStr">
        <is>
          <t>E1</t>
        </is>
      </c>
      <c r="P96" s="8" t="n"/>
    </row>
    <row r="97">
      <c r="A97" t="inlineStr">
        <is>
          <t>WS0416</t>
        </is>
      </c>
      <c r="N97" s="9">
        <f>IF(ISNUMBER(C97),IF(C97&lt;2000,"before 2000",IF(C97&lt;=2014,"2000-2014","2015 onward")),"")</f>
        <v/>
      </c>
      <c r="O97" t="inlineStr">
        <is>
          <t>E1</t>
        </is>
      </c>
      <c r="P97" s="8" t="n"/>
    </row>
    <row r="98">
      <c r="A98" t="inlineStr">
        <is>
          <t>WS0424</t>
        </is>
      </c>
      <c r="N98" s="9">
        <f>IF(ISNUMBER(C98),IF(C98&lt;2000,"before 2000",IF(C98&lt;=2014,"2000-2014","2015 onward")),"")</f>
        <v/>
      </c>
      <c r="O98" t="inlineStr">
        <is>
          <t>E1</t>
        </is>
      </c>
      <c r="P98" s="8" t="n"/>
    </row>
    <row r="99">
      <c r="A99" t="inlineStr">
        <is>
          <t>WS0426</t>
        </is>
      </c>
      <c r="N99" s="9">
        <f>IF(ISNUMBER(C99),IF(C99&lt;2000,"before 2000",IF(C99&lt;=2014,"2000-2014","2015 onward")),"")</f>
        <v/>
      </c>
      <c r="O99" t="inlineStr">
        <is>
          <t>E1</t>
        </is>
      </c>
      <c r="P99" s="8" t="n"/>
    </row>
    <row r="100">
      <c r="A100" t="inlineStr">
        <is>
          <t>WS0427</t>
        </is>
      </c>
      <c r="N100" s="9">
        <f>IF(ISNUMBER(C100),IF(C100&lt;2000,"before 2000",IF(C100&lt;=2014,"2000-2014","2015 onward")),"")</f>
        <v/>
      </c>
      <c r="O100" t="inlineStr">
        <is>
          <t>E1</t>
        </is>
      </c>
      <c r="P100" s="8" t="n"/>
    </row>
    <row r="101">
      <c r="A101" t="inlineStr">
        <is>
          <t>WS0432</t>
        </is>
      </c>
      <c r="N101" s="9">
        <f>IF(ISNUMBER(C101),IF(C101&lt;2000,"before 2000",IF(C101&lt;=2014,"2000-2014","2015 onward")),"")</f>
        <v/>
      </c>
      <c r="O101" t="inlineStr">
        <is>
          <t>E1</t>
        </is>
      </c>
      <c r="P101" s="8" t="n"/>
    </row>
    <row r="102">
      <c r="A102" t="inlineStr">
        <is>
          <t>WS0435</t>
        </is>
      </c>
      <c r="N102" s="9">
        <f>IF(ISNUMBER(C102),IF(C102&lt;2000,"before 2000",IF(C102&lt;=2014,"2000-2014","2015 onward")),"")</f>
        <v/>
      </c>
      <c r="O102" t="inlineStr">
        <is>
          <t>E1</t>
        </is>
      </c>
      <c r="P102" s="8" t="n"/>
    </row>
    <row r="103">
      <c r="A103" t="inlineStr">
        <is>
          <t>WS0441</t>
        </is>
      </c>
      <c r="N103" s="9">
        <f>IF(ISNUMBER(C103),IF(C103&lt;2000,"before 2000",IF(C103&lt;=2014,"2000-2014","2015 onward")),"")</f>
        <v/>
      </c>
      <c r="O103" t="inlineStr">
        <is>
          <t>E1</t>
        </is>
      </c>
      <c r="P103" s="8" t="n"/>
    </row>
    <row r="104">
      <c r="A104" t="inlineStr">
        <is>
          <t>WS0444</t>
        </is>
      </c>
      <c r="N104" s="9">
        <f>IF(ISNUMBER(C104),IF(C104&lt;2000,"before 2000",IF(C104&lt;=2014,"2000-2014","2015 onward")),"")</f>
        <v/>
      </c>
      <c r="O104" t="inlineStr">
        <is>
          <t>E1</t>
        </is>
      </c>
      <c r="P104" s="8" t="n"/>
    </row>
    <row r="105">
      <c r="A105" t="inlineStr">
        <is>
          <t>WS0449</t>
        </is>
      </c>
      <c r="N105" s="9">
        <f>IF(ISNUMBER(C105),IF(C105&lt;2000,"before 2000",IF(C105&lt;=2014,"2000-2014","2015 onward")),"")</f>
        <v/>
      </c>
      <c r="O105" t="inlineStr">
        <is>
          <t>E1</t>
        </is>
      </c>
      <c r="P105" s="8" t="n"/>
    </row>
    <row r="106">
      <c r="A106" t="inlineStr">
        <is>
          <t>WS0451</t>
        </is>
      </c>
      <c r="N106" s="9">
        <f>IF(ISNUMBER(C106),IF(C106&lt;2000,"before 2000",IF(C106&lt;=2014,"2000-2014","2015 onward")),"")</f>
        <v/>
      </c>
      <c r="O106" t="inlineStr">
        <is>
          <t>E1</t>
        </is>
      </c>
      <c r="P106" s="8" t="n"/>
    </row>
    <row r="107">
      <c r="A107" t="inlineStr">
        <is>
          <t>WS0455</t>
        </is>
      </c>
      <c r="N107" s="9">
        <f>IF(ISNUMBER(C107),IF(C107&lt;2000,"before 2000",IF(C107&lt;=2014,"2000-2014","2015 onward")),"")</f>
        <v/>
      </c>
      <c r="O107" t="inlineStr">
        <is>
          <t>E1</t>
        </is>
      </c>
      <c r="P107" s="8" t="n"/>
    </row>
    <row r="108">
      <c r="A108" t="inlineStr">
        <is>
          <t>WS0461</t>
        </is>
      </c>
      <c r="N108" s="9">
        <f>IF(ISNUMBER(C108),IF(C108&lt;2000,"before 2000",IF(C108&lt;=2014,"2000-2014","2015 onward")),"")</f>
        <v/>
      </c>
      <c r="O108" t="inlineStr">
        <is>
          <t>E1</t>
        </is>
      </c>
      <c r="P108" s="8" t="n"/>
    </row>
    <row r="109">
      <c r="A109" t="inlineStr">
        <is>
          <t>WS0474</t>
        </is>
      </c>
      <c r="N109" s="9">
        <f>IF(ISNUMBER(C109),IF(C109&lt;2000,"before 2000",IF(C109&lt;=2014,"2000-2014","2015 onward")),"")</f>
        <v/>
      </c>
      <c r="O109" t="inlineStr">
        <is>
          <t>E1</t>
        </is>
      </c>
      <c r="P109" s="8" t="n"/>
    </row>
    <row r="110">
      <c r="A110" t="inlineStr">
        <is>
          <t>WS0475</t>
        </is>
      </c>
      <c r="N110" s="9">
        <f>IF(ISNUMBER(C110),IF(C110&lt;2000,"before 2000",IF(C110&lt;=2014,"2000-2014","2015 onward")),"")</f>
        <v/>
      </c>
      <c r="O110" t="inlineStr">
        <is>
          <t>E1</t>
        </is>
      </c>
      <c r="P110" s="8" t="n"/>
    </row>
    <row r="111">
      <c r="A111" t="inlineStr">
        <is>
          <t>WS0478</t>
        </is>
      </c>
      <c r="N111" s="9">
        <f>IF(ISNUMBER(C111),IF(C111&lt;2000,"before 2000",IF(C111&lt;=2014,"2000-2014","2015 onward")),"")</f>
        <v/>
      </c>
      <c r="O111" t="inlineStr">
        <is>
          <t>E1</t>
        </is>
      </c>
      <c r="P111" s="8" t="n"/>
    </row>
    <row r="112">
      <c r="A112" t="inlineStr">
        <is>
          <t>WS0479</t>
        </is>
      </c>
      <c r="N112" s="9">
        <f>IF(ISNUMBER(C112),IF(C112&lt;2000,"before 2000",IF(C112&lt;=2014,"2000-2014","2015 onward")),"")</f>
        <v/>
      </c>
      <c r="O112" t="inlineStr">
        <is>
          <t>E1</t>
        </is>
      </c>
      <c r="P112" s="8" t="n"/>
    </row>
    <row r="113">
      <c r="A113" t="inlineStr">
        <is>
          <t>WS0483</t>
        </is>
      </c>
      <c r="N113" s="9">
        <f>IF(ISNUMBER(C113),IF(C113&lt;2000,"before 2000",IF(C113&lt;=2014,"2000-2014","2015 onward")),"")</f>
        <v/>
      </c>
      <c r="O113" t="inlineStr">
        <is>
          <t>E1</t>
        </is>
      </c>
      <c r="P113" s="8" t="n"/>
    </row>
    <row r="114">
      <c r="A114" t="inlineStr">
        <is>
          <t>WS0486</t>
        </is>
      </c>
      <c r="N114" s="9">
        <f>IF(ISNUMBER(C114),IF(C114&lt;2000,"before 2000",IF(C114&lt;=2014,"2000-2014","2015 onward")),"")</f>
        <v/>
      </c>
      <c r="O114" t="inlineStr">
        <is>
          <t>E1</t>
        </is>
      </c>
      <c r="P114" s="8" t="n"/>
    </row>
    <row r="115">
      <c r="A115" t="inlineStr">
        <is>
          <t>WS0493</t>
        </is>
      </c>
      <c r="N115" s="9">
        <f>IF(ISNUMBER(C115),IF(C115&lt;2000,"before 2000",IF(C115&lt;=2014,"2000-2014","2015 onward")),"")</f>
        <v/>
      </c>
      <c r="O115" t="inlineStr">
        <is>
          <t>E1</t>
        </is>
      </c>
      <c r="P115" s="8" t="n"/>
    </row>
    <row r="116">
      <c r="A116" t="inlineStr">
        <is>
          <t>WS0498</t>
        </is>
      </c>
      <c r="N116" s="9">
        <f>IF(ISNUMBER(C116),IF(C116&lt;2000,"before 2000",IF(C116&lt;=2014,"2000-2014","2015 onward")),"")</f>
        <v/>
      </c>
      <c r="O116" t="inlineStr">
        <is>
          <t>E1</t>
        </is>
      </c>
      <c r="P116" s="8" t="n"/>
    </row>
    <row r="117">
      <c r="A117" t="inlineStr">
        <is>
          <t>WS0499</t>
        </is>
      </c>
      <c r="N117" s="9">
        <f>IF(ISNUMBER(C117),IF(C117&lt;2000,"before 2000",IF(C117&lt;=2014,"2000-2014","2015 onward")),"")</f>
        <v/>
      </c>
      <c r="O117" t="inlineStr">
        <is>
          <t>E1</t>
        </is>
      </c>
      <c r="P117" s="8" t="n"/>
    </row>
    <row r="118">
      <c r="A118" t="inlineStr">
        <is>
          <t>WS0514</t>
        </is>
      </c>
      <c r="N118" s="9">
        <f>IF(ISNUMBER(C118),IF(C118&lt;2000,"before 2000",IF(C118&lt;=2014,"2000-2014","2015 onward")),"")</f>
        <v/>
      </c>
      <c r="O118" t="inlineStr">
        <is>
          <t>E1</t>
        </is>
      </c>
      <c r="P118" s="8" t="n"/>
    </row>
    <row r="119">
      <c r="A119" t="inlineStr">
        <is>
          <t>WS0526</t>
        </is>
      </c>
      <c r="N119" s="9">
        <f>IF(ISNUMBER(C119),IF(C119&lt;2000,"before 2000",IF(C119&lt;=2014,"2000-2014","2015 onward")),"")</f>
        <v/>
      </c>
      <c r="O119" t="inlineStr">
        <is>
          <t>E1</t>
        </is>
      </c>
      <c r="P119" s="8" t="n"/>
    </row>
    <row r="120">
      <c r="A120" t="inlineStr">
        <is>
          <t>WS0529</t>
        </is>
      </c>
      <c r="N120" s="9">
        <f>IF(ISNUMBER(C120),IF(C120&lt;2000,"before 2000",IF(C120&lt;=2014,"2000-2014","2015 onward")),"")</f>
        <v/>
      </c>
      <c r="O120" t="inlineStr">
        <is>
          <t>E1</t>
        </is>
      </c>
      <c r="P120" s="8" t="n"/>
    </row>
    <row r="121">
      <c r="A121" t="inlineStr">
        <is>
          <t>WS0537</t>
        </is>
      </c>
      <c r="N121" s="9">
        <f>IF(ISNUMBER(C121),IF(C121&lt;2000,"before 2000",IF(C121&lt;=2014,"2000-2014","2015 onward")),"")</f>
        <v/>
      </c>
      <c r="O121" t="inlineStr">
        <is>
          <t>E1</t>
        </is>
      </c>
      <c r="P121" s="8" t="n"/>
    </row>
    <row r="122">
      <c r="A122" t="inlineStr">
        <is>
          <t>WS0538</t>
        </is>
      </c>
      <c r="N122" s="9">
        <f>IF(ISNUMBER(C122),IF(C122&lt;2000,"before 2000",IF(C122&lt;=2014,"2000-2014","2015 onward")),"")</f>
        <v/>
      </c>
      <c r="O122" t="inlineStr">
        <is>
          <t>E1</t>
        </is>
      </c>
      <c r="P122" s="8" t="n"/>
    </row>
    <row r="123">
      <c r="A123" t="inlineStr">
        <is>
          <t>WS0541</t>
        </is>
      </c>
      <c r="N123" s="9">
        <f>IF(ISNUMBER(C123),IF(C123&lt;2000,"before 2000",IF(C123&lt;=2014,"2000-2014","2015 onward")),"")</f>
        <v/>
      </c>
      <c r="O123" t="inlineStr">
        <is>
          <t>E1</t>
        </is>
      </c>
      <c r="P123" s="8" t="n"/>
    </row>
    <row r="124">
      <c r="A124" t="inlineStr">
        <is>
          <t>WS0548</t>
        </is>
      </c>
      <c r="N124" s="9">
        <f>IF(ISNUMBER(C124),IF(C124&lt;2000,"before 2000",IF(C124&lt;=2014,"2000-2014","2015 onward")),"")</f>
        <v/>
      </c>
      <c r="O124" t="inlineStr">
        <is>
          <t>E1</t>
        </is>
      </c>
      <c r="P124" s="8" t="n"/>
    </row>
    <row r="125">
      <c r="A125" t="inlineStr">
        <is>
          <t>WS0550</t>
        </is>
      </c>
      <c r="N125" s="9">
        <f>IF(ISNUMBER(C125),IF(C125&lt;2000,"before 2000",IF(C125&lt;=2014,"2000-2014","2015 onward")),"")</f>
        <v/>
      </c>
      <c r="O125" t="inlineStr">
        <is>
          <t>E1</t>
        </is>
      </c>
      <c r="P125" s="8" t="n"/>
    </row>
    <row r="126">
      <c r="A126" t="inlineStr">
        <is>
          <t>WS0551</t>
        </is>
      </c>
      <c r="N126" s="9">
        <f>IF(ISNUMBER(C126),IF(C126&lt;2000,"before 2000",IF(C126&lt;=2014,"2000-2014","2015 onward")),"")</f>
        <v/>
      </c>
      <c r="O126" t="inlineStr">
        <is>
          <t>E1</t>
        </is>
      </c>
      <c r="P126" s="8" t="n"/>
    </row>
    <row r="127">
      <c r="A127" t="inlineStr">
        <is>
          <t>WS0552</t>
        </is>
      </c>
      <c r="N127" s="9">
        <f>IF(ISNUMBER(C127),IF(C127&lt;2000,"before 2000",IF(C127&lt;=2014,"2000-2014","2015 onward")),"")</f>
        <v/>
      </c>
      <c r="O127" t="inlineStr">
        <is>
          <t>E1</t>
        </is>
      </c>
      <c r="P127" s="8" t="n"/>
    </row>
    <row r="128">
      <c r="A128" t="inlineStr">
        <is>
          <t>WS0553</t>
        </is>
      </c>
      <c r="N128" s="9">
        <f>IF(ISNUMBER(C128),IF(C128&lt;2000,"before 2000",IF(C128&lt;=2014,"2000-2014","2015 onward")),"")</f>
        <v/>
      </c>
      <c r="O128" t="inlineStr">
        <is>
          <t>E1</t>
        </is>
      </c>
      <c r="P128" s="8" t="n"/>
    </row>
    <row r="129">
      <c r="A129" t="inlineStr">
        <is>
          <t>WS0554</t>
        </is>
      </c>
      <c r="N129" s="9">
        <f>IF(ISNUMBER(C129),IF(C129&lt;2000,"before 2000",IF(C129&lt;=2014,"2000-2014","2015 onward")),"")</f>
        <v/>
      </c>
      <c r="O129" t="inlineStr">
        <is>
          <t>E1</t>
        </is>
      </c>
      <c r="P129" s="8" t="n"/>
    </row>
    <row r="130">
      <c r="A130" t="inlineStr">
        <is>
          <t>WS0571</t>
        </is>
      </c>
      <c r="N130" s="9">
        <f>IF(ISNUMBER(C130),IF(C130&lt;2000,"before 2000",IF(C130&lt;=2014,"2000-2014","2015 onward")),"")</f>
        <v/>
      </c>
      <c r="O130" t="inlineStr">
        <is>
          <t>E1</t>
        </is>
      </c>
      <c r="P130" s="8" t="n"/>
    </row>
    <row r="131">
      <c r="A131" t="inlineStr">
        <is>
          <t>WS0575</t>
        </is>
      </c>
      <c r="N131" s="9">
        <f>IF(ISNUMBER(C131),IF(C131&lt;2000,"before 2000",IF(C131&lt;=2014,"2000-2014","2015 onward")),"")</f>
        <v/>
      </c>
      <c r="O131" t="inlineStr">
        <is>
          <t>E1</t>
        </is>
      </c>
      <c r="P131" s="8" t="n"/>
    </row>
    <row r="132">
      <c r="A132" t="inlineStr">
        <is>
          <t>WS0577</t>
        </is>
      </c>
      <c r="N132" s="9">
        <f>IF(ISNUMBER(C132),IF(C132&lt;2000,"before 2000",IF(C132&lt;=2014,"2000-2014","2015 onward")),"")</f>
        <v/>
      </c>
      <c r="O132" t="inlineStr">
        <is>
          <t>E1</t>
        </is>
      </c>
      <c r="P132" s="8" t="n"/>
    </row>
    <row r="133">
      <c r="A133" t="inlineStr">
        <is>
          <t>WS0580</t>
        </is>
      </c>
      <c r="N133" s="9">
        <f>IF(ISNUMBER(C133),IF(C133&lt;2000,"before 2000",IF(C133&lt;=2014,"2000-2014","2015 onward")),"")</f>
        <v/>
      </c>
      <c r="O133" t="inlineStr">
        <is>
          <t>E1</t>
        </is>
      </c>
      <c r="P133" s="8" t="n"/>
    </row>
    <row r="134">
      <c r="A134" t="inlineStr">
        <is>
          <t>WS0581</t>
        </is>
      </c>
      <c r="N134" s="9">
        <f>IF(ISNUMBER(C134),IF(C134&lt;2000,"before 2000",IF(C134&lt;=2014,"2000-2014","2015 onward")),"")</f>
        <v/>
      </c>
      <c r="O134" t="inlineStr">
        <is>
          <t>E1</t>
        </is>
      </c>
      <c r="P134" s="8" t="n"/>
    </row>
    <row r="135">
      <c r="A135" t="inlineStr">
        <is>
          <t>WS0585</t>
        </is>
      </c>
      <c r="N135" s="9">
        <f>IF(ISNUMBER(C135),IF(C135&lt;2000,"before 2000",IF(C135&lt;=2014,"2000-2014","2015 onward")),"")</f>
        <v/>
      </c>
      <c r="O135" t="inlineStr">
        <is>
          <t>E1</t>
        </is>
      </c>
      <c r="P135" s="8" t="n"/>
    </row>
    <row r="136">
      <c r="A136" t="inlineStr">
        <is>
          <t>WS0593</t>
        </is>
      </c>
      <c r="N136" s="9">
        <f>IF(ISNUMBER(C136),IF(C136&lt;2000,"before 2000",IF(C136&lt;=2014,"2000-2014","2015 onward")),"")</f>
        <v/>
      </c>
      <c r="O136" t="inlineStr">
        <is>
          <t>E1</t>
        </is>
      </c>
      <c r="P136" s="8" t="n"/>
    </row>
    <row r="137">
      <c r="A137" t="inlineStr">
        <is>
          <t>WS0594</t>
        </is>
      </c>
      <c r="N137" s="9">
        <f>IF(ISNUMBER(C137),IF(C137&lt;2000,"before 2000",IF(C137&lt;=2014,"2000-2014","2015 onward")),"")</f>
        <v/>
      </c>
      <c r="O137" t="inlineStr">
        <is>
          <t>E1</t>
        </is>
      </c>
      <c r="P137" s="8" t="n"/>
    </row>
    <row r="138">
      <c r="A138" t="inlineStr">
        <is>
          <t>WS0595</t>
        </is>
      </c>
      <c r="N138" s="9">
        <f>IF(ISNUMBER(C138),IF(C138&lt;2000,"before 2000",IF(C138&lt;=2014,"2000-2014","2015 onward")),"")</f>
        <v/>
      </c>
      <c r="O138" t="inlineStr">
        <is>
          <t>E1</t>
        </is>
      </c>
      <c r="P138" s="8" t="n"/>
    </row>
    <row r="139">
      <c r="A139" t="inlineStr">
        <is>
          <t>WS0601</t>
        </is>
      </c>
      <c r="N139" s="9">
        <f>IF(ISNUMBER(C139),IF(C139&lt;2000,"before 2000",IF(C139&lt;=2014,"2000-2014","2015 onward")),"")</f>
        <v/>
      </c>
      <c r="O139" t="inlineStr">
        <is>
          <t>E1</t>
        </is>
      </c>
      <c r="P139" s="8" t="n"/>
    </row>
    <row r="140">
      <c r="A140" t="inlineStr">
        <is>
          <t>WS0602</t>
        </is>
      </c>
      <c r="N140" s="9">
        <f>IF(ISNUMBER(C140),IF(C140&lt;2000,"before 2000",IF(C140&lt;=2014,"2000-2014","2015 onward")),"")</f>
        <v/>
      </c>
      <c r="O140" t="inlineStr">
        <is>
          <t>E1</t>
        </is>
      </c>
      <c r="P140" s="8" t="n"/>
    </row>
    <row r="141">
      <c r="A141" t="inlineStr">
        <is>
          <t>WS0612</t>
        </is>
      </c>
      <c r="N141" s="9">
        <f>IF(ISNUMBER(C141),IF(C141&lt;2000,"before 2000",IF(C141&lt;=2014,"2000-2014","2015 onward")),"")</f>
        <v/>
      </c>
      <c r="O141" t="inlineStr">
        <is>
          <t>E1</t>
        </is>
      </c>
      <c r="P141" s="8" t="n"/>
    </row>
    <row r="142">
      <c r="A142" t="inlineStr">
        <is>
          <t>WS0619</t>
        </is>
      </c>
      <c r="N142" s="9">
        <f>IF(ISNUMBER(C142),IF(C142&lt;2000,"before 2000",IF(C142&lt;=2014,"2000-2014","2015 onward")),"")</f>
        <v/>
      </c>
      <c r="O142" t="inlineStr">
        <is>
          <t>E1</t>
        </is>
      </c>
      <c r="P142" s="8" t="n"/>
    </row>
    <row r="143">
      <c r="A143" t="inlineStr">
        <is>
          <t>WS0623</t>
        </is>
      </c>
      <c r="N143" s="9">
        <f>IF(ISNUMBER(C143),IF(C143&lt;2000,"before 2000",IF(C143&lt;=2014,"2000-2014","2015 onward")),"")</f>
        <v/>
      </c>
      <c r="O143" t="inlineStr">
        <is>
          <t>E1</t>
        </is>
      </c>
      <c r="P143" s="8" t="n"/>
    </row>
    <row r="144">
      <c r="A144" t="inlineStr">
        <is>
          <t>WS0624</t>
        </is>
      </c>
      <c r="N144" s="9">
        <f>IF(ISNUMBER(C144),IF(C144&lt;2000,"before 2000",IF(C144&lt;=2014,"2000-2014","2015 onward")),"")</f>
        <v/>
      </c>
      <c r="O144" t="inlineStr">
        <is>
          <t>E1</t>
        </is>
      </c>
      <c r="P144" s="8" t="n"/>
    </row>
    <row r="145">
      <c r="A145" t="inlineStr">
        <is>
          <t>WS0629</t>
        </is>
      </c>
      <c r="N145" s="9">
        <f>IF(ISNUMBER(C145),IF(C145&lt;2000,"before 2000",IF(C145&lt;=2014,"2000-2014","2015 onward")),"")</f>
        <v/>
      </c>
      <c r="O145" t="inlineStr">
        <is>
          <t>E1</t>
        </is>
      </c>
      <c r="P145" s="8" t="n"/>
    </row>
    <row r="146">
      <c r="A146" t="inlineStr">
        <is>
          <t>WS0630</t>
        </is>
      </c>
      <c r="N146" s="9">
        <f>IF(ISNUMBER(C146),IF(C146&lt;2000,"before 2000",IF(C146&lt;=2014,"2000-2014","2015 onward")),"")</f>
        <v/>
      </c>
      <c r="O146" t="inlineStr">
        <is>
          <t>E1</t>
        </is>
      </c>
      <c r="P146" s="8" t="n"/>
    </row>
    <row r="147">
      <c r="A147" t="inlineStr">
        <is>
          <t>WS0632</t>
        </is>
      </c>
      <c r="N147" s="9">
        <f>IF(ISNUMBER(C147),IF(C147&lt;2000,"before 2000",IF(C147&lt;=2014,"2000-2014","2015 onward")),"")</f>
        <v/>
      </c>
      <c r="O147" t="inlineStr">
        <is>
          <t>E1</t>
        </is>
      </c>
      <c r="P147" s="8" t="n"/>
    </row>
    <row r="148">
      <c r="A148" t="inlineStr">
        <is>
          <t>WS0637</t>
        </is>
      </c>
      <c r="N148" s="9">
        <f>IF(ISNUMBER(C148),IF(C148&lt;2000,"before 2000",IF(C148&lt;=2014,"2000-2014","2015 onward")),"")</f>
        <v/>
      </c>
      <c r="O148" t="inlineStr">
        <is>
          <t>E1</t>
        </is>
      </c>
      <c r="P148" s="8" t="n"/>
    </row>
    <row r="149">
      <c r="A149" t="inlineStr">
        <is>
          <t>WS0638</t>
        </is>
      </c>
      <c r="N149" s="9">
        <f>IF(ISNUMBER(C149),IF(C149&lt;2000,"before 2000",IF(C149&lt;=2014,"2000-2014","2015 onward")),"")</f>
        <v/>
      </c>
      <c r="O149" t="inlineStr">
        <is>
          <t>E1</t>
        </is>
      </c>
      <c r="P149" s="8" t="n"/>
    </row>
    <row r="150">
      <c r="A150" t="inlineStr">
        <is>
          <t>WS0642</t>
        </is>
      </c>
      <c r="N150" s="9">
        <f>IF(ISNUMBER(C150),IF(C150&lt;2000,"before 2000",IF(C150&lt;=2014,"2000-2014","2015 onward")),"")</f>
        <v/>
      </c>
      <c r="O150" t="inlineStr">
        <is>
          <t>E1</t>
        </is>
      </c>
      <c r="P150" s="8" t="n"/>
    </row>
    <row r="151">
      <c r="A151" t="inlineStr">
        <is>
          <t>WS0645</t>
        </is>
      </c>
      <c r="N151" s="9">
        <f>IF(ISNUMBER(C151),IF(C151&lt;2000,"before 2000",IF(C151&lt;=2014,"2000-2014","2015 onward")),"")</f>
        <v/>
      </c>
      <c r="O151" t="inlineStr">
        <is>
          <t>E1</t>
        </is>
      </c>
      <c r="P151" s="8" t="n"/>
    </row>
    <row r="152">
      <c r="A152" t="inlineStr">
        <is>
          <t>WS0653</t>
        </is>
      </c>
      <c r="N152" s="9">
        <f>IF(ISNUMBER(C152),IF(C152&lt;2000,"before 2000",IF(C152&lt;=2014,"2000-2014","2015 onward")),"")</f>
        <v/>
      </c>
      <c r="O152" t="inlineStr">
        <is>
          <t>E1</t>
        </is>
      </c>
      <c r="P152" s="8" t="n"/>
    </row>
    <row r="153">
      <c r="A153" t="inlineStr">
        <is>
          <t>WS0656</t>
        </is>
      </c>
      <c r="N153" s="9">
        <f>IF(ISNUMBER(C153),IF(C153&lt;2000,"before 2000",IF(C153&lt;=2014,"2000-2014","2015 onward")),"")</f>
        <v/>
      </c>
      <c r="O153" t="inlineStr">
        <is>
          <t>E1</t>
        </is>
      </c>
      <c r="P153" s="8" t="n"/>
    </row>
    <row r="154">
      <c r="A154" t="inlineStr">
        <is>
          <t>WS0658</t>
        </is>
      </c>
      <c r="N154" s="9">
        <f>IF(ISNUMBER(C154),IF(C154&lt;2000,"before 2000",IF(C154&lt;=2014,"2000-2014","2015 onward")),"")</f>
        <v/>
      </c>
      <c r="O154" t="inlineStr">
        <is>
          <t>E1</t>
        </is>
      </c>
      <c r="P154" s="8" t="n"/>
    </row>
    <row r="155">
      <c r="A155" t="inlineStr">
        <is>
          <t>WS0660</t>
        </is>
      </c>
      <c r="N155" s="9">
        <f>IF(ISNUMBER(C155),IF(C155&lt;2000,"before 2000",IF(C155&lt;=2014,"2000-2014","2015 onward")),"")</f>
        <v/>
      </c>
      <c r="O155" t="inlineStr">
        <is>
          <t>E1</t>
        </is>
      </c>
      <c r="P155" s="8" t="n"/>
    </row>
    <row r="156">
      <c r="A156" t="inlineStr">
        <is>
          <t>WS0664</t>
        </is>
      </c>
      <c r="N156" s="9">
        <f>IF(ISNUMBER(C156),IF(C156&lt;2000,"before 2000",IF(C156&lt;=2014,"2000-2014","2015 onward")),"")</f>
        <v/>
      </c>
      <c r="O156" t="inlineStr">
        <is>
          <t>E1</t>
        </is>
      </c>
      <c r="P156" s="8" t="n"/>
    </row>
    <row r="157">
      <c r="A157" t="inlineStr">
        <is>
          <t>WS0667</t>
        </is>
      </c>
      <c r="N157" s="9">
        <f>IF(ISNUMBER(C157),IF(C157&lt;2000,"before 2000",IF(C157&lt;=2014,"2000-2014","2015 onward")),"")</f>
        <v/>
      </c>
      <c r="O157" t="inlineStr">
        <is>
          <t>E1</t>
        </is>
      </c>
      <c r="P157" s="8" t="n"/>
    </row>
    <row r="158">
      <c r="A158" t="inlineStr">
        <is>
          <t>WS0668</t>
        </is>
      </c>
      <c r="N158" s="9">
        <f>IF(ISNUMBER(C158),IF(C158&lt;2000,"before 2000",IF(C158&lt;=2014,"2000-2014","2015 onward")),"")</f>
        <v/>
      </c>
      <c r="O158" t="inlineStr">
        <is>
          <t>E1</t>
        </is>
      </c>
      <c r="P158" s="8" t="n"/>
    </row>
    <row r="159">
      <c r="A159" t="inlineStr">
        <is>
          <t>WS0678</t>
        </is>
      </c>
      <c r="N159" s="9">
        <f>IF(ISNUMBER(C159),IF(C159&lt;2000,"before 2000",IF(C159&lt;=2014,"2000-2014","2015 onward")),"")</f>
        <v/>
      </c>
      <c r="O159" t="inlineStr">
        <is>
          <t>E1</t>
        </is>
      </c>
      <c r="P159" s="8" t="n"/>
    </row>
    <row r="160">
      <c r="A160" t="inlineStr">
        <is>
          <t>WS0681</t>
        </is>
      </c>
      <c r="N160" s="9">
        <f>IF(ISNUMBER(C160),IF(C160&lt;2000,"before 2000",IF(C160&lt;=2014,"2000-2014","2015 onward")),"")</f>
        <v/>
      </c>
      <c r="O160" t="inlineStr">
        <is>
          <t>E1</t>
        </is>
      </c>
      <c r="P160" s="8" t="n"/>
    </row>
    <row r="161">
      <c r="A161" t="inlineStr">
        <is>
          <t>WS0683</t>
        </is>
      </c>
      <c r="N161" s="9">
        <f>IF(ISNUMBER(C161),IF(C161&lt;2000,"before 2000",IF(C161&lt;=2014,"2000-2014","2015 onward")),"")</f>
        <v/>
      </c>
      <c r="O161" t="inlineStr">
        <is>
          <t>E1</t>
        </is>
      </c>
      <c r="P161" s="8" t="n"/>
    </row>
    <row r="162">
      <c r="A162" t="inlineStr">
        <is>
          <t>WS0686</t>
        </is>
      </c>
      <c r="N162" s="9">
        <f>IF(ISNUMBER(C162),IF(C162&lt;2000,"before 2000",IF(C162&lt;=2014,"2000-2014","2015 onward")),"")</f>
        <v/>
      </c>
      <c r="O162" t="inlineStr">
        <is>
          <t>E1</t>
        </is>
      </c>
      <c r="P162" s="8" t="n"/>
    </row>
    <row r="163">
      <c r="A163" t="inlineStr">
        <is>
          <t>WS0687</t>
        </is>
      </c>
      <c r="N163" s="9">
        <f>IF(ISNUMBER(C163),IF(C163&lt;2000,"before 2000",IF(C163&lt;=2014,"2000-2014","2015 onward")),"")</f>
        <v/>
      </c>
      <c r="O163" t="inlineStr">
        <is>
          <t>E1</t>
        </is>
      </c>
      <c r="P163" s="8" t="n"/>
    </row>
    <row r="164">
      <c r="A164" t="inlineStr">
        <is>
          <t>WS0695</t>
        </is>
      </c>
      <c r="N164" s="9">
        <f>IF(ISNUMBER(C164),IF(C164&lt;2000,"before 2000",IF(C164&lt;=2014,"2000-2014","2015 onward")),"")</f>
        <v/>
      </c>
      <c r="O164" t="inlineStr">
        <is>
          <t>E1</t>
        </is>
      </c>
      <c r="P164" s="8" t="n"/>
    </row>
    <row r="165">
      <c r="A165" t="inlineStr">
        <is>
          <t>WS0696</t>
        </is>
      </c>
      <c r="N165" s="9">
        <f>IF(ISNUMBER(C165),IF(C165&lt;2000,"before 2000",IF(C165&lt;=2014,"2000-2014","2015 onward")),"")</f>
        <v/>
      </c>
      <c r="O165" t="inlineStr">
        <is>
          <t>E1</t>
        </is>
      </c>
      <c r="P165" s="8" t="n"/>
    </row>
    <row r="166">
      <c r="A166" t="inlineStr">
        <is>
          <t>WS0699</t>
        </is>
      </c>
      <c r="N166" s="9">
        <f>IF(ISNUMBER(C166),IF(C166&lt;2000,"before 2000",IF(C166&lt;=2014,"2000-2014","2015 onward")),"")</f>
        <v/>
      </c>
      <c r="O166" t="inlineStr">
        <is>
          <t>E1</t>
        </is>
      </c>
      <c r="P166" s="8" t="n"/>
    </row>
    <row r="167">
      <c r="A167" t="inlineStr">
        <is>
          <t>WS0702</t>
        </is>
      </c>
      <c r="N167" s="9">
        <f>IF(ISNUMBER(C167),IF(C167&lt;2000,"before 2000",IF(C167&lt;=2014,"2000-2014","2015 onward")),"")</f>
        <v/>
      </c>
      <c r="O167" t="inlineStr">
        <is>
          <t>E1</t>
        </is>
      </c>
      <c r="P167" s="8" t="n"/>
    </row>
    <row r="168">
      <c r="A168" t="inlineStr">
        <is>
          <t>WS0705</t>
        </is>
      </c>
      <c r="N168" s="9">
        <f>IF(ISNUMBER(C168),IF(C168&lt;2000,"before 2000",IF(C168&lt;=2014,"2000-2014","2015 onward")),"")</f>
        <v/>
      </c>
      <c r="O168" t="inlineStr">
        <is>
          <t>E1</t>
        </is>
      </c>
      <c r="P168" s="8" t="n"/>
    </row>
    <row r="169">
      <c r="A169" t="inlineStr">
        <is>
          <t>WS0706</t>
        </is>
      </c>
      <c r="N169" s="9">
        <f>IF(ISNUMBER(C169),IF(C169&lt;2000,"before 2000",IF(C169&lt;=2014,"2000-2014","2015 onward")),"")</f>
        <v/>
      </c>
      <c r="O169" t="inlineStr">
        <is>
          <t>E1</t>
        </is>
      </c>
      <c r="P169" s="8" t="n"/>
    </row>
    <row r="170">
      <c r="A170" t="inlineStr">
        <is>
          <t>WS0707</t>
        </is>
      </c>
      <c r="N170" s="9">
        <f>IF(ISNUMBER(C170),IF(C170&lt;2000,"before 2000",IF(C170&lt;=2014,"2000-2014","2015 onward")),"")</f>
        <v/>
      </c>
      <c r="O170" t="inlineStr">
        <is>
          <t>E1</t>
        </is>
      </c>
      <c r="P170" s="8" t="n"/>
    </row>
    <row r="171">
      <c r="A171" t="inlineStr">
        <is>
          <t>WS0709</t>
        </is>
      </c>
      <c r="N171" s="9">
        <f>IF(ISNUMBER(C171),IF(C171&lt;2000,"before 2000",IF(C171&lt;=2014,"2000-2014","2015 onward")),"")</f>
        <v/>
      </c>
      <c r="O171" t="inlineStr">
        <is>
          <t>E1</t>
        </is>
      </c>
      <c r="P171" s="8" t="n"/>
    </row>
    <row r="172">
      <c r="A172" t="inlineStr">
        <is>
          <t>WS0714</t>
        </is>
      </c>
      <c r="N172" s="9">
        <f>IF(ISNUMBER(C172),IF(C172&lt;2000,"before 2000",IF(C172&lt;=2014,"2000-2014","2015 onward")),"")</f>
        <v/>
      </c>
      <c r="O172" t="inlineStr">
        <is>
          <t>E1</t>
        </is>
      </c>
      <c r="P172" s="8" t="n"/>
    </row>
    <row r="173">
      <c r="A173" t="inlineStr">
        <is>
          <t>WS0717</t>
        </is>
      </c>
      <c r="N173" s="9">
        <f>IF(ISNUMBER(C173),IF(C173&lt;2000,"before 2000",IF(C173&lt;=2014,"2000-2014","2015 onward")),"")</f>
        <v/>
      </c>
      <c r="O173" t="inlineStr">
        <is>
          <t>E1</t>
        </is>
      </c>
      <c r="P173" s="8" t="n"/>
    </row>
    <row r="174">
      <c r="A174" t="inlineStr">
        <is>
          <t>WS0719</t>
        </is>
      </c>
      <c r="N174" s="9">
        <f>IF(ISNUMBER(C174),IF(C174&lt;2000,"before 2000",IF(C174&lt;=2014,"2000-2014","2015 onward")),"")</f>
        <v/>
      </c>
      <c r="O174" t="inlineStr">
        <is>
          <t>E1</t>
        </is>
      </c>
      <c r="P174" s="8" t="n"/>
    </row>
    <row r="175">
      <c r="A175" t="inlineStr">
        <is>
          <t>WS0724</t>
        </is>
      </c>
      <c r="N175" s="9">
        <f>IF(ISNUMBER(C175),IF(C175&lt;2000,"before 2000",IF(C175&lt;=2014,"2000-2014","2015 onward")),"")</f>
        <v/>
      </c>
      <c r="O175" t="inlineStr">
        <is>
          <t>E1</t>
        </is>
      </c>
      <c r="P175" s="8" t="n"/>
    </row>
    <row r="176">
      <c r="A176" t="inlineStr">
        <is>
          <t>WS0731</t>
        </is>
      </c>
      <c r="N176" s="9">
        <f>IF(ISNUMBER(C176),IF(C176&lt;2000,"before 2000",IF(C176&lt;=2014,"2000-2014","2015 onward")),"")</f>
        <v/>
      </c>
      <c r="O176" t="inlineStr">
        <is>
          <t>E1</t>
        </is>
      </c>
      <c r="P176" s="8" t="n"/>
    </row>
    <row r="177">
      <c r="A177" t="inlineStr">
        <is>
          <t>WS0732</t>
        </is>
      </c>
      <c r="N177" s="9">
        <f>IF(ISNUMBER(C177),IF(C177&lt;2000,"before 2000",IF(C177&lt;=2014,"2000-2014","2015 onward")),"")</f>
        <v/>
      </c>
      <c r="O177" t="inlineStr">
        <is>
          <t>E1</t>
        </is>
      </c>
      <c r="P177" s="8" t="n"/>
    </row>
    <row r="178">
      <c r="A178" t="inlineStr">
        <is>
          <t>WS0734</t>
        </is>
      </c>
      <c r="N178" s="9">
        <f>IF(ISNUMBER(C178),IF(C178&lt;2000,"before 2000",IF(C178&lt;=2014,"2000-2014","2015 onward")),"")</f>
        <v/>
      </c>
      <c r="O178" t="inlineStr">
        <is>
          <t>E1</t>
        </is>
      </c>
      <c r="P178" s="8" t="n"/>
    </row>
    <row r="179">
      <c r="A179" t="inlineStr">
        <is>
          <t>WS0741</t>
        </is>
      </c>
      <c r="N179" s="9">
        <f>IF(ISNUMBER(C179),IF(C179&lt;2000,"before 2000",IF(C179&lt;=2014,"2000-2014","2015 onward")),"")</f>
        <v/>
      </c>
      <c r="O179" t="inlineStr">
        <is>
          <t>E1</t>
        </is>
      </c>
      <c r="P179" s="8" t="n"/>
    </row>
    <row r="180">
      <c r="A180" t="inlineStr">
        <is>
          <t>WS0746</t>
        </is>
      </c>
      <c r="N180" s="9">
        <f>IF(ISNUMBER(C180),IF(C180&lt;2000,"before 2000",IF(C180&lt;=2014,"2000-2014","2015 onward")),"")</f>
        <v/>
      </c>
      <c r="O180" t="inlineStr">
        <is>
          <t>E1</t>
        </is>
      </c>
      <c r="P180" s="8" t="n"/>
    </row>
    <row r="181">
      <c r="A181" t="inlineStr">
        <is>
          <t>WS0749</t>
        </is>
      </c>
      <c r="N181" s="9">
        <f>IF(ISNUMBER(C181),IF(C181&lt;2000,"before 2000",IF(C181&lt;=2014,"2000-2014","2015 onward")),"")</f>
        <v/>
      </c>
      <c r="O181" t="inlineStr">
        <is>
          <t>E1</t>
        </is>
      </c>
      <c r="P181" s="8" t="n"/>
    </row>
    <row r="182">
      <c r="A182" t="inlineStr">
        <is>
          <t>WS0760</t>
        </is>
      </c>
      <c r="N182" s="9">
        <f>IF(ISNUMBER(C182),IF(C182&lt;2000,"before 2000",IF(C182&lt;=2014,"2000-2014","2015 onward")),"")</f>
        <v/>
      </c>
      <c r="O182" t="inlineStr">
        <is>
          <t>E1</t>
        </is>
      </c>
      <c r="P182" s="8" t="n"/>
    </row>
    <row r="183">
      <c r="A183" t="inlineStr">
        <is>
          <t>WS0761</t>
        </is>
      </c>
      <c r="N183" s="9">
        <f>IF(ISNUMBER(C183),IF(C183&lt;2000,"before 2000",IF(C183&lt;=2014,"2000-2014","2015 onward")),"")</f>
        <v/>
      </c>
      <c r="O183" t="inlineStr">
        <is>
          <t>E1</t>
        </is>
      </c>
      <c r="P183" s="8" t="n"/>
    </row>
    <row r="184">
      <c r="A184" t="inlineStr">
        <is>
          <t>WS0765</t>
        </is>
      </c>
      <c r="N184" s="9">
        <f>IF(ISNUMBER(C184),IF(C184&lt;2000,"before 2000",IF(C184&lt;=2014,"2000-2014","2015 onward")),"")</f>
        <v/>
      </c>
      <c r="O184" t="inlineStr">
        <is>
          <t>E1</t>
        </is>
      </c>
      <c r="P184" s="8" t="n"/>
    </row>
    <row r="185">
      <c r="A185" t="inlineStr">
        <is>
          <t>WS0771</t>
        </is>
      </c>
      <c r="N185" s="9">
        <f>IF(ISNUMBER(C185),IF(C185&lt;2000,"before 2000",IF(C185&lt;=2014,"2000-2014","2015 onward")),"")</f>
        <v/>
      </c>
      <c r="O185" t="inlineStr">
        <is>
          <t>E1</t>
        </is>
      </c>
      <c r="P185" s="8" t="n"/>
    </row>
    <row r="186">
      <c r="A186" t="inlineStr">
        <is>
          <t>WS0776</t>
        </is>
      </c>
      <c r="N186" s="9">
        <f>IF(ISNUMBER(C186),IF(C186&lt;2000,"before 2000",IF(C186&lt;=2014,"2000-2014","2015 onward")),"")</f>
        <v/>
      </c>
      <c r="O186" t="inlineStr">
        <is>
          <t>E1</t>
        </is>
      </c>
      <c r="P186" s="8" t="n"/>
    </row>
    <row r="187">
      <c r="A187" t="inlineStr">
        <is>
          <t>WS0777</t>
        </is>
      </c>
      <c r="N187" s="9">
        <f>IF(ISNUMBER(C187),IF(C187&lt;2000,"before 2000",IF(C187&lt;=2014,"2000-2014","2015 onward")),"")</f>
        <v/>
      </c>
      <c r="O187" t="inlineStr">
        <is>
          <t>E1</t>
        </is>
      </c>
      <c r="P187" s="8" t="n"/>
    </row>
    <row r="188">
      <c r="A188" t="inlineStr">
        <is>
          <t>WS0778</t>
        </is>
      </c>
      <c r="N188" s="9">
        <f>IF(ISNUMBER(C188),IF(C188&lt;2000,"before 2000",IF(C188&lt;=2014,"2000-2014","2015 onward")),"")</f>
        <v/>
      </c>
      <c r="O188" t="inlineStr">
        <is>
          <t>E1</t>
        </is>
      </c>
      <c r="P188" s="8" t="n"/>
    </row>
    <row r="189">
      <c r="A189" t="inlineStr">
        <is>
          <t>WS0780</t>
        </is>
      </c>
      <c r="N189" s="9">
        <f>IF(ISNUMBER(C189),IF(C189&lt;2000,"before 2000",IF(C189&lt;=2014,"2000-2014","2015 onward")),"")</f>
        <v/>
      </c>
      <c r="O189" t="inlineStr">
        <is>
          <t>E1</t>
        </is>
      </c>
      <c r="P189" s="8" t="n"/>
    </row>
    <row r="190">
      <c r="A190" t="inlineStr">
        <is>
          <t>WS0789</t>
        </is>
      </c>
      <c r="N190" s="9">
        <f>IF(ISNUMBER(C190),IF(C190&lt;2000,"before 2000",IF(C190&lt;=2014,"2000-2014","2015 onward")),"")</f>
        <v/>
      </c>
      <c r="O190" t="inlineStr">
        <is>
          <t>E1</t>
        </is>
      </c>
      <c r="P190" s="8" t="n"/>
    </row>
    <row r="191">
      <c r="A191" t="inlineStr">
        <is>
          <t>WS1283</t>
        </is>
      </c>
      <c r="N191" s="9">
        <f>IF(ISNUMBER(C191),IF(C191&lt;2000,"before 2000",IF(C191&lt;=2014,"2000-2014","2015 onward")),"")</f>
        <v/>
      </c>
      <c r="O191" t="inlineStr">
        <is>
          <t>E1</t>
        </is>
      </c>
      <c r="P191" s="8" t="n"/>
    </row>
    <row r="192">
      <c r="A192" t="inlineStr">
        <is>
          <t>WS1289</t>
        </is>
      </c>
      <c r="N192" s="9">
        <f>IF(ISNUMBER(C192),IF(C192&lt;2000,"before 2000",IF(C192&lt;=2014,"2000-2014","2015 onward")),"")</f>
        <v/>
      </c>
      <c r="O192" t="inlineStr">
        <is>
          <t>E1</t>
        </is>
      </c>
      <c r="P192" s="8" t="n"/>
    </row>
    <row r="193">
      <c r="A193" t="inlineStr">
        <is>
          <t>WS1293</t>
        </is>
      </c>
      <c r="N193" s="9">
        <f>IF(ISNUMBER(C193),IF(C193&lt;2000,"before 2000",IF(C193&lt;=2014,"2000-2014","2015 onward")),"")</f>
        <v/>
      </c>
      <c r="O193" t="inlineStr">
        <is>
          <t>E1</t>
        </is>
      </c>
      <c r="P193" s="8" t="n"/>
    </row>
    <row r="194">
      <c r="A194" t="inlineStr">
        <is>
          <t>WS1311</t>
        </is>
      </c>
      <c r="N194" s="9">
        <f>IF(ISNUMBER(C194),IF(C194&lt;2000,"before 2000",IF(C194&lt;=2014,"2000-2014","2015 onward")),"")</f>
        <v/>
      </c>
      <c r="O194" t="inlineStr">
        <is>
          <t>E1</t>
        </is>
      </c>
      <c r="P194" s="8" t="n"/>
    </row>
    <row r="195">
      <c r="A195" t="inlineStr">
        <is>
          <t>WS1339</t>
        </is>
      </c>
      <c r="N195" s="9">
        <f>IF(ISNUMBER(C195),IF(C195&lt;2000,"before 2000",IF(C195&lt;=2014,"2000-2014","2015 onward")),"")</f>
        <v/>
      </c>
      <c r="O195" t="inlineStr">
        <is>
          <t>E1</t>
        </is>
      </c>
      <c r="P195" s="8" t="n"/>
    </row>
    <row r="196">
      <c r="A196" t="inlineStr">
        <is>
          <t>WS1352</t>
        </is>
      </c>
      <c r="N196" s="9">
        <f>IF(ISNUMBER(C196),IF(C196&lt;2000,"before 2000",IF(C196&lt;=2014,"2000-2014","2015 onward")),"")</f>
        <v/>
      </c>
      <c r="O196" t="inlineStr">
        <is>
          <t>E1</t>
        </is>
      </c>
      <c r="P196" s="8" t="n"/>
    </row>
    <row r="197">
      <c r="A197" t="inlineStr">
        <is>
          <t>WS1359</t>
        </is>
      </c>
      <c r="N197" s="9">
        <f>IF(ISNUMBER(C197),IF(C197&lt;2000,"before 2000",IF(C197&lt;=2014,"2000-2014","2015 onward")),"")</f>
        <v/>
      </c>
      <c r="O197" t="inlineStr">
        <is>
          <t>E1</t>
        </is>
      </c>
      <c r="P197" s="8" t="n"/>
    </row>
    <row r="198">
      <c r="A198" t="inlineStr">
        <is>
          <t>WS1361</t>
        </is>
      </c>
      <c r="N198" s="9">
        <f>IF(ISNUMBER(C198),IF(C198&lt;2000,"before 2000",IF(C198&lt;=2014,"2000-2014","2015 onward")),"")</f>
        <v/>
      </c>
      <c r="O198" t="inlineStr">
        <is>
          <t>E1</t>
        </is>
      </c>
      <c r="P198" s="8" t="n"/>
    </row>
    <row r="199">
      <c r="A199" t="inlineStr">
        <is>
          <t>WS1367</t>
        </is>
      </c>
      <c r="N199" s="9">
        <f>IF(ISNUMBER(C199),IF(C199&lt;2000,"before 2000",IF(C199&lt;=2014,"2000-2014","2015 onward")),"")</f>
        <v/>
      </c>
      <c r="O199" t="inlineStr">
        <is>
          <t>E1</t>
        </is>
      </c>
      <c r="P199" s="8" t="n"/>
    </row>
    <row r="200">
      <c r="A200" t="inlineStr">
        <is>
          <t>WS1373</t>
        </is>
      </c>
      <c r="N200" s="9">
        <f>IF(ISNUMBER(C200),IF(C200&lt;2000,"before 2000",IF(C200&lt;=2014,"2000-2014","2015 onward")),"")</f>
        <v/>
      </c>
      <c r="O200" t="inlineStr">
        <is>
          <t>E1</t>
        </is>
      </c>
      <c r="P200" s="8" t="n"/>
    </row>
    <row r="201">
      <c r="A201" t="inlineStr">
        <is>
          <t>WS1388</t>
        </is>
      </c>
      <c r="N201" s="9">
        <f>IF(ISNUMBER(C201),IF(C201&lt;2000,"before 2000",IF(C201&lt;=2014,"2000-2014","2015 onward")),"")</f>
        <v/>
      </c>
      <c r="O201" t="inlineStr">
        <is>
          <t>E1</t>
        </is>
      </c>
      <c r="P201" s="8" t="n"/>
    </row>
    <row r="202">
      <c r="A202" t="inlineStr">
        <is>
          <t>WS1439</t>
        </is>
      </c>
      <c r="N202" s="9">
        <f>IF(ISNUMBER(C202),IF(C202&lt;2000,"before 2000",IF(C202&lt;=2014,"2000-2014","2015 onward")),"")</f>
        <v/>
      </c>
      <c r="O202" t="inlineStr">
        <is>
          <t>E1</t>
        </is>
      </c>
      <c r="P202" s="8" t="n"/>
    </row>
    <row r="203">
      <c r="A203" t="inlineStr">
        <is>
          <t>WS1507</t>
        </is>
      </c>
      <c r="N203" s="9">
        <f>IF(ISNUMBER(C203),IF(C203&lt;2000,"before 2000",IF(C203&lt;=2014,"2000-2014","2015 onward")),"")</f>
        <v/>
      </c>
      <c r="O203" t="inlineStr">
        <is>
          <t>E1</t>
        </is>
      </c>
      <c r="P203" s="8" t="n"/>
    </row>
    <row r="204">
      <c r="A204" t="inlineStr">
        <is>
          <t>WS1512</t>
        </is>
      </c>
      <c r="N204" s="9">
        <f>IF(ISNUMBER(C204),IF(C204&lt;2000,"before 2000",IF(C204&lt;=2014,"2000-2014","2015 onward")),"")</f>
        <v/>
      </c>
      <c r="O204" t="inlineStr">
        <is>
          <t>E1</t>
        </is>
      </c>
      <c r="P204" s="8" t="n"/>
    </row>
    <row r="205">
      <c r="A205" t="inlineStr">
        <is>
          <t>WS1513</t>
        </is>
      </c>
      <c r="N205" s="9">
        <f>IF(ISNUMBER(C205),IF(C205&lt;2000,"before 2000",IF(C205&lt;=2014,"2000-2014","2015 onward")),"")</f>
        <v/>
      </c>
      <c r="O205" t="inlineStr">
        <is>
          <t>E1</t>
        </is>
      </c>
      <c r="P205" s="8" t="n"/>
    </row>
    <row r="206">
      <c r="A206" t="inlineStr">
        <is>
          <t>WS1526</t>
        </is>
      </c>
      <c r="N206" s="9">
        <f>IF(ISNUMBER(C206),IF(C206&lt;2000,"before 2000",IF(C206&lt;=2014,"2000-2014","2015 onward")),"")</f>
        <v/>
      </c>
      <c r="O206" t="inlineStr">
        <is>
          <t>E1</t>
        </is>
      </c>
      <c r="P206" s="8" t="n"/>
    </row>
    <row r="207">
      <c r="A207" t="inlineStr">
        <is>
          <t>WS1527</t>
        </is>
      </c>
      <c r="N207" s="9">
        <f>IF(ISNUMBER(C207),IF(C207&lt;2000,"before 2000",IF(C207&lt;=2014,"2000-2014","2015 onward")),"")</f>
        <v/>
      </c>
      <c r="O207" t="inlineStr">
        <is>
          <t>E1</t>
        </is>
      </c>
      <c r="P207" s="8" t="n"/>
    </row>
    <row r="208">
      <c r="A208" t="inlineStr">
        <is>
          <t>WS1537</t>
        </is>
      </c>
      <c r="N208" s="9">
        <f>IF(ISNUMBER(C208),IF(C208&lt;2000,"before 2000",IF(C208&lt;=2014,"2000-2014","2015 onward")),"")</f>
        <v/>
      </c>
      <c r="O208" t="inlineStr">
        <is>
          <t>E1</t>
        </is>
      </c>
      <c r="P208" s="8" t="n"/>
    </row>
    <row r="209">
      <c r="A209" t="inlineStr">
        <is>
          <t>WS1553</t>
        </is>
      </c>
      <c r="N209" s="9">
        <f>IF(ISNUMBER(C209),IF(C209&lt;2000,"before 2000",IF(C209&lt;=2014,"2000-2014","2015 onward")),"")</f>
        <v/>
      </c>
      <c r="O209" t="inlineStr">
        <is>
          <t>E1</t>
        </is>
      </c>
      <c r="P209" s="8" t="n"/>
    </row>
    <row r="210">
      <c r="A210" t="inlineStr">
        <is>
          <t>WS1565</t>
        </is>
      </c>
      <c r="N210" s="9">
        <f>IF(ISNUMBER(C210),IF(C210&lt;2000,"before 2000",IF(C210&lt;=2014,"2000-2014","2015 onward")),"")</f>
        <v/>
      </c>
      <c r="O210" t="inlineStr">
        <is>
          <t>E1</t>
        </is>
      </c>
      <c r="P210" s="8" t="n"/>
    </row>
    <row r="211">
      <c r="A211" t="inlineStr">
        <is>
          <t>WS1577</t>
        </is>
      </c>
      <c r="N211" s="9">
        <f>IF(ISNUMBER(C211),IF(C211&lt;2000,"before 2000",IF(C211&lt;=2014,"2000-2014","2015 onward")),"")</f>
        <v/>
      </c>
      <c r="O211" t="inlineStr">
        <is>
          <t>E1</t>
        </is>
      </c>
      <c r="P211" s="8" t="n"/>
    </row>
    <row r="212">
      <c r="A212" t="inlineStr">
        <is>
          <t>WS1578</t>
        </is>
      </c>
      <c r="N212" s="9">
        <f>IF(ISNUMBER(C212),IF(C212&lt;2000,"before 2000",IF(C212&lt;=2014,"2000-2014","2015 onward")),"")</f>
        <v/>
      </c>
      <c r="O212" t="inlineStr">
        <is>
          <t>E1</t>
        </is>
      </c>
      <c r="P212" s="8" t="n"/>
    </row>
    <row r="213">
      <c r="A213" t="inlineStr">
        <is>
          <t>WS1584</t>
        </is>
      </c>
      <c r="N213" s="9">
        <f>IF(ISNUMBER(C213),IF(C213&lt;2000,"before 2000",IF(C213&lt;=2014,"2000-2014","2015 onward")),"")</f>
        <v/>
      </c>
      <c r="O213" t="inlineStr">
        <is>
          <t>E1</t>
        </is>
      </c>
      <c r="P213" s="8" t="n"/>
    </row>
    <row r="214">
      <c r="A214" t="inlineStr">
        <is>
          <t>WS1589</t>
        </is>
      </c>
      <c r="N214" s="9">
        <f>IF(ISNUMBER(C214),IF(C214&lt;2000,"before 2000",IF(C214&lt;=2014,"2000-2014","2015 onward")),"")</f>
        <v/>
      </c>
      <c r="O214" t="inlineStr">
        <is>
          <t>E1</t>
        </is>
      </c>
      <c r="P214" s="8" t="n"/>
    </row>
    <row r="215">
      <c r="A215" t="inlineStr">
        <is>
          <t>WS1592</t>
        </is>
      </c>
      <c r="N215" s="9">
        <f>IF(ISNUMBER(C215),IF(C215&lt;2000,"before 2000",IF(C215&lt;=2014,"2000-2014","2015 onward")),"")</f>
        <v/>
      </c>
      <c r="O215" t="inlineStr">
        <is>
          <t>E1</t>
        </is>
      </c>
      <c r="P215" s="8" t="n"/>
    </row>
    <row r="216">
      <c r="A216" t="inlineStr">
        <is>
          <t>WS1614</t>
        </is>
      </c>
      <c r="N216" s="9">
        <f>IF(ISNUMBER(C216),IF(C216&lt;2000,"before 2000",IF(C216&lt;=2014,"2000-2014","2015 onward")),"")</f>
        <v/>
      </c>
      <c r="O216" t="inlineStr">
        <is>
          <t>E1</t>
        </is>
      </c>
      <c r="P216" s="8" t="n"/>
    </row>
    <row r="217">
      <c r="A217" t="inlineStr">
        <is>
          <t>WS1639</t>
        </is>
      </c>
      <c r="N217" s="9">
        <f>IF(ISNUMBER(C217),IF(C217&lt;2000,"before 2000",IF(C217&lt;=2014,"2000-2014","2015 onward")),"")</f>
        <v/>
      </c>
      <c r="O217" t="inlineStr">
        <is>
          <t>E1</t>
        </is>
      </c>
      <c r="P217" s="8" t="n"/>
    </row>
    <row r="218">
      <c r="A218" t="inlineStr">
        <is>
          <t>WS1649</t>
        </is>
      </c>
      <c r="N218" s="9">
        <f>IF(ISNUMBER(C218),IF(C218&lt;2000,"before 2000",IF(C218&lt;=2014,"2000-2014","2015 onward")),"")</f>
        <v/>
      </c>
      <c r="O218" t="inlineStr">
        <is>
          <t>E1</t>
        </is>
      </c>
      <c r="P218" s="8" t="n"/>
    </row>
    <row r="219">
      <c r="A219" t="inlineStr">
        <is>
          <t>WS1651</t>
        </is>
      </c>
      <c r="N219" s="9">
        <f>IF(ISNUMBER(C219),IF(C219&lt;2000,"before 2000",IF(C219&lt;=2014,"2000-2014","2015 onward")),"")</f>
        <v/>
      </c>
      <c r="O219" t="inlineStr">
        <is>
          <t>E1</t>
        </is>
      </c>
      <c r="P219" s="8" t="n"/>
    </row>
    <row r="220">
      <c r="A220" t="inlineStr">
        <is>
          <t>WS1685</t>
        </is>
      </c>
      <c r="N220" s="9">
        <f>IF(ISNUMBER(C220),IF(C220&lt;2000,"before 2000",IF(C220&lt;=2014,"2000-2014","2015 onward")),"")</f>
        <v/>
      </c>
      <c r="O220" t="inlineStr">
        <is>
          <t>E1</t>
        </is>
      </c>
      <c r="P220" s="8" t="n"/>
    </row>
    <row r="221">
      <c r="A221" t="inlineStr">
        <is>
          <t>WS1704</t>
        </is>
      </c>
      <c r="N221" s="9">
        <f>IF(ISNUMBER(C221),IF(C221&lt;2000,"before 2000",IF(C221&lt;=2014,"2000-2014","2015 onward")),"")</f>
        <v/>
      </c>
      <c r="O221" t="inlineStr">
        <is>
          <t>E1</t>
        </is>
      </c>
      <c r="P221" s="8" t="n"/>
    </row>
    <row r="222">
      <c r="A222" t="inlineStr">
        <is>
          <t>WS1856</t>
        </is>
      </c>
      <c r="N222" s="9">
        <f>IF(ISNUMBER(C222),IF(C222&lt;2000,"before 2000",IF(C222&lt;=2014,"2000-2014","2015 onward")),"")</f>
        <v/>
      </c>
      <c r="O222" t="inlineStr">
        <is>
          <t>E1</t>
        </is>
      </c>
      <c r="P222" s="8" t="n"/>
    </row>
    <row r="223">
      <c r="A223" t="inlineStr">
        <is>
          <t>WS1859</t>
        </is>
      </c>
      <c r="N223" s="9">
        <f>IF(ISNUMBER(C223),IF(C223&lt;2000,"before 2000",IF(C223&lt;=2014,"2000-2014","2015 onward")),"")</f>
        <v/>
      </c>
      <c r="O223" t="inlineStr">
        <is>
          <t>E1</t>
        </is>
      </c>
      <c r="P223" s="8" t="n"/>
    </row>
    <row r="224">
      <c r="A224" t="inlineStr">
        <is>
          <t>WS1860</t>
        </is>
      </c>
      <c r="N224" s="9">
        <f>IF(ISNUMBER(C224),IF(C224&lt;2000,"before 2000",IF(C224&lt;=2014,"2000-2014","2015 onward")),"")</f>
        <v/>
      </c>
      <c r="O224" t="inlineStr">
        <is>
          <t>E1</t>
        </is>
      </c>
      <c r="P224" s="8" t="n"/>
    </row>
    <row r="225">
      <c r="A225" t="inlineStr">
        <is>
          <t>WS1867</t>
        </is>
      </c>
      <c r="N225" s="9">
        <f>IF(ISNUMBER(C225),IF(C225&lt;2000,"before 2000",IF(C225&lt;=2014,"2000-2014","2015 onward")),"")</f>
        <v/>
      </c>
      <c r="O225" t="inlineStr">
        <is>
          <t>E1</t>
        </is>
      </c>
      <c r="P225" s="8" t="n"/>
    </row>
    <row r="226">
      <c r="A226" t="inlineStr">
        <is>
          <t>WS1868</t>
        </is>
      </c>
      <c r="N226" s="9">
        <f>IF(ISNUMBER(C226),IF(C226&lt;2000,"before 2000",IF(C226&lt;=2014,"2000-2014","2015 onward")),"")</f>
        <v/>
      </c>
      <c r="O226" t="inlineStr">
        <is>
          <t>E1</t>
        </is>
      </c>
      <c r="P226" s="8" t="n"/>
    </row>
    <row r="227">
      <c r="A227" t="inlineStr">
        <is>
          <t>WS1869</t>
        </is>
      </c>
      <c r="N227" s="9">
        <f>IF(ISNUMBER(C227),IF(C227&lt;2000,"before 2000",IF(C227&lt;=2014,"2000-2014","2015 onward")),"")</f>
        <v/>
      </c>
      <c r="O227" t="inlineStr">
        <is>
          <t>E1</t>
        </is>
      </c>
      <c r="P227" s="8" t="n"/>
    </row>
    <row r="228">
      <c r="A228" t="inlineStr">
        <is>
          <t>WS1880</t>
        </is>
      </c>
      <c r="N228" s="9">
        <f>IF(ISNUMBER(C228),IF(C228&lt;2000,"before 2000",IF(C228&lt;=2014,"2000-2014","2015 onward")),"")</f>
        <v/>
      </c>
      <c r="O228" t="inlineStr">
        <is>
          <t>E1</t>
        </is>
      </c>
      <c r="P228" s="8" t="n"/>
    </row>
    <row r="229">
      <c r="A229" t="inlineStr">
        <is>
          <t>WS1890</t>
        </is>
      </c>
      <c r="N229" s="9">
        <f>IF(ISNUMBER(C229),IF(C229&lt;2000,"before 2000",IF(C229&lt;=2014,"2000-2014","2015 onward")),"")</f>
        <v/>
      </c>
      <c r="O229" t="inlineStr">
        <is>
          <t>E1</t>
        </is>
      </c>
      <c r="P229" s="8" t="n"/>
    </row>
    <row r="230">
      <c r="A230" t="inlineStr">
        <is>
          <t>WS1892</t>
        </is>
      </c>
      <c r="N230" s="9">
        <f>IF(ISNUMBER(C230),IF(C230&lt;2000,"before 2000",IF(C230&lt;=2014,"2000-2014","2015 onward")),"")</f>
        <v/>
      </c>
      <c r="O230" t="inlineStr">
        <is>
          <t>E1</t>
        </is>
      </c>
      <c r="P230" s="8" t="n"/>
    </row>
    <row r="231">
      <c r="A231" t="inlineStr">
        <is>
          <t>WS1902</t>
        </is>
      </c>
      <c r="N231" s="9">
        <f>IF(ISNUMBER(C231),IF(C231&lt;2000,"before 2000",IF(C231&lt;=2014,"2000-2014","2015 onward")),"")</f>
        <v/>
      </c>
      <c r="O231" t="inlineStr">
        <is>
          <t>E1</t>
        </is>
      </c>
      <c r="P231" s="8" t="n"/>
    </row>
    <row r="232">
      <c r="A232" t="inlineStr">
        <is>
          <t>WS1903</t>
        </is>
      </c>
      <c r="N232" s="9">
        <f>IF(ISNUMBER(C232),IF(C232&lt;2000,"before 2000",IF(C232&lt;=2014,"2000-2014","2015 onward")),"")</f>
        <v/>
      </c>
      <c r="O232" t="inlineStr">
        <is>
          <t>E1</t>
        </is>
      </c>
      <c r="P232" s="8" t="n"/>
    </row>
    <row r="233">
      <c r="A233" t="inlineStr">
        <is>
          <t>WS1908</t>
        </is>
      </c>
      <c r="N233" s="9">
        <f>IF(ISNUMBER(C233),IF(C233&lt;2000,"before 2000",IF(C233&lt;=2014,"2000-2014","2015 onward")),"")</f>
        <v/>
      </c>
      <c r="O233" t="inlineStr">
        <is>
          <t>E1</t>
        </is>
      </c>
      <c r="P233" s="8" t="n"/>
    </row>
    <row r="234">
      <c r="A234" t="inlineStr">
        <is>
          <t>WS1913</t>
        </is>
      </c>
      <c r="N234" s="9">
        <f>IF(ISNUMBER(C234),IF(C234&lt;2000,"before 2000",IF(C234&lt;=2014,"2000-2014","2015 onward")),"")</f>
        <v/>
      </c>
      <c r="O234" t="inlineStr">
        <is>
          <t>E1</t>
        </is>
      </c>
      <c r="P234" s="8" t="n"/>
    </row>
    <row r="235">
      <c r="A235" t="inlineStr">
        <is>
          <t>WS1916</t>
        </is>
      </c>
      <c r="N235" s="9">
        <f>IF(ISNUMBER(C235),IF(C235&lt;2000,"before 2000",IF(C235&lt;=2014,"2000-2014","2015 onward")),"")</f>
        <v/>
      </c>
      <c r="O235" t="inlineStr">
        <is>
          <t>E1</t>
        </is>
      </c>
      <c r="P235" s="8" t="n"/>
    </row>
    <row r="236">
      <c r="A236" t="inlineStr">
        <is>
          <t>WS1925</t>
        </is>
      </c>
      <c r="N236" s="9">
        <f>IF(ISNUMBER(C236),IF(C236&lt;2000,"before 2000",IF(C236&lt;=2014,"2000-2014","2015 onward")),"")</f>
        <v/>
      </c>
      <c r="O236" t="inlineStr">
        <is>
          <t>E1</t>
        </is>
      </c>
      <c r="P236" s="8" t="n"/>
    </row>
    <row r="237">
      <c r="A237" t="inlineStr">
        <is>
          <t>WS1927</t>
        </is>
      </c>
      <c r="N237" s="9">
        <f>IF(ISNUMBER(C237),IF(C237&lt;2000,"before 2000",IF(C237&lt;=2014,"2000-2014","2015 onward")),"")</f>
        <v/>
      </c>
      <c r="O237" t="inlineStr">
        <is>
          <t>E1</t>
        </is>
      </c>
      <c r="P237" s="8" t="n"/>
    </row>
    <row r="238">
      <c r="A238" t="inlineStr">
        <is>
          <t>WS1929</t>
        </is>
      </c>
      <c r="N238" s="9">
        <f>IF(ISNUMBER(C238),IF(C238&lt;2000,"before 2000",IF(C238&lt;=2014,"2000-2014","2015 onward")),"")</f>
        <v/>
      </c>
      <c r="O238" t="inlineStr">
        <is>
          <t>E1</t>
        </is>
      </c>
      <c r="P238" s="8" t="n"/>
    </row>
    <row r="239">
      <c r="A239" t="inlineStr">
        <is>
          <t>WS1972</t>
        </is>
      </c>
      <c r="N239" s="9">
        <f>IF(ISNUMBER(C239),IF(C239&lt;2000,"before 2000",IF(C239&lt;=2014,"2000-2014","2015 onward")),"")</f>
        <v/>
      </c>
      <c r="O239" t="inlineStr">
        <is>
          <t>E1</t>
        </is>
      </c>
      <c r="P239" s="8" t="n"/>
    </row>
    <row r="240">
      <c r="A240" t="inlineStr">
        <is>
          <t>WS2001</t>
        </is>
      </c>
      <c r="N240" s="9">
        <f>IF(ISNUMBER(C240),IF(C240&lt;2000,"before 2000",IF(C240&lt;=2014,"2000-2014","2015 onward")),"")</f>
        <v/>
      </c>
      <c r="O240" t="inlineStr">
        <is>
          <t>E1</t>
        </is>
      </c>
      <c r="P240" s="8" t="n"/>
    </row>
    <row r="241">
      <c r="A241" t="inlineStr">
        <is>
          <t>WS2011</t>
        </is>
      </c>
      <c r="N241" s="9">
        <f>IF(ISNUMBER(C241),IF(C241&lt;2000,"before 2000",IF(C241&lt;=2014,"2000-2014","2015 onward")),"")</f>
        <v/>
      </c>
      <c r="O241" t="inlineStr">
        <is>
          <t>E1</t>
        </is>
      </c>
      <c r="P241" s="8" t="n"/>
    </row>
    <row r="242">
      <c r="A242" t="inlineStr">
        <is>
          <t>WS2018</t>
        </is>
      </c>
      <c r="N242" s="9">
        <f>IF(ISNUMBER(C242),IF(C242&lt;2000,"before 2000",IF(C242&lt;=2014,"2000-2014","2015 onward")),"")</f>
        <v/>
      </c>
      <c r="O242" t="inlineStr">
        <is>
          <t>E1</t>
        </is>
      </c>
      <c r="P242" s="8" t="n"/>
    </row>
    <row r="243">
      <c r="A243" t="inlineStr">
        <is>
          <t>WS2025</t>
        </is>
      </c>
      <c r="N243" s="9">
        <f>IF(ISNUMBER(C243),IF(C243&lt;2000,"before 2000",IF(C243&lt;=2014,"2000-2014","2015 onward")),"")</f>
        <v/>
      </c>
      <c r="O243" t="inlineStr">
        <is>
          <t>E1</t>
        </is>
      </c>
      <c r="P243" s="8" t="n"/>
    </row>
    <row r="244">
      <c r="A244" t="inlineStr">
        <is>
          <t>WS2032</t>
        </is>
      </c>
      <c r="N244" s="9">
        <f>IF(ISNUMBER(C244),IF(C244&lt;2000,"before 2000",IF(C244&lt;=2014,"2000-2014","2015 onward")),"")</f>
        <v/>
      </c>
      <c r="O244" t="inlineStr">
        <is>
          <t>E1</t>
        </is>
      </c>
      <c r="P244" s="8" t="n"/>
    </row>
    <row r="245">
      <c r="A245" t="inlineStr">
        <is>
          <t>WS2040</t>
        </is>
      </c>
      <c r="N245" s="9">
        <f>IF(ISNUMBER(C245),IF(C245&lt;2000,"before 2000",IF(C245&lt;=2014,"2000-2014","2015 onward")),"")</f>
        <v/>
      </c>
      <c r="O245" t="inlineStr">
        <is>
          <t>E1</t>
        </is>
      </c>
      <c r="P245" s="8" t="n"/>
    </row>
    <row r="246">
      <c r="A246" t="inlineStr">
        <is>
          <t>WS2041</t>
        </is>
      </c>
      <c r="N246" s="9">
        <f>IF(ISNUMBER(C246),IF(C246&lt;2000,"before 2000",IF(C246&lt;=2014,"2000-2014","2015 onward")),"")</f>
        <v/>
      </c>
      <c r="O246" t="inlineStr">
        <is>
          <t>E1</t>
        </is>
      </c>
      <c r="P246" s="8" t="n"/>
    </row>
    <row r="247">
      <c r="A247" t="inlineStr">
        <is>
          <t>WS2044</t>
        </is>
      </c>
      <c r="N247" s="9">
        <f>IF(ISNUMBER(C247),IF(C247&lt;2000,"before 2000",IF(C247&lt;=2014,"2000-2014","2015 onward")),"")</f>
        <v/>
      </c>
      <c r="O247" t="inlineStr">
        <is>
          <t>E1</t>
        </is>
      </c>
      <c r="P247" s="8" t="n"/>
    </row>
    <row r="248">
      <c r="A248" t="inlineStr">
        <is>
          <t>WS2046</t>
        </is>
      </c>
      <c r="N248" s="9">
        <f>IF(ISNUMBER(C248),IF(C248&lt;2000,"before 2000",IF(C248&lt;=2014,"2000-2014","2015 onward")),"")</f>
        <v/>
      </c>
      <c r="O248" t="inlineStr">
        <is>
          <t>E1</t>
        </is>
      </c>
      <c r="P248" s="8" t="n"/>
    </row>
    <row r="249">
      <c r="A249" t="inlineStr">
        <is>
          <t>WS2058</t>
        </is>
      </c>
      <c r="N249" s="9">
        <f>IF(ISNUMBER(C249),IF(C249&lt;2000,"before 2000",IF(C249&lt;=2014,"2000-2014","2015 onward")),"")</f>
        <v/>
      </c>
      <c r="O249" t="inlineStr">
        <is>
          <t>E1</t>
        </is>
      </c>
      <c r="P249" s="8" t="n"/>
    </row>
    <row r="250">
      <c r="A250" t="inlineStr">
        <is>
          <t>WS2059</t>
        </is>
      </c>
      <c r="N250" s="9">
        <f>IF(ISNUMBER(C250),IF(C250&lt;2000,"before 2000",IF(C250&lt;=2014,"2000-2014","2015 onward")),"")</f>
        <v/>
      </c>
      <c r="O250" t="inlineStr">
        <is>
          <t>E1</t>
        </is>
      </c>
      <c r="P250" s="8" t="n"/>
    </row>
    <row r="251">
      <c r="A251" t="inlineStr">
        <is>
          <t>WS2062</t>
        </is>
      </c>
      <c r="N251" s="9">
        <f>IF(ISNUMBER(C251),IF(C251&lt;2000,"before 2000",IF(C251&lt;=2014,"2000-2014","2015 onward")),"")</f>
        <v/>
      </c>
      <c r="O251" t="inlineStr">
        <is>
          <t>E1</t>
        </is>
      </c>
      <c r="P251" s="8" t="n"/>
    </row>
    <row r="252">
      <c r="A252" t="inlineStr">
        <is>
          <t>WS2083</t>
        </is>
      </c>
      <c r="N252" s="9">
        <f>IF(ISNUMBER(C252),IF(C252&lt;2000,"before 2000",IF(C252&lt;=2014,"2000-2014","2015 onward")),"")</f>
        <v/>
      </c>
      <c r="O252" t="inlineStr">
        <is>
          <t>E1</t>
        </is>
      </c>
      <c r="P252" s="8" t="n"/>
    </row>
    <row r="253">
      <c r="A253" t="inlineStr">
        <is>
          <t>WS2092</t>
        </is>
      </c>
      <c r="N253" s="9">
        <f>IF(ISNUMBER(C253),IF(C253&lt;2000,"before 2000",IF(C253&lt;=2014,"2000-2014","2015 onward")),"")</f>
        <v/>
      </c>
      <c r="O253" t="inlineStr">
        <is>
          <t>E1</t>
        </is>
      </c>
      <c r="P253" s="8" t="n"/>
    </row>
    <row r="254">
      <c r="A254" t="inlineStr">
        <is>
          <t>WS2093</t>
        </is>
      </c>
      <c r="N254" s="9">
        <f>IF(ISNUMBER(C254),IF(C254&lt;2000,"before 2000",IF(C254&lt;=2014,"2000-2014","2015 onward")),"")</f>
        <v/>
      </c>
      <c r="O254" t="inlineStr">
        <is>
          <t>E1</t>
        </is>
      </c>
      <c r="P254" s="8" t="n"/>
    </row>
    <row r="255">
      <c r="A255" t="inlineStr">
        <is>
          <t>WS2101</t>
        </is>
      </c>
      <c r="N255" s="9">
        <f>IF(ISNUMBER(C255),IF(C255&lt;2000,"before 2000",IF(C255&lt;=2014,"2000-2014","2015 onward")),"")</f>
        <v/>
      </c>
      <c r="O255" t="inlineStr">
        <is>
          <t>E1</t>
        </is>
      </c>
      <c r="P255" s="8" t="n"/>
    </row>
    <row r="256">
      <c r="A256" t="inlineStr">
        <is>
          <t>WS2111</t>
        </is>
      </c>
      <c r="N256" s="9">
        <f>IF(ISNUMBER(C256),IF(C256&lt;2000,"before 2000",IF(C256&lt;=2014,"2000-2014","2015 onward")),"")</f>
        <v/>
      </c>
      <c r="O256" t="inlineStr">
        <is>
          <t>E1</t>
        </is>
      </c>
      <c r="P256" s="8" t="n"/>
    </row>
    <row r="257">
      <c r="A257" t="inlineStr">
        <is>
          <t>WS2114</t>
        </is>
      </c>
      <c r="N257" s="9">
        <f>IF(ISNUMBER(C257),IF(C257&lt;2000,"before 2000",IF(C257&lt;=2014,"2000-2014","2015 onward")),"")</f>
        <v/>
      </c>
      <c r="O257" t="inlineStr">
        <is>
          <t>E1</t>
        </is>
      </c>
      <c r="P257" s="8" t="n"/>
    </row>
    <row r="258">
      <c r="A258" t="inlineStr">
        <is>
          <t>WS2116</t>
        </is>
      </c>
      <c r="N258" s="9">
        <f>IF(ISNUMBER(C258),IF(C258&lt;2000,"before 2000",IF(C258&lt;=2014,"2000-2014","2015 onward")),"")</f>
        <v/>
      </c>
      <c r="O258" t="inlineStr">
        <is>
          <t>E1</t>
        </is>
      </c>
      <c r="P258" s="8" t="n"/>
    </row>
    <row r="259">
      <c r="A259" t="inlineStr">
        <is>
          <t>WS2119</t>
        </is>
      </c>
      <c r="N259" s="9">
        <f>IF(ISNUMBER(C259),IF(C259&lt;2000,"before 2000",IF(C259&lt;=2014,"2000-2014","2015 onward")),"")</f>
        <v/>
      </c>
      <c r="O259" t="inlineStr">
        <is>
          <t>E1</t>
        </is>
      </c>
      <c r="P259" s="8" t="n"/>
    </row>
    <row r="260">
      <c r="A260" t="inlineStr">
        <is>
          <t>WS2125</t>
        </is>
      </c>
      <c r="N260" s="9">
        <f>IF(ISNUMBER(C260),IF(C260&lt;2000,"before 2000",IF(C260&lt;=2014,"2000-2014","2015 onward")),"")</f>
        <v/>
      </c>
      <c r="O260" t="inlineStr">
        <is>
          <t>E1</t>
        </is>
      </c>
      <c r="P260" s="8" t="n"/>
    </row>
    <row r="261">
      <c r="A261" t="inlineStr">
        <is>
          <t>WS2127</t>
        </is>
      </c>
      <c r="N261" s="9">
        <f>IF(ISNUMBER(C261),IF(C261&lt;2000,"before 2000",IF(C261&lt;=2014,"2000-2014","2015 onward")),"")</f>
        <v/>
      </c>
      <c r="O261" t="inlineStr">
        <is>
          <t>E1</t>
        </is>
      </c>
      <c r="P261" s="8" t="n"/>
    </row>
    <row r="262">
      <c r="A262" t="inlineStr">
        <is>
          <t>WS2130</t>
        </is>
      </c>
      <c r="N262" s="9">
        <f>IF(ISNUMBER(C262),IF(C262&lt;2000,"before 2000",IF(C262&lt;=2014,"2000-2014","2015 onward")),"")</f>
        <v/>
      </c>
      <c r="O262" t="inlineStr">
        <is>
          <t>E1</t>
        </is>
      </c>
      <c r="P262" s="8" t="n"/>
    </row>
    <row r="263">
      <c r="A263" t="inlineStr">
        <is>
          <t>WS2135</t>
        </is>
      </c>
      <c r="N263" s="9">
        <f>IF(ISNUMBER(C263),IF(C263&lt;2000,"before 2000",IF(C263&lt;=2014,"2000-2014","2015 onward")),"")</f>
        <v/>
      </c>
      <c r="O263" t="inlineStr">
        <is>
          <t>E1</t>
        </is>
      </c>
      <c r="P263" s="8" t="n"/>
    </row>
    <row r="264">
      <c r="A264" t="inlineStr">
        <is>
          <t>WS2137</t>
        </is>
      </c>
      <c r="N264" s="9">
        <f>IF(ISNUMBER(C264),IF(C264&lt;2000,"before 2000",IF(C264&lt;=2014,"2000-2014","2015 onward")),"")</f>
        <v/>
      </c>
      <c r="O264" t="inlineStr">
        <is>
          <t>E1</t>
        </is>
      </c>
      <c r="P264" s="8" t="n"/>
    </row>
    <row r="265">
      <c r="A265" t="inlineStr">
        <is>
          <t>WS2138</t>
        </is>
      </c>
      <c r="N265" s="9">
        <f>IF(ISNUMBER(C265),IF(C265&lt;2000,"before 2000",IF(C265&lt;=2014,"2000-2014","2015 onward")),"")</f>
        <v/>
      </c>
      <c r="O265" t="inlineStr">
        <is>
          <t>E1</t>
        </is>
      </c>
      <c r="P265" s="8" t="n"/>
    </row>
    <row r="266">
      <c r="A266" t="inlineStr">
        <is>
          <t>WS2145</t>
        </is>
      </c>
      <c r="N266" s="9">
        <f>IF(ISNUMBER(C266),IF(C266&lt;2000,"before 2000",IF(C266&lt;=2014,"2000-2014","2015 onward")),"")</f>
        <v/>
      </c>
      <c r="O266" t="inlineStr">
        <is>
          <t>E1</t>
        </is>
      </c>
      <c r="P266" s="8" t="n"/>
    </row>
    <row r="267">
      <c r="A267" t="inlineStr">
        <is>
          <t>WS2313</t>
        </is>
      </c>
      <c r="N267" s="9">
        <f>IF(ISNUMBER(C267),IF(C267&lt;2000,"before 2000",IF(C267&lt;=2014,"2000-2014","2015 onward")),"")</f>
        <v/>
      </c>
      <c r="O267" t="inlineStr">
        <is>
          <t>E1</t>
        </is>
      </c>
      <c r="P267" s="8" t="n"/>
    </row>
    <row r="268">
      <c r="A268" t="inlineStr">
        <is>
          <t>WS2314</t>
        </is>
      </c>
      <c r="N268" s="9">
        <f>IF(ISNUMBER(C268),IF(C268&lt;2000,"before 2000",IF(C268&lt;=2014,"2000-2014","2015 onward")),"")</f>
        <v/>
      </c>
      <c r="O268" t="inlineStr">
        <is>
          <t>E1</t>
        </is>
      </c>
      <c r="P268" s="8" t="n"/>
    </row>
    <row r="269">
      <c r="A269" t="inlineStr">
        <is>
          <t>WS2317</t>
        </is>
      </c>
      <c r="N269" s="9">
        <f>IF(ISNUMBER(C269),IF(C269&lt;2000,"before 2000",IF(C269&lt;=2014,"2000-2014","2015 onward")),"")</f>
        <v/>
      </c>
      <c r="O269" t="inlineStr">
        <is>
          <t>E1</t>
        </is>
      </c>
      <c r="P269" s="8" t="n"/>
    </row>
    <row r="270">
      <c r="A270" t="inlineStr">
        <is>
          <t>WS2348</t>
        </is>
      </c>
      <c r="N270" s="9">
        <f>IF(ISNUMBER(C270),IF(C270&lt;2000,"before 2000",IF(C270&lt;=2014,"2000-2014","2015 onward")),"")</f>
        <v/>
      </c>
      <c r="O270" t="inlineStr">
        <is>
          <t>E1</t>
        </is>
      </c>
      <c r="P270" s="8" t="n"/>
    </row>
    <row r="271">
      <c r="A271" t="inlineStr">
        <is>
          <t>WS2480</t>
        </is>
      </c>
      <c r="N271" s="9">
        <f>IF(ISNUMBER(C271),IF(C271&lt;2000,"before 2000",IF(C271&lt;=2014,"2000-2014","2015 onward")),"")</f>
        <v/>
      </c>
      <c r="O271" t="inlineStr">
        <is>
          <t>E1</t>
        </is>
      </c>
      <c r="P271" s="8" t="n"/>
    </row>
    <row r="272">
      <c r="A272" t="inlineStr">
        <is>
          <t>WS2484</t>
        </is>
      </c>
      <c r="N272" s="9">
        <f>IF(ISNUMBER(C272),IF(C272&lt;2000,"before 2000",IF(C272&lt;=2014,"2000-2014","2015 onward")),"")</f>
        <v/>
      </c>
      <c r="O272" t="inlineStr">
        <is>
          <t>E1</t>
        </is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舒俊，E2 = 卞红强，Consensus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only；报告没写发作形式填 NR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Lists!$J$2:$J$7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  <c r="C19" s="23" t="n"/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  <c r="C20" s="23" t="n"/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  <c r="C21" s="23" t="n"/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  <c r="C22" s="23" t="n"/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  <c r="C23" s="23" t="n"/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  <c r="AE1" s="17" t="inlineStr">
        <is>
          <t>ipd_delivery</t>
        </is>
      </c>
      <c r="AF1" s="17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J7" t="inlineStr">
        <is>
          <t>NR</t>
        </is>
      </c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E1 (formal, blank)</dc:title>
  <dcterms:created xmlns:dcterms="http://purl.org/dc/terms/" xmlns:xsi="http://www.w3.org/2001/XMLSchema-instance" xsi:type="dcterms:W3CDTF">2026-10-25T07:30:08Z</dcterms:created>
  <dcterms:modified xmlns:dcterms="http://purl.org/dc/terms/" xmlns:xsi="http://www.w3.org/2001/XMLSchema-instance" xsi:type="dcterms:W3CDTF">2026-10-25T07:30:09Z</dcterms:modified>
</cp:coreProperties>
</file>