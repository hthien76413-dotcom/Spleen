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orklist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'Worklist'!$A$1:$AD$363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97/rc9.0000000000000696" TargetMode="External" Id="rId1"/><Relationship Type="http://schemas.openxmlformats.org/officeDocument/2006/relationships/hyperlink" Target="https://pubmed.ncbi.nlm.nih.gov/42699937/" TargetMode="External" Id="rId2"/><Relationship Type="http://schemas.openxmlformats.org/officeDocument/2006/relationships/hyperlink" Target="https://pmc.ncbi.nlm.nih.gov/articles/PMC13544840/" TargetMode="External" Id="rId3"/><Relationship Type="http://schemas.openxmlformats.org/officeDocument/2006/relationships/hyperlink" Target="https://doi.org/10.7759/cureus.111195" TargetMode="External" Id="rId4"/><Relationship Type="http://schemas.openxmlformats.org/officeDocument/2006/relationships/hyperlink" Target="https://pubmed.ncbi.nlm.nih.gov/42519252/" TargetMode="External" Id="rId5"/><Relationship Type="http://schemas.openxmlformats.org/officeDocument/2006/relationships/hyperlink" Target="https://pmc.ncbi.nlm.nih.gov/articles/PMC13384039/" TargetMode="External" Id="rId6"/><Relationship Type="http://schemas.openxmlformats.org/officeDocument/2006/relationships/hyperlink" Target="https://doi.org/10.7759/cureus.110126" TargetMode="External" Id="rId7"/><Relationship Type="http://schemas.openxmlformats.org/officeDocument/2006/relationships/hyperlink" Target="https://pubmed.ncbi.nlm.nih.gov/42395192/" TargetMode="External" Id="rId8"/><Relationship Type="http://schemas.openxmlformats.org/officeDocument/2006/relationships/hyperlink" Target="https://pmc.ncbi.nlm.nih.gov/articles/PMC13326857/" TargetMode="External" Id="rId9"/><Relationship Type="http://schemas.openxmlformats.org/officeDocument/2006/relationships/hyperlink" Target="https://doi.org/10.4102/sajr.v30i1.3366" TargetMode="External" Id="rId10"/><Relationship Type="http://schemas.openxmlformats.org/officeDocument/2006/relationships/hyperlink" Target="https://pubmed.ncbi.nlm.nih.gov/41959687/" TargetMode="External" Id="rId11"/><Relationship Type="http://schemas.openxmlformats.org/officeDocument/2006/relationships/hyperlink" Target="https://pmc.ncbi.nlm.nih.gov/articles/PMC13058552/" TargetMode="External" Id="rId12"/><Relationship Type="http://schemas.openxmlformats.org/officeDocument/2006/relationships/hyperlink" Target="https://doi.org/10.3389/fped.2025.1705547" TargetMode="External" Id="rId13"/><Relationship Type="http://schemas.openxmlformats.org/officeDocument/2006/relationships/hyperlink" Target="https://pubmed.ncbi.nlm.nih.gov/41378192/" TargetMode="External" Id="rId14"/><Relationship Type="http://schemas.openxmlformats.org/officeDocument/2006/relationships/hyperlink" Target="https://pmc.ncbi.nlm.nih.gov/articles/PMC12685921/" TargetMode="External" Id="rId15"/><Relationship Type="http://schemas.openxmlformats.org/officeDocument/2006/relationships/hyperlink" Target="https://doi.org/10.1002/ccr3.71007" TargetMode="External" Id="rId16"/><Relationship Type="http://schemas.openxmlformats.org/officeDocument/2006/relationships/hyperlink" Target="https://pubmed.ncbi.nlm.nih.gov/41113293/" TargetMode="External" Id="rId17"/><Relationship Type="http://schemas.openxmlformats.org/officeDocument/2006/relationships/hyperlink" Target="https://pmc.ncbi.nlm.nih.gov/articles/PMC12528540/" TargetMode="External" Id="rId18"/><Relationship Type="http://schemas.openxmlformats.org/officeDocument/2006/relationships/hyperlink" Target="https://doi.org/10.1002/ccr3.71204" TargetMode="External" Id="rId19"/><Relationship Type="http://schemas.openxmlformats.org/officeDocument/2006/relationships/hyperlink" Target="https://pubmed.ncbi.nlm.nih.gov/41079801/" TargetMode="External" Id="rId20"/><Relationship Type="http://schemas.openxmlformats.org/officeDocument/2006/relationships/hyperlink" Target="https://pmc.ncbi.nlm.nih.gov/articles/PMC12507506/" TargetMode="External" Id="rId21"/><Relationship Type="http://schemas.openxmlformats.org/officeDocument/2006/relationships/hyperlink" Target="https://doi.org/10.7759/cureus.90043" TargetMode="External" Id="rId22"/><Relationship Type="http://schemas.openxmlformats.org/officeDocument/2006/relationships/hyperlink" Target="https://pubmed.ncbi.nlm.nih.gov/40951031/" TargetMode="External" Id="rId23"/><Relationship Type="http://schemas.openxmlformats.org/officeDocument/2006/relationships/hyperlink" Target="https://pmc.ncbi.nlm.nih.gov/articles/PMC12432479/" TargetMode="External" Id="rId24"/><Relationship Type="http://schemas.openxmlformats.org/officeDocument/2006/relationships/hyperlink" Target="https://doi.org/10.3389/fmed.2025.1646831" TargetMode="External" Id="rId25"/><Relationship Type="http://schemas.openxmlformats.org/officeDocument/2006/relationships/hyperlink" Target="https://pubmed.ncbi.nlm.nih.gov/40893905/" TargetMode="External" Id="rId26"/><Relationship Type="http://schemas.openxmlformats.org/officeDocument/2006/relationships/hyperlink" Target="https://pmc.ncbi.nlm.nih.gov/articles/PMC12391071/" TargetMode="External" Id="rId27"/><Relationship Type="http://schemas.openxmlformats.org/officeDocument/2006/relationships/hyperlink" Target="https://doi.org/10.70352/scrj.cr.25-0111" TargetMode="External" Id="rId28"/><Relationship Type="http://schemas.openxmlformats.org/officeDocument/2006/relationships/hyperlink" Target="https://pubmed.ncbi.nlm.nih.gov/40861332/" TargetMode="External" Id="rId29"/><Relationship Type="http://schemas.openxmlformats.org/officeDocument/2006/relationships/hyperlink" Target="https://pmc.ncbi.nlm.nih.gov/articles/PMC12377856/" TargetMode="External" Id="rId30"/><Relationship Type="http://schemas.openxmlformats.org/officeDocument/2006/relationships/hyperlink" Target="https://doi.org/10.1186/s12887-025-06005-9" TargetMode="External" Id="rId31"/><Relationship Type="http://schemas.openxmlformats.org/officeDocument/2006/relationships/hyperlink" Target="https://pubmed.ncbi.nlm.nih.gov/40830774/" TargetMode="External" Id="rId32"/><Relationship Type="http://schemas.openxmlformats.org/officeDocument/2006/relationships/hyperlink" Target="https://pmc.ncbi.nlm.nih.gov/articles/PMC12366119/" TargetMode="External" Id="rId33"/><Relationship Type="http://schemas.openxmlformats.org/officeDocument/2006/relationships/hyperlink" Target="https://doi.org/10.1016/j.radcr.2025.05.050" TargetMode="External" Id="rId34"/><Relationship Type="http://schemas.openxmlformats.org/officeDocument/2006/relationships/hyperlink" Target="https://pubmed.ncbi.nlm.nih.gov/40821369/" TargetMode="External" Id="rId35"/><Relationship Type="http://schemas.openxmlformats.org/officeDocument/2006/relationships/hyperlink" Target="https://pmc.ncbi.nlm.nih.gov/articles/PMC12356290/" TargetMode="External" Id="rId36"/><Relationship Type="http://schemas.openxmlformats.org/officeDocument/2006/relationships/hyperlink" Target="https://doi.org/10.1155/crpe/9927034" TargetMode="External" Id="rId37"/><Relationship Type="http://schemas.openxmlformats.org/officeDocument/2006/relationships/hyperlink" Target="https://pubmed.ncbi.nlm.nih.gov/40808892/" TargetMode="External" Id="rId38"/><Relationship Type="http://schemas.openxmlformats.org/officeDocument/2006/relationships/hyperlink" Target="https://pmc.ncbi.nlm.nih.gov/articles/PMC12349995/" TargetMode="External" Id="rId39"/><Relationship Type="http://schemas.openxmlformats.org/officeDocument/2006/relationships/hyperlink" Target="https://doi.org/10.1111/petr.70161" TargetMode="External" Id="rId40"/><Relationship Type="http://schemas.openxmlformats.org/officeDocument/2006/relationships/hyperlink" Target="https://pubmed.ncbi.nlm.nih.gov/40804705/" TargetMode="External" Id="rId41"/><Relationship Type="http://schemas.openxmlformats.org/officeDocument/2006/relationships/hyperlink" Target="https://pmc.ncbi.nlm.nih.gov/articles/PMC12350825/" TargetMode="External" Id="rId42"/><Relationship Type="http://schemas.openxmlformats.org/officeDocument/2006/relationships/hyperlink" Target="https://doi.org/10.3390/jcm14145107" TargetMode="External" Id="rId43"/><Relationship Type="http://schemas.openxmlformats.org/officeDocument/2006/relationships/hyperlink" Target="https://pubmed.ncbi.nlm.nih.gov/40725800/" TargetMode="External" Id="rId44"/><Relationship Type="http://schemas.openxmlformats.org/officeDocument/2006/relationships/hyperlink" Target="https://pmc.ncbi.nlm.nih.gov/articles/PMC12295792/" TargetMode="External" Id="rId45"/><Relationship Type="http://schemas.openxmlformats.org/officeDocument/2006/relationships/hyperlink" Target="https://doi.org/10.3389/fsurg.2025.1586986" TargetMode="External" Id="rId46"/><Relationship Type="http://schemas.openxmlformats.org/officeDocument/2006/relationships/hyperlink" Target="https://pubmed.ncbi.nlm.nih.gov/40611920/" TargetMode="External" Id="rId47"/><Relationship Type="http://schemas.openxmlformats.org/officeDocument/2006/relationships/hyperlink" Target="https://pmc.ncbi.nlm.nih.gov/articles/PMC12222168/" TargetMode="External" Id="rId48"/><Relationship Type="http://schemas.openxmlformats.org/officeDocument/2006/relationships/hyperlink" Target="https://doi.org/10.1016/j.radcr.2025.05.063" TargetMode="External" Id="rId49"/><Relationship Type="http://schemas.openxmlformats.org/officeDocument/2006/relationships/hyperlink" Target="https://pubmed.ncbi.nlm.nih.gov/40606585/" TargetMode="External" Id="rId50"/><Relationship Type="http://schemas.openxmlformats.org/officeDocument/2006/relationships/hyperlink" Target="https://pmc.ncbi.nlm.nih.gov/articles/PMC12221586/" TargetMode="External" Id="rId51"/><Relationship Type="http://schemas.openxmlformats.org/officeDocument/2006/relationships/hyperlink" Target="https://doi.org/10.1155/crra/6697671" TargetMode="External" Id="rId52"/><Relationship Type="http://schemas.openxmlformats.org/officeDocument/2006/relationships/hyperlink" Target="https://pubmed.ncbi.nlm.nih.gov/40529386/" TargetMode="External" Id="rId53"/><Relationship Type="http://schemas.openxmlformats.org/officeDocument/2006/relationships/hyperlink" Target="https://pmc.ncbi.nlm.nih.gov/articles/PMC12173544/" TargetMode="External" Id="rId54"/><Relationship Type="http://schemas.openxmlformats.org/officeDocument/2006/relationships/hyperlink" Target="https://doi.org/10.1016/j.ijscr.2025.111421" TargetMode="External" Id="rId55"/><Relationship Type="http://schemas.openxmlformats.org/officeDocument/2006/relationships/hyperlink" Target="https://pubmed.ncbi.nlm.nih.gov/40347907/" TargetMode="External" Id="rId56"/><Relationship Type="http://schemas.openxmlformats.org/officeDocument/2006/relationships/hyperlink" Target="https://pmc.ncbi.nlm.nih.gov/articles/PMC12139484/" TargetMode="External" Id="rId57"/><Relationship Type="http://schemas.openxmlformats.org/officeDocument/2006/relationships/hyperlink" Target="https://doi.org/10.1016/j.ijscr.2025.111391" TargetMode="External" Id="rId58"/><Relationship Type="http://schemas.openxmlformats.org/officeDocument/2006/relationships/hyperlink" Target="https://pubmed.ncbi.nlm.nih.gov/40306103/" TargetMode="External" Id="rId59"/><Relationship Type="http://schemas.openxmlformats.org/officeDocument/2006/relationships/hyperlink" Target="https://pmc.ncbi.nlm.nih.gov/articles/PMC12423696/" TargetMode="External" Id="rId60"/><Relationship Type="http://schemas.openxmlformats.org/officeDocument/2006/relationships/hyperlink" Target="https://doi.org/10.1016/j.ijscr.2025.111144" TargetMode="External" Id="rId61"/><Relationship Type="http://schemas.openxmlformats.org/officeDocument/2006/relationships/hyperlink" Target="https://pubmed.ncbi.nlm.nih.gov/40120328/" TargetMode="External" Id="rId62"/><Relationship Type="http://schemas.openxmlformats.org/officeDocument/2006/relationships/hyperlink" Target="https://pmc.ncbi.nlm.nih.gov/articles/PMC11981770/" TargetMode="External" Id="rId63"/><Relationship Type="http://schemas.openxmlformats.org/officeDocument/2006/relationships/hyperlink" Target="https://doi.org/10.4103/jiaps.jiaps_122_24" TargetMode="External" Id="rId64"/><Relationship Type="http://schemas.openxmlformats.org/officeDocument/2006/relationships/hyperlink" Target="https://pubmed.ncbi.nlm.nih.gov/39968248/" TargetMode="External" Id="rId65"/><Relationship Type="http://schemas.openxmlformats.org/officeDocument/2006/relationships/hyperlink" Target="https://pmc.ncbi.nlm.nih.gov/articles/PMC11832090/" TargetMode="External" Id="rId66"/><Relationship Type="http://schemas.openxmlformats.org/officeDocument/2006/relationships/hyperlink" Target="https://doi.org/10.1016/j.radcr.2024.12.047" TargetMode="External" Id="rId67"/><Relationship Type="http://schemas.openxmlformats.org/officeDocument/2006/relationships/hyperlink" Target="https://pubmed.ncbi.nlm.nih.gov/39897739/" TargetMode="External" Id="rId68"/><Relationship Type="http://schemas.openxmlformats.org/officeDocument/2006/relationships/hyperlink" Target="https://pmc.ncbi.nlm.nih.gov/articles/PMC11782806/" TargetMode="External" Id="rId69"/><Relationship Type="http://schemas.openxmlformats.org/officeDocument/2006/relationships/hyperlink" Target="https://doi.org/10.4103/jmas.jmas_212_23" TargetMode="External" Id="rId70"/><Relationship Type="http://schemas.openxmlformats.org/officeDocument/2006/relationships/hyperlink" Target="https://pubmed.ncbi.nlm.nih.gov/38240265/" TargetMode="External" Id="rId71"/><Relationship Type="http://schemas.openxmlformats.org/officeDocument/2006/relationships/hyperlink" Target="https://pmc.ncbi.nlm.nih.gov/articles/PMC11838794/" TargetMode="External" Id="rId72"/><Relationship Type="http://schemas.openxmlformats.org/officeDocument/2006/relationships/hyperlink" Target="https://doi.org/10.3390/reports7030073" TargetMode="External" Id="rId73"/><Relationship Type="http://schemas.openxmlformats.org/officeDocument/2006/relationships/hyperlink" Target="https://pubmed.ncbi.nlm.nih.gov/40729296/" TargetMode="External" Id="rId74"/><Relationship Type="http://schemas.openxmlformats.org/officeDocument/2006/relationships/hyperlink" Target="https://pmc.ncbi.nlm.nih.gov/articles/PMC12225254/" TargetMode="External" Id="rId75"/><Relationship Type="http://schemas.openxmlformats.org/officeDocument/2006/relationships/hyperlink" Target="https://doi.org/10.3389/fped.2024.1429490" TargetMode="External" Id="rId76"/><Relationship Type="http://schemas.openxmlformats.org/officeDocument/2006/relationships/hyperlink" Target="https://pubmed.ncbi.nlm.nih.gov/39350792/" TargetMode="External" Id="rId77"/><Relationship Type="http://schemas.openxmlformats.org/officeDocument/2006/relationships/hyperlink" Target="https://pmc.ncbi.nlm.nih.gov/articles/PMC11439698/" TargetMode="External" Id="rId78"/><Relationship Type="http://schemas.openxmlformats.org/officeDocument/2006/relationships/hyperlink" Target="https://doi.org/10.1016/j.radcr.2024.03.004" TargetMode="External" Id="rId79"/><Relationship Type="http://schemas.openxmlformats.org/officeDocument/2006/relationships/hyperlink" Target="https://pubmed.ncbi.nlm.nih.gov/38689812/" TargetMode="External" Id="rId80"/><Relationship Type="http://schemas.openxmlformats.org/officeDocument/2006/relationships/hyperlink" Target="https://pmc.ncbi.nlm.nih.gov/articles/PMC11058064/" TargetMode="External" Id="rId81"/><Relationship Type="http://schemas.openxmlformats.org/officeDocument/2006/relationships/hyperlink" Target="https://doi.org/10.3389/fonc.2024.1310394" TargetMode="External" Id="rId82"/><Relationship Type="http://schemas.openxmlformats.org/officeDocument/2006/relationships/hyperlink" Target="https://pubmed.ncbi.nlm.nih.gov/38529386/" TargetMode="External" Id="rId83"/><Relationship Type="http://schemas.openxmlformats.org/officeDocument/2006/relationships/hyperlink" Target="https://pmc.ncbi.nlm.nih.gov/articles/PMC10961413/" TargetMode="External" Id="rId84"/><Relationship Type="http://schemas.openxmlformats.org/officeDocument/2006/relationships/hyperlink" Target="https://doi.org/10.7759/cureus.53552" TargetMode="External" Id="rId85"/><Relationship Type="http://schemas.openxmlformats.org/officeDocument/2006/relationships/hyperlink" Target="https://pubmed.ncbi.nlm.nih.gov/38445142/" TargetMode="External" Id="rId86"/><Relationship Type="http://schemas.openxmlformats.org/officeDocument/2006/relationships/hyperlink" Target="https://pmc.ncbi.nlm.nih.gov/articles/PMC10913703/" TargetMode="External" Id="rId87"/><Relationship Type="http://schemas.openxmlformats.org/officeDocument/2006/relationships/hyperlink" Target="https://doi.org/10.1093/jscr/rjae059" TargetMode="External" Id="rId88"/><Relationship Type="http://schemas.openxmlformats.org/officeDocument/2006/relationships/hyperlink" Target="https://pubmed.ncbi.nlm.nih.gov/38370603/" TargetMode="External" Id="rId89"/><Relationship Type="http://schemas.openxmlformats.org/officeDocument/2006/relationships/hyperlink" Target="https://pmc.ncbi.nlm.nih.gov/articles/PMC10871695/" TargetMode="External" Id="rId90"/><Relationship Type="http://schemas.openxmlformats.org/officeDocument/2006/relationships/hyperlink" Target="https://doi.org/10.1002/ccr3.8270" TargetMode="External" Id="rId91"/><Relationship Type="http://schemas.openxmlformats.org/officeDocument/2006/relationships/hyperlink" Target="https://pubmed.ncbi.nlm.nih.gov/38033686/" TargetMode="External" Id="rId92"/><Relationship Type="http://schemas.openxmlformats.org/officeDocument/2006/relationships/hyperlink" Target="https://pmc.ncbi.nlm.nih.gov/articles/PMC10682236/" TargetMode="External" Id="rId93"/><Relationship Type="http://schemas.openxmlformats.org/officeDocument/2006/relationships/hyperlink" Target="https://doi.org/10.7759/cureus.38386" TargetMode="External" Id="rId94"/><Relationship Type="http://schemas.openxmlformats.org/officeDocument/2006/relationships/hyperlink" Target="https://pubmed.ncbi.nlm.nih.gov/37265917/" TargetMode="External" Id="rId95"/><Relationship Type="http://schemas.openxmlformats.org/officeDocument/2006/relationships/hyperlink" Target="https://pmc.ncbi.nlm.nih.gov/articles/PMC10231407/" TargetMode="External" Id="rId96"/><Relationship Type="http://schemas.openxmlformats.org/officeDocument/2006/relationships/hyperlink" Target="https://doi.org/10.1016/j.ijscr.2023.108319" TargetMode="External" Id="rId97"/><Relationship Type="http://schemas.openxmlformats.org/officeDocument/2006/relationships/hyperlink" Target="https://pubmed.ncbi.nlm.nih.gov/37263001/" TargetMode="External" Id="rId98"/><Relationship Type="http://schemas.openxmlformats.org/officeDocument/2006/relationships/hyperlink" Target="https://pmc.ncbi.nlm.nih.gov/articles/PMC10310902/" TargetMode="External" Id="rId99"/><Relationship Type="http://schemas.openxmlformats.org/officeDocument/2006/relationships/hyperlink" Target="https://doi.org/10.1308/rcsann.2022.0149" TargetMode="External" Id="rId100"/><Relationship Type="http://schemas.openxmlformats.org/officeDocument/2006/relationships/hyperlink" Target="https://pubmed.ncbi.nlm.nih.gov/36688842/" TargetMode="External" Id="rId101"/><Relationship Type="http://schemas.openxmlformats.org/officeDocument/2006/relationships/hyperlink" Target="https://pmc.ncbi.nlm.nih.gov/articles/PMC10313450/" TargetMode="External" Id="rId102"/><Relationship Type="http://schemas.openxmlformats.org/officeDocument/2006/relationships/hyperlink" Target="https://doi.org/10.3389/fped.2022.936732" TargetMode="External" Id="rId103"/><Relationship Type="http://schemas.openxmlformats.org/officeDocument/2006/relationships/hyperlink" Target="https://pubmed.ncbi.nlm.nih.gov/36741085/" TargetMode="External" Id="rId104"/><Relationship Type="http://schemas.openxmlformats.org/officeDocument/2006/relationships/hyperlink" Target="https://pmc.ncbi.nlm.nih.gov/articles/PMC9890171/" TargetMode="External" Id="rId105"/><Relationship Type="http://schemas.openxmlformats.org/officeDocument/2006/relationships/hyperlink" Target="https://doi.org/10.2147/imcrj.s388271" TargetMode="External" Id="rId106"/><Relationship Type="http://schemas.openxmlformats.org/officeDocument/2006/relationships/hyperlink" Target="https://pubmed.ncbi.nlm.nih.gov/36388241/" TargetMode="External" Id="rId107"/><Relationship Type="http://schemas.openxmlformats.org/officeDocument/2006/relationships/hyperlink" Target="https://pmc.ncbi.nlm.nih.gov/articles/PMC9642092/" TargetMode="External" Id="rId108"/><Relationship Type="http://schemas.openxmlformats.org/officeDocument/2006/relationships/hyperlink" Target="https://doi.org/10.14744/semb.2021.64872" TargetMode="External" Id="rId109"/><Relationship Type="http://schemas.openxmlformats.org/officeDocument/2006/relationships/hyperlink" Target="https://pubmed.ncbi.nlm.nih.gov/36304217/" TargetMode="External" Id="rId110"/><Relationship Type="http://schemas.openxmlformats.org/officeDocument/2006/relationships/hyperlink" Target="https://pmc.ncbi.nlm.nih.gov/articles/PMC9580979/" TargetMode="External" Id="rId111"/><Relationship Type="http://schemas.openxmlformats.org/officeDocument/2006/relationships/hyperlink" Target="https://doi.org/10.1093/jscr/rjac483" TargetMode="External" Id="rId112"/><Relationship Type="http://schemas.openxmlformats.org/officeDocument/2006/relationships/hyperlink" Target="https://pubmed.ncbi.nlm.nih.gov/36285167/" TargetMode="External" Id="rId113"/><Relationship Type="http://schemas.openxmlformats.org/officeDocument/2006/relationships/hyperlink" Target="https://pmc.ncbi.nlm.nih.gov/articles/PMC9584345/" TargetMode="External" Id="rId114"/><Relationship Type="http://schemas.openxmlformats.org/officeDocument/2006/relationships/hyperlink" Target="https://doi.org/10.1016/j.ijscr.2022.107719" TargetMode="External" Id="rId115"/><Relationship Type="http://schemas.openxmlformats.org/officeDocument/2006/relationships/hyperlink" Target="https://pubmed.ncbi.nlm.nih.gov/36261950/" TargetMode="External" Id="rId116"/><Relationship Type="http://schemas.openxmlformats.org/officeDocument/2006/relationships/hyperlink" Target="https://pmc.ncbi.nlm.nih.gov/articles/PMC9568874/" TargetMode="External" Id="rId117"/><Relationship Type="http://schemas.openxmlformats.org/officeDocument/2006/relationships/hyperlink" Target="https://doi.org/10.1186/s40792-022-01537-z" TargetMode="External" Id="rId118"/><Relationship Type="http://schemas.openxmlformats.org/officeDocument/2006/relationships/hyperlink" Target="https://pubmed.ncbi.nlm.nih.gov/36138238/" TargetMode="External" Id="rId119"/><Relationship Type="http://schemas.openxmlformats.org/officeDocument/2006/relationships/hyperlink" Target="https://pmc.ncbi.nlm.nih.gov/articles/PMC9500137/" TargetMode="External" Id="rId120"/><Relationship Type="http://schemas.openxmlformats.org/officeDocument/2006/relationships/hyperlink" Target="https://doi.org/10.1016/j.radcr.2022.06.073" TargetMode="External" Id="rId121"/><Relationship Type="http://schemas.openxmlformats.org/officeDocument/2006/relationships/hyperlink" Target="https://pubmed.ncbi.nlm.nih.gov/35874869/" TargetMode="External" Id="rId122"/><Relationship Type="http://schemas.openxmlformats.org/officeDocument/2006/relationships/hyperlink" Target="https://pmc.ncbi.nlm.nih.gov/articles/PMC9304641/" TargetMode="External" Id="rId123"/><Relationship Type="http://schemas.openxmlformats.org/officeDocument/2006/relationships/hyperlink" Target="https://doi.org/10.1186/s12887-022-03484-y" TargetMode="External" Id="rId124"/><Relationship Type="http://schemas.openxmlformats.org/officeDocument/2006/relationships/hyperlink" Target="https://pubmed.ncbi.nlm.nih.gov/35864485/" TargetMode="External" Id="rId125"/><Relationship Type="http://schemas.openxmlformats.org/officeDocument/2006/relationships/hyperlink" Target="https://pmc.ncbi.nlm.nih.gov/articles/PMC9306085/" TargetMode="External" Id="rId126"/><Relationship Type="http://schemas.openxmlformats.org/officeDocument/2006/relationships/hyperlink" Target="https://doi.org/10.22551/2022.35.0902.10204" TargetMode="External" Id="rId127"/><Relationship Type="http://schemas.openxmlformats.org/officeDocument/2006/relationships/hyperlink" Target="https://pubmed.ncbi.nlm.nih.gov/35813495/" TargetMode="External" Id="rId128"/><Relationship Type="http://schemas.openxmlformats.org/officeDocument/2006/relationships/hyperlink" Target="https://pmc.ncbi.nlm.nih.gov/articles/PMC9262086/" TargetMode="External" Id="rId129"/><Relationship Type="http://schemas.openxmlformats.org/officeDocument/2006/relationships/hyperlink" Target="https://doi.org/10.1590/1677-5449.20210178" TargetMode="External" Id="rId130"/><Relationship Type="http://schemas.openxmlformats.org/officeDocument/2006/relationships/hyperlink" Target="https://pubmed.ncbi.nlm.nih.gov/35571522/" TargetMode="External" Id="rId131"/><Relationship Type="http://schemas.openxmlformats.org/officeDocument/2006/relationships/hyperlink" Target="https://pmc.ncbi.nlm.nih.gov/articles/PMC9083538/" TargetMode="External" Id="rId132"/><Relationship Type="http://schemas.openxmlformats.org/officeDocument/2006/relationships/hyperlink" Target="https://doi.org/10.1016/j.radcr.2022.04.009" TargetMode="External" Id="rId133"/><Relationship Type="http://schemas.openxmlformats.org/officeDocument/2006/relationships/hyperlink" Target="https://pubmed.ncbi.nlm.nih.gov/35570876/" TargetMode="External" Id="rId134"/><Relationship Type="http://schemas.openxmlformats.org/officeDocument/2006/relationships/hyperlink" Target="https://pmc.ncbi.nlm.nih.gov/articles/PMC9096468/" TargetMode="External" Id="rId135"/><Relationship Type="http://schemas.openxmlformats.org/officeDocument/2006/relationships/hyperlink" Target="https://doi.org/10.1016/j.radcr.2022.03.017" TargetMode="External" Id="rId136"/><Relationship Type="http://schemas.openxmlformats.org/officeDocument/2006/relationships/hyperlink" Target="https://pubmed.ncbi.nlm.nih.gov/35369544/" TargetMode="External" Id="rId137"/><Relationship Type="http://schemas.openxmlformats.org/officeDocument/2006/relationships/hyperlink" Target="https://pmc.ncbi.nlm.nih.gov/articles/PMC8965025/" TargetMode="External" Id="rId138"/><Relationship Type="http://schemas.openxmlformats.org/officeDocument/2006/relationships/hyperlink" Target="https://doi.org/10.1093/jscr/rjab558" TargetMode="External" Id="rId139"/><Relationship Type="http://schemas.openxmlformats.org/officeDocument/2006/relationships/hyperlink" Target="https://pubmed.ncbi.nlm.nih.gov/35079332/" TargetMode="External" Id="rId140"/><Relationship Type="http://schemas.openxmlformats.org/officeDocument/2006/relationships/hyperlink" Target="https://pmc.ncbi.nlm.nih.gov/articles/PMC8784172/" TargetMode="External" Id="rId141"/><Relationship Type="http://schemas.openxmlformats.org/officeDocument/2006/relationships/hyperlink" Target="https://doi.org/10.3389/fped.2021.791932" TargetMode="External" Id="rId142"/><Relationship Type="http://schemas.openxmlformats.org/officeDocument/2006/relationships/hyperlink" Target="https://pubmed.ncbi.nlm.nih.gov/35155313/" TargetMode="External" Id="rId143"/><Relationship Type="http://schemas.openxmlformats.org/officeDocument/2006/relationships/hyperlink" Target="https://pmc.ncbi.nlm.nih.gov/articles/PMC8832051/" TargetMode="External" Id="rId144"/><Relationship Type="http://schemas.openxmlformats.org/officeDocument/2006/relationships/hyperlink" Target="https://doi.org/10.1002/ccr3.5051" TargetMode="External" Id="rId145"/><Relationship Type="http://schemas.openxmlformats.org/officeDocument/2006/relationships/hyperlink" Target="https://pubmed.ncbi.nlm.nih.gov/34765218/" TargetMode="External" Id="rId146"/><Relationship Type="http://schemas.openxmlformats.org/officeDocument/2006/relationships/hyperlink" Target="https://pmc.ncbi.nlm.nih.gov/articles/PMC8572348/" TargetMode="External" Id="rId147"/><Relationship Type="http://schemas.openxmlformats.org/officeDocument/2006/relationships/hyperlink" Target="https://doi.org/10.12998/wjcc.v9.i29.8812" TargetMode="External" Id="rId148"/><Relationship Type="http://schemas.openxmlformats.org/officeDocument/2006/relationships/hyperlink" Target="https://pubmed.ncbi.nlm.nih.gov/34734060/" TargetMode="External" Id="rId149"/><Relationship Type="http://schemas.openxmlformats.org/officeDocument/2006/relationships/hyperlink" Target="https://pmc.ncbi.nlm.nih.gov/articles/PMC8546827/" TargetMode="External" Id="rId150"/><Relationship Type="http://schemas.openxmlformats.org/officeDocument/2006/relationships/hyperlink" Target="https://doi.org/10.1016/j.ijscr.2021.106273" TargetMode="External" Id="rId151"/><Relationship Type="http://schemas.openxmlformats.org/officeDocument/2006/relationships/hyperlink" Target="https://pubmed.ncbi.nlm.nih.gov/34388905/" TargetMode="External" Id="rId152"/><Relationship Type="http://schemas.openxmlformats.org/officeDocument/2006/relationships/hyperlink" Target="https://pmc.ncbi.nlm.nih.gov/articles/PMC8350494/" TargetMode="External" Id="rId153"/><Relationship Type="http://schemas.openxmlformats.org/officeDocument/2006/relationships/hyperlink" Target="https://doi.org/10.1136/bcr-2021-242441" TargetMode="External" Id="rId154"/><Relationship Type="http://schemas.openxmlformats.org/officeDocument/2006/relationships/hyperlink" Target="https://pubmed.ncbi.nlm.nih.gov/34162614/" TargetMode="External" Id="rId155"/><Relationship Type="http://schemas.openxmlformats.org/officeDocument/2006/relationships/hyperlink" Target="https://pmc.ncbi.nlm.nih.gov/articles/PMC8231058/" TargetMode="External" Id="rId156"/><Relationship Type="http://schemas.openxmlformats.org/officeDocument/2006/relationships/hyperlink" Target="https://doi.org/10.1136/bcr-2020-239520" TargetMode="External" Id="rId157"/><Relationship Type="http://schemas.openxmlformats.org/officeDocument/2006/relationships/hyperlink" Target="https://pubmed.ncbi.nlm.nih.gov/33883109/" TargetMode="External" Id="rId158"/><Relationship Type="http://schemas.openxmlformats.org/officeDocument/2006/relationships/hyperlink" Target="https://pmc.ncbi.nlm.nih.gov/articles/PMC8061818/" TargetMode="External" Id="rId159"/><Relationship Type="http://schemas.openxmlformats.org/officeDocument/2006/relationships/hyperlink" Target="https://doi.org/10.1177/03000605211000511" TargetMode="External" Id="rId160"/><Relationship Type="http://schemas.openxmlformats.org/officeDocument/2006/relationships/hyperlink" Target="https://pubmed.ncbi.nlm.nih.gov/33730926/" TargetMode="External" Id="rId161"/><Relationship Type="http://schemas.openxmlformats.org/officeDocument/2006/relationships/hyperlink" Target="https://pmc.ncbi.nlm.nih.gov/articles/PMC8166395/" TargetMode="External" Id="rId162"/><Relationship Type="http://schemas.openxmlformats.org/officeDocument/2006/relationships/hyperlink" Target="https://doi.org/10.1308/rcsann.2020.7144" TargetMode="External" Id="rId163"/><Relationship Type="http://schemas.openxmlformats.org/officeDocument/2006/relationships/hyperlink" Target="https://pubmed.ncbi.nlm.nih.gov/33682463/" TargetMode="External" Id="rId164"/><Relationship Type="http://schemas.openxmlformats.org/officeDocument/2006/relationships/hyperlink" Target="https://pmc.ncbi.nlm.nih.gov/articles/PMC10335255/" TargetMode="External" Id="rId165"/><Relationship Type="http://schemas.openxmlformats.org/officeDocument/2006/relationships/hyperlink" Target="https://doi.org/10.4103/jiaps.jiaps_216_19" TargetMode="External" Id="rId166"/><Relationship Type="http://schemas.openxmlformats.org/officeDocument/2006/relationships/hyperlink" Target="https://pubmed.ncbi.nlm.nih.gov/33343117/" TargetMode="External" Id="rId167"/><Relationship Type="http://schemas.openxmlformats.org/officeDocument/2006/relationships/hyperlink" Target="https://pmc.ncbi.nlm.nih.gov/articles/PMC7732016/" TargetMode="External" Id="rId168"/><Relationship Type="http://schemas.openxmlformats.org/officeDocument/2006/relationships/hyperlink" Target="https://doi.org/10.4103/ijri.ijri_46_20" TargetMode="External" Id="rId169"/><Relationship Type="http://schemas.openxmlformats.org/officeDocument/2006/relationships/hyperlink" Target="https://pubmed.ncbi.nlm.nih.gov/33273777/" TargetMode="External" Id="rId170"/><Relationship Type="http://schemas.openxmlformats.org/officeDocument/2006/relationships/hyperlink" Target="https://pmc.ncbi.nlm.nih.gov/articles/PMC7694723/" TargetMode="External" Id="rId171"/><Relationship Type="http://schemas.openxmlformats.org/officeDocument/2006/relationships/hyperlink" Target="https://doi.org/10.1016/j.ijscr.2020.11.001" TargetMode="External" Id="rId172"/><Relationship Type="http://schemas.openxmlformats.org/officeDocument/2006/relationships/hyperlink" Target="https://pubmed.ncbi.nlm.nih.gov/33171434/" TargetMode="External" Id="rId173"/><Relationship Type="http://schemas.openxmlformats.org/officeDocument/2006/relationships/hyperlink" Target="https://pmc.ncbi.nlm.nih.gov/articles/PMC7653206/" TargetMode="External" Id="rId174"/><Relationship Type="http://schemas.openxmlformats.org/officeDocument/2006/relationships/hyperlink" Target="https://doi.org/10.1016/j.ijscr.2020.10.049" TargetMode="External" Id="rId175"/><Relationship Type="http://schemas.openxmlformats.org/officeDocument/2006/relationships/hyperlink" Target="https://pubmed.ncbi.nlm.nih.gov/33137668/" TargetMode="External" Id="rId176"/><Relationship Type="http://schemas.openxmlformats.org/officeDocument/2006/relationships/hyperlink" Target="https://pmc.ncbi.nlm.nih.gov/articles/PMC7610022/" TargetMode="External" Id="rId177"/><Relationship Type="http://schemas.openxmlformats.org/officeDocument/2006/relationships/hyperlink" Target="https://doi.org/10.3941/jrcr.v14i7.3752" TargetMode="External" Id="rId178"/><Relationship Type="http://schemas.openxmlformats.org/officeDocument/2006/relationships/hyperlink" Target="https://pubmed.ncbi.nlm.nih.gov/33088415/" TargetMode="External" Id="rId179"/><Relationship Type="http://schemas.openxmlformats.org/officeDocument/2006/relationships/hyperlink" Target="https://pmc.ncbi.nlm.nih.gov/articles/PMC7536009/" TargetMode="External" Id="rId180"/><Relationship Type="http://schemas.openxmlformats.org/officeDocument/2006/relationships/hyperlink" Target="https://doi.org/10.1097/md.0000000000022063" TargetMode="External" Id="rId181"/><Relationship Type="http://schemas.openxmlformats.org/officeDocument/2006/relationships/hyperlink" Target="https://pubmed.ncbi.nlm.nih.gov/32925740/" TargetMode="External" Id="rId182"/><Relationship Type="http://schemas.openxmlformats.org/officeDocument/2006/relationships/hyperlink" Target="https://pmc.ncbi.nlm.nih.gov/articles/PMC7489642/" TargetMode="External" Id="rId183"/><Relationship Type="http://schemas.openxmlformats.org/officeDocument/2006/relationships/hyperlink" Target="https://doi.org/10.7759/cureus.9176" TargetMode="External" Id="rId184"/><Relationship Type="http://schemas.openxmlformats.org/officeDocument/2006/relationships/hyperlink" Target="https://pubmed.ncbi.nlm.nih.gov/32802611/" TargetMode="External" Id="rId185"/><Relationship Type="http://schemas.openxmlformats.org/officeDocument/2006/relationships/hyperlink" Target="https://pmc.ncbi.nlm.nih.gov/articles/PMC7425819/" TargetMode="External" Id="rId186"/><Relationship Type="http://schemas.openxmlformats.org/officeDocument/2006/relationships/hyperlink" Target="https://doi.org/10.2147/ijgm.s248259" TargetMode="External" Id="rId187"/><Relationship Type="http://schemas.openxmlformats.org/officeDocument/2006/relationships/hyperlink" Target="https://pubmed.ncbi.nlm.nih.gov/32612378/" TargetMode="External" Id="rId188"/><Relationship Type="http://schemas.openxmlformats.org/officeDocument/2006/relationships/hyperlink" Target="https://pmc.ncbi.nlm.nih.gov/articles/PMC7322114/" TargetMode="External" Id="rId189"/><Relationship Type="http://schemas.openxmlformats.org/officeDocument/2006/relationships/hyperlink" Target="https://doi.org/10.1093/jscr/rjz378" TargetMode="External" Id="rId190"/><Relationship Type="http://schemas.openxmlformats.org/officeDocument/2006/relationships/hyperlink" Target="https://pubmed.ncbi.nlm.nih.gov/32082535/" TargetMode="External" Id="rId191"/><Relationship Type="http://schemas.openxmlformats.org/officeDocument/2006/relationships/hyperlink" Target="https://pmc.ncbi.nlm.nih.gov/articles/PMC7024078/" TargetMode="External" Id="rId192"/><Relationship Type="http://schemas.openxmlformats.org/officeDocument/2006/relationships/hyperlink" Target="https://doi.org/10.1016/j.radcr.2019.06.018" TargetMode="External" Id="rId193"/><Relationship Type="http://schemas.openxmlformats.org/officeDocument/2006/relationships/hyperlink" Target="https://pubmed.ncbi.nlm.nih.gov/31440319/" TargetMode="External" Id="rId194"/><Relationship Type="http://schemas.openxmlformats.org/officeDocument/2006/relationships/hyperlink" Target="https://pmc.ncbi.nlm.nih.gov/articles/PMC6698723/" TargetMode="External" Id="rId195"/><Relationship Type="http://schemas.openxmlformats.org/officeDocument/2006/relationships/hyperlink" Target="https://doi.org/10.1016/j.radcr.2019.05.018" TargetMode="External" Id="rId196"/><Relationship Type="http://schemas.openxmlformats.org/officeDocument/2006/relationships/hyperlink" Target="https://pubmed.ncbi.nlm.nih.gov/31193859/" TargetMode="External" Id="rId197"/><Relationship Type="http://schemas.openxmlformats.org/officeDocument/2006/relationships/hyperlink" Target="https://pmc.ncbi.nlm.nih.gov/articles/PMC6543132/" TargetMode="External" Id="rId198"/><Relationship Type="http://schemas.openxmlformats.org/officeDocument/2006/relationships/hyperlink" Target="https://doi.org/10.1259/bjrcr.20180051" TargetMode="External" Id="rId199"/><Relationship Type="http://schemas.openxmlformats.org/officeDocument/2006/relationships/hyperlink" Target="https://pubmed.ncbi.nlm.nih.gov/31131126/" TargetMode="External" Id="rId200"/><Relationship Type="http://schemas.openxmlformats.org/officeDocument/2006/relationships/hyperlink" Target="https://pmc.ncbi.nlm.nih.gov/articles/PMC6519498/" TargetMode="External" Id="rId201"/><Relationship Type="http://schemas.openxmlformats.org/officeDocument/2006/relationships/hyperlink" Target="https://doi.org/10.4103/jmas.jmas_14_18" TargetMode="External" Id="rId202"/><Relationship Type="http://schemas.openxmlformats.org/officeDocument/2006/relationships/hyperlink" Target="https://pubmed.ncbi.nlm.nih.gov/29737310/" TargetMode="External" Id="rId203"/><Relationship Type="http://schemas.openxmlformats.org/officeDocument/2006/relationships/hyperlink" Target="https://pmc.ncbi.nlm.nih.gov/articles/PMC6438076/" TargetMode="External" Id="rId204"/><Relationship Type="http://schemas.openxmlformats.org/officeDocument/2006/relationships/hyperlink" Target="https://doi.org/10.1016/j.ijscr.2018.01.017" TargetMode="External" Id="rId205"/><Relationship Type="http://schemas.openxmlformats.org/officeDocument/2006/relationships/hyperlink" Target="https://pubmed.ncbi.nlm.nih.gov/29482086/" TargetMode="External" Id="rId206"/><Relationship Type="http://schemas.openxmlformats.org/officeDocument/2006/relationships/hyperlink" Target="https://pmc.ncbi.nlm.nih.gov/articles/PMC5907687/" TargetMode="External" Id="rId207"/><Relationship Type="http://schemas.openxmlformats.org/officeDocument/2006/relationships/hyperlink" Target="https://doi.org/10.1093/gastro/gov034" TargetMode="External" Id="rId208"/><Relationship Type="http://schemas.openxmlformats.org/officeDocument/2006/relationships/hyperlink" Target="https://pubmed.ncbi.nlm.nih.gov/26240117/" TargetMode="External" Id="rId209"/><Relationship Type="http://schemas.openxmlformats.org/officeDocument/2006/relationships/hyperlink" Target="https://pmc.ncbi.nlm.nih.gov/articles/PMC5554386/" TargetMode="External" Id="rId210"/><Relationship Type="http://schemas.openxmlformats.org/officeDocument/2006/relationships/hyperlink" Target="https://doi.org/10.1155/2016/6450765" TargetMode="External" Id="rId211"/><Relationship Type="http://schemas.openxmlformats.org/officeDocument/2006/relationships/hyperlink" Target="https://pubmed.ncbi.nlm.nih.gov/27703832/" TargetMode="External" Id="rId212"/><Relationship Type="http://schemas.openxmlformats.org/officeDocument/2006/relationships/hyperlink" Target="https://pmc.ncbi.nlm.nih.gov/articles/PMC5039297/" TargetMode="External" Id="rId213"/><Relationship Type="http://schemas.openxmlformats.org/officeDocument/2006/relationships/hyperlink" Target="https://doi.org/10.1155/2016/5437971" TargetMode="External" Id="rId214"/><Relationship Type="http://schemas.openxmlformats.org/officeDocument/2006/relationships/hyperlink" Target="https://pubmed.ncbi.nlm.nih.gov/27433363/" TargetMode="External" Id="rId215"/><Relationship Type="http://schemas.openxmlformats.org/officeDocument/2006/relationships/hyperlink" Target="https://pmc.ncbi.nlm.nih.gov/articles/PMC4940533/" TargetMode="External" Id="rId216"/><Relationship Type="http://schemas.openxmlformats.org/officeDocument/2006/relationships/hyperlink" Target="https://doi.org/10.1007/s13244-016-0467-8" TargetMode="External" Id="rId217"/><Relationship Type="http://schemas.openxmlformats.org/officeDocument/2006/relationships/hyperlink" Target="https://pubmed.ncbi.nlm.nih.gov/26883137/" TargetMode="External" Id="rId218"/><Relationship Type="http://schemas.openxmlformats.org/officeDocument/2006/relationships/hyperlink" Target="https://pmc.ncbi.nlm.nih.gov/articles/PMC4805612/" TargetMode="External" Id="rId219"/><Relationship Type="http://schemas.openxmlformats.org/officeDocument/2006/relationships/hyperlink" Target="https://doi.org/10.5152/ucd.2015.2850" TargetMode="External" Id="rId220"/><Relationship Type="http://schemas.openxmlformats.org/officeDocument/2006/relationships/hyperlink" Target="https://pubmed.ncbi.nlm.nih.gov/28149130/" TargetMode="External" Id="rId221"/><Relationship Type="http://schemas.openxmlformats.org/officeDocument/2006/relationships/hyperlink" Target="https://pmc.ncbi.nlm.nih.gov/articles/PMC5245725/" TargetMode="External" Id="rId222"/><Relationship Type="http://schemas.openxmlformats.org/officeDocument/2006/relationships/hyperlink" Target="https://doi.org/10.3941/jrcr.v9i10.2475" TargetMode="External" Id="rId223"/><Relationship Type="http://schemas.openxmlformats.org/officeDocument/2006/relationships/hyperlink" Target="https://pubmed.ncbi.nlm.nih.gov/26629290/" TargetMode="External" Id="rId224"/><Relationship Type="http://schemas.openxmlformats.org/officeDocument/2006/relationships/hyperlink" Target="https://pmc.ncbi.nlm.nih.gov/articles/PMC4638397/" TargetMode="External" Id="rId225"/><Relationship Type="http://schemas.openxmlformats.org/officeDocument/2006/relationships/hyperlink" Target="https://doi.org/10.7860/jcdr/2015/13135.6541" TargetMode="External" Id="rId226"/><Relationship Type="http://schemas.openxmlformats.org/officeDocument/2006/relationships/hyperlink" Target="https://pubmed.ncbi.nlm.nih.gov/26500956/" TargetMode="External" Id="rId227"/><Relationship Type="http://schemas.openxmlformats.org/officeDocument/2006/relationships/hyperlink" Target="https://pmc.ncbi.nlm.nih.gov/articles/PMC4606285/" TargetMode="External" Id="rId228"/><Relationship Type="http://schemas.openxmlformats.org/officeDocument/2006/relationships/hyperlink" Target="https://pubmed.ncbi.nlm.nih.gov/26379994/" TargetMode="External" Id="rId229"/><Relationship Type="http://schemas.openxmlformats.org/officeDocument/2006/relationships/hyperlink" Target="https://pmc.ncbi.nlm.nih.gov/articles/PMC4565377/" TargetMode="External" Id="rId230"/><Relationship Type="http://schemas.openxmlformats.org/officeDocument/2006/relationships/hyperlink" Target="https://doi.org/10.1055/s-0034-1370776" TargetMode="External" Id="rId231"/><Relationship Type="http://schemas.openxmlformats.org/officeDocument/2006/relationships/hyperlink" Target="https://pubmed.ncbi.nlm.nih.gov/25755964/" TargetMode="External" Id="rId232"/><Relationship Type="http://schemas.openxmlformats.org/officeDocument/2006/relationships/hyperlink" Target="https://pmc.ncbi.nlm.nih.gov/articles/PMC4336078/" TargetMode="External" Id="rId233"/><Relationship Type="http://schemas.openxmlformats.org/officeDocument/2006/relationships/hyperlink" Target="https://doi.org/10.1055/s-0033-1357262" TargetMode="External" Id="rId234"/><Relationship Type="http://schemas.openxmlformats.org/officeDocument/2006/relationships/hyperlink" Target="https://pubmed.ncbi.nlm.nih.gov/25755963/" TargetMode="External" Id="rId235"/><Relationship Type="http://schemas.openxmlformats.org/officeDocument/2006/relationships/hyperlink" Target="https://pmc.ncbi.nlm.nih.gov/articles/PMC4336060/" TargetMode="External" Id="rId236"/><Relationship Type="http://schemas.openxmlformats.org/officeDocument/2006/relationships/hyperlink" Target="https://doi.org/10.3941/jrcr.v8i6.1534" TargetMode="External" Id="rId237"/><Relationship Type="http://schemas.openxmlformats.org/officeDocument/2006/relationships/hyperlink" Target="https://pubmed.ncbi.nlm.nih.gov/25426231/" TargetMode="External" Id="rId238"/><Relationship Type="http://schemas.openxmlformats.org/officeDocument/2006/relationships/hyperlink" Target="https://pmc.ncbi.nlm.nih.gov/articles/PMC4242138/" TargetMode="External" Id="rId239"/><Relationship Type="http://schemas.openxmlformats.org/officeDocument/2006/relationships/hyperlink" Target="https://doi.org/10.4103/1319-3767.133026" TargetMode="External" Id="rId240"/><Relationship Type="http://schemas.openxmlformats.org/officeDocument/2006/relationships/hyperlink" Target="https://pubmed.ncbi.nlm.nih.gov/24976284/" TargetMode="External" Id="rId241"/><Relationship Type="http://schemas.openxmlformats.org/officeDocument/2006/relationships/hyperlink" Target="https://pmc.ncbi.nlm.nih.gov/articles/PMC4067917/" TargetMode="External" Id="rId242"/><Relationship Type="http://schemas.openxmlformats.org/officeDocument/2006/relationships/hyperlink" Target="https://doi.org/10.1016/j.ijscr.2014.05.010" TargetMode="External" Id="rId243"/><Relationship Type="http://schemas.openxmlformats.org/officeDocument/2006/relationships/hyperlink" Target="https://pubmed.ncbi.nlm.nih.gov/24973525/" TargetMode="External" Id="rId244"/><Relationship Type="http://schemas.openxmlformats.org/officeDocument/2006/relationships/hyperlink" Target="https://pmc.ncbi.nlm.nih.gov/articles/PMC4147574/" TargetMode="External" Id="rId245"/><Relationship Type="http://schemas.openxmlformats.org/officeDocument/2006/relationships/hyperlink" Target="https://pubmed.ncbi.nlm.nih.gov/24834385/" TargetMode="External" Id="rId246"/><Relationship Type="http://schemas.openxmlformats.org/officeDocument/2006/relationships/hyperlink" Target="https://pmc.ncbi.nlm.nih.gov/articles/PMC4005091/" TargetMode="External" Id="rId247"/><Relationship Type="http://schemas.openxmlformats.org/officeDocument/2006/relationships/hyperlink" Target="https://doi.org/10.1186/1754-9493-8-12" TargetMode="External" Id="rId248"/><Relationship Type="http://schemas.openxmlformats.org/officeDocument/2006/relationships/hyperlink" Target="https://pubmed.ncbi.nlm.nih.gov/24602190/" TargetMode="External" Id="rId249"/><Relationship Type="http://schemas.openxmlformats.org/officeDocument/2006/relationships/hyperlink" Target="https://pmc.ncbi.nlm.nih.gov/articles/PMC3973840/" TargetMode="External" Id="rId250"/><Relationship Type="http://schemas.openxmlformats.org/officeDocument/2006/relationships/hyperlink" Target="https://doi.org/10.1002/ccr3.9" TargetMode="External" Id="rId251"/><Relationship Type="http://schemas.openxmlformats.org/officeDocument/2006/relationships/hyperlink" Target="https://pubmed.ncbi.nlm.nih.gov/25356206/" TargetMode="External" Id="rId252"/><Relationship Type="http://schemas.openxmlformats.org/officeDocument/2006/relationships/hyperlink" Target="https://pmc.ncbi.nlm.nih.gov/articles/PMC4184540/" TargetMode="External" Id="rId253"/><Relationship Type="http://schemas.openxmlformats.org/officeDocument/2006/relationships/hyperlink" Target="https://doi.org/10.1186/1749-7922-8-30" TargetMode="External" Id="rId254"/><Relationship Type="http://schemas.openxmlformats.org/officeDocument/2006/relationships/hyperlink" Target="https://pubmed.ncbi.nlm.nih.gov/23915457/" TargetMode="External" Id="rId255"/><Relationship Type="http://schemas.openxmlformats.org/officeDocument/2006/relationships/hyperlink" Target="https://pmc.ncbi.nlm.nih.gov/articles/PMC3751152/" TargetMode="External" Id="rId256"/><Relationship Type="http://schemas.openxmlformats.org/officeDocument/2006/relationships/hyperlink" Target="https://doi.org/10.5152/ucd.2013.47" TargetMode="External" Id="rId257"/><Relationship Type="http://schemas.openxmlformats.org/officeDocument/2006/relationships/hyperlink" Target="https://pubmed.ncbi.nlm.nih.gov/25931877/" TargetMode="External" Id="rId258"/><Relationship Type="http://schemas.openxmlformats.org/officeDocument/2006/relationships/hyperlink" Target="https://pmc.ncbi.nlm.nih.gov/articles/PMC4382814/" TargetMode="External" Id="rId259"/><Relationship Type="http://schemas.openxmlformats.org/officeDocument/2006/relationships/hyperlink" Target="https://doi.org/10.1007/s00268-012-1880-x" TargetMode="External" Id="rId260"/><Relationship Type="http://schemas.openxmlformats.org/officeDocument/2006/relationships/hyperlink" Target="https://pubmed.ncbi.nlm.nih.gov/23238797/" TargetMode="External" Id="rId261"/><Relationship Type="http://schemas.openxmlformats.org/officeDocument/2006/relationships/hyperlink" Target="https://pmc.ncbi.nlm.nih.gov/articles/PMC3566390/" TargetMode="External" Id="rId262"/><Relationship Type="http://schemas.openxmlformats.org/officeDocument/2006/relationships/hyperlink" Target="https://doi.org/10.3205/iprs000014" TargetMode="External" Id="rId263"/><Relationship Type="http://schemas.openxmlformats.org/officeDocument/2006/relationships/hyperlink" Target="https://pubmed.ncbi.nlm.nih.gov/26504696/" TargetMode="External" Id="rId264"/><Relationship Type="http://schemas.openxmlformats.org/officeDocument/2006/relationships/hyperlink" Target="https://pmc.ncbi.nlm.nih.gov/articles/PMC4582471/" TargetMode="External" Id="rId265"/><Relationship Type="http://schemas.openxmlformats.org/officeDocument/2006/relationships/hyperlink" Target="https://doi.org/10.1136/bcr.08.2011.4676" TargetMode="External" Id="rId266"/><Relationship Type="http://schemas.openxmlformats.org/officeDocument/2006/relationships/hyperlink" Target="https://pubmed.ncbi.nlm.nih.gov/22675015/" TargetMode="External" Id="rId267"/><Relationship Type="http://schemas.openxmlformats.org/officeDocument/2006/relationships/hyperlink" Target="https://pmc.ncbi.nlm.nih.gov/articles/PMC3207771/" TargetMode="External" Id="rId268"/><Relationship Type="http://schemas.openxmlformats.org/officeDocument/2006/relationships/hyperlink" Target="https://doi.org/10.4103/1319-3767.70618" TargetMode="External" Id="rId269"/><Relationship Type="http://schemas.openxmlformats.org/officeDocument/2006/relationships/hyperlink" Target="https://pubmed.ncbi.nlm.nih.gov/20871196/" TargetMode="External" Id="rId270"/><Relationship Type="http://schemas.openxmlformats.org/officeDocument/2006/relationships/hyperlink" Target="https://pmc.ncbi.nlm.nih.gov/articles/PMC2995100/" TargetMode="External" Id="rId271"/><Relationship Type="http://schemas.openxmlformats.org/officeDocument/2006/relationships/hyperlink" Target="https://doi.org/10.2147/imcrj.s8937" TargetMode="External" Id="rId272"/><Relationship Type="http://schemas.openxmlformats.org/officeDocument/2006/relationships/hyperlink" Target="https://pubmed.ncbi.nlm.nih.gov/23754883/" TargetMode="External" Id="rId273"/><Relationship Type="http://schemas.openxmlformats.org/officeDocument/2006/relationships/hyperlink" Target="https://pmc.ncbi.nlm.nih.gov/articles/PMC3658214/" TargetMode="External" Id="rId274"/><Relationship Type="http://schemas.openxmlformats.org/officeDocument/2006/relationships/hyperlink" Target="https://doi.org/10.1186/1757-1626-1-149" TargetMode="External" Id="rId275"/><Relationship Type="http://schemas.openxmlformats.org/officeDocument/2006/relationships/hyperlink" Target="https://pubmed.ncbi.nlm.nih.gov/18783625/" TargetMode="External" Id="rId276"/><Relationship Type="http://schemas.openxmlformats.org/officeDocument/2006/relationships/hyperlink" Target="https://pmc.ncbi.nlm.nih.gov/articles/PMC2553057/" TargetMode="External" Id="rId277"/><Relationship Type="http://schemas.openxmlformats.org/officeDocument/2006/relationships/hyperlink" Target="https://doi.org/10.2484/rcr.v3i4.229" TargetMode="External" Id="rId278"/><Relationship Type="http://schemas.openxmlformats.org/officeDocument/2006/relationships/hyperlink" Target="https://pubmed.ncbi.nlm.nih.gov/27303560/" TargetMode="External" Id="rId279"/><Relationship Type="http://schemas.openxmlformats.org/officeDocument/2006/relationships/hyperlink" Target="https://pmc.ncbi.nlm.nih.gov/articles/PMC4897094/" TargetMode="External" Id="rId280"/><Relationship Type="http://schemas.openxmlformats.org/officeDocument/2006/relationships/hyperlink" Target="https://pubmed.ncbi.nlm.nih.gov/17761090/" TargetMode="External" Id="rId281"/><Relationship Type="http://schemas.openxmlformats.org/officeDocument/2006/relationships/hyperlink" Target="https://pmc.ncbi.nlm.nih.gov/articles/PMC3015717/" TargetMode="External" Id="rId282"/><Relationship Type="http://schemas.openxmlformats.org/officeDocument/2006/relationships/hyperlink" Target="https://doi.org/10.4103/jmas.jmas_586_25" TargetMode="External" Id="rId283"/><Relationship Type="http://schemas.openxmlformats.org/officeDocument/2006/relationships/hyperlink" Target="https://pubmed.ncbi.nlm.nih.gov/42241351/" TargetMode="External" Id="rId284"/><Relationship Type="http://schemas.openxmlformats.org/officeDocument/2006/relationships/hyperlink" Target="https://doi.org/10.1007/s13304-026-02552-7" TargetMode="External" Id="rId285"/><Relationship Type="http://schemas.openxmlformats.org/officeDocument/2006/relationships/hyperlink" Target="https://pubmed.ncbi.nlm.nih.gov/41975166/" TargetMode="External" Id="rId286"/><Relationship Type="http://schemas.openxmlformats.org/officeDocument/2006/relationships/hyperlink" Target="https://doi.org/10.1016/j.epsc.2026.103340" TargetMode="External" Id="rId287"/><Relationship Type="http://schemas.openxmlformats.org/officeDocument/2006/relationships/hyperlink" Target="https://www.scopus.com/pages/publications/105048786250?origin=resultslist" TargetMode="External" Id="rId288"/><Relationship Type="http://schemas.openxmlformats.org/officeDocument/2006/relationships/hyperlink" Target="https://doi.org/10.3389/fonc.2026.1871126" TargetMode="External" Id="rId289"/><Relationship Type="http://schemas.openxmlformats.org/officeDocument/2006/relationships/hyperlink" Target="https://www.scopus.com/pages/publications/105046581728?origin=resultslist" TargetMode="External" Id="rId290"/><Relationship Type="http://schemas.openxmlformats.org/officeDocument/2006/relationships/hyperlink" Target="https://doi.org/10.1007/s13304-025-02181-6" TargetMode="External" Id="rId291"/><Relationship Type="http://schemas.openxmlformats.org/officeDocument/2006/relationships/hyperlink" Target="https://pubmed.ncbi.nlm.nih.gov/40183998/" TargetMode="External" Id="rId292"/><Relationship Type="http://schemas.openxmlformats.org/officeDocument/2006/relationships/hyperlink" Target="https://doi.org/10.1016/j.epsc.2025.103046" TargetMode="External" Id="rId293"/><Relationship Type="http://schemas.openxmlformats.org/officeDocument/2006/relationships/hyperlink" Target="https://www.scopus.com/pages/publications/105008819713?origin=resultslist" TargetMode="External" Id="rId294"/><Relationship Type="http://schemas.openxmlformats.org/officeDocument/2006/relationships/hyperlink" Target="https://doi.org/10.5348/100108z04am2025ra" TargetMode="External" Id="rId295"/><Relationship Type="http://schemas.openxmlformats.org/officeDocument/2006/relationships/hyperlink" Target="https://doi.org/10.1186/s43055-025-01488-z" TargetMode="External" Id="rId296"/><Relationship Type="http://schemas.openxmlformats.org/officeDocument/2006/relationships/hyperlink" Target="https://www.scopus.com/pages/publications/105006757181?origin=resultslist" TargetMode="External" Id="rId297"/><Relationship Type="http://schemas.openxmlformats.org/officeDocument/2006/relationships/hyperlink" Target="https://doi.org/10.1155/crip/6644516" TargetMode="External" Id="rId298"/><Relationship Type="http://schemas.openxmlformats.org/officeDocument/2006/relationships/hyperlink" Target="https://doi.org/10.14300/mnnc.2025.20040" TargetMode="External" Id="rId299"/><Relationship Type="http://schemas.openxmlformats.org/officeDocument/2006/relationships/hyperlink" Target="https://www.scopus.com/pages/publications/105014980495?origin=resultslist" TargetMode="External" Id="rId300"/><Relationship Type="http://schemas.openxmlformats.org/officeDocument/2006/relationships/hyperlink" Target="https://doi.org/10.1016/j.jviscsurg.2024.05.005" TargetMode="External" Id="rId301"/><Relationship Type="http://schemas.openxmlformats.org/officeDocument/2006/relationships/hyperlink" Target="https://pubmed.ncbi.nlm.nih.gov/38839447/" TargetMode="External" Id="rId302"/><Relationship Type="http://schemas.openxmlformats.org/officeDocument/2006/relationships/hyperlink" Target="https://doi.org/10.1016/j.epsc.2024.102793" TargetMode="External" Id="rId303"/><Relationship Type="http://schemas.openxmlformats.org/officeDocument/2006/relationships/hyperlink" Target="https://www.scopus.com/pages/publications/85187558070?origin=resultslist" TargetMode="External" Id="rId304"/><Relationship Type="http://schemas.openxmlformats.org/officeDocument/2006/relationships/hyperlink" Target="https://doi.org/10.1016/j.epsc.2024.102840" TargetMode="External" Id="rId305"/><Relationship Type="http://schemas.openxmlformats.org/officeDocument/2006/relationships/hyperlink" Target="https://www.scopus.com/pages/publications/85196043112?origin=resultslist" TargetMode="External" Id="rId306"/><Relationship Type="http://schemas.openxmlformats.org/officeDocument/2006/relationships/hyperlink" Target="https://doi.org/10.1016/j.epsc.2024.102877" TargetMode="External" Id="rId307"/><Relationship Type="http://schemas.openxmlformats.org/officeDocument/2006/relationships/hyperlink" Target="https://www.scopus.com/pages/publications/85204080322?origin=resultslist" TargetMode="External" Id="rId308"/><Relationship Type="http://schemas.openxmlformats.org/officeDocument/2006/relationships/hyperlink" Target="https://doi.org/10.4103/jss.jss_109_24" TargetMode="External" Id="rId309"/><Relationship Type="http://schemas.openxmlformats.org/officeDocument/2006/relationships/hyperlink" Target="https://doi.org/10.4274/gulhane.galenos.2023.72677" TargetMode="External" Id="rId310"/><Relationship Type="http://schemas.openxmlformats.org/officeDocument/2006/relationships/hyperlink" Target="https://www.scopus.com/pages/publications/85197618089?origin=resultslist" TargetMode="External" Id="rId311"/><Relationship Type="http://schemas.openxmlformats.org/officeDocument/2006/relationships/hyperlink" Target="https://doi.org/10.1016/j.jemermed.2023.06.003" TargetMode="External" Id="rId312"/><Relationship Type="http://schemas.openxmlformats.org/officeDocument/2006/relationships/hyperlink" Target="https://pubmed.ncbi.nlm.nih.gov/37716902/" TargetMode="External" Id="rId313"/><Relationship Type="http://schemas.openxmlformats.org/officeDocument/2006/relationships/hyperlink" Target="https://doi.org/10.1007/s00261-022-03789-7" TargetMode="External" Id="rId314"/><Relationship Type="http://schemas.openxmlformats.org/officeDocument/2006/relationships/hyperlink" Target="https://pubmed.ncbi.nlm.nih.gov/36752858/" TargetMode="External" Id="rId315"/><Relationship Type="http://schemas.openxmlformats.org/officeDocument/2006/relationships/hyperlink" Target="https://doi.org/10.1017/s1047951122001755" TargetMode="External" Id="rId316"/><Relationship Type="http://schemas.openxmlformats.org/officeDocument/2006/relationships/hyperlink" Target="https://pubmed.ncbi.nlm.nih.gov/35656572/" TargetMode="External" Id="rId317"/><Relationship Type="http://schemas.openxmlformats.org/officeDocument/2006/relationships/hyperlink" Target="https://doi.org/10.1002/vrc2.564" TargetMode="External" Id="rId318"/><Relationship Type="http://schemas.openxmlformats.org/officeDocument/2006/relationships/hyperlink" Target="https://www.scopus.com/pages/publications/85145701090?origin=resultslist" TargetMode="External" Id="rId319"/><Relationship Type="http://schemas.openxmlformats.org/officeDocument/2006/relationships/hyperlink" Target="https://doi.org/10.1016/j.gpeds.2023.100090" TargetMode="External" Id="rId320"/><Relationship Type="http://schemas.openxmlformats.org/officeDocument/2006/relationships/hyperlink" Target="https://www.scopus.com/pages/publications/85192246437?origin=resultslist" TargetMode="External" Id="rId321"/><Relationship Type="http://schemas.openxmlformats.org/officeDocument/2006/relationships/hyperlink" Target="https://doi.org/10.1007/978-981-99-2750-0_35" TargetMode="External" Id="rId322"/><Relationship Type="http://schemas.openxmlformats.org/officeDocument/2006/relationships/hyperlink" Target="https://www.scopus.com/pages/publications/85197056397?origin=resultslist" TargetMode="External" Id="rId323"/><Relationship Type="http://schemas.openxmlformats.org/officeDocument/2006/relationships/hyperlink" Target="https://doi.org/10.1007/s00383-022-05125-y" TargetMode="External" Id="rId324"/><Relationship Type="http://schemas.openxmlformats.org/officeDocument/2006/relationships/hyperlink" Target="https://pubmed.ncbi.nlm.nih.gov/35391540/" TargetMode="External" Id="rId325"/><Relationship Type="http://schemas.openxmlformats.org/officeDocument/2006/relationships/hyperlink" Target="https://doi.org/10.30491/tm.2022.351616.1497" TargetMode="External" Id="rId326"/><Relationship Type="http://schemas.openxmlformats.org/officeDocument/2006/relationships/hyperlink" Target="https://www.scopus.com/pages/publications/85138759539?origin=resultslist" TargetMode="External" Id="rId327"/><Relationship Type="http://schemas.openxmlformats.org/officeDocument/2006/relationships/hyperlink" Target="https://doi.org/10.1007/978-3-030-96542-6_57" TargetMode="External" Id="rId328"/><Relationship Type="http://schemas.openxmlformats.org/officeDocument/2006/relationships/hyperlink" Target="https://www.scopus.com/pages/publications/85159165580?origin=resultslist" TargetMode="External" Id="rId329"/><Relationship Type="http://schemas.openxmlformats.org/officeDocument/2006/relationships/hyperlink" Target="https://doi.org/10.1002/9781118487181.ch8" TargetMode="External" Id="rId330"/><Relationship Type="http://schemas.openxmlformats.org/officeDocument/2006/relationships/hyperlink" Target="https://www.scopus.com/pages/publications/85162673356?origin=resultslist" TargetMode="External" Id="rId331"/><Relationship Type="http://schemas.openxmlformats.org/officeDocument/2006/relationships/hyperlink" Target="https://doi.org/10.1089/lap.2020.0759" TargetMode="External" Id="rId332"/><Relationship Type="http://schemas.openxmlformats.org/officeDocument/2006/relationships/hyperlink" Target="https://pubmed.ncbi.nlm.nih.gov/33428514/" TargetMode="External" Id="rId333"/><Relationship Type="http://schemas.openxmlformats.org/officeDocument/2006/relationships/hyperlink" Target="https://doi.org/10.1007/s10140-020-01895-x" TargetMode="External" Id="rId334"/><Relationship Type="http://schemas.openxmlformats.org/officeDocument/2006/relationships/hyperlink" Target="https://pubmed.ncbi.nlm.nih.gov/33417114/" TargetMode="External" Id="rId335"/><Relationship Type="http://schemas.openxmlformats.org/officeDocument/2006/relationships/hyperlink" Target="https://doi.org/10.1111/ases.12894" TargetMode="External" Id="rId336"/><Relationship Type="http://schemas.openxmlformats.org/officeDocument/2006/relationships/hyperlink" Target="https://pubmed.ncbi.nlm.nih.gov/33210467/" TargetMode="External" Id="rId337"/><Relationship Type="http://schemas.openxmlformats.org/officeDocument/2006/relationships/hyperlink" Target="https://doi.org/10.1016/j.epsc.2020.101756" TargetMode="External" Id="rId338"/><Relationship Type="http://schemas.openxmlformats.org/officeDocument/2006/relationships/hyperlink" Target="https://www.scopus.com/pages/publications/85098193919?origin=resultslist" TargetMode="External" Id="rId339"/><Relationship Type="http://schemas.openxmlformats.org/officeDocument/2006/relationships/hyperlink" Target="https://doi.org/10.1016/j.epsc.2020.101702" TargetMode="External" Id="rId340"/><Relationship Type="http://schemas.openxmlformats.org/officeDocument/2006/relationships/hyperlink" Target="https://www.scopus.com/pages/publications/85096184947?origin=resultslist" TargetMode="External" Id="rId341"/><Relationship Type="http://schemas.openxmlformats.org/officeDocument/2006/relationships/hyperlink" Target="https://doi.org/10.33706/jemcr.811390" TargetMode="External" Id="rId342"/><Relationship Type="http://schemas.openxmlformats.org/officeDocument/2006/relationships/hyperlink" Target="https://doi.org/10.1016/j.epsc.2021.101848" TargetMode="External" Id="rId343"/><Relationship Type="http://schemas.openxmlformats.org/officeDocument/2006/relationships/hyperlink" Target="https://www.scopus.com/pages/publications/85107128289?origin=resultslist" TargetMode="External" Id="rId344"/><Relationship Type="http://schemas.openxmlformats.org/officeDocument/2006/relationships/hyperlink" Target="https://doi.org/10.1007/s12262-020-02308-6" TargetMode="External" Id="rId345"/><Relationship Type="http://schemas.openxmlformats.org/officeDocument/2006/relationships/hyperlink" Target="https://www.scopus.com/pages/publications/85084863005?origin=resultslist" TargetMode="External" Id="rId346"/><Relationship Type="http://schemas.openxmlformats.org/officeDocument/2006/relationships/hyperlink" Target="https://doi.org/10.2478/sjecr-2019-0004" TargetMode="External" Id="rId347"/><Relationship Type="http://schemas.openxmlformats.org/officeDocument/2006/relationships/hyperlink" Target="https://www.scopus.com/pages/publications/85118358353?origin=resultslist" TargetMode="External" Id="rId348"/><Relationship Type="http://schemas.openxmlformats.org/officeDocument/2006/relationships/hyperlink" Target="https://doi.org/10.1007/s10140-020-01786-1" TargetMode="External" Id="rId349"/><Relationship Type="http://schemas.openxmlformats.org/officeDocument/2006/relationships/hyperlink" Target="https://pubmed.ncbi.nlm.nih.gov/32424633/" TargetMode="External" Id="rId350"/><Relationship Type="http://schemas.openxmlformats.org/officeDocument/2006/relationships/hyperlink" Target="https://doi.org/10.2174/1573405614666181009142322" TargetMode="External" Id="rId351"/><Relationship Type="http://schemas.openxmlformats.org/officeDocument/2006/relationships/hyperlink" Target="https://pubmed.ncbi.nlm.nih.gov/31989898/" TargetMode="External" Id="rId352"/><Relationship Type="http://schemas.openxmlformats.org/officeDocument/2006/relationships/hyperlink" Target="https://doi.org/10.1097/pec.0000000000001520" TargetMode="External" Id="rId353"/><Relationship Type="http://schemas.openxmlformats.org/officeDocument/2006/relationships/hyperlink" Target="https://www.scopus.com/pages/publications/85097003483?origin=resultslist" TargetMode="External" Id="rId354"/><Relationship Type="http://schemas.openxmlformats.org/officeDocument/2006/relationships/hyperlink" Target="https://doi.org/10.1016/j.epsc.2020.101514" TargetMode="External" Id="rId355"/><Relationship Type="http://schemas.openxmlformats.org/officeDocument/2006/relationships/hyperlink" Target="https://www.scopus.com/pages/publications/85086459504?origin=resultslist" TargetMode="External" Id="rId356"/><Relationship Type="http://schemas.openxmlformats.org/officeDocument/2006/relationships/hyperlink" Target="https://doi.org/10.33699/pis.2019.98.12.509-512" TargetMode="External" Id="rId357"/><Relationship Type="http://schemas.openxmlformats.org/officeDocument/2006/relationships/hyperlink" Target="https://pubmed.ncbi.nlm.nih.gov/31958965/" TargetMode="External" Id="rId358"/><Relationship Type="http://schemas.openxmlformats.org/officeDocument/2006/relationships/hyperlink" Target="https://pubmed.ncbi.nlm.nih.gov/31816207/" TargetMode="External" Id="rId359"/><Relationship Type="http://schemas.openxmlformats.org/officeDocument/2006/relationships/hyperlink" Target="https://doi.org/10.1016/j.epsc.2018.10.001" TargetMode="External" Id="rId360"/><Relationship Type="http://schemas.openxmlformats.org/officeDocument/2006/relationships/hyperlink" Target="https://www.scopus.com/pages/publications/85054808059?origin=resultslist" TargetMode="External" Id="rId361"/><Relationship Type="http://schemas.openxmlformats.org/officeDocument/2006/relationships/hyperlink" Target="https://doi.org/10.1016/j.epsc.2019.101267" TargetMode="External" Id="rId362"/><Relationship Type="http://schemas.openxmlformats.org/officeDocument/2006/relationships/hyperlink" Target="https://www.scopus.com/pages/publications/85070199533?origin=resultslist" TargetMode="External" Id="rId363"/><Relationship Type="http://schemas.openxmlformats.org/officeDocument/2006/relationships/hyperlink" Target="https://doi.org/10.4103/fjs.fjs_34_19" TargetMode="External" Id="rId364"/><Relationship Type="http://schemas.openxmlformats.org/officeDocument/2006/relationships/hyperlink" Target="https://www.scopus.com/pages/publications/85074683043?origin=resultslist" TargetMode="External" Id="rId365"/><Relationship Type="http://schemas.openxmlformats.org/officeDocument/2006/relationships/hyperlink" Target="https://doi.org/10.1073/pnas.1719264115" TargetMode="External" Id="rId366"/><Relationship Type="http://schemas.openxmlformats.org/officeDocument/2006/relationships/hyperlink" Target="https://pubmed.ncbi.nlm.nih.gov/29911755/" TargetMode="External" Id="rId367"/><Relationship Type="http://schemas.openxmlformats.org/officeDocument/2006/relationships/hyperlink" Target="https://doi.org/10.1097/sle.0000000000000518" TargetMode="External" Id="rId368"/><Relationship Type="http://schemas.openxmlformats.org/officeDocument/2006/relationships/hyperlink" Target="https://pubmed.ncbi.nlm.nih.gov/29521675/" TargetMode="External" Id="rId369"/><Relationship Type="http://schemas.openxmlformats.org/officeDocument/2006/relationships/hyperlink" Target="https://doi.org/10.5603/fm.a2017.0097" TargetMode="External" Id="rId370"/><Relationship Type="http://schemas.openxmlformats.org/officeDocument/2006/relationships/hyperlink" Target="https://pubmed.ncbi.nlm.nih.gov/29064546/" TargetMode="External" Id="rId371"/><Relationship Type="http://schemas.openxmlformats.org/officeDocument/2006/relationships/hyperlink" Target="https://doi.org/10.1007/s00464-017-5630-x" TargetMode="External" Id="rId372"/><Relationship Type="http://schemas.openxmlformats.org/officeDocument/2006/relationships/hyperlink" Target="https://pubmed.ncbi.nlm.nih.gov/28733740/" TargetMode="External" Id="rId373"/><Relationship Type="http://schemas.openxmlformats.org/officeDocument/2006/relationships/hyperlink" Target="https://doi.org/10.5152/tjg.2017.17035" TargetMode="External" Id="rId374"/><Relationship Type="http://schemas.openxmlformats.org/officeDocument/2006/relationships/hyperlink" Target="https://pubmed.ncbi.nlm.nih.gov/28699604/" TargetMode="External" Id="rId375"/><Relationship Type="http://schemas.openxmlformats.org/officeDocument/2006/relationships/hyperlink" Target="https://doi.org/10.4103/1119-3077.201431" TargetMode="External" Id="rId376"/><Relationship Type="http://schemas.openxmlformats.org/officeDocument/2006/relationships/hyperlink" Target="https://pubmed.ncbi.nlm.nih.gov/28256499/" TargetMode="External" Id="rId377"/><Relationship Type="http://schemas.openxmlformats.org/officeDocument/2006/relationships/hyperlink" Target="https://doi.org/10.1016/j.epsc.2017.06.003" TargetMode="External" Id="rId378"/><Relationship Type="http://schemas.openxmlformats.org/officeDocument/2006/relationships/hyperlink" Target="https://www.scopus.com/pages/publications/85021258673?origin=resultslist" TargetMode="External" Id="rId379"/><Relationship Type="http://schemas.openxmlformats.org/officeDocument/2006/relationships/hyperlink" Target="https://doi.org/10.1016/j.epsc.2016.04.024" TargetMode="External" Id="rId380"/><Relationship Type="http://schemas.openxmlformats.org/officeDocument/2006/relationships/hyperlink" Target="https://www.scopus.com/pages/publications/85010441799?origin=resultslist" TargetMode="External" Id="rId381"/><Relationship Type="http://schemas.openxmlformats.org/officeDocument/2006/relationships/hyperlink" Target="https://doi.org/10.1007/978-3-662-53085-6_25" TargetMode="External" Id="rId382"/><Relationship Type="http://schemas.openxmlformats.org/officeDocument/2006/relationships/hyperlink" Target="https://www.scopus.com/pages/publications/105009125593?origin=resultslist" TargetMode="External" Id="rId383"/><Relationship Type="http://schemas.openxmlformats.org/officeDocument/2006/relationships/hyperlink" Target="https://doi.org/10.4081/pmc.2016.119" TargetMode="External" Id="rId384"/><Relationship Type="http://schemas.openxmlformats.org/officeDocument/2006/relationships/hyperlink" Target="https://pubmed.ncbi.nlm.nih.gov/28009140/" TargetMode="External" Id="rId385"/><Relationship Type="http://schemas.openxmlformats.org/officeDocument/2006/relationships/hyperlink" Target="https://doi.org/10.1097/pec.0000000000000642" TargetMode="External" Id="rId386"/><Relationship Type="http://schemas.openxmlformats.org/officeDocument/2006/relationships/hyperlink" Target="https://pubmed.ncbi.nlm.nih.gov/27248774/" TargetMode="External" Id="rId387"/><Relationship Type="http://schemas.openxmlformats.org/officeDocument/2006/relationships/hyperlink" Target="https://pubmed.ncbi.nlm.nih.gov/26853294/" TargetMode="External" Id="rId388"/><Relationship Type="http://schemas.openxmlformats.org/officeDocument/2006/relationships/hyperlink" Target="https://doi.org/10.1007/s10396-015-0622-8" TargetMode="External" Id="rId389"/><Relationship Type="http://schemas.openxmlformats.org/officeDocument/2006/relationships/hyperlink" Target="https://pubmed.ncbi.nlm.nih.gov/26576796/" TargetMode="External" Id="rId390"/><Relationship Type="http://schemas.openxmlformats.org/officeDocument/2006/relationships/hyperlink" Target="https://doi.org/10.1111/ases.12188" TargetMode="External" Id="rId391"/><Relationship Type="http://schemas.openxmlformats.org/officeDocument/2006/relationships/hyperlink" Target="https://pubmed.ncbi.nlm.nih.gov/26303736/" TargetMode="External" Id="rId392"/><Relationship Type="http://schemas.openxmlformats.org/officeDocument/2006/relationships/hyperlink" Target="https://doi.org/10.1007/978-3-319-03506-2_7" TargetMode="External" Id="rId393"/><Relationship Type="http://schemas.openxmlformats.org/officeDocument/2006/relationships/hyperlink" Target="https://www.scopus.com/pages/publications/84944548925?origin=resultslist" TargetMode="External" Id="rId394"/><Relationship Type="http://schemas.openxmlformats.org/officeDocument/2006/relationships/hyperlink" Target="https://pubmed.ncbi.nlm.nih.gov/25518790/" TargetMode="External" Id="rId395"/><Relationship Type="http://schemas.openxmlformats.org/officeDocument/2006/relationships/hyperlink" Target="https://pubmed.ncbi.nlm.nih.gov/25335381/" TargetMode="External" Id="rId396"/><Relationship Type="http://schemas.openxmlformats.org/officeDocument/2006/relationships/hyperlink" Target="https://pubmed.ncbi.nlm.nih.gov/25224425/" TargetMode="External" Id="rId397"/><Relationship Type="http://schemas.openxmlformats.org/officeDocument/2006/relationships/hyperlink" Target="https://doi.org/10.1067/j.cpradiol.2014.04.002" TargetMode="External" Id="rId398"/><Relationship Type="http://schemas.openxmlformats.org/officeDocument/2006/relationships/hyperlink" Target="https://pubmed.ncbi.nlm.nih.gov/24861235/" TargetMode="External" Id="rId399"/><Relationship Type="http://schemas.openxmlformats.org/officeDocument/2006/relationships/hyperlink" Target="https://pubmed.ncbi.nlm.nih.gov/24791368/" TargetMode="External" Id="rId400"/><Relationship Type="http://schemas.openxmlformats.org/officeDocument/2006/relationships/hyperlink" Target="https://doi.org/10.1097/mbc.0000000000000081" TargetMode="External" Id="rId401"/><Relationship Type="http://schemas.openxmlformats.org/officeDocument/2006/relationships/hyperlink" Target="https://pubmed.ncbi.nlm.nih.gov/24509326/" TargetMode="External" Id="rId402"/><Relationship Type="http://schemas.openxmlformats.org/officeDocument/2006/relationships/hyperlink" Target="https://doi.org/10.1007/s00247-013-2851-6" TargetMode="External" Id="rId403"/><Relationship Type="http://schemas.openxmlformats.org/officeDocument/2006/relationships/hyperlink" Target="https://pubmed.ncbi.nlm.nih.gov/24407229/" TargetMode="External" Id="rId404"/><Relationship Type="http://schemas.openxmlformats.org/officeDocument/2006/relationships/hyperlink" Target="https://doi.org/10.1097/pec.0b013e3182a32079" TargetMode="External" Id="rId405"/><Relationship Type="http://schemas.openxmlformats.org/officeDocument/2006/relationships/hyperlink" Target="https://pubmed.ncbi.nlm.nih.gov/24201983/" TargetMode="External" Id="rId406"/><Relationship Type="http://schemas.openxmlformats.org/officeDocument/2006/relationships/hyperlink" Target="https://doi.org/10.1002/ajmg.a.36109" TargetMode="External" Id="rId407"/><Relationship Type="http://schemas.openxmlformats.org/officeDocument/2006/relationships/hyperlink" Target="https://pubmed.ncbi.nlm.nih.gov/23873601/" TargetMode="External" Id="rId408"/><Relationship Type="http://schemas.openxmlformats.org/officeDocument/2006/relationships/hyperlink" Target="https://doi.org/10.1016/j.jpedsurg.2013.01.003" TargetMode="External" Id="rId409"/><Relationship Type="http://schemas.openxmlformats.org/officeDocument/2006/relationships/hyperlink" Target="https://pubmed.ncbi.nlm.nih.gov/23480945/" TargetMode="External" Id="rId410"/><Relationship Type="http://schemas.openxmlformats.org/officeDocument/2006/relationships/hyperlink" Target="https://doi.org/10.1016/j.jpedsurg.2012.12.042" TargetMode="External" Id="rId411"/><Relationship Type="http://schemas.openxmlformats.org/officeDocument/2006/relationships/hyperlink" Target="https://pubmed.ncbi.nlm.nih.gov/23480940/" TargetMode="External" Id="rId412"/><Relationship Type="http://schemas.openxmlformats.org/officeDocument/2006/relationships/hyperlink" Target="https://doi.org/10.1007/s00261-012-9944-9" TargetMode="External" Id="rId413"/><Relationship Type="http://schemas.openxmlformats.org/officeDocument/2006/relationships/hyperlink" Target="https://pubmed.ncbi.nlm.nih.gov/22829098/" TargetMode="External" Id="rId414"/><Relationship Type="http://schemas.openxmlformats.org/officeDocument/2006/relationships/hyperlink" Target="https://doi.org/10.1016/j.epsc.2013.03.019" TargetMode="External" Id="rId415"/><Relationship Type="http://schemas.openxmlformats.org/officeDocument/2006/relationships/hyperlink" Target="https://www.scopus.com/pages/publications/84888263513?origin=resultslist" TargetMode="External" Id="rId416"/><Relationship Type="http://schemas.openxmlformats.org/officeDocument/2006/relationships/hyperlink" Target="https://doi.org/10.1016/j.epsc.2013.05.006" TargetMode="External" Id="rId417"/><Relationship Type="http://schemas.openxmlformats.org/officeDocument/2006/relationships/hyperlink" Target="https://www.scopus.com/pages/publications/84893054566?origin=resultslist" TargetMode="External" Id="rId418"/><Relationship Type="http://schemas.openxmlformats.org/officeDocument/2006/relationships/hyperlink" Target="https://doi.org/10.1177/8756479312472392" TargetMode="External" Id="rId419"/><Relationship Type="http://schemas.openxmlformats.org/officeDocument/2006/relationships/hyperlink" Target="https://www.scopus.com/pages/publications/84877635711?origin=resultslist" TargetMode="External" Id="rId420"/><Relationship Type="http://schemas.openxmlformats.org/officeDocument/2006/relationships/hyperlink" Target="https://doi.org/10.1002/9781118760772.ch4" TargetMode="External" Id="rId421"/><Relationship Type="http://schemas.openxmlformats.org/officeDocument/2006/relationships/hyperlink" Target="https://www.scopus.com/pages/publications/85016086294?origin=resultslist" TargetMode="External" Id="rId422"/><Relationship Type="http://schemas.openxmlformats.org/officeDocument/2006/relationships/hyperlink" Target="https://doi.org/10.1016/j.cellimm.2012.11.007" TargetMode="External" Id="rId423"/><Relationship Type="http://schemas.openxmlformats.org/officeDocument/2006/relationships/hyperlink" Target="https://pubmed.ncbi.nlm.nih.gov/23246505/" TargetMode="External" Id="rId424"/><Relationship Type="http://schemas.openxmlformats.org/officeDocument/2006/relationships/hyperlink" Target="https://doi.org/10.4081/pmc.2012.81" TargetMode="External" Id="rId425"/><Relationship Type="http://schemas.openxmlformats.org/officeDocument/2006/relationships/hyperlink" Target="https://pubmed.ncbi.nlm.nih.gov/22966728/" TargetMode="External" Id="rId426"/><Relationship Type="http://schemas.openxmlformats.org/officeDocument/2006/relationships/hyperlink" Target="https://pubmed.ncbi.nlm.nih.gov/22396942/" TargetMode="External" Id="rId427"/><Relationship Type="http://schemas.openxmlformats.org/officeDocument/2006/relationships/hyperlink" Target="https://doi.org/10.7863/jum.2012.31.3.483" TargetMode="External" Id="rId428"/><Relationship Type="http://schemas.openxmlformats.org/officeDocument/2006/relationships/hyperlink" Target="https://pubmed.ncbi.nlm.nih.gov/22368139/" TargetMode="External" Id="rId429"/><Relationship Type="http://schemas.openxmlformats.org/officeDocument/2006/relationships/hyperlink" Target="https://doi.org/10.1089/lap.2011.0148" TargetMode="External" Id="rId430"/><Relationship Type="http://schemas.openxmlformats.org/officeDocument/2006/relationships/hyperlink" Target="https://pubmed.ncbi.nlm.nih.gov/21859343/" TargetMode="External" Id="rId431"/><Relationship Type="http://schemas.openxmlformats.org/officeDocument/2006/relationships/hyperlink" Target="https://doi.org/10.1258/ar.2011.100504" TargetMode="External" Id="rId432"/><Relationship Type="http://schemas.openxmlformats.org/officeDocument/2006/relationships/hyperlink" Target="https://pubmed.ncbi.nlm.nih.gov/21816894/" TargetMode="External" Id="rId433"/><Relationship Type="http://schemas.openxmlformats.org/officeDocument/2006/relationships/hyperlink" Target="https://doi.org/10.1089/lap.2010.0417" TargetMode="External" Id="rId434"/><Relationship Type="http://schemas.openxmlformats.org/officeDocument/2006/relationships/hyperlink" Target="https://pubmed.ncbi.nlm.nih.gov/21375417/" TargetMode="External" Id="rId435"/><Relationship Type="http://schemas.openxmlformats.org/officeDocument/2006/relationships/hyperlink" Target="https://doi.org/10.2174/978160805273811101010153" TargetMode="External" Id="rId436"/><Relationship Type="http://schemas.openxmlformats.org/officeDocument/2006/relationships/hyperlink" Target="https://www.scopus.com/pages/publications/84882678915?origin=resultslist" TargetMode="External" Id="rId437"/><Relationship Type="http://schemas.openxmlformats.org/officeDocument/2006/relationships/hyperlink" Target="https://doi.org/10.1097/sle.0b013e3181f69ce2" TargetMode="External" Id="rId438"/><Relationship Type="http://schemas.openxmlformats.org/officeDocument/2006/relationships/hyperlink" Target="https://pubmed.ncbi.nlm.nih.gov/20975498/" TargetMode="External" Id="rId439"/><Relationship Type="http://schemas.openxmlformats.org/officeDocument/2006/relationships/hyperlink" Target="https://pubmed.ncbi.nlm.nih.gov/20939205/" TargetMode="External" Id="rId440"/><Relationship Type="http://schemas.openxmlformats.org/officeDocument/2006/relationships/hyperlink" Target="https://doi.org/10.1016/j.jpedsurg.2010.03.003" TargetMode="External" Id="rId441"/><Relationship Type="http://schemas.openxmlformats.org/officeDocument/2006/relationships/hyperlink" Target="https://pubmed.ncbi.nlm.nih.gov/20638536/" TargetMode="External" Id="rId442"/><Relationship Type="http://schemas.openxmlformats.org/officeDocument/2006/relationships/hyperlink" Target="https://doi.org/10.1016/j.clinimag.2009.09.001" TargetMode="External" Id="rId443"/><Relationship Type="http://schemas.openxmlformats.org/officeDocument/2006/relationships/hyperlink" Target="https://pubmed.ncbi.nlm.nih.gov/20630344/" TargetMode="External" Id="rId444"/><Relationship Type="http://schemas.openxmlformats.org/officeDocument/2006/relationships/hyperlink" Target="https://doi.org/10.1007/s00383-010-2657-7" TargetMode="External" Id="rId445"/><Relationship Type="http://schemas.openxmlformats.org/officeDocument/2006/relationships/hyperlink" Target="https://pubmed.ncbi.nlm.nih.gov/20625747/" TargetMode="External" Id="rId446"/><Relationship Type="http://schemas.openxmlformats.org/officeDocument/2006/relationships/hyperlink" Target="https://doi.org/10.1007/s00247-010-1756-x" TargetMode="External" Id="rId447"/><Relationship Type="http://schemas.openxmlformats.org/officeDocument/2006/relationships/hyperlink" Target="https://pubmed.ncbi.nlm.nih.gov/20593169/" TargetMode="External" Id="rId448"/><Relationship Type="http://schemas.openxmlformats.org/officeDocument/2006/relationships/hyperlink" Target="https://doi.org/10.5334/jbr-btr.27" TargetMode="External" Id="rId449"/><Relationship Type="http://schemas.openxmlformats.org/officeDocument/2006/relationships/hyperlink" Target="https://doi.org/10.1080/20786204.2010.10873930" TargetMode="External" Id="rId450"/><Relationship Type="http://schemas.openxmlformats.org/officeDocument/2006/relationships/hyperlink" Target="https://www.scopus.com/pages/publications/77952017652?origin=resultslist" TargetMode="External" Id="rId451"/><Relationship Type="http://schemas.openxmlformats.org/officeDocument/2006/relationships/hyperlink" Target="https://doi.org/10.1080/00015458.2009.11680453" TargetMode="External" Id="rId452"/><Relationship Type="http://schemas.openxmlformats.org/officeDocument/2006/relationships/hyperlink" Target="https://pubmed.ncbi.nlm.nih.gov/19943607/" TargetMode="External" Id="rId453"/><Relationship Type="http://schemas.openxmlformats.org/officeDocument/2006/relationships/hyperlink" Target="https://doi.org/10.1016/s1875-9572(09)60059-0" TargetMode="External" Id="rId454"/><Relationship Type="http://schemas.openxmlformats.org/officeDocument/2006/relationships/hyperlink" Target="https://pubmed.ncbi.nlm.nih.gov/19750894/" TargetMode="External" Id="rId455"/><Relationship Type="http://schemas.openxmlformats.org/officeDocument/2006/relationships/hyperlink" Target="https://doi.org/10.1007/s12519-009-0043-0" TargetMode="External" Id="rId456"/><Relationship Type="http://schemas.openxmlformats.org/officeDocument/2006/relationships/hyperlink" Target="https://pubmed.ncbi.nlm.nih.gov/19693469/" TargetMode="External" Id="rId457"/><Relationship Type="http://schemas.openxmlformats.org/officeDocument/2006/relationships/hyperlink" Target="https://doi.org/10.1016/j.jpedsurg.2009.02.062" TargetMode="External" Id="rId458"/><Relationship Type="http://schemas.openxmlformats.org/officeDocument/2006/relationships/hyperlink" Target="https://pubmed.ncbi.nlm.nih.gov/19573677/" TargetMode="External" Id="rId459"/><Relationship Type="http://schemas.openxmlformats.org/officeDocument/2006/relationships/hyperlink" Target="https://doi.org/10.1089/lap.2008.0091.supp" TargetMode="External" Id="rId460"/><Relationship Type="http://schemas.openxmlformats.org/officeDocument/2006/relationships/hyperlink" Target="https://pubmed.ncbi.nlm.nih.gov/19281417/" TargetMode="External" Id="rId461"/><Relationship Type="http://schemas.openxmlformats.org/officeDocument/2006/relationships/hyperlink" Target="https://pubmed.ncbi.nlm.nih.gov/19208319/" TargetMode="External" Id="rId462"/><Relationship Type="http://schemas.openxmlformats.org/officeDocument/2006/relationships/hyperlink" Target="https://doi.org/10.1007/978-3-540-78387-9_52" TargetMode="External" Id="rId463"/><Relationship Type="http://schemas.openxmlformats.org/officeDocument/2006/relationships/hyperlink" Target="https://www.scopus.com/pages/publications/84895240742?origin=resultslist" TargetMode="External" Id="rId464"/><Relationship Type="http://schemas.openxmlformats.org/officeDocument/2006/relationships/hyperlink" Target="https://doi.org/10.1007/s12098-008-0181-8" TargetMode="External" Id="rId465"/><Relationship Type="http://schemas.openxmlformats.org/officeDocument/2006/relationships/hyperlink" Target="https://pubmed.ncbi.nlm.nih.gov/18810347/" TargetMode="External" Id="rId466"/><Relationship Type="http://schemas.openxmlformats.org/officeDocument/2006/relationships/hyperlink" Target="https://doi.org/10.1159/000155899" TargetMode="External" Id="rId467"/><Relationship Type="http://schemas.openxmlformats.org/officeDocument/2006/relationships/hyperlink" Target="https://pubmed.ncbi.nlm.nih.gov/18799886/" TargetMode="External" Id="rId468"/><Relationship Type="http://schemas.openxmlformats.org/officeDocument/2006/relationships/hyperlink" Target="https://doi.org/10.1097/aog.0b013e3181809671" TargetMode="External" Id="rId469"/><Relationship Type="http://schemas.openxmlformats.org/officeDocument/2006/relationships/hyperlink" Target="https://pubmed.ncbi.nlm.nih.gov/18669771/" TargetMode="External" Id="rId470"/><Relationship Type="http://schemas.openxmlformats.org/officeDocument/2006/relationships/hyperlink" Target="https://doi.org/10.1016/j.jpedsurg.2007.12.077" TargetMode="External" Id="rId471"/><Relationship Type="http://schemas.openxmlformats.org/officeDocument/2006/relationships/hyperlink" Target="https://pubmed.ncbi.nlm.nih.gov/18485931/" TargetMode="External" Id="rId472"/><Relationship Type="http://schemas.openxmlformats.org/officeDocument/2006/relationships/hyperlink" Target="https://doi.org/10.1259/bjr/30123041" TargetMode="External" Id="rId473"/><Relationship Type="http://schemas.openxmlformats.org/officeDocument/2006/relationships/hyperlink" Target="https://pubmed.ncbi.nlm.nih.gov/18440937/" TargetMode="External" Id="rId474"/><Relationship Type="http://schemas.openxmlformats.org/officeDocument/2006/relationships/hyperlink" Target="https://doi.org/10.1097/sle.0b013e3180ca9b54" TargetMode="External" Id="rId475"/><Relationship Type="http://schemas.openxmlformats.org/officeDocument/2006/relationships/hyperlink" Target="https://pubmed.ncbi.nlm.nih.gov/18049417/" TargetMode="External" Id="rId476"/><Relationship Type="http://schemas.openxmlformats.org/officeDocument/2006/relationships/hyperlink" Target="https://doi.org/10.1097/sla.0b013e318155abb9" TargetMode="External" Id="rId477"/><Relationship Type="http://schemas.openxmlformats.org/officeDocument/2006/relationships/hyperlink" Target="https://pubmed.ncbi.nlm.nih.gov/17893505/" TargetMode="External" Id="rId478"/><Relationship Type="http://schemas.openxmlformats.org/officeDocument/2006/relationships/hyperlink" Target="https://doi.org/10.1016/j.jpedsurg.2007.03.063" TargetMode="External" Id="rId479"/><Relationship Type="http://schemas.openxmlformats.org/officeDocument/2006/relationships/hyperlink" Target="https://pubmed.ncbi.nlm.nih.gov/17706517/" TargetMode="External" Id="rId480"/><Relationship Type="http://schemas.openxmlformats.org/officeDocument/2006/relationships/hyperlink" Target="https://doi.org/10.1016/j.jpedsurg.2007.03.001" TargetMode="External" Id="rId481"/><Relationship Type="http://schemas.openxmlformats.org/officeDocument/2006/relationships/hyperlink" Target="https://pubmed.ncbi.nlm.nih.gov/17502172/" TargetMode="External" Id="rId482"/><Relationship Type="http://schemas.openxmlformats.org/officeDocument/2006/relationships/hyperlink" Target="https://doi.org/10.1089/lap.2006.0005" TargetMode="External" Id="rId483"/><Relationship Type="http://schemas.openxmlformats.org/officeDocument/2006/relationships/hyperlink" Target="https://pubmed.ncbi.nlm.nih.gov/17484662/" TargetMode="External" Id="rId484"/><Relationship Type="http://schemas.openxmlformats.org/officeDocument/2006/relationships/hyperlink" Target="https://doi.org/10.1007/s00595-006-3389-0" TargetMode="External" Id="rId485"/><Relationship Type="http://schemas.openxmlformats.org/officeDocument/2006/relationships/hyperlink" Target="https://pubmed.ncbi.nlm.nih.gov/17342372/" TargetMode="External" Id="rId486"/><Relationship Type="http://schemas.openxmlformats.org/officeDocument/2006/relationships/hyperlink" Target="https://doi.org/10.1007/s12098-007-0018-x" TargetMode="External" Id="rId487"/><Relationship Type="http://schemas.openxmlformats.org/officeDocument/2006/relationships/hyperlink" Target="https://pubmed.ncbi.nlm.nih.gov/17337837/" TargetMode="External" Id="rId488"/><Relationship Type="http://schemas.openxmlformats.org/officeDocument/2006/relationships/hyperlink" Target="https://pubmed.ncbi.nlm.nih.gov/17206307/" TargetMode="External" Id="rId489"/><Relationship Type="http://schemas.openxmlformats.org/officeDocument/2006/relationships/hyperlink" Target="https://doi.org/10.1097/spv.0b013e31815a5f7a" TargetMode="External" Id="rId490"/><Relationship Type="http://schemas.openxmlformats.org/officeDocument/2006/relationships/hyperlink" Target="https://www.scopus.com/pages/publications/37349022088?origin=resultslist" TargetMode="External" Id="rId491"/><Relationship Type="http://schemas.openxmlformats.org/officeDocument/2006/relationships/hyperlink" Target="https://doi.org/10.4103/0971-9261.31087" TargetMode="External" Id="rId492"/><Relationship Type="http://schemas.openxmlformats.org/officeDocument/2006/relationships/hyperlink" Target="https://www.scopus.com/pages/publications/34047122625?origin=resultslist" TargetMode="External" Id="rId493"/><Relationship Type="http://schemas.openxmlformats.org/officeDocument/2006/relationships/hyperlink" Target="https://doi.org/10.1007/s00595-006-3303-9" TargetMode="External" Id="rId494"/><Relationship Type="http://schemas.openxmlformats.org/officeDocument/2006/relationships/hyperlink" Target="https://pubmed.ncbi.nlm.nih.gov/17123138/" TargetMode="External" Id="rId495"/><Relationship Type="http://schemas.openxmlformats.org/officeDocument/2006/relationships/hyperlink" Target="https://doi.org/10.1016/j.crad.2006.06.007" TargetMode="External" Id="rId496"/><Relationship Type="http://schemas.openxmlformats.org/officeDocument/2006/relationships/hyperlink" Target="https://pubmed.ncbi.nlm.nih.gov/17018308/" TargetMode="External" Id="rId497"/><Relationship Type="http://schemas.openxmlformats.org/officeDocument/2006/relationships/hyperlink" Target="https://doi.org/10.1007/s00383-006-1760-2" TargetMode="External" Id="rId498"/><Relationship Type="http://schemas.openxmlformats.org/officeDocument/2006/relationships/hyperlink" Target="https://pubmed.ncbi.nlm.nih.gov/16944182/" TargetMode="External" Id="rId499"/><Relationship Type="http://schemas.openxmlformats.org/officeDocument/2006/relationships/hyperlink" Target="https://doi.org/10.1089/lap.2006.16.328" TargetMode="External" Id="rId500"/><Relationship Type="http://schemas.openxmlformats.org/officeDocument/2006/relationships/hyperlink" Target="https://pubmed.ncbi.nlm.nih.gov/16796453/" TargetMode="External" Id="rId501"/><Relationship Type="http://schemas.openxmlformats.org/officeDocument/2006/relationships/hyperlink" Target="https://doi.org/10.1007/s00383-006-1673-0" TargetMode="External" Id="rId502"/><Relationship Type="http://schemas.openxmlformats.org/officeDocument/2006/relationships/hyperlink" Target="https://pubmed.ncbi.nlm.nih.gov/16609899/" TargetMode="External" Id="rId503"/><Relationship Type="http://schemas.openxmlformats.org/officeDocument/2006/relationships/hyperlink" Target="https://pubmed.ncbi.nlm.nih.gov/16534164/" TargetMode="External" Id="rId504"/><Relationship Type="http://schemas.openxmlformats.org/officeDocument/2006/relationships/hyperlink" Target="https://pubmed.ncbi.nlm.nih.gov/16515121/" TargetMode="External" Id="rId505"/><Relationship Type="http://schemas.openxmlformats.org/officeDocument/2006/relationships/hyperlink" Target="https://pubmed.ncbi.nlm.nih.gov/16385380/" TargetMode="External" Id="rId506"/><Relationship Type="http://schemas.openxmlformats.org/officeDocument/2006/relationships/hyperlink" Target="https://doi.org/10.1089/lap.2005.15.670" TargetMode="External" Id="rId507"/><Relationship Type="http://schemas.openxmlformats.org/officeDocument/2006/relationships/hyperlink" Target="https://pubmed.ncbi.nlm.nih.gov/16366881/" TargetMode="External" Id="rId508"/><Relationship Type="http://schemas.openxmlformats.org/officeDocument/2006/relationships/hyperlink" Target="https://doi.org/10.1002/jcu.20165" TargetMode="External" Id="rId509"/><Relationship Type="http://schemas.openxmlformats.org/officeDocument/2006/relationships/hyperlink" Target="https://pubmed.ncbi.nlm.nih.gov/16281274/" TargetMode="External" Id="rId510"/><Relationship Type="http://schemas.openxmlformats.org/officeDocument/2006/relationships/hyperlink" Target="https://doi.org/10.1259/bjr/33073529" TargetMode="External" Id="rId511"/><Relationship Type="http://schemas.openxmlformats.org/officeDocument/2006/relationships/hyperlink" Target="https://pubmed.ncbi.nlm.nih.gov/16249609/" TargetMode="External" Id="rId512"/><Relationship Type="http://schemas.openxmlformats.org/officeDocument/2006/relationships/hyperlink" Target="https://doi.org/10.1016/j.jpedsurg.2005.02.009" TargetMode="External" Id="rId513"/><Relationship Type="http://schemas.openxmlformats.org/officeDocument/2006/relationships/hyperlink" Target="https://pubmed.ncbi.nlm.nih.gov/15937839/" TargetMode="External" Id="rId514"/><Relationship Type="http://schemas.openxmlformats.org/officeDocument/2006/relationships/hyperlink" Target="https://doi.org/10.1007/s00383-005-1403-z" TargetMode="External" Id="rId515"/><Relationship Type="http://schemas.openxmlformats.org/officeDocument/2006/relationships/hyperlink" Target="https://pubmed.ncbi.nlm.nih.gov/15803335/" TargetMode="External" Id="rId516"/><Relationship Type="http://schemas.openxmlformats.org/officeDocument/2006/relationships/hyperlink" Target="https://doi.org/10.1016/j.jpedsurg.2004.11.020" TargetMode="External" Id="rId517"/><Relationship Type="http://schemas.openxmlformats.org/officeDocument/2006/relationships/hyperlink" Target="https://pubmed.ncbi.nlm.nih.gov/15793739/" TargetMode="External" Id="rId518"/><Relationship Type="http://schemas.openxmlformats.org/officeDocument/2006/relationships/hyperlink" Target="https://doi.org/10.1007/s10024-004-7082-2" TargetMode="External" Id="rId519"/><Relationship Type="http://schemas.openxmlformats.org/officeDocument/2006/relationships/hyperlink" Target="https://pubmed.ncbi.nlm.nih.gov/15717114/" TargetMode="External" Id="rId520"/><Relationship Type="http://schemas.openxmlformats.org/officeDocument/2006/relationships/hyperlink" Target="https://doi.org/10.1080/00015458.2004.11679614" TargetMode="External" Id="rId521"/><Relationship Type="http://schemas.openxmlformats.org/officeDocument/2006/relationships/hyperlink" Target="https://pubmed.ncbi.nlm.nih.gov/15571023/" TargetMode="External" Id="rId522"/><Relationship Type="http://schemas.openxmlformats.org/officeDocument/2006/relationships/hyperlink" Target="https://pubmed.ncbi.nlm.nih.gov/15321044/" TargetMode="External" Id="rId523"/><Relationship Type="http://schemas.openxmlformats.org/officeDocument/2006/relationships/hyperlink" Target="https://doi.org/10.1016/j.jpedsurg.2004.03.050" TargetMode="External" Id="rId524"/><Relationship Type="http://schemas.openxmlformats.org/officeDocument/2006/relationships/hyperlink" Target="https://pubmed.ncbi.nlm.nih.gov/15213902/" TargetMode="External" Id="rId525"/><Relationship Type="http://schemas.openxmlformats.org/officeDocument/2006/relationships/hyperlink" Target="https://doi.org/10.1007/s00261-004-0174-7" TargetMode="External" Id="rId526"/><Relationship Type="http://schemas.openxmlformats.org/officeDocument/2006/relationships/hyperlink" Target="https://pubmed.ncbi.nlm.nih.gov/15185033/" TargetMode="External" Id="rId527"/><Relationship Type="http://schemas.openxmlformats.org/officeDocument/2006/relationships/hyperlink" Target="https://pubmed.ncbi.nlm.nih.gov/15174805/" TargetMode="External" Id="rId528"/><Relationship Type="http://schemas.openxmlformats.org/officeDocument/2006/relationships/hyperlink" Target="https://doi.org/10.1080/00015458.2004.11679541" TargetMode="External" Id="rId529"/><Relationship Type="http://schemas.openxmlformats.org/officeDocument/2006/relationships/hyperlink" Target="https://pubmed.ncbi.nlm.nih.gov/15154585/" TargetMode="External" Id="rId530"/><Relationship Type="http://schemas.openxmlformats.org/officeDocument/2006/relationships/hyperlink" Target="https://doi.org/10.1007/s00464-003-4254-5" TargetMode="External" Id="rId531"/><Relationship Type="http://schemas.openxmlformats.org/officeDocument/2006/relationships/hyperlink" Target="https://pubmed.ncbi.nlm.nih.gov/15115016/" TargetMode="External" Id="rId532"/><Relationship Type="http://schemas.openxmlformats.org/officeDocument/2006/relationships/hyperlink" Target="https://doi.org/10.1007/s00383-004-1157-z" TargetMode="External" Id="rId533"/><Relationship Type="http://schemas.openxmlformats.org/officeDocument/2006/relationships/hyperlink" Target="https://pubmed.ncbi.nlm.nih.gov/15114488/" TargetMode="External" Id="rId534"/><Relationship Type="http://schemas.openxmlformats.org/officeDocument/2006/relationships/hyperlink" Target="https://doi.org/10.1007/s00261-003-0142-7" TargetMode="External" Id="rId535"/><Relationship Type="http://schemas.openxmlformats.org/officeDocument/2006/relationships/hyperlink" Target="https://pubmed.ncbi.nlm.nih.gov/15024517/" TargetMode="External" Id="rId536"/><Relationship Type="http://schemas.openxmlformats.org/officeDocument/2006/relationships/hyperlink" Target="https://doi.org/10.1016/j.jpedsurg.2003.10.025" TargetMode="External" Id="rId537"/><Relationship Type="http://schemas.openxmlformats.org/officeDocument/2006/relationships/hyperlink" Target="https://pubmed.ncbi.nlm.nih.gov/14966753/" TargetMode="External" Id="rId538"/><Relationship Type="http://schemas.openxmlformats.org/officeDocument/2006/relationships/hyperlink" Target="https://doi.org/10.1007/s00383-003-1110-6" TargetMode="External" Id="rId539"/><Relationship Type="http://schemas.openxmlformats.org/officeDocument/2006/relationships/hyperlink" Target="https://pubmed.ncbi.nlm.nih.gov/14758498/" TargetMode="External" Id="rId540"/><Relationship Type="http://schemas.openxmlformats.org/officeDocument/2006/relationships/hyperlink" Target="https://pubmed.ncbi.nlm.nih.gov/14758389/" TargetMode="External" Id="rId541"/><Relationship Type="http://schemas.openxmlformats.org/officeDocument/2006/relationships/hyperlink" Target="https://doi.org/10.1007/s00464-003-9007-y" TargetMode="External" Id="rId542"/><Relationship Type="http://schemas.openxmlformats.org/officeDocument/2006/relationships/hyperlink" Target="https://pubmed.ncbi.nlm.nih.gov/14752628/" TargetMode="External" Id="rId543"/><Relationship Type="http://schemas.openxmlformats.org/officeDocument/2006/relationships/hyperlink" Target="https://pubmed.ncbi.nlm.nih.gov/19861821/" TargetMode="External" Id="rId544"/><Relationship Type="http://schemas.openxmlformats.org/officeDocument/2006/relationships/hyperlink" Target="https://doi.org/10.1016/j.ejrex.2004.10.002" TargetMode="External" Id="rId545"/><Relationship Type="http://schemas.openxmlformats.org/officeDocument/2006/relationships/hyperlink" Target="https://www.scopus.com/pages/publications/23844556691?origin=resultslist" TargetMode="External" Id="rId546"/><Relationship Type="http://schemas.openxmlformats.org/officeDocument/2006/relationships/hyperlink" Target="https://doi.org/10.1016/s0149-7944(02)00737-7" TargetMode="External" Id="rId547"/><Relationship Type="http://schemas.openxmlformats.org/officeDocument/2006/relationships/hyperlink" Target="https://pubmed.ncbi.nlm.nih.gov/14972263/" TargetMode="External" Id="rId548"/><Relationship Type="http://schemas.openxmlformats.org/officeDocument/2006/relationships/hyperlink" Target="https://doi.org/10.1097/01.pec.0000101582.65509.cc" TargetMode="External" Id="rId549"/><Relationship Type="http://schemas.openxmlformats.org/officeDocument/2006/relationships/hyperlink" Target="https://pubmed.ncbi.nlm.nih.gov/14676491/" TargetMode="External" Id="rId550"/><Relationship Type="http://schemas.openxmlformats.org/officeDocument/2006/relationships/hyperlink" Target="https://doi.org/10.1055/s-2003-43579" TargetMode="External" Id="rId551"/><Relationship Type="http://schemas.openxmlformats.org/officeDocument/2006/relationships/hyperlink" Target="https://pubmed.ncbi.nlm.nih.gov/14618529/" TargetMode="External" Id="rId552"/><Relationship Type="http://schemas.openxmlformats.org/officeDocument/2006/relationships/hyperlink" Target="https://doi.org/10.1016/s0022-3468(03)00582-7" TargetMode="External" Id="rId553"/><Relationship Type="http://schemas.openxmlformats.org/officeDocument/2006/relationships/hyperlink" Target="https://pubmed.ncbi.nlm.nih.gov/14614725/" TargetMode="External" Id="rId554"/><Relationship Type="http://schemas.openxmlformats.org/officeDocument/2006/relationships/hyperlink" Target="https://doi.org/10.1016/s0736-4679(03)00160-4" TargetMode="External" Id="rId555"/><Relationship Type="http://schemas.openxmlformats.org/officeDocument/2006/relationships/hyperlink" Target="https://pubmed.ncbi.nlm.nih.gov/12901997/" TargetMode="External" Id="rId556"/><Relationship Type="http://schemas.openxmlformats.org/officeDocument/2006/relationships/hyperlink" Target="https://doi.org/10.7863/jum.2003.22.5.527" TargetMode="External" Id="rId557"/><Relationship Type="http://schemas.openxmlformats.org/officeDocument/2006/relationships/hyperlink" Target="https://pubmed.ncbi.nlm.nih.gov/12751865/" TargetMode="External" Id="rId558"/><Relationship Type="http://schemas.openxmlformats.org/officeDocument/2006/relationships/hyperlink" Target="https://doi.org/10.1053/jpsu.2003.50136" TargetMode="External" Id="rId559"/><Relationship Type="http://schemas.openxmlformats.org/officeDocument/2006/relationships/hyperlink" Target="https://pubmed.ncbi.nlm.nih.gov/12677580/" TargetMode="External" Id="rId560"/><Relationship Type="http://schemas.openxmlformats.org/officeDocument/2006/relationships/hyperlink" Target="https://doi.org/10.1089/109264103322381618" TargetMode="External" Id="rId561"/><Relationship Type="http://schemas.openxmlformats.org/officeDocument/2006/relationships/hyperlink" Target="https://www.scopus.com/pages/publications/0141567746?origin=resultslist" TargetMode="External" Id="rId562"/><Relationship Type="http://schemas.openxmlformats.org/officeDocument/2006/relationships/hyperlink" Target="https://doi.org/10.1053/jpsu.2002.35443" TargetMode="External" Id="rId563"/><Relationship Type="http://schemas.openxmlformats.org/officeDocument/2006/relationships/hyperlink" Target="https://pubmed.ncbi.nlm.nih.gov/12378476/" TargetMode="External" Id="rId564"/><Relationship Type="http://schemas.openxmlformats.org/officeDocument/2006/relationships/hyperlink" Target="https://doi.org/10.1007/bf02722716" TargetMode="External" Id="rId565"/><Relationship Type="http://schemas.openxmlformats.org/officeDocument/2006/relationships/hyperlink" Target="https://pubmed.ncbi.nlm.nih.gov/12356230/" TargetMode="External" Id="rId566"/><Relationship Type="http://schemas.openxmlformats.org/officeDocument/2006/relationships/hyperlink" Target="https://doi.org/10.1007/s00464-001-0078-3" TargetMode="External" Id="rId567"/><Relationship Type="http://schemas.openxmlformats.org/officeDocument/2006/relationships/hyperlink" Target="https://pubmed.ncbi.nlm.nih.gov/12165835/" TargetMode="External" Id="rId568"/><Relationship Type="http://schemas.openxmlformats.org/officeDocument/2006/relationships/hyperlink" Target="https://pubmed.ncbi.nlm.nih.gov/12018698/" TargetMode="External" Id="rId569"/><Relationship Type="http://schemas.openxmlformats.org/officeDocument/2006/relationships/hyperlink" Target="https://doi.org/10.1016/s0895-6111(01)00037-4" TargetMode="External" Id="rId570"/><Relationship Type="http://schemas.openxmlformats.org/officeDocument/2006/relationships/hyperlink" Target="https://pubmed.ncbi.nlm.nih.gov/11918980/" TargetMode="External" Id="rId571"/><Relationship Type="http://schemas.openxmlformats.org/officeDocument/2006/relationships/hyperlink" Target="https://doi.org/10.1016/s0001-706x(02)00025-6" TargetMode="External" Id="rId572"/><Relationship Type="http://schemas.openxmlformats.org/officeDocument/2006/relationships/hyperlink" Target="https://pubmed.ncbi.nlm.nih.gov/11904097/" TargetMode="External" Id="rId573"/><Relationship Type="http://schemas.openxmlformats.org/officeDocument/2006/relationships/hyperlink" Target="https://pubmed.ncbi.nlm.nih.gov/11592523/" TargetMode="External" Id="rId574"/><Relationship Type="http://schemas.openxmlformats.org/officeDocument/2006/relationships/hyperlink" Target="https://doi.org/10.1007/s002610000171" TargetMode="External" Id="rId575"/><Relationship Type="http://schemas.openxmlformats.org/officeDocument/2006/relationships/hyperlink" Target="https://pubmed.ncbi.nlm.nih.gov/11429960/" TargetMode="External" Id="rId576"/><Relationship Type="http://schemas.openxmlformats.org/officeDocument/2006/relationships/hyperlink" Target="https://doi.org/10.1007/s002470000413" TargetMode="External" Id="rId577"/><Relationship Type="http://schemas.openxmlformats.org/officeDocument/2006/relationships/hyperlink" Target="https://pubmed.ncbi.nlm.nih.gov/11321748/" TargetMode="External" Id="rId578"/><Relationship Type="http://schemas.openxmlformats.org/officeDocument/2006/relationships/hyperlink" Target="https://doi.org/10.1007/s005950170209" TargetMode="External" Id="rId579"/><Relationship Type="http://schemas.openxmlformats.org/officeDocument/2006/relationships/hyperlink" Target="https://pubmed.ncbi.nlm.nih.gov/11291719/" TargetMode="External" Id="rId580"/><Relationship Type="http://schemas.openxmlformats.org/officeDocument/2006/relationships/hyperlink" Target="https://doi.org/10.1097/00003072-200102000-00012" TargetMode="External" Id="rId581"/><Relationship Type="http://schemas.openxmlformats.org/officeDocument/2006/relationships/hyperlink" Target="https://www.scopus.com/pages/publications/0035135684?origin=resultslist" TargetMode="External" Id="rId582"/><Relationship Type="http://schemas.openxmlformats.org/officeDocument/2006/relationships/hyperlink" Target="https://pubmed.ncbi.nlm.nih.gov/11589600/" TargetMode="External" Id="rId583"/><Relationship Type="http://schemas.openxmlformats.org/officeDocument/2006/relationships/hyperlink" Target="https://doi.org/10.1007/s003830000353" TargetMode="External" Id="rId584"/><Relationship Type="http://schemas.openxmlformats.org/officeDocument/2006/relationships/hyperlink" Target="https://pubmed.ncbi.nlm.nih.gov/11149406/" TargetMode="External" Id="rId585"/><Relationship Type="http://schemas.openxmlformats.org/officeDocument/2006/relationships/hyperlink" Target="https://doi.org/10.1053/jpsu.2000.16427" TargetMode="External" Id="rId586"/><Relationship Type="http://schemas.openxmlformats.org/officeDocument/2006/relationships/hyperlink" Target="https://pubmed.ncbi.nlm.nih.gov/11051164/" TargetMode="External" Id="rId587"/><Relationship Type="http://schemas.openxmlformats.org/officeDocument/2006/relationships/hyperlink" Target="https://doi.org/10.1002/(sici)1097-0096(200006)28:5&lt;246::aid-jcu6&gt;3.0.co;2-#" TargetMode="External" Id="rId588"/><Relationship Type="http://schemas.openxmlformats.org/officeDocument/2006/relationships/hyperlink" Target="https://pubmed.ncbi.nlm.nih.gov/10800003/" TargetMode="External" Id="rId589"/><Relationship Type="http://schemas.openxmlformats.org/officeDocument/2006/relationships/hyperlink" Target="https://doi.org/10.1053/jpsu.2000.0350641" TargetMode="External" Id="rId590"/><Relationship Type="http://schemas.openxmlformats.org/officeDocument/2006/relationships/hyperlink" Target="https://pubmed.ncbi.nlm.nih.gov/10770406/" TargetMode="External" Id="rId591"/><Relationship Type="http://schemas.openxmlformats.org/officeDocument/2006/relationships/hyperlink" Target="https://doi.org/10.12373/jcyxlt.2026.01.23766" TargetMode="External" Id="rId592"/><Relationship Type="http://schemas.openxmlformats.org/officeDocument/2006/relationships/hyperlink" Target="https://d.wanfangdata.com.cn/periodical/CiBQZXJpb2RpY2FsQ0hJU29scjkyMDI2MDkxNTE0MjIxORIQcWszXzAwMDAzNTYzMDk1NRoIaWIxYjJ1aHo%3D" TargetMode="External" Id="rId593"/><Relationship Type="http://schemas.openxmlformats.org/officeDocument/2006/relationships/hyperlink" Target="https://doi.org/10.3760/cma.j.cn112137-20250227-00466" TargetMode="External" Id="rId594"/><Relationship Type="http://schemas.openxmlformats.org/officeDocument/2006/relationships/hyperlink" Target="https://pubmed.ncbi.nlm.nih.gov/40764094/" TargetMode="External" Id="rId595"/><Relationship Type="http://schemas.openxmlformats.org/officeDocument/2006/relationships/hyperlink" Target="https://kns.cnki.net/kcms2/article/abstract?v=DgjXjbKQq8fluUpbXZuwQA8Z9YEY0y5eowbwzf4Sxzw3mMskfiXBMcpCC4zt54xRcB7zt34WHyBnXDI81LiOMTDqlZkpnkZVpndaVVQ7gPaX7gWXR9a8iwKaA3ed0LMGpNj4eEcN5BAN1DhEOT1yJZWKaDpGBHBpbIL1joIYaXeB-EwO-WDl7g==&amp;uniplatform=NZKPT&amp;language=CHS" TargetMode="External" Id="rId596"/><Relationship Type="http://schemas.openxmlformats.org/officeDocument/2006/relationships/hyperlink" Target="https://d.wanfangdata.com.cn/periodical/CiBQZXJpb2RpY2FsQ0hJU29scjkyMDI2MDkxNTE0MjIxORINemh5eDIwMjUyOTAwORoIaWIxYjJ1aHo%3D" TargetMode="External" Id="rId597"/><Relationship Type="http://schemas.openxmlformats.org/officeDocument/2006/relationships/hyperlink" Target="https://doi.org/10.13499/j.cnki.fqjwkzz.2025.09.719" TargetMode="External" Id="rId598"/><Relationship Type="http://schemas.openxmlformats.org/officeDocument/2006/relationships/hyperlink" Target="https://link.cnki.net/doi/10.13499/j.cnki.fqjwkzz.2025.09.719" TargetMode="External" Id="rId599"/><Relationship Type="http://schemas.openxmlformats.org/officeDocument/2006/relationships/hyperlink" Target="https://d.wanfangdata.com.cn/periodical/CiBQZXJpb2RpY2FsQ0hJU29scjkyMDI2MDkxNTE0MjIxORIQZnFqd2t6ejIwMjUwOTAxNhoIaWIxYjJ1aHo%3D" TargetMode="External" Id="rId600"/><Relationship Type="http://schemas.openxmlformats.org/officeDocument/2006/relationships/hyperlink" Target="https://doi.org/10.19542/j.cnki.1006-5180.2311-140" TargetMode="External" Id="rId601"/><Relationship Type="http://schemas.openxmlformats.org/officeDocument/2006/relationships/hyperlink" Target="https://link.cnki.net/doi/10.19542/j.cnki.1006-5180.2311-140" TargetMode="External" Id="rId602"/><Relationship Type="http://schemas.openxmlformats.org/officeDocument/2006/relationships/hyperlink" Target="https://d.wanfangdata.com.cn/periodical/CiBQZXJpb2RpY2FsQ0hJU29scjkyMDI2MDkxNTE0MjIxORIPemd4Y3l5MjAyNDIyMDI1GghpYjFiMnVoeg%3D%3D" TargetMode="External" Id="rId603"/><Relationship Type="http://schemas.openxmlformats.org/officeDocument/2006/relationships/hyperlink" Target="https://doi.org/10.3969/j.issn.2095-5340.2024.05.008" TargetMode="External" Id="rId604"/><Relationship Type="http://schemas.openxmlformats.org/officeDocument/2006/relationships/hyperlink" Target="https://kns.cnki.net/kcms2/article/abstract?v=DgjXjbKQq8egD00ofAu1SfTos0AFuzNO_SJf2X82p2oud8El5YHJhUDZWQJIVZovXh8GFn5i67WUVT2FI_xQUWhzAy0lyt92qkQfvWOm_dIFi3d7i3PkGC7Yfn_KX2EYz6LsWk9XtThRkeMkhqVEagySO6L9_R079VoNSf1cqCSWu88tiTJJww39LwbkXJFI&amp;uniplatform=NZKPT&amp;language=CHS" TargetMode="External" Id="rId605"/><Relationship Type="http://schemas.openxmlformats.org/officeDocument/2006/relationships/hyperlink" Target="https://d.wanfangdata.com.cn/periodical/CiBQZXJpb2RpY2FsQ0hJU29scjkyMDI2MDkxNTE0MjIxORIRZnl5eGR6enoyMDI0MDUwMDgaCGliMWIydWh6" TargetMode="External" Id="rId606"/><Relationship Type="http://schemas.openxmlformats.org/officeDocument/2006/relationships/hyperlink" Target="https://doi.org/10.11952/j.issn.1007-1954.2024.06.011" TargetMode="External" Id="rId607"/><Relationship Type="http://schemas.openxmlformats.org/officeDocument/2006/relationships/hyperlink" Target="https://kns.cnki.net/kcms2/article/abstract?v=DgjXjbKQq8cW3RHDxJhqsobfnUPvc_Z2ce7ViGsTXN8hyvdLjp-yPQDRY6rOOHgUSgDGo3eAeTMQDvZzNN_AGBQ4sJ_3LugOzNB5xwYZTQeXN5Fl4dPy8Z1UzsZ0A6rBPkp8_NcOYX97Bv4RMLZ2Q5cm_YMezW7Fpt3VIoBoN-OmAh4ANRHR1f6BuSxNWQMQ&amp;uniplatform=NZKPT&amp;language=CHS" TargetMode="External" Id="rId608"/><Relationship Type="http://schemas.openxmlformats.org/officeDocument/2006/relationships/hyperlink" Target="https://d.wanfangdata.com.cn/periodical/CiBQZXJpb2RpY2FsQ0hJU29scjkyMDI2MDkxNTE0MjIxORIQZ2R5d2t6ejIwMjQwNjAxNhoIaWIxYjJ1aHo%3D" TargetMode="External" Id="rId609"/><Relationship Type="http://schemas.openxmlformats.org/officeDocument/2006/relationships/hyperlink" Target="https://doi.org/10.3760/cma.j.cn101785&#8212;202205024&#8212;016" TargetMode="External" Id="rId610"/><Relationship Type="http://schemas.openxmlformats.org/officeDocument/2006/relationships/hyperlink" Target="https://kns.cnki.net/kcms2/article/abstract?v=DgjXjbKQq8fwz6Wh0AtLIkIPzzvJceSrhQPtp_NqH_MAbwfkPjVhm4v9e7ZPDTuNSK3iyE0U9V_9ah-Mph_j-MIvJSYppwYcTt4FnF8tMYKqT-HXUbf-q03z7PqtKnk-tTTmc7BdmDX8607yM0DS0MxN1xCg0GDMYG94C9pMgxJJCW6SM6c4-A==&amp;uniplatform=NZKPT&amp;language=CHS" TargetMode="External" Id="rId611"/><Relationship Type="http://schemas.openxmlformats.org/officeDocument/2006/relationships/hyperlink" Target="https://d.wanfangdata.com.cn/periodical/CiBQZXJpb2RpY2FsQ0hJU29scjkyMDI2MDkxNTE0MjIxORIRbGN4ZXdrenoyMDIzMDIwMTYaCGliMWIydWh6" TargetMode="External" Id="rId612"/><Relationship Type="http://schemas.openxmlformats.org/officeDocument/2006/relationships/hyperlink" Target="https://doi.org/10.13929/j.issn.1003-3289.2023.11.028" TargetMode="External" Id="rId613"/><Relationship Type="http://schemas.openxmlformats.org/officeDocument/2006/relationships/hyperlink" Target="https://link.cnki.net/doi/10.13929/j.issn.1003-3289.2023.11.028" TargetMode="External" Id="rId614"/><Relationship Type="http://schemas.openxmlformats.org/officeDocument/2006/relationships/hyperlink" Target="https://d.wanfangdata.com.cn/periodical/CiBQZXJpb2RpY2FsQ0hJU29scjkyMDI2MDkxNTE0MjIxORIRemd5eHl4anMyMDIzMTEwMzAaCGliMWIydWh6" TargetMode="External" Id="rId615"/><Relationship Type="http://schemas.openxmlformats.org/officeDocument/2006/relationships/hyperlink" Target="https://doi.org/10.15953/j.ctta.2023.018" TargetMode="External" Id="rId616"/><Relationship Type="http://schemas.openxmlformats.org/officeDocument/2006/relationships/hyperlink" Target="https://link.cnki.net/doi/10.15953/j.ctta.2023.018" TargetMode="External" Id="rId617"/><Relationship Type="http://schemas.openxmlformats.org/officeDocument/2006/relationships/hyperlink" Target="https://d.wanfangdata.com.cn/periodical/CiBQZXJpb2RpY2FsQ0hJU29scjkyMDI2MDkxNTE0MjIxORINY3R0YTIwMjMwNjAxMhoIaWIxYjJ1aHo%3D" TargetMode="External" Id="rId618"/><Relationship Type="http://schemas.openxmlformats.org/officeDocument/2006/relationships/hyperlink" Target="https://doi.org/10.13499/j.cnki.fqjwkzz.2023.10.799" TargetMode="External" Id="rId619"/><Relationship Type="http://schemas.openxmlformats.org/officeDocument/2006/relationships/hyperlink" Target="https://link.cnki.net/doi/10.13499/j.cnki.fqjwkzz.2023.10.799" TargetMode="External" Id="rId620"/><Relationship Type="http://schemas.openxmlformats.org/officeDocument/2006/relationships/hyperlink" Target="https://d.wanfangdata.com.cn/periodical/CiBQZXJpb2RpY2FsQ0hJU29scjkyMDI2MDkxNTE0MjIxORIQZnFqd2t6ejIwMjMxMDAxOBoIaWIxYjJ1aHo%3D" TargetMode="External" Id="rId621"/><Relationship Type="http://schemas.openxmlformats.org/officeDocument/2006/relationships/hyperlink" Target="https://doi.org/10.3760/cma.j.cn113855-20230217-00066" TargetMode="External" Id="rId622"/><Relationship Type="http://schemas.openxmlformats.org/officeDocument/2006/relationships/hyperlink" Target="https://kns.cnki.net/kcms2/article/abstract?v=DgjXjbKQq8cbeHWwRM8eAYHcJ1i0T9IxzqCo9Ghy1OYKhWLqiXyaAtRozRriHOy1DpJMH9T0DAS6YbtlAz-SJsDDt86Yu0HjaQTMpctUEABR-tQ-j-OeETtnGuRnrA4t8UoIttxDaSScTCl80VLRxm61wGsplENO8PiQfEloUc03Is1h2AF-Ng==&amp;uniplatform=NZKPT&amp;language=CHS" TargetMode="External" Id="rId623"/><Relationship Type="http://schemas.openxmlformats.org/officeDocument/2006/relationships/hyperlink" Target="https://d.wanfangdata.com.cn/periodical/CiBQZXJpb2RpY2FsQ0hJU29scjkyMDI2MDkxNTE0MjIxORIPemhwdHdrMjAyMzA5MDExGghpYjFiMnVoeg%3D%3D" TargetMode="External" Id="rId624"/><Relationship Type="http://schemas.openxmlformats.org/officeDocument/2006/relationships/hyperlink" Target="https://doi.org/10.3969/j.issn.1009-9905.2023.09.019" TargetMode="External" Id="rId625"/><Relationship Type="http://schemas.openxmlformats.org/officeDocument/2006/relationships/hyperlink" Target="https://kns.cnki.net/kcms2/article/abstract?v=DgjXjbKQq8f4c642P0-TpM83jbvly-vhHKMHdlU4sjIXgBImqDyGbp9sOWhFvgIeMzvMDIcpBxNRZ8pNXMb783NAVrE1l3QWJQHUgr-3kDkywi79b9H9RNQ_Vdioh9eObNzbIG8Lmc8UeAQkN4s_0gGMI_ua5sZ5dkArHkliNVUZV-OQlj8IDALdsKsm0jsY&amp;uniplatform=NZKPT&amp;language=CHS" TargetMode="External" Id="rId626"/><Relationship Type="http://schemas.openxmlformats.org/officeDocument/2006/relationships/hyperlink" Target="https://d.wanfangdata.com.cn/periodical/CiBQZXJpb2RpY2FsQ0hJU29scjkyMDI2MDkxNTE0MjIxORITemd4ZHB0d2tqejIwMjMwOTAxORoIaWIxYjJ1aHo%3D" TargetMode="External" Id="rId627"/><Relationship Type="http://schemas.openxmlformats.org/officeDocument/2006/relationships/hyperlink" Target="https://doi.org/10.12677/acm.2023.132320" TargetMode="External" Id="rId628"/><Relationship Type="http://schemas.openxmlformats.org/officeDocument/2006/relationships/hyperlink" Target="https://d.wanfangdata.com.cn/periodical/CiBQZXJpb2RpY2FsQ0hJU29scjkyMDI2MDkxNTE0MjIxORIQcWszXzAwMDAzMDk0MDk3ORoIaWIxYjJ1aHo%3D" TargetMode="External" Id="rId629"/><Relationship Type="http://schemas.openxmlformats.org/officeDocument/2006/relationships/hyperlink" Target="https://doi.org/10.3969/j.issn.1004-3594.2022.12.016" TargetMode="External" Id="rId630"/><Relationship Type="http://schemas.openxmlformats.org/officeDocument/2006/relationships/hyperlink" Target="https://link.cnki.net/doi/10.14010/j.cnki.wjyx.2022.12.005" TargetMode="External" Id="rId631"/><Relationship Type="http://schemas.openxmlformats.org/officeDocument/2006/relationships/hyperlink" Target="https://d.wanfangdata.com.cn/periodical/CiBQZXJpb2RpY2FsQ0hJU29scjkyMDI2MDkxNTE0MjIxORINd2p5eDIwMjIxMjAxNhoIaWIxYjJ1aHo%3D" TargetMode="External" Id="rId632"/><Relationship Type="http://schemas.openxmlformats.org/officeDocument/2006/relationships/hyperlink" Target="https://doi.org/10.3760/cma.j.cn115455-20200318-00314" TargetMode="External" Id="rId633"/><Relationship Type="http://schemas.openxmlformats.org/officeDocument/2006/relationships/hyperlink" Target="https://kns.cnki.net/kcms2/article/abstract?v=DgjXjbKQq8eEKRi-3HqNF_NClrXvV-FT5eQn21OGkjzOSFapOWnJLbgigqVpUofMIijIL8OwFe7Sku1sScZ_YhxmljCwbjqb095J5RBSu8sdEM2MpNiHK2f0ZC9JggyEi0mo0v7vx90tpKQ3VkeQEXRZ_cN9l2_QTOjqYFZIDZ4QEkrs__ahuA==&amp;uniplatform=NZKPT&amp;language=CHS" TargetMode="External" Id="rId634"/><Relationship Type="http://schemas.openxmlformats.org/officeDocument/2006/relationships/hyperlink" Target="https://d.wanfangdata.com.cn/periodical/CiBQZXJpb2RpY2FsQ0hJU29scjkyMDI2MDkxNTE0MjIxORIPeXNqeHp6MjAyMTA2MDE5GghpYjFiMnVoeg%3D%3D" TargetMode="External" Id="rId635"/><Relationship Type="http://schemas.openxmlformats.org/officeDocument/2006/relationships/hyperlink" Target="https://doi.org/10.3969/j.issn.1008-6978.2021.03.028" TargetMode="External" Id="rId636"/><Relationship Type="http://schemas.openxmlformats.org/officeDocument/2006/relationships/hyperlink" Target="https://link.cnki.net/doi/10.16245/j.cnki.issn1008-6978.2021.03.030" TargetMode="External" Id="rId637"/><Relationship Type="http://schemas.openxmlformats.org/officeDocument/2006/relationships/hyperlink" Target="https://d.wanfangdata.com.cn/periodical/CiBQZXJpb2RpY2FsQ0hJU29scjkyMDI2MDkxNTE0MjIxORIRbGNjc3l4enoyMDIxMDMwMjgaCGliMWIydWh6" TargetMode="External" Id="rId638"/><Relationship Type="http://schemas.openxmlformats.org/officeDocument/2006/relationships/hyperlink" Target="https://doi.org/10.11952/j.issn.1007-1954.2021.01.011" TargetMode="External" Id="rId639"/><Relationship Type="http://schemas.openxmlformats.org/officeDocument/2006/relationships/hyperlink" Target="https://kns.cnki.net/kcms2/article/abstract?v=DgjXjbKQq8fnbSMPLOOx7-6S5wCXyjRcVsAhnnv78Nlma5nNB93P56bxB56jolT02Y_pUZEqgtBAlxRTZzbPufAsRXeWG8rjn07aBvqlGlei2Xa3_ls-NUn-DENxxz_JksKuToh8c-d_5obno-2MK5C_u1g_TlhFPziRQG1MyNC59PCNZkHbbPE1WkzMaRFV&amp;uniplatform=NZKPT&amp;language=CHS" TargetMode="External" Id="rId640"/><Relationship Type="http://schemas.openxmlformats.org/officeDocument/2006/relationships/hyperlink" Target="https://d.wanfangdata.com.cn/periodical/CiBQZXJpb2RpY2FsQ0hJU29scjkyMDI2MDkxNTE0MjIxORIQZ2R5d2t6ejIwMjEwMTAxMhoIaWIxYjJ1aHo%3D" TargetMode="External" Id="rId641"/><Relationship Type="http://schemas.openxmlformats.org/officeDocument/2006/relationships/hyperlink" Target="https://d.wanfangdata.com.cn/periodical/CiBQZXJpb2RpY2FsQ0hJU29scjkyMDI2MDkxNTE0MjIxORISemdianl5LWtwMjAyMTI0MDcxGghpYjFiMnVoeg%3D%3D" TargetMode="External" Id="rId642"/><Relationship Type="http://schemas.openxmlformats.org/officeDocument/2006/relationships/hyperlink" Target="https://doi.org/10.3969/j.issn.1671-6353.2020.03.017" TargetMode="External" Id="rId643"/><Relationship Type="http://schemas.openxmlformats.org/officeDocument/2006/relationships/hyperlink" Target="https://kns.cnki.net/kcms2/article/abstract?v=DgjXjbKQq8eeTo3N459bsw-CHCTSkjrm0WMfW-LAupUwXLAAErP-ftHzesdQCI3xed0foZVkVV5TL_mUTfvc-rAu4tNo28ipM1ZGONwXOPM6qY044SfD3yNs1Hb1XL2D5jLJtzV-9T7RLGI1EkWPWX34flbtGarmq6fb4z7rp0UVD7s7VBrkHzr8epEw8Zsd&amp;uniplatform=NZKPT&amp;language=CHS" TargetMode="External" Id="rId644"/><Relationship Type="http://schemas.openxmlformats.org/officeDocument/2006/relationships/hyperlink" Target="https://d.wanfangdata.com.cn/periodical/CiBQZXJpb2RpY2FsQ0hJU29scjkyMDI2MDkxNTE0MjIxORIRbGN4ZXdrenoyMDIwMDMwMDIaCGliMWIydWh6" TargetMode="External" Id="rId645"/><Relationship Type="http://schemas.openxmlformats.org/officeDocument/2006/relationships/hyperlink" Target="https://doi.org/10.13499/j.cnki.fqjwkzz.2020.03.239" TargetMode="External" Id="rId646"/><Relationship Type="http://schemas.openxmlformats.org/officeDocument/2006/relationships/hyperlink" Target="https://link.cnki.net/doi/10.13499/j.cnki.fqjwkzz.2020.03.239" TargetMode="External" Id="rId647"/><Relationship Type="http://schemas.openxmlformats.org/officeDocument/2006/relationships/hyperlink" Target="https://d.wanfangdata.com.cn/periodical/CiBQZXJpb2RpY2FsQ0hJU29scjkyMDI2MDkxNTE0MjIxORIQZnFqd2t6ejIwMjAwMzAyMBoIaWIxYjJ1aHo%3D" TargetMode="External" Id="rId648"/><Relationship Type="http://schemas.openxmlformats.org/officeDocument/2006/relationships/hyperlink" Target="https://doi.org/10.19613/j.cnki.1671-3141.2019.92.217" TargetMode="External" Id="rId649"/><Relationship Type="http://schemas.openxmlformats.org/officeDocument/2006/relationships/hyperlink" Target="https://link.cnki.net/doi/10.19613/j.cnki.1671-3141.2019.92.217" TargetMode="External" Id="rId650"/><Relationship Type="http://schemas.openxmlformats.org/officeDocument/2006/relationships/hyperlink" Target="https://d.wanfangdata.com.cn/periodical/CiBQZXJpb2RpY2FsQ0hJU29scjkyMDI2MDkxNTE0MjIxORIRc2p6eHl5LWUyMDE5OTIyMTcaCGliMWIydWh6" TargetMode="External" Id="rId651"/><Relationship Type="http://schemas.openxmlformats.org/officeDocument/2006/relationships/hyperlink" Target="https://doi.org/10.19538/j.cjps.issn1005-2208.2019.09.28" TargetMode="External" Id="rId652"/><Relationship Type="http://schemas.openxmlformats.org/officeDocument/2006/relationships/hyperlink" Target="https://link.cnki.net/doi/10.19538/j.cjps.issn1005-2208.2019.09.28" TargetMode="External" Id="rId653"/><Relationship Type="http://schemas.openxmlformats.org/officeDocument/2006/relationships/hyperlink" Target="https://d.wanfangdata.com.cn/periodical/CiBQZXJpb2RpY2FsQ0hJU29scjkyMDI2MDkxNTE0MjIxORIRemdzeXdrenoyMDE5MDkwMjgaCGliMWIydWh6" TargetMode="External" Id="rId654"/><Relationship Type="http://schemas.openxmlformats.org/officeDocument/2006/relationships/hyperlink" Target="https://doi.org/10.3760/cma.j.issn.1004&#8208;4477.2019.08.018" TargetMode="External" Id="rId655"/><Relationship Type="http://schemas.openxmlformats.org/officeDocument/2006/relationships/hyperlink" Target="https://kns.cnki.net/kcms2/article/abstract?v=DgjXjbKQq8eyKp2ulI4ByxgGdFtcde_hBzdIJcanFjx2UIsIwu5ORInwsJxjjNs9CpY8cpTfIddkrdx8JxbnwlR9pjcu_vBU6W6WVY4lH_CqAKeaXTpo3jDA9LuduSc09Ny_la1J3vc4RrlmjiswN4KA5eqGYZxESFCdMzM6OOOaN0HNF_a00w==&amp;uniplatform=NZKPT&amp;language=CHS" TargetMode="External" Id="rId656"/><Relationship Type="http://schemas.openxmlformats.org/officeDocument/2006/relationships/hyperlink" Target="https://d.wanfangdata.com.cn/periodical/CiBQZXJpb2RpY2FsQ0hJU29scjkyMDI2MDkxNTE0MjIxORIPemhjc3l4MjAxOTA4MDE5GghpYjFiMnVoeg%3D%3D" TargetMode="External" Id="rId657"/><Relationship Type="http://schemas.openxmlformats.org/officeDocument/2006/relationships/hyperlink" Target="https://doi.org/10.13929/j.1003-3289.201803054" TargetMode="External" Id="rId658"/><Relationship Type="http://schemas.openxmlformats.org/officeDocument/2006/relationships/hyperlink" Target="https://link.cnki.net/doi/10.13929/j.1003-3289.201803054" TargetMode="External" Id="rId659"/><Relationship Type="http://schemas.openxmlformats.org/officeDocument/2006/relationships/hyperlink" Target="https://d.wanfangdata.com.cn/periodical/CiBQZXJpb2RpY2FsQ0hJU29scjkyMDI2MDkxNTE0MjIxORIRemd5eHl4anMyMDE4MTIwMjkaCGliMWIydWh6" TargetMode="External" Id="rId660"/><Relationship Type="http://schemas.openxmlformats.org/officeDocument/2006/relationships/hyperlink" Target="https://doi.org/10.3760/cma.j.issn.1007-631x.2018.11.026" TargetMode="External" Id="rId661"/><Relationship Type="http://schemas.openxmlformats.org/officeDocument/2006/relationships/hyperlink" Target="https://kns.cnki.net/kcms2/article/abstract?v=DgjXjbKQq8fokngLVLBL-bASEB5JIAlm65EAx-oGEtMnp1YR1pXHWYUL8Ey8Z7KCg5ThjrkhfBd1QseGYPungTuW6JKsTLYOAbVqw0j7N8IUQ8PfZy5NpKT5bonLWifSeNyyz9q3KNWVH8OUfBViwjFzBNCZk4E6aCuLaIKOfiF8QJFpn-jHWQ==&amp;uniplatform=NZKPT&amp;language=CHS" TargetMode="External" Id="rId662"/><Relationship Type="http://schemas.openxmlformats.org/officeDocument/2006/relationships/hyperlink" Target="https://d.wanfangdata.com.cn/periodical/CiBQZXJpb2RpY2FsQ0hJU29scjkyMDI2MDkxNTE0MjIxORIPemhwdHdrMjAxODExMDI2GghpYjFiMnVoeg%3D%3D" TargetMode="External" Id="rId663"/><Relationship Type="http://schemas.openxmlformats.org/officeDocument/2006/relationships/hyperlink" Target="https://doi.org/10.3760/cma.j.issn.1673-4904.2018.10.017" TargetMode="External" Id="rId664"/><Relationship Type="http://schemas.openxmlformats.org/officeDocument/2006/relationships/hyperlink" Target="https://kns.cnki.net/kcms2/article/abstract?v=DgjXjbKQq8dFgza3F3Mpk-XgjrdkARrkCcWyazYCCu84yfZENX35Lig45fLipnSh8OTA2EX9e95Qou-e0dbLYOHSd-wMSPk7qvAYUCQAAyJVUzNng3VAKovC_bot1dzkeSNgW0Lj-1kWrIVqaiBYCmgkJW6ilDOiYUKWgqurK1d-TPP4WX0cCg==&amp;uniplatform=NZKPT&amp;language=CHS" TargetMode="External" Id="rId665"/><Relationship Type="http://schemas.openxmlformats.org/officeDocument/2006/relationships/hyperlink" Target="https://d.wanfangdata.com.cn/periodical/CiBQZXJpb2RpY2FsQ0hJU29scjkyMDI2MDkxNTE0MjIxORIPeXNqeHp6MjAxODEwMDE3GghpYjFiMnVoeg%3D%3D" TargetMode="External" Id="rId666"/><Relationship Type="http://schemas.openxmlformats.org/officeDocument/2006/relationships/hyperlink" Target="https://doi.org/10.3969/j.issn.1003-5591.2018.04.018" TargetMode="External" Id="rId667"/><Relationship Type="http://schemas.openxmlformats.org/officeDocument/2006/relationships/hyperlink" Target="https://kns.cnki.net/kcms2/article/abstract?v=DgjXjbKQq8fmZorpZp_uHmEG2U38V2oM5nmENE3l3v6g_rOvjo28qAshKVvD8SW9pPloCbf8cFhlhaxnqOtu4L2YpLpmIYbD-pdbekZncIkh28jCnjtwcT5ZkEYgDI1_F2Rqf9CC2GVs2BoWMI_9-YzOm7V8MXANyRx79nfqX4-27EOZ4WOCrf1oTq_zMcIX&amp;uniplatform=NZKPT&amp;language=CHS" TargetMode="External" Id="rId668"/><Relationship Type="http://schemas.openxmlformats.org/officeDocument/2006/relationships/hyperlink" Target="https://d.wanfangdata.com.cn/periodical/CiBQZXJpb2RpY2FsQ0hJU29scjkyMDI2MDkxNTE0MjIxORINZmJ3azIwMTgwNDAxOBoIaWIxYjJ1aHo%3D" TargetMode="External" Id="rId669"/><Relationship Type="http://schemas.openxmlformats.org/officeDocument/2006/relationships/hyperlink" Target="https://doi.org/10.19435/j.1672-1721.2018.13.080" TargetMode="External" Id="rId670"/><Relationship Type="http://schemas.openxmlformats.org/officeDocument/2006/relationships/hyperlink" Target="https://link.cnki.net/doi/10.19435/j.1672-1721.2018.13.080" TargetMode="External" Id="rId671"/><Relationship Type="http://schemas.openxmlformats.org/officeDocument/2006/relationships/hyperlink" Target="https://d.wanfangdata.com.cn/periodical/CiBQZXJpb2RpY2FsQ0hJU29scjkyMDI2MDkxNTE0MjIxORIPamN5eGx0MjAxODEzMDgwGghpYjFiMnVoeg%3D%3D" TargetMode="External" Id="rId672"/><Relationship Type="http://schemas.openxmlformats.org/officeDocument/2006/relationships/hyperlink" Target="https://doi.org/10.3969/j.issn.1671-3141.2016.89.260" TargetMode="External" Id="rId673"/><Relationship Type="http://schemas.openxmlformats.org/officeDocument/2006/relationships/hyperlink" Target="https://kns.cnki.net/kcms2/article/abstract?v=DgjXjbKQq8dG_taSPaMG4RipwKrmUFpr3ff0SyCOwD1-xnBfN2rlsYL2AxHIM_abRKdqyOcuCjHXrqdclUlsoNyQ6wffLsC9TtpmR92AlK6NXO370TSvceXgfIpu2I__v_hw-j64RKUcP9-YSTh2PXunGsn83zUv1qzNTxRojrPbhTTDrl0Tf9-939xO9wIJ&amp;uniplatform=NZKPT&amp;language=CHS" TargetMode="External" Id="rId674"/><Relationship Type="http://schemas.openxmlformats.org/officeDocument/2006/relationships/hyperlink" Target="https://d.wanfangdata.com.cn/periodical/CiBQZXJpb2RpY2FsQ0hJU29scjkyMDI2MDkxNTE0MjIxORIRc2p6eHl5LWUyMDE2ODkyNjAaCGliMWIydWh6" TargetMode="External" Id="rId675"/><Relationship Type="http://schemas.openxmlformats.org/officeDocument/2006/relationships/hyperlink" Target="https://doi.org/10.16260/j.cnki.1009-2188.2015.04.002" TargetMode="External" Id="rId676"/><Relationship Type="http://schemas.openxmlformats.org/officeDocument/2006/relationships/hyperlink" Target="https://link.cnki.net/doi/10.16260/j.cnki.1009-2188.2015.04.002" TargetMode="External" Id="rId677"/><Relationship Type="http://schemas.openxmlformats.org/officeDocument/2006/relationships/hyperlink" Target="https://d.wanfangdata.com.cn/periodical/CiBQZXJpb2RpY2FsQ0hJU29scjkyMDI2MDkxNTE0MjIxORISemd4ZHNzeHp6MjAxNTA0MDAyGghpYjFiMnVoeg%3D%3D" TargetMode="External" Id="rId678"/><Relationship Type="http://schemas.openxmlformats.org/officeDocument/2006/relationships/hyperlink" Target="https://doi.org/10.3969/j.issn.1002-0101.2014.09.035" TargetMode="External" Id="rId679"/><Relationship Type="http://schemas.openxmlformats.org/officeDocument/2006/relationships/hyperlink" Target="https://kns.cnki.net/kcms2/article/abstract?v=DgjXjbKQq8d6VAqAbUw6Qt0j5oqEtetOyzbqDH7mq5UR7XVXOFDfKM6wilOdGn_7a-P2sVTnsyqwX2QRxB8H7myUbjgLX3ljbM0VyeLBFor2UVIHrOO1WPGqojSeBMjpgQhRbi6nM4TFZtaDKMq9uG9ovyX5lSEvUabMolbLwhbUW47nIp6ga1RIqZGirrsj&amp;uniplatform=NZKPT&amp;language=CHS" TargetMode="External" Id="rId680"/><Relationship Type="http://schemas.openxmlformats.org/officeDocument/2006/relationships/hyperlink" Target="https://d.wanfangdata.com.cn/periodical/CiBQZXJpb2RpY2FsQ0hJU29scjkyMDI2MDkxNTE0MjIxORIRemdjc3l4enoyMDE0MDkwMzUaCGliMWIydWh6" TargetMode="External" Id="rId681"/><Relationship Type="http://schemas.openxmlformats.org/officeDocument/2006/relationships/hyperlink" Target="https://kns.cnki.net/kcms2/article/abstract?v=DgjXjbKQq8e6ofLdlNcE7lq2v8Zq9aiBD2W9YgXvJAvH9-rCH3QkFr1d9zTvaRH2hkK4rU57mZN_Z1ItloOgEueiTKJJ9SNLrN8eQbY8aYs8HGcR-2JDQgGmerdgrE704j-6AZIyC2B9OBPGMCqeUo22TLK0rGpJcRJsLVkQGfwPMBREgrvCtFnkVi1JY3bg&amp;uniplatform=NZKPT&amp;language=CHS" TargetMode="External" Id="rId682"/><Relationship Type="http://schemas.openxmlformats.org/officeDocument/2006/relationships/hyperlink" Target="https://doi.org/10.3969/j.issn.1671-6353.2014.04.034" TargetMode="External" Id="rId683"/><Relationship Type="http://schemas.openxmlformats.org/officeDocument/2006/relationships/hyperlink" Target="https://d.wanfangdata.com.cn/periodical/CiBQZXJpb2RpY2FsQ0hJU29scjkyMDI2MDkxNTE0MjIxORIRbGN4ZXdrenoyMDE0MDQwMzYaCGliMWIydWh6" TargetMode="External" Id="rId684"/><Relationship Type="http://schemas.openxmlformats.org/officeDocument/2006/relationships/hyperlink" Target="https://d.wanfangdata.com.cn/conference/CiFDb25mZXJlbmNlTmV3U29scjlTMjAyNjA5MTUwOTMyMzESBzg3NDAyMjUaCGliMWIydWh6" TargetMode="External" Id="rId685"/><Relationship Type="http://schemas.openxmlformats.org/officeDocument/2006/relationships/hyperlink" Target="https://doi.org/10.3760/cma.j.issn.1004-4477.2012.11.015" TargetMode="External" Id="rId686"/><Relationship Type="http://schemas.openxmlformats.org/officeDocument/2006/relationships/hyperlink" Target="https://kns.cnki.net/kcms2/article/abstract?v=DgjXjbKQq8e9TLE_sHQOtWSGqipapZ-q8ALmoRUHr-ARsAQCiud1RaVPb8ybb0G3mUKA2sKOwHa99-JmXFbxX0nkHTRO6Huf_i15mpF8fJgJFQRYkMwsA8UewN3-Lh1bsZGAAwoNFmfEH52S9VcvAG3S91aqpA9YBMH2GG8IJCAuYZLcH9s2Ug==&amp;uniplatform=NZKPT&amp;language=CHS" TargetMode="External" Id="rId687"/><Relationship Type="http://schemas.openxmlformats.org/officeDocument/2006/relationships/hyperlink" Target="https://d.wanfangdata.com.cn/periodical/CiBQZXJpb2RpY2FsQ0hJU29scjkyMDI2MDkxNTE0MjIxORIPemhjc3l4MjAxMjExMDE1GghpYjFiMnVoeg%3D%3D" TargetMode="External" Id="rId688"/><Relationship Type="http://schemas.openxmlformats.org/officeDocument/2006/relationships/hyperlink" Target="https://doi.org/10.3969/j.issn.2095-140x.2012.08.026" TargetMode="External" Id="rId689"/><Relationship Type="http://schemas.openxmlformats.org/officeDocument/2006/relationships/hyperlink" Target="https://kns.cnki.net/kcms2/article/abstract?v=DgjXjbKQq8dqmtBd7NkvLFB98MUmJzajosvdPGBW-jOZGZFcgHWOgnWWF9QW8gYVflLKn7-5QSJXi_Bhs2U1-91QfTF6BQkoW2TnwhFmRsF24zxpwKDgly6uSOf3ygNj4qL7VDP7-qgz5hBIPJhsUS0n91yCkg-lQMIpr9SteecRKc9rj-uuLQ==&amp;uniplatform=NZKPT&amp;language=CHS" TargetMode="External" Id="rId690"/><Relationship Type="http://schemas.openxmlformats.org/officeDocument/2006/relationships/hyperlink" Target="https://d.wanfangdata.com.cn/periodical/CiBQZXJpb2RpY2FsQ0hJU29scjkyMDI2MDkxNTE0MjIxORIPaGJnZnl5MjAxMjA4MDI2GghpYjFiMnVoeg%3D%3D" TargetMode="External" Id="rId691"/><Relationship Type="http://schemas.openxmlformats.org/officeDocument/2006/relationships/hyperlink" Target="https://d.wanfangdata.com.cn/conference/CiFDb25mZXJlbmNlTmV3U29scjlTMjAyNjA5MTUwOTMyMzESBzc5NTE2NzQaCGliMWIydWh6" TargetMode="External" Id="rId692"/><Relationship Type="http://schemas.openxmlformats.org/officeDocument/2006/relationships/hyperlink" Target="https://doi.org/10.3760/cma.j.issn.0253-3006.2011.07.026" TargetMode="External" Id="rId693"/><Relationship Type="http://schemas.openxmlformats.org/officeDocument/2006/relationships/hyperlink" Target="https://kns.cnki.net/kcms2/article/abstract?v=DgjXjbKQq8euPR4Lnge5qOJNBiuU2pIv3DI9VoL5AnyI7QZMrLBAyvFxAFxpM-wjOAYssby_AVTMbw3725_MAjyWzxuq3360Lp51gE6Qfa5z-xiL4h-FKQJTVgU0hjOuriWhkSpGQngeJdcwQt34UneIQJceBONU8G5wc67U38E1usJkBbidqg==&amp;uniplatform=NZKPT&amp;language=CHS" TargetMode="External" Id="rId694"/><Relationship Type="http://schemas.openxmlformats.org/officeDocument/2006/relationships/hyperlink" Target="https://d.wanfangdata.com.cn/periodical/CiBQZXJpb2RpY2FsQ0hJU29scjkyMDI2MDkxNTE0MjIxORINeHJ3azIwMTEwNzAyNhoIaWIxYjJ1aHo%3D" TargetMode="External" Id="rId695"/><Relationship Type="http://schemas.openxmlformats.org/officeDocument/2006/relationships/hyperlink" Target="https://doi.org/10.3969/j.issn.1002-3429.2011.06.030" TargetMode="External" Id="rId696"/><Relationship Type="http://schemas.openxmlformats.org/officeDocument/2006/relationships/hyperlink" Target="https://kns.cnki.net/kcms2/article/abstract?v=DgjXjbKQq8dnHheeMqXvVh7tOpQeTrh8F9SScFIAECHRwmR2reG0n4dzzHcEuYqFnvyAB7ORuoxkpGNNQRBxZRClkF_oJsumEGBav_qSGf1Sm8SbLk5xnduwMhdC0NFexZp5rlpX8zI_9qnW0uyhR3bSpgZbONdFLKAYPsl5zYrIM5CFz7nrTg==&amp;uniplatform=NZKPT&amp;language=CHS" TargetMode="External" Id="rId697"/><Relationship Type="http://schemas.openxmlformats.org/officeDocument/2006/relationships/hyperlink" Target="https://d.wanfangdata.com.cn/periodical/CiBQZXJpb2RpY2FsQ0hJU29scjkyMDI2MDkxNTE0MjIxORIPbGN3end6MjAxMTA2MDMwGghpYjFiMnVoeg%3D%3D" TargetMode="External" Id="rId698"/><Relationship Type="http://schemas.openxmlformats.org/officeDocument/2006/relationships/hyperlink" Target="https://doi.org/10.3969/j.issn.1000-0313.2011.04.041" TargetMode="External" Id="rId699"/><Relationship Type="http://schemas.openxmlformats.org/officeDocument/2006/relationships/hyperlink" Target="https://link.cnki.net/doi/10.13609/j.cnki.1000-0313.2011.04.026" TargetMode="External" Id="rId700"/><Relationship Type="http://schemas.openxmlformats.org/officeDocument/2006/relationships/hyperlink" Target="https://d.wanfangdata.com.cn/periodical/CiBQZXJpb2RpY2FsQ0hJU29scjkyMDI2MDkxNTE0MjIxORIOZnN4c2oyMDExMDQwNDEaCGliMWIydWh6" TargetMode="External" Id="rId701"/><Relationship Type="http://schemas.openxmlformats.org/officeDocument/2006/relationships/hyperlink" Target="https://doi.org/10.3969/j.issn.1672-2779.2010.22.059" TargetMode="External" Id="rId702"/><Relationship Type="http://schemas.openxmlformats.org/officeDocument/2006/relationships/hyperlink" Target="https://kns.cnki.net/kcms2/article/abstract?v=DgjXjbKQq8fEz4x2lMfkPHK41f9AhszKR0pFsryvvLDdQMPAAd-FDyr1xyEinT4tkIJTv9Ll-OlgZDrVeeDTFITaVxthLWWS_fGezn2TmxvsWHFrdfw4R65Gj6r6h50l3aAx2s5piohjf9ZPpxzhigyN0vvw0HmclSySLe1kEpYg_ax15ZdGHQ==&amp;uniplatform=NZKPT&amp;language=CHS" TargetMode="External" Id="rId703"/><Relationship Type="http://schemas.openxmlformats.org/officeDocument/2006/relationships/hyperlink" Target="https://d.wanfangdata.com.cn/periodical/CiBQZXJpb2RpY2FsQ0hJU29scjkyMDI2MDkxNTE0MjIxORIUemd6eXl4ZHljankyMDEwMjIwNjAaCGliMWIydWh6" TargetMode="External" Id="rId704"/><Relationship Type="http://schemas.openxmlformats.org/officeDocument/2006/relationships/hyperlink" Target="https://kns.cnki.net/kcms2/article/abstract?v=DgjXjbKQq8fVckySnTbODO0EhEQ2_XqnSAGvZCl1UfTG_GOrKdr-cmTTQ2eCqVCg_xZLZnLbx0Cfte0BCro3LaWoMwg9eBnyP1LEn4U0mO6VajPqBT9AfllYs7jzk0oekOcBc88jc_sCyiw6aXntXv_X_iOOlFoHJaR2HoYsf1eQvUHYB_5oPg==&amp;uniplatform=NZKPT&amp;language=CHS" TargetMode="External" Id="rId705"/><Relationship Type="http://schemas.openxmlformats.org/officeDocument/2006/relationships/hyperlink" Target="https://doi.org/10.3969/j.issn.1672-0512.2010.01.024" TargetMode="External" Id="rId706"/><Relationship Type="http://schemas.openxmlformats.org/officeDocument/2006/relationships/hyperlink" Target="https://kns.cnki.net/kcms2/article/abstract?v=DgjXjbKQq8fkY8AmMAL9SJEiA8U028Mw72ZpQv1JxCVYwWLEIRw887I3ganyG4NEzV_l88jvGXjtN1qFYz-cRqsrW98wMjkEu-HgUyoXs8g2Wm8B-gH1huv0ezvXQQfUNAe8t5YJJ5k94DEteseLv8zorxTUazG591gxY4U3SP3YAdmpsOce8Q==&amp;uniplatform=NZKPT&amp;language=CHS" TargetMode="External" Id="rId707"/><Relationship Type="http://schemas.openxmlformats.org/officeDocument/2006/relationships/hyperlink" Target="https://d.wanfangdata.com.cn/periodical/CiBQZXJpb2RpY2FsQ0hJU29scjkyMDI2MDkxNTE0MjIxORIVemd6eHlqaHl4eHp6MjAxMDAxMDI0GghpYjFiMnVoeg%3D%3D" TargetMode="External" Id="rId708"/><Relationship Type="http://schemas.openxmlformats.org/officeDocument/2006/relationships/hyperlink" Target="https://doi.org/10.3760/cma.j.issn.0253-3006.2010.01.026" TargetMode="External" Id="rId709"/><Relationship Type="http://schemas.openxmlformats.org/officeDocument/2006/relationships/hyperlink" Target="https://kns.cnki.net/kcms2/article/abstract?v=DgjXjbKQq8cuPj85K6XyTbd6CVrj8oPbNzVFJgyCATK2N1OZ6pvwXkdB9tziY5ATMUALSZYR0oQPW3hBTpa0EtS_ILKvModDBr4sAfsC7C7s2PieQHrYjcZ2z71robu7WucZSMYuMnfFycnhHuXy50WNth88KdoSytO3SaL1dMnMMwS75I5-WA==&amp;uniplatform=NZKPT&amp;language=CHS" TargetMode="External" Id="rId710"/><Relationship Type="http://schemas.openxmlformats.org/officeDocument/2006/relationships/hyperlink" Target="https://d.wanfangdata.com.cn/periodical/CiBQZXJpb2RpY2FsQ0hJU29scjkyMDI2MDkxNTE0MjIxORINeHJ3azIwMTAwMTAyNRoIaWIxYjJ1aHo%3D" TargetMode="External" Id="rId711"/><Relationship Type="http://schemas.openxmlformats.org/officeDocument/2006/relationships/hyperlink" Target="https://doi.org/10.3969/j.issn.1672-5085.2010.16.072" TargetMode="External" Id="rId712"/><Relationship Type="http://schemas.openxmlformats.org/officeDocument/2006/relationships/hyperlink" Target="https://d.wanfangdata.com.cn/periodical/CiBQZXJpb2RpY2FsQ0hJU29scjkyMDI2MDkxNTE0MjIxORIPendqa3d6MjAxMDE2MDcyGghpYjFiMnVoeg%3D%3D" TargetMode="External" Id="rId713"/><Relationship Type="http://schemas.openxmlformats.org/officeDocument/2006/relationships/hyperlink" Target="https://doi.org/10.3969/j.issn.1673-7555.2009.36.037" TargetMode="External" Id="rId714"/><Relationship Type="http://schemas.openxmlformats.org/officeDocument/2006/relationships/hyperlink" Target="https://link.cnki.net/doi/10.14163/j.cnki.11-5547/r.2009.36.111" TargetMode="External" Id="rId715"/><Relationship Type="http://schemas.openxmlformats.org/officeDocument/2006/relationships/hyperlink" Target="https://d.wanfangdata.com.cn/periodical/CiBQZXJpb2RpY2FsQ0hJU29scjkyMDI2MDkxNTE0MjIxORIPemdzeXl5MjAwOTM2MDM3GghpYjFiMnVoeg%3D%3D" TargetMode="External" Id="rId716"/><Relationship Type="http://schemas.openxmlformats.org/officeDocument/2006/relationships/hyperlink" Target="https://doi.org/10.3969/j.issn.1002-3429.2009.08.076" TargetMode="External" Id="rId717"/><Relationship Type="http://schemas.openxmlformats.org/officeDocument/2006/relationships/hyperlink" Target="https://kns.cnki.net/kcms2/article/abstract?v=DgjXjbKQq8fUoVCEDz0G-8jUxN8rl8BdrTpG3xhYX2dd6iWty99nGu8jEJ1v1b0JAE5StxW_8xEUSTNDP52T-vlUqAQdyR0RDhP_Hfr_8CW0qY2IHVYkYftm9ypflAvYaVK-dHlPJFtICzcOIMD_7Eq9P1fnbnWDH28EjIIo7xDniWNQJXjaWw==&amp;uniplatform=NZKPT&amp;language=CHS" TargetMode="External" Id="rId718"/><Relationship Type="http://schemas.openxmlformats.org/officeDocument/2006/relationships/hyperlink" Target="https://d.wanfangdata.com.cn/periodical/CiBQZXJpb2RpY2FsQ0hJU29scjkyMDI2MDkxNTE0MjIxORIPbGN3end6MjAwOTA4MDc2GghpYjFiMnVoeg%3D%3D" TargetMode="External" Id="rId719"/><Relationship Type="http://schemas.openxmlformats.org/officeDocument/2006/relationships/hyperlink" Target="https://doi.org/10.3969/j.issn.1672-0512.2009.04.030" TargetMode="External" Id="rId720"/><Relationship Type="http://schemas.openxmlformats.org/officeDocument/2006/relationships/hyperlink" Target="https://kns.cnki.net/kcms2/article/abstract?v=DgjXjbKQq8fRhYs7c6HPqeYNYzVYVWeY0uWR_mk7ZUgJGNvCpb4jbrU5nqUrW63CIJxqCDeqL9YswcnAzEuiDrfHG-qKhhByBg3szgn7rMXjK9kyNVOMq25wbuu8NybkVCrYMY8c5G_-H_ahWvbQjWlHvlQr3uUVNARoVgrlhhqtzZ2wst154A==&amp;uniplatform=NZKPT&amp;language=CHS" TargetMode="External" Id="rId721"/><Relationship Type="http://schemas.openxmlformats.org/officeDocument/2006/relationships/hyperlink" Target="https://d.wanfangdata.com.cn/periodical/CiBQZXJpb2RpY2FsQ0hJU29scjkyMDI2MDkxNTE0MjIxORIVemd6eHlqaHl4eHp6MjAwOTA0MDMwGghpYjFiMnVoeg%3D%3D" TargetMode="External" Id="rId722"/><Relationship Type="http://schemas.openxmlformats.org/officeDocument/2006/relationships/hyperlink" Target="https://doi.org/10.13437/j.cnki.jcr.2009.08.011" TargetMode="External" Id="rId723"/><Relationship Type="http://schemas.openxmlformats.org/officeDocument/2006/relationships/hyperlink" Target="https://link.cnki.net/doi/10.13437/j.cnki.jcr.2009.08.011" TargetMode="External" Id="rId724"/><Relationship Type="http://schemas.openxmlformats.org/officeDocument/2006/relationships/hyperlink" Target="https://d.wanfangdata.com.cn/periodical/CiBQZXJpb2RpY2FsQ0hJU29scjkyMDI2MDkxNTE0MjIxORIQbGNmc3h6ejIwMDkwODA1NBoIaWIxYjJ1aHo%3D" TargetMode="External" Id="rId725"/><Relationship Type="http://schemas.openxmlformats.org/officeDocument/2006/relationships/hyperlink" Target="https://kns.cnki.net/kcms2/article/abstract?v=DgjXjbKQq8d_cqUgnskTkbYITA5FTQZq8uL5nG_q50LnaLd3BTPpLdmK89LFd8lDuJeVURyaeChDE2_fX3-jCilf9NEWkuk0MIKrNJWk6yw4h6hR_1mnbTusq1Fi23JXfGrINhj-5S8PVGWLe7gbWfzs_RiS3PdUOkY-rTdqSb07a1MVKleoFJYv02RthRQg&amp;uniplatform=NZKPT&amp;language=CHS" TargetMode="External" Id="rId726"/><Relationship Type="http://schemas.openxmlformats.org/officeDocument/2006/relationships/hyperlink" Target="https://doi.org/10.3969/j.issn.1004-0951.2009.02.058" TargetMode="External" Id="rId727"/><Relationship Type="http://schemas.openxmlformats.org/officeDocument/2006/relationships/hyperlink" Target="https://link.cnki.net/doi/10.16096/j.cnki.nmgyxzz.2009.02.017" TargetMode="External" Id="rId728"/><Relationship Type="http://schemas.openxmlformats.org/officeDocument/2006/relationships/hyperlink" Target="https://d.wanfangdata.com.cn/periodical/CiBQZXJpb2RpY2FsQ0hJU29scjkyMDI2MDkxNTE0MjIxORIQbm1neXh6ejIwMDkwMjA1OBoIaWIxYjJ1aHo%3D" TargetMode="External" Id="rId729"/><Relationship Type="http://schemas.openxmlformats.org/officeDocument/2006/relationships/hyperlink" Target="https://doi.org/10.3760/cma.j.issn.1673-4904.2009.02.033" TargetMode="External" Id="rId730"/><Relationship Type="http://schemas.openxmlformats.org/officeDocument/2006/relationships/hyperlink" Target="https://kns.cnki.net/kcms2/article/abstract?v=DgjXjbKQq8cSNLXQx_pWD6toA6Kjf13fH-WHUmCZDskWHMS60dqjyvcdxjRNrEALQZhj0R0R1XVGHJ9ZVaYpa4HjRDJEWo2-a8BoyYW5fCEQ2Lx8xtqn4ZBIsgpfARYLUqAKMSjKQkGTflDu3bxujX8JX62nj6N0JuhxuLeh1UyoIVaGlCUjkw==&amp;uniplatform=NZKPT&amp;language=CHS" TargetMode="External" Id="rId731"/><Relationship Type="http://schemas.openxmlformats.org/officeDocument/2006/relationships/hyperlink" Target="https://d.wanfangdata.com.cn/periodical/CiBQZXJpb2RpY2FsQ0hJU29scjkyMDI2MDkxNTE0MjIxORIPeXNqeHp6MjAwOTAyMDMzGghpYjFiMnVoeg%3D%3D" TargetMode="External" Id="rId732"/><Relationship Type="http://schemas.openxmlformats.org/officeDocument/2006/relationships/hyperlink" Target="https://doi.org/10.3321/j.issn:1004-4477.2008.01.028" TargetMode="External" Id="rId733"/><Relationship Type="http://schemas.openxmlformats.org/officeDocument/2006/relationships/hyperlink" Target="https://kns.cnki.net/kcms2/article/abstract?v=DgjXjbKQq8eaWukL0EkeQYf9bIsVXWmDAu2VIZ-1QVg-dLOEr7rHOvLqXvTE1pF5CvNuscENveFZkeS_F9_wbBqCEsw8gO-lIyjlbSV8xoOHdKMm2ax-h8GWNkK6iyJ4EkbkXpZvNyi79i7iVnV2A7141Zv4MBE3UAY5hBvkfLMd2Hi4gGZ29Q==&amp;uniplatform=NZKPT&amp;language=CHS" TargetMode="External" Id="rId734"/><Relationship Type="http://schemas.openxmlformats.org/officeDocument/2006/relationships/hyperlink" Target="https://d.wanfangdata.com.cn/periodical/CiBQZXJpb2RpY2FsQ0hJU29scjkyMDI2MDkxNTE0MjIxORIPemhjc3l4MjAwODAxMDI4GghpYjFiMnVoeg%3D%3D" TargetMode="External" Id="rId735"/><Relationship Type="http://schemas.openxmlformats.org/officeDocument/2006/relationships/hyperlink" Target="https://kns.cnki.net/kcms2/article/abstract?v=DgjXjbKQq8fjLYRDkSdaeklGK60lNJNYuSrMztWSP1Y3NRRA_ZEPgavbPwpsIS1vXXz-GSHs3y6_XdJzKLodbs9mCPVwllvZoPemRsKSvEhy6sjpUsJHQzDF_rmlbnSK8nQ8gAgUNB9O43v3VvRs25ZHgIGR4asi5ZbNVnUgBBa85WuNX7f2AQ==&amp;uniplatform=NZKPT&amp;language=CHS" TargetMode="External" Id="rId736"/><Relationship Type="http://schemas.openxmlformats.org/officeDocument/2006/relationships/hyperlink" Target="https://d.wanfangdata.com.cn/periodical/CiBQZXJpb2RpY2FsQ0hJU29scjkyMDI2MDkxNTE0MjIxORIOUUsyMDA3MDI0OTg5MTgaCGliMWIydWh6" TargetMode="External" Id="rId737"/><Relationship Type="http://schemas.openxmlformats.org/officeDocument/2006/relationships/hyperlink" Target="https://doi.org/10.3969/j.issn.1001-5639.2007.03.039" TargetMode="External" Id="rId738"/><Relationship Type="http://schemas.openxmlformats.org/officeDocument/2006/relationships/hyperlink" Target="https://kns.cnki.net/kcms2/article/abstract?v=DgjXjbKQq8d9yX9LiZ4krSj1uZvmv77Yz2W_xH5cWLzDJKqf4QQkGx0ZXpTe-2YpyAJ9yR9GayvhlM4cOAF8_tdm3UnWEY4g3JQ4Pu7f-Fc2Zlool-FugTYObPtOOwsxVA4YDn9M_l8Kj4UyEhKxLT6jnpWB-5qyLnR6z70BVrEJqyjNMsiRfA==&amp;uniplatform=NZKPT&amp;language=CHS" TargetMode="External" Id="rId739"/><Relationship Type="http://schemas.openxmlformats.org/officeDocument/2006/relationships/hyperlink" Target="https://d.wanfangdata.com.cn/periodical/CiBQZXJpb2RpY2FsQ0hJU29scjkyMDI2MDkxNTE0MjIxORILc3oyMDA3MDMwMzkaCGliMWIydWh6" TargetMode="External" Id="rId740"/><Relationship Type="http://schemas.openxmlformats.org/officeDocument/2006/relationships/hyperlink" Target="https://doi.org/10.3969/j.issn.1003-5591.2007.03.030" TargetMode="External" Id="rId741"/><Relationship Type="http://schemas.openxmlformats.org/officeDocument/2006/relationships/hyperlink" Target="https://kns.cnki.net/kcms2/article/abstract?v=DgjXjbKQq8c3s0_oG1OFmAt_KSjOd3_TSlYixnhPBeSYoUbN-rdOJLtK2iHqScocWwFSFxdMS-Byw5kSo0VkgzqGXkZIKbSvkFE8AnFhA0PnZtuz3A97PyZanXrUKftNZqccZAhAYHt43Y0BRuLeMKtN7YGs8hlhC82VPp2Tjjf9Y5wJoqcYYg==&amp;uniplatform=NZKPT&amp;language=CHS" TargetMode="External" Id="rId742"/><Relationship Type="http://schemas.openxmlformats.org/officeDocument/2006/relationships/hyperlink" Target="https://d.wanfangdata.com.cn/periodical/CiBQZXJpb2RpY2FsQ0hJU29scjkyMDI2MDkxNTE0MjIxORINZmJ3azIwMDcwMzAzMBoIaWIxYjJ1aHo%3D" TargetMode="External" Id="rId743"/><Relationship Type="http://schemas.openxmlformats.org/officeDocument/2006/relationships/hyperlink" Target="https://kns.cnki.net/kcms2/article/abstract?v=DgjXjbKQq8fibC76zkTi9JQ1LDzgucx4Da7bqgm3Lp29LWL5AdaE3wdxfTbja0V5ymmMUHXV_5aRkyql4Towi8R98tIohozVJY36-BwRXGv4pRaUq936qd9rY72OopZlerRf4PhVMGuOidJlN0m1BDQR5Am7f_qVRSfAfi0qevvLV7Cg-qH4FQ==&amp;uniplatform=NZKPT&amp;language=CHS" TargetMode="External" Id="rId744"/><Relationship Type="http://schemas.openxmlformats.org/officeDocument/2006/relationships/hyperlink" Target="https://d.wanfangdata.com.cn/periodical/CiBQZXJpb2RpY2FsQ0hJU29scjkyMDI2MDkxNTE0MjIxORIOUUsyMDA2MDIxMjEzMDEaCGliMWIydWh6" TargetMode="External" Id="rId745"/><Relationship Type="http://schemas.openxmlformats.org/officeDocument/2006/relationships/hyperlink" Target="https://doi.org/10.3969/j.issn.1009-976x.2005.04.028" TargetMode="External" Id="rId746"/><Relationship Type="http://schemas.openxmlformats.org/officeDocument/2006/relationships/hyperlink" Target="https://kns.cnki.net/kcms2/article/abstract?v=DgjXjbKQq8dE8cWdGvDaJ6r_aTpPTDTDpTUGIl4FrkgFITDKoLtROZmZJmLGaKLX9ttnBI1DqbeCC1WfeRmMw-Sy_eoefaRFJaf16qyzXWOLHc5OgXJ5IMZAWENHod26qqDJNDv4bqTbxIxxrBhxWoOGr6bxofutwPXhNQ0ZHn88yMLw69uocA==&amp;uniplatform=NZKPT&amp;language=CHS" TargetMode="External" Id="rId747"/><Relationship Type="http://schemas.openxmlformats.org/officeDocument/2006/relationships/hyperlink" Target="https://d.wanfangdata.com.cn/periodical/CiBQZXJpb2RpY2FsQ0hJU29scjkyMDI2MDkxNTE0MjIxORIRbG54ZGxjd2syMDA1MDQwMjgaCGliMWIydWh6" TargetMode="External" Id="rId748"/><Relationship Type="http://schemas.openxmlformats.org/officeDocument/2006/relationships/hyperlink" Target="https://kns.cnki.net/kcms2/article/abstract?v=DgjXjbKQq8euMJ_2wbB9WDLprkS_rNwqpJn_2WMH_86aTsHeFpF2bqYYxkZG3Q5FduZ1qG-e9OFdaqkAAEgqpgVl1KiZP_10jRANTp_GX9BkaYZpUD8HxVxSGwTNBOSGhCprMvpgCzPTDnuEPVHPihUFoTQtMvem-hCrB78Jz8ushXzqo6bSXg==&amp;uniplatform=NZKPT&amp;language=CHS" TargetMode="External" Id="rId749"/><Relationship Type="http://schemas.openxmlformats.org/officeDocument/2006/relationships/hyperlink" Target="https://d.wanfangdata.com.cn/periodical/CiBQZXJpb2RpY2FsQ0hJU29scjkyMDI2MDkxNTE0MjIxORIOUUsyMDA1MDE5NTM4MzIaCGliMWIydWh6" TargetMode="External" Id="rId750"/><Relationship Type="http://schemas.openxmlformats.org/officeDocument/2006/relationships/hyperlink" Target="https://doi.org/10.3760/j.issn:1005-1201.2005.10.025" TargetMode="External" Id="rId751"/><Relationship Type="http://schemas.openxmlformats.org/officeDocument/2006/relationships/hyperlink" Target="https://kns.cnki.net/kcms2/article/abstract?v=DgjXjbKQq8e562hwvHFDkFOE_v_06NeSAwdGnnAIVw6RBK0WaJpCbFjoSXHT1k9SoO55V-C0bcfP4iA8faFMLgURKlbp_r67BQQSMkoyn3QgaHHvBTb0zN4bfMKdAeEF_uu5iqqTnMxQi_l8r8Yj6H4Jf1UnrADouQBtJAK9oaHNmkhtGtcRaA==&amp;uniplatform=NZKPT&amp;language=CHS" TargetMode="External" Id="rId752"/><Relationship Type="http://schemas.openxmlformats.org/officeDocument/2006/relationships/hyperlink" Target="https://d.wanfangdata.com.cn/periodical/CiBQZXJpb2RpY2FsQ0hJU29scjkyMDI2MDkxNTE0MjIxORIOemhmc3gyMDA1MTAwMjUaCGliMWIydWh6" TargetMode="External" Id="rId753"/><Relationship Type="http://schemas.openxmlformats.org/officeDocument/2006/relationships/hyperlink" Target="https://kns.cnki.net/kcms2/article/abstract?v=DgjXjbKQq8fc3bt2qe3GAnxld1RPLkygn6vOvQSMA7dg0HiezQ1KtLmO4Os70d1EZAHa2uYSfGuYU9tzBE2HrWfT7oYyZZC5_CjW5qlNcCLJVB6sQoOc9B8bkgUwU5piDcoJdXNYTZykQo-jwo67OtQbeEHPusx6cR-Zj_XVUe3s5GAV8MS1Vg==&amp;uniplatform=NZKPT&amp;language=CHS" TargetMode="External" Id="rId754"/><Relationship Type="http://schemas.openxmlformats.org/officeDocument/2006/relationships/hyperlink" Target="https://d.wanfangdata.com.cn/periodical/CiBQZXJpb2RpY2FsQ0hJU29scjkyMDI2MDkxNTE0MjIxORIOUUsyMDA1MDE5NTM2MTQaCGliMWIydWh6" TargetMode="External" Id="rId755"/><Relationship Type="http://schemas.openxmlformats.org/officeDocument/2006/relationships/hyperlink" Target="https://doi.org/10.3969/j.issn.1008-6978.2004.04.038" TargetMode="External" Id="rId756"/><Relationship Type="http://schemas.openxmlformats.org/officeDocument/2006/relationships/hyperlink" Target="https://link.cnki.net/doi/10.16245/j.cnki.issn1008-6978.2004.04.038" TargetMode="External" Id="rId757"/><Relationship Type="http://schemas.openxmlformats.org/officeDocument/2006/relationships/hyperlink" Target="https://d.wanfangdata.com.cn/periodical/CiBQZXJpb2RpY2FsQ0hJU29scjkyMDI2MDkxNTE0MjIxORIRbGNjc3l4enoyMDA0MDQwMzgaCGliMWIydWh6" TargetMode="External" Id="rId758"/><Relationship Type="http://schemas.openxmlformats.org/officeDocument/2006/relationships/hyperlink" Target="https://doi.org/10.3760/cma.j.issn.0253-3006.2004.04.036" TargetMode="External" Id="rId759"/><Relationship Type="http://schemas.openxmlformats.org/officeDocument/2006/relationships/hyperlink" Target="https://kns.cnki.net/kcms2/article/abstract?v=DgjXjbKQq8cJuQyp--p4eCaGxw9IYPAZK_HwT1ClREEJ0gaTJ_H2yYQG24-W4wXz6JjYTpCcCfHhTw3L9pu7U45XFWT2ob8_vi57JhttbxDzgL5-T4SH7PsAYXYLXmcQ8qBKXGYrcQfeYDMZVzgBVrCGp4ylSKEVMqLeV5QRnaRbz5htRDmZlQ==&amp;uniplatform=NZKPT&amp;language=CHS" TargetMode="External" Id="rId760"/><Relationship Type="http://schemas.openxmlformats.org/officeDocument/2006/relationships/hyperlink" Target="https://d.wanfangdata.com.cn/periodical/CiBQZXJpb2RpY2FsQ0hJU29scjkyMDI2MDkxNTE0MjIxORINeHJ3azIwMDQwNDAzNhoIaWIxYjJ1aHo%3D" TargetMode="External" Id="rId761"/><Relationship Type="http://schemas.openxmlformats.org/officeDocument/2006/relationships/hyperlink" Target="https://doi.org/10.3969/j.issn.1671-5098.2003.12.027" TargetMode="External" Id="rId762"/><Relationship Type="http://schemas.openxmlformats.org/officeDocument/2006/relationships/hyperlink" Target="https://kns.cnki.net/kcms2/article/abstract?v=DgjXjbKQq8eYHMk8dm46fhWkNpXSRw_5KyhoMN4NZH7VqqXfSPwa8A8L4Dox_aeeZ0aFDzCEcRwDCwscIiMziD1xHo28VexI-aF5NFejtUCfUNkBs02hQDEukA10NfDuZdjkttCvuLSxhVFd8VeNCjgvaNpLQWhvl_pyZwEbKfaP4sh8m35MrQ==&amp;uniplatform=NZKPT&amp;language=CHS" TargetMode="External" Id="rId763"/><Relationship Type="http://schemas.openxmlformats.org/officeDocument/2006/relationships/hyperlink" Target="https://d.wanfangdata.com.cn/periodical/CiBQZXJpb2RpY2FsQ0hJU29scjkyMDI2MDkxNTE0MjIxORIPc3l5anp6MjAwMzEyMDI3GghpYjFiMnVoeg%3D%3D" TargetMode="External" Id="rId764"/><Relationship Type="http://schemas.openxmlformats.org/officeDocument/2006/relationships/hyperlink" Target="https://doi.org/10.3760/j.issn:1004-4477.2003.02.027" TargetMode="External" Id="rId765"/><Relationship Type="http://schemas.openxmlformats.org/officeDocument/2006/relationships/hyperlink" Target="https://kns.cnki.net/kcms2/article/abstract?v=DgjXjbKQq8dotUrWGWSYle6YWyH4ZY8vv_kOSgfJzZ5XjLkSGzxhU9h2Yi7-U2gfXzRkb8a-bKHNgd6EPQTU3gWThJmuSwgz_Ja9zDhqwiwe2vERVAXXsFamPZgivaK6JX2CGf3m9k5YpOPKphXFx7hkQnqsfUdN6TlvBtG2wSoYsBTJaTvjow==&amp;uniplatform=NZKPT&amp;language=CHS" TargetMode="External" Id="rId766"/><Relationship Type="http://schemas.openxmlformats.org/officeDocument/2006/relationships/hyperlink" Target="https://d.wanfangdata.com.cn/periodical/CiBQZXJpb2RpY2FsQ0hJU29scjkyMDI2MDkxNTE0MjIxORIPemhjc3l4MjAwMzAyMDI3GghpYjFiMnVoeg%3D%3D" TargetMode="External" Id="rId767"/><Relationship Type="http://schemas.openxmlformats.org/officeDocument/2006/relationships/hyperlink" Target="https://doi.org/10.3760/cma.j.issn.1674-4756.2002.09.078" TargetMode="External" Id="rId768"/><Relationship Type="http://schemas.openxmlformats.org/officeDocument/2006/relationships/hyperlink" Target="https://kns.cnki.net/kcms2/article/abstract?v=DgjXjbKQq8fHGyBRupuT7SQ-dkZbC44CDe6SCDk2oImorPccR7ZxJKAGU7xUElaTC3t-1VpPNJW9PUEleUhZOz_IMM_AWph62SjFh43i-SSDZoHo3hZUgXdfShKkTpSRDi8olUJbMzJGtaehLLEvuWRlySgSlEID6RFmWHRvZcTOq2SHNwmZ7A==&amp;uniplatform=NZKPT&amp;language=CHS" TargetMode="External" Id="rId769"/><Relationship Type="http://schemas.openxmlformats.org/officeDocument/2006/relationships/hyperlink" Target="https://d.wanfangdata.com.cn/periodical/CiBQZXJpb2RpY2FsQ0hJU29scjkyMDI2MDkxNTE0MjIxORINenl5azIwMDIwOTA3OBoIaWIxYjJ1aHo%3D" TargetMode="External" Id="rId770"/><Relationship Type="http://schemas.openxmlformats.org/officeDocument/2006/relationships/hyperlink" Target="https://doi.org/10.3969/j.issn.1002-0101.2002.06.027" TargetMode="External" Id="rId771"/><Relationship Type="http://schemas.openxmlformats.org/officeDocument/2006/relationships/hyperlink" Target="https://kns.cnki.net/kcms2/article/abstract?v=DgjXjbKQq8eeH2oQ-fbT6De033GA3QUxWfzbyy-BTHdXYkIPTbAvs74nyr7pMqqd0O952_lVgYp_DxRlAW-1cm_3niEFmxsSCuWwgtnW1Z0JiUEoD63kbdtFlJMxs8t6E5LgYJ64QKefvSncGmDmVNH3iiMaLtOEW_7cgOlWX9bcCOpVVGBSVg==&amp;uniplatform=NZKPT&amp;language=CHS" TargetMode="External" Id="rId772"/><Relationship Type="http://schemas.openxmlformats.org/officeDocument/2006/relationships/hyperlink" Target="https://d.wanfangdata.com.cn/periodical/CiBQZXJpb2RpY2FsQ0hJU29scjkyMDI2MDkxNTE0MjIxORIRemdjc3l4enoyMDAyMDYwMjcaCGliMWIydWh6" TargetMode="External" Id="rId773"/><Relationship Type="http://schemas.openxmlformats.org/officeDocument/2006/relationships/hyperlink" Target="https://doi.org/10.3760/j.issn:1005-1201.2002.06.026" TargetMode="External" Id="rId774"/><Relationship Type="http://schemas.openxmlformats.org/officeDocument/2006/relationships/hyperlink" Target="https://kns.cnki.net/kcms2/article/abstract?v=DgjXjbKQq8fSM1MRvpi_odAcIq3xPCBEUxOLPc041Xh-1iL1Vxq73SqBWEbVrL3ljo-e5rz8zivxMe1GiDt0Sfg-jiOtgG3vnkxubrYTc4jU6h76U1Z56BXjwAqSV-kTWL90GrVP4kx4kIZdlB2-Hzsx930H_qCCF6ja8APpKD9gqvmYMEuNBQ==&amp;uniplatform=NZKPT&amp;language=CHS" TargetMode="External" Id="rId775"/><Relationship Type="http://schemas.openxmlformats.org/officeDocument/2006/relationships/hyperlink" Target="https://d.wanfangdata.com.cn/periodical/CiBQZXJpb2RpY2FsQ0hJU29scjkyMDI2MDkxNTE0MjIxORIOemhmc3gyMDAyMDYwMjYaCGliMWIydWh6" TargetMode="External" Id="rId776"/><Relationship Type="http://schemas.openxmlformats.org/officeDocument/2006/relationships/hyperlink" Target="https://doi.org/10.3969/j.issn.1004-6879.2002.01.055" TargetMode="External" Id="rId777"/><Relationship Type="http://schemas.openxmlformats.org/officeDocument/2006/relationships/hyperlink" Target="https://link.cnki.net/doi/10.15921/j.cnki.cyxb.2002.01.055" TargetMode="External" Id="rId778"/><Relationship Type="http://schemas.openxmlformats.org/officeDocument/2006/relationships/hyperlink" Target="https://d.wanfangdata.com.cn/periodical/CiBQZXJpb2RpY2FsQ0hJU29scjkyMDI2MDkxNTE0MjIxORIQY2R5eHl4YjIwMDIwMTA1NRoIaWIxYjJ1aHo%3D" TargetMode="External" Id="rId779"/><Relationship Type="http://schemas.openxmlformats.org/officeDocument/2006/relationships/hyperlink" Target="https://doi.org/10.3969/j.issn.1004-0188.2001.06.048" TargetMode="External" Id="rId780"/><Relationship Type="http://schemas.openxmlformats.org/officeDocument/2006/relationships/hyperlink" Target="https://kns.cnki.net/kcms2/article/abstract?v=DgjXjbKQq8dedSONU3LwCkLqwrKwScVK6kgMGNA1Nl-FcsPjyp2k0GauLDTyWUmXLG0oriyDHO4DSomAgaPJIHHjd416vN7bsCn9KVfbO-exIgPrIBNbe5TxfDkLO_A-9HYBzVm7LiU-E-9B8THDU_0R_7Uvljqr5uZbWoESEfgiWbsOEwdtNA==&amp;uniplatform=NZKPT&amp;language=CHS" TargetMode="External" Id="rId781"/><Relationship Type="http://schemas.openxmlformats.org/officeDocument/2006/relationships/hyperlink" Target="https://d.wanfangdata.com.cn/periodical/CiBQZXJpb2RpY2FsQ0hJU29scjkyMDI2MDkxNTE0MjIxORIPeG5nZnl5MjAwMTA2MDQ4GghpYjFiMnVoeg%3D%3D" TargetMode="External" Id="rId782"/><Relationship Type="http://schemas.openxmlformats.org/officeDocument/2006/relationships/hyperlink" Target="https://doi.org/10.3969/j.issn.1004-3101.2001.03.076" TargetMode="External" Id="rId783"/><Relationship Type="http://schemas.openxmlformats.org/officeDocument/2006/relationships/hyperlink" Target="https://kns.cnki.net/kcms2/article/abstract?v=DgjXjbKQq8csGHFcQ7XrtEW4WN_MJbr93-N7E2Tgd4DUqK7Hw-Oa75fwJnFQdiKSehViWMzMmIGDz0o1d9WMFrZsQZRJsjFjux2q13axaahGf4D26gLMDdsnioxdZRMREcBA9rir44HLScuJIxGtxgxQJQQ8HBIZag1XEKBBIidUZSLkhK2k8A==&amp;uniplatform=NZKPT&amp;language=CHS" TargetMode="External" Id="rId784"/><Relationship Type="http://schemas.openxmlformats.org/officeDocument/2006/relationships/hyperlink" Target="https://d.wanfangdata.com.cn/periodical/CiBQZXJpb2RpY2FsQ0hJU29scjkyMDI2MDkxNTE0MjIxORIQd2Z5eHl4YjIwMDEwMzA3NhoIaWIxYjJ1aHo%3D" TargetMode="External" Id="rId785"/><Relationship Type="http://schemas.openxmlformats.org/officeDocument/2006/relationships/hyperlink" Target="https://kns.cnki.net/kcms2/article/abstract?v=DgjXjbKQq8dLOo97PlXuXc85pN4oNAYFVPem728iamJxnYRjNQ0V40SAmu94mB71sCHGkJp83j26QuP6R49fNQerg4YjD_Z7vZ7b2Fo1doSBMvDxNOP4yDRCiSdcPxjeEQ4m0Y6xORzhGOg27li5DmQYJFRydlul6oPG72qCba5oOqHys9T5Qw==&amp;uniplatform=NZKPT&amp;language=CHS" TargetMode="External" Id="rId786"/><Relationship Type="http://schemas.openxmlformats.org/officeDocument/2006/relationships/hyperlink" Target="https://d.wanfangdata.com.cn/periodical/CiBQZXJpb2RpY2FsQ0hJU29scjkyMDI2MDkxNTE0MjIxORIRemdjc3pkenoyMDAxMDYwMzUaCGliMWIydWh6" TargetMode="External" Id="rId787"/><Relationship Type="http://schemas.openxmlformats.org/officeDocument/2006/relationships/hyperlink" Target="https://doi.org/10.3969/j.issn.1671-8631.2001.04.049" TargetMode="External" Id="rId788"/><Relationship Type="http://schemas.openxmlformats.org/officeDocument/2006/relationships/hyperlink" Target="https://kns.cnki.net/kcms2/article/abstract?v=DgjXjbKQq8fU5cGl2x6fukF3mnZzYflNKiIDXXPmvMlRi3oUcvrlWpADN0-CRUVpCz2ynwIBhBU_YDqwlKzTFtdXDTQvTYhMtvaDDQv0FK0o4h2s1sz04lUTI5eSH8wq038e10c5VJKh1BtpuMPhFhyFp7B7UuyDPPf-lSo-3L8qLHuWIN7IvA==&amp;uniplatform=NZKPT&amp;language=CHS" TargetMode="External" Id="rId789"/><Relationship Type="http://schemas.openxmlformats.org/officeDocument/2006/relationships/hyperlink" Target="https://d.wanfangdata.com.cn/periodical/CiBQZXJpb2RpY2FsQ0hJU29scjkyMDI2MDkxNTE0MjIxORIPc3hsY3l5MjAwMTA0MDQ5GghpYjFiMnVoeg%3D%3D" TargetMode="External" Id="rId790"/><Relationship Type="http://schemas.openxmlformats.org/officeDocument/2006/relationships/hyperlink" Target="https://kns.cnki.net/kcms2/article/abstract?v=DgjXjbKQq8dHoDUmLtau0IL2NKm7ZQ-PwU9wOIpZbpts2a-09kt72lDWGyFkKJ7hP_xWEYbmc6WIngy7ZykrOkPOEnw8cgChEacpEtCX-eRBougw0d8T8g6HWe7fcKU7d4TWM7k0d8kLvurjMYAHGAQjDIWoRqa-Co0SdAe3kRooa2WSB0FL8g==&amp;uniplatform=NZKPT&amp;language=CHS" TargetMode="External" Id="rId791"/><Relationship Type="http://schemas.openxmlformats.org/officeDocument/2006/relationships/hyperlink" Target="https://d.wanfangdata.com.cn/periodical/CiBQZXJpb2RpY2FsQ0hJU29scjkyMDI2MDkxNTE0MjIxORIOUUsyMDAxMDEzMDQ5NDgaCGliMWIydWh6" TargetMode="External" Id="rId792"/><Relationship Type="http://schemas.openxmlformats.org/officeDocument/2006/relationships/hyperlink" Target="https://doi.org/10.3760/j.issn:1004-4477.2001.02.031" TargetMode="External" Id="rId793"/><Relationship Type="http://schemas.openxmlformats.org/officeDocument/2006/relationships/hyperlink" Target="https://kns.cnki.net/kcms2/article/abstract?v=DgjXjbKQq8dovOUFp4D5M0jZtonp1WuuuaOwGPQ1K_evQ7pZrTydcBQxVkXMMPKpBZsIdYhaDd-PU7X7lRcOWO_K6XN_ZKQomXvpHjnm8AmjSm9T8ad4lDYz4oHJBHBMVkshXUfajqoru1CCiHfdTF1J_3Ziq1aksNaYS-3FWYTc7zcHZJ6-TQ==&amp;uniplatform=NZKPT&amp;language=CHS" TargetMode="External" Id="rId794"/><Relationship Type="http://schemas.openxmlformats.org/officeDocument/2006/relationships/hyperlink" Target="https://d.wanfangdata.com.cn/periodical/CiBQZXJpb2RpY2FsQ0hJU29scjkyMDI2MDkxNTE0MjIxORIPemhjc3l4MjAwMTAyMDMxGghpYjFiMnVoeg%3D%3D" TargetMode="External" Id="rId795"/><Relationship Type="http://schemas.openxmlformats.org/officeDocument/2006/relationships/hyperlink" Target="https://doi.org/10.3969/j.issn.1008-6633.2001.04.036" TargetMode="External" Id="rId796"/><Relationship Type="http://schemas.openxmlformats.org/officeDocument/2006/relationships/hyperlink" Target="https://d.wanfangdata.com.cn/periodical/CiBQZXJpb2RpY2FsQ0hJU29scjkyMDI2MDkxNTE0MjIxORISaGJtdHl4eXhiMjAwMTA0MDM2GghpYjFiMnVoeg%3D%3D" TargetMode="External" Id="rId797"/><Relationship Type="http://schemas.openxmlformats.org/officeDocument/2006/relationships/hyperlink" Target="https://doi.org/10.3969/j.issn.1007-9564.2000.11.100" TargetMode="External" Id="rId798"/><Relationship Type="http://schemas.openxmlformats.org/officeDocument/2006/relationships/hyperlink" Target="https://kns.cnki.net/kcms2/article/abstract?v=DgjXjbKQq8dBvhX4eo4fXOQkJXe0Zr3u6s4tKqK64mfvfjTVUrYClXNUDFzpXzkS8dKkXNbrdFM4mmewaGblC8yI6yUUgWyKsVAVgePOBQlmwcwP4rbZpKXfKwQ3NpXvAMi3IKeB10tiLtoCquUmZRBF-nD5vZ04vwJTIWEqcmjDJ0PUSoYdbg==&amp;uniplatform=NZKPT&amp;language=CHS" TargetMode="External" Id="rId799"/><Relationship Type="http://schemas.openxmlformats.org/officeDocument/2006/relationships/hyperlink" Target="https://d.wanfangdata.com.cn/periodical/CiBQZXJpb2RpY2FsQ0hJU29scjkyMDI2MDkxNTE0MjIxORITemdtdGd5eXh6ejIwMDAxMTEwMBoIaWIxYjJ1aHo%3D" TargetMode="External" Id="rId800"/><Relationship Type="http://schemas.openxmlformats.org/officeDocument/2006/relationships/hyperlink" Target="https://doi.org/10.3969/j.issn.1007-9424.2000.06.040" TargetMode="External" Id="rId801"/><Relationship Type="http://schemas.openxmlformats.org/officeDocument/2006/relationships/hyperlink" Target="https://kns.cnki.net/kcms2/article/abstract?v=DgjXjbKQq8d-sF959QaEsclLjH937R5YsvyJkNuFSkaESwL9F6c0xvK74lAW6UcCfXawtp1KmDo8EQuE_SrcUv8OwqGn-Vio2idwIJ-g7uFd3khE2xCfbRGoCRiLDDp_j48jczwk4E0n8OqBns6JkkzChWBrQyrl32OQWa-Q_KK8wJkWhyUDCQ==&amp;uniplatform=NZKPT&amp;language=CHS" TargetMode="External" Id="rId802"/><Relationship Type="http://schemas.openxmlformats.org/officeDocument/2006/relationships/hyperlink" Target="https://d.wanfangdata.com.cn/periodical/CiBQZXJpb2RpY2FsQ0hJU29scjkyMDI2MDkxNTE0MjIxORIUemdwd2pjeWxjenoyMDAwMDYwNDAaCGliMWIydWh6" TargetMode="External" Id="rId803"/><Relationship Type="http://schemas.openxmlformats.org/officeDocument/2006/relationships/hyperlink" Target="https://kns.cnki.net/kcms2/article/abstract?v=DgjXjbKQq8el478SGlhFEuNgmQdno8E1fc2_SS1Op3cc1KpAKNkBcgE8M9pL-xCnKujsP9iYKlWLf3Ady5_iPdwu-5GTDbXBzbToXr-ScQWjR2VLRhTMUaVCl9wURHUz6C8iIEMRpw0F06ITlODnFJ6_0KHJY3s-DjXnf4CJBfNRy410B8403Q==&amp;uniplatform=NZKPT&amp;language=CHS" TargetMode="External" Id="rId804"/><Relationship Type="http://schemas.openxmlformats.org/officeDocument/2006/relationships/hyperlink" Target="https://d.wanfangdata.com.cn/periodical/CiBQZXJpb2RpY2FsQ0hJU29scjkyMDI2MDkxNTE0MjIxORIOUUsyMDAwMDEwOTU0NDIaCGliMWIydWh6" TargetMode="External" Id="rId805"/><Relationship Type="http://schemas.openxmlformats.org/officeDocument/2006/relationships/hyperlink" Target="https://www.scopus.com/pages/publications/85112384278?origin=resultslist" TargetMode="External" Id="rId806"/><Relationship Type="http://schemas.openxmlformats.org/officeDocument/2006/relationships/hyperlink" Target="https://www.scopus.com/pages/publications/85188903665?origin=resultslist" TargetMode="External" Id="rId807"/><Relationship Type="http://schemas.openxmlformats.org/officeDocument/2006/relationships/hyperlink" Target="https://www.scopus.com/pages/publications/85059596312?origin=resultslist" TargetMode="External" Id="rId808"/><Relationship Type="http://schemas.openxmlformats.org/officeDocument/2006/relationships/hyperlink" Target="https://www.scopus.com/pages/publications/85047617188?origin=resultslist" TargetMode="External" Id="rId809"/><Relationship Type="http://schemas.openxmlformats.org/officeDocument/2006/relationships/hyperlink" Target="https://www.scopus.com/pages/publications/85052888760?origin=resultslist" TargetMode="External" Id="rId810"/><Relationship Type="http://schemas.openxmlformats.org/officeDocument/2006/relationships/hyperlink" Target="https://www.scopus.com/pages/publications/85011964910?origin=resultslist" TargetMode="External" Id="rId811"/><Relationship Type="http://schemas.openxmlformats.org/officeDocument/2006/relationships/hyperlink" Target="https://www.scopus.com/pages/publications/84881640901?origin=resultslist" TargetMode="External" Id="rId812"/><Relationship Type="http://schemas.openxmlformats.org/officeDocument/2006/relationships/hyperlink" Target="https://www.scopus.com/pages/publications/77953422880?origin=resultslist" TargetMode="External" Id="rId813"/><Relationship Type="http://schemas.openxmlformats.org/officeDocument/2006/relationships/hyperlink" Target="https://www.scopus.com/pages/publications/77953397737?origin=resultslist" TargetMode="External" Id="rId814"/><Relationship Type="http://schemas.openxmlformats.org/officeDocument/2006/relationships/hyperlink" Target="https://www.scopus.com/pages/publications/84890626163?origin=resultslist" TargetMode="External" Id="rId815"/><Relationship Type="http://schemas.openxmlformats.org/officeDocument/2006/relationships/hyperlink" Target="https://www.scopus.com/pages/publications/39149086389?origin=resultslist" TargetMode="External" Id="rId816"/><Relationship Type="http://schemas.openxmlformats.org/officeDocument/2006/relationships/hyperlink" Target="https://www.scopus.com/pages/publications/33947230789?origin=resultslist" TargetMode="External" Id="rId817"/><Relationship Type="http://schemas.openxmlformats.org/officeDocument/2006/relationships/hyperlink" Target="https://www.scopus.com/pages/publications/28444465494?origin=resultslist" TargetMode="External" Id="rId818"/><Relationship Type="http://schemas.openxmlformats.org/officeDocument/2006/relationships/hyperlink" Target="https://www.scopus.com/pages/publications/33644797501?origin=resultslist" TargetMode="External" Id="rId819"/><Relationship Type="http://schemas.openxmlformats.org/officeDocument/2006/relationships/hyperlink" Target="https://www.scopus.com/pages/publications/0036059093?origin=resultslist" TargetMode="External" Id="rId820"/><Relationship Type="http://schemas.openxmlformats.org/officeDocument/2006/relationships/hyperlink" Target="https://www.scopus.com/pages/publications/0034346694?origin=resultslist" TargetMode="External" Id="rId8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全文取回清单 / Full-text retrieval worklist (draft, generated 2026-10-18)</t>
        </is>
      </c>
    </row>
    <row r="2">
      <c r="A2" s="2" t="inlineStr"/>
    </row>
    <row r="3">
      <c r="A3" s="2" t="inlineStr">
        <is>
          <t>内容：362 篇待取全文的报告（retrieval class = retrieve，数据库记录里有摘要）。不含 Y（2000 年以前，不取）和 L（其他语言，不取）。</t>
        </is>
      </c>
    </row>
    <row r="4">
      <c r="A4" s="2" t="inlineStr">
        <is>
          <t>这份清单只用于取全文，不含任何筛选判断，也不含来源列或分层标记。取回 PDF 不产生任何决定。</t>
        </is>
      </c>
    </row>
    <row r="5">
      <c r="A5" s="2" t="inlineStr"/>
    </row>
    <row r="6">
      <c r="A6" s="2" t="inlineStr">
        <is>
          <t>怎么用（Claude 的建议，尚未经三人确认）：</t>
        </is>
      </c>
    </row>
    <row r="7">
      <c r="A7" s="2" t="inlineStr">
        <is>
          <t>1. PDF 按 WS 编号命名（列 'Save PDF as'），保存在自己的电脑或网盘，不放进仓库。</t>
        </is>
      </c>
    </row>
    <row r="8">
      <c r="A8" s="2" t="inlineStr">
        <is>
          <t>2. 取全文途径按全文筛选指南 4.2 的顺序：出版社或开放获取 / PMC → 单位图书馆订阅 → 图书馆文献传递 → CNKI、万方（中文）→ 联系通讯作者。只用合法途径。</t>
        </is>
      </c>
    </row>
    <row r="9">
      <c r="A9" s="2" t="inlineStr">
        <is>
          <t>3. 每篇在黄色列记：谁取的、日期、是否取到、最终途径。没取到：写 'Routes tried'，试过什么、什么时候试的。</t>
        </is>
      </c>
    </row>
    <row r="10">
      <c r="A10" s="2" t="inlineStr">
        <is>
          <t>4. 第一次没取到的，由另一位筛选员再试一遍（第二次尝试列）。只有两人都试过所有途径、都没取到，才在 FT_log 里记 D。</t>
        </is>
      </c>
    </row>
    <row r="11">
      <c r="A11" s="2" t="inlineStr">
        <is>
          <t>5. 20 篇校准报告（列 'Calibration report' = Y）：两位筛选员各自独立取，不共用这里的记录，也不互相交换 PDF 之外的任何信息。</t>
        </is>
      </c>
    </row>
    <row r="12">
      <c r="A12" s="2" t="inlineStr">
        <is>
          <t>6. 'Route group' 只是查找的先后提示：1 = PubMed 的 ID 转换工具显示在 PMC 有记录（2026-10-18 查询；链接要点开确认是同一篇，可能有延迟开放或只是作者稿）；2 = 英文，有 DOI 或 PubMed 链接；3 = 中文；4 = 英文且无 DOI、无 PubMed 链接。</t>
        </is>
      </c>
    </row>
    <row r="13">
      <c r="A13" s="2" t="inlineStr">
        <is>
          <t>7. 链接来自数据库记录，没有逐条点开核实；个别链接可能失效或指向摘要页。</t>
        </is>
      </c>
    </row>
    <row r="14">
      <c r="A14" s="2" t="inlineStr">
        <is>
          <t>8. Summary 表里的计数是公式；本文件从未在 Excel 或 WPS 中打开过，下拉列表和公式显示如有问题请告诉舒俊。</t>
        </is>
      </c>
    </row>
    <row r="15">
      <c r="A15" s="2" t="inlineStr"/>
    </row>
    <row r="16">
      <c r="A16" s="2" t="inlineStr">
        <is>
          <t>分组计数（生成时）：1 PMC record exists: 95；2 English, DOI or PubMed link: 167；3 Chinese: 84；4 English, no DOI and no PubMed link: 16</t>
        </is>
      </c>
    </row>
    <row r="17">
      <c r="A17" s="2" t="inlineStr">
        <is>
          <t>其中校准报告 16 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10" customWidth="1" min="4" max="4"/>
    <col width="7" customWidth="1" min="5" max="5"/>
    <col width="16" customWidth="1" min="6" max="6"/>
    <col width="28" customWidth="1" min="7" max="7"/>
    <col width="16" customWidth="1" min="8" max="8"/>
    <col width="60" customWidth="1" min="9" max="9"/>
    <col width="28" customWidth="1" min="10" max="10"/>
    <col width="14" customWidth="1" min="11" max="11"/>
    <col width="14" customWidth="1" min="12" max="12"/>
    <col width="13" customWidth="1" min="13" max="13"/>
    <col width="14" customWidth="1" min="14" max="14"/>
    <col width="12" customWidth="1" min="15" max="15"/>
    <col width="12" customWidth="1" min="16" max="16"/>
    <col width="12" customWidth="1" min="17" max="17"/>
    <col width="24" customWidth="1" min="18" max="18"/>
    <col width="12" customWidth="1" min="19" max="19"/>
    <col width="13" customWidth="1" min="20" max="20"/>
    <col width="12" customWidth="1" min="21" max="21"/>
    <col width="14" customWidth="1" min="22" max="22"/>
    <col width="12" customWidth="1" min="23" max="23"/>
    <col width="26" customWidth="1" min="24" max="24"/>
    <col width="34" customWidth="1" min="25" max="25"/>
    <col width="12" customWidth="1" min="26" max="26"/>
    <col width="14" customWidth="1" min="27" max="27"/>
    <col width="12" customWidth="1" min="28" max="28"/>
    <col width="34" customWidth="1" min="29" max="29"/>
    <col width="30" customWidth="1" min="30" max="30"/>
  </cols>
  <sheetData>
    <row r="1">
      <c r="A1" s="3" t="inlineStr">
        <is>
          <t>No.</t>
        </is>
      </c>
      <c r="B1" s="3" t="inlineStr">
        <is>
          <t>WS id</t>
        </is>
      </c>
      <c r="C1" s="3" t="inlineStr">
        <is>
          <t>Year</t>
        </is>
      </c>
      <c r="D1" s="3" t="inlineStr">
        <is>
          <t>Language</t>
        </is>
      </c>
      <c r="E1" s="3" t="inlineStr">
        <is>
          <t>Type</t>
        </is>
      </c>
      <c r="F1" s="3" t="inlineStr">
        <is>
          <t>First author</t>
        </is>
      </c>
      <c r="G1" s="3" t="inlineStr">
        <is>
          <t>Journal</t>
        </is>
      </c>
      <c r="H1" s="3" t="inlineStr">
        <is>
          <t>Vol(issue):pages</t>
        </is>
      </c>
      <c r="I1" s="3" t="inlineStr">
        <is>
          <t>Title</t>
        </is>
      </c>
      <c r="J1" s="3" t="inlineStr">
        <is>
          <t>DOI</t>
        </is>
      </c>
      <c r="K1" s="3" t="inlineStr">
        <is>
          <t>DOI link</t>
        </is>
      </c>
      <c r="L1" s="3" t="inlineStr">
        <is>
          <t>PubMed link</t>
        </is>
      </c>
      <c r="M1" s="3" t="inlineStr">
        <is>
          <t>PMC id</t>
        </is>
      </c>
      <c r="N1" s="3" t="inlineStr">
        <is>
          <t>PMC link</t>
        </is>
      </c>
      <c r="O1" s="3" t="inlineStr">
        <is>
          <t>CNKI link</t>
        </is>
      </c>
      <c r="P1" s="3" t="inlineStr">
        <is>
          <t>Wanfang link</t>
        </is>
      </c>
      <c r="Q1" s="3" t="inlineStr">
        <is>
          <t>Scopus link</t>
        </is>
      </c>
      <c r="R1" s="3" t="inlineStr">
        <is>
          <t>Route group</t>
        </is>
      </c>
      <c r="S1" s="3" t="inlineStr">
        <is>
          <t>Calibration report</t>
        </is>
      </c>
      <c r="T1" s="3" t="inlineStr">
        <is>
          <t>Save PDF as</t>
        </is>
      </c>
      <c r="U1" s="4" t="inlineStr">
        <is>
          <t>Retrieved by</t>
        </is>
      </c>
      <c r="V1" s="4" t="inlineStr">
        <is>
          <t>Date (yyyy-mm-dd)</t>
        </is>
      </c>
      <c r="W1" s="4" t="inlineStr">
        <is>
          <t>Full text obtained</t>
        </is>
      </c>
      <c r="X1" s="4" t="inlineStr">
        <is>
          <t>Route</t>
        </is>
      </c>
      <c r="Y1" s="4" t="inlineStr">
        <is>
          <t>Routes tried (if not obtained)</t>
        </is>
      </c>
      <c r="Z1" s="4" t="inlineStr">
        <is>
          <t>Second try by</t>
        </is>
      </c>
      <c r="AA1" s="4" t="inlineStr">
        <is>
          <t>Second try date</t>
        </is>
      </c>
      <c r="AB1" s="4" t="inlineStr">
        <is>
          <t>Second try obtained</t>
        </is>
      </c>
      <c r="AC1" s="4" t="inlineStr">
        <is>
          <t>Second try: routes tried</t>
        </is>
      </c>
      <c r="AD1" s="4" t="inlineStr">
        <is>
          <t>Note</t>
        </is>
      </c>
    </row>
    <row r="2">
      <c r="A2" s="5" t="n">
        <v>1</v>
      </c>
      <c r="B2" s="5" t="inlineStr">
        <is>
          <t>WS0002</t>
        </is>
      </c>
      <c r="C2" s="5" t="inlineStr">
        <is>
          <t>2026</t>
        </is>
      </c>
      <c r="D2" s="5" t="inlineStr">
        <is>
          <t>English</t>
        </is>
      </c>
      <c r="E2" s="5" t="inlineStr">
        <is>
          <t>JOUR</t>
        </is>
      </c>
      <c r="F2" s="5" t="inlineStr">
        <is>
          <t>Daher</t>
        </is>
      </c>
      <c r="G2" s="5" t="inlineStr">
        <is>
          <t>International journal of surgery case reports</t>
        </is>
      </c>
      <c r="H2" s="5" t="inlineStr">
        <is>
          <t>138(9):3345-3348</t>
        </is>
      </c>
      <c r="I2" s="6" t="inlineStr">
        <is>
          <t>The diagnostic challenge of wandering spleen with torsion: a rare cause of acute abdomen in children - a case report.</t>
        </is>
      </c>
      <c r="J2" s="5" t="inlineStr">
        <is>
          <t>10.1097/rc9.0000000000000696</t>
        </is>
      </c>
      <c r="K2" s="7" t="inlineStr">
        <is>
          <t>link</t>
        </is>
      </c>
      <c r="L2" s="7" t="inlineStr">
        <is>
          <t>link</t>
        </is>
      </c>
      <c r="M2" s="5" t="inlineStr">
        <is>
          <t>PMC13544840</t>
        </is>
      </c>
      <c r="N2" s="7" t="inlineStr">
        <is>
          <t>link</t>
        </is>
      </c>
      <c r="O2" s="5" t="inlineStr"/>
      <c r="P2" s="5" t="inlineStr"/>
      <c r="Q2" s="5" t="inlineStr"/>
      <c r="R2" s="5" t="inlineStr">
        <is>
          <t>1 PMC record exists</t>
        </is>
      </c>
      <c r="S2" s="5" t="inlineStr"/>
      <c r="T2" s="5" t="inlineStr">
        <is>
          <t>WS0002.pdf</t>
        </is>
      </c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</row>
    <row r="3">
      <c r="A3" s="5" t="n">
        <v>2</v>
      </c>
      <c r="B3" s="5" t="inlineStr">
        <is>
          <t>WS0008</t>
        </is>
      </c>
      <c r="C3" s="5" t="inlineStr">
        <is>
          <t>2026</t>
        </is>
      </c>
      <c r="D3" s="5" t="inlineStr">
        <is>
          <t>English</t>
        </is>
      </c>
      <c r="E3" s="5" t="inlineStr">
        <is>
          <t>JOUR</t>
        </is>
      </c>
      <c r="F3" s="5" t="inlineStr">
        <is>
          <t>Bani Abdel-Rahman</t>
        </is>
      </c>
      <c r="G3" s="5" t="inlineStr">
        <is>
          <t>Cureus</t>
        </is>
      </c>
      <c r="H3" s="5" t="inlineStr">
        <is>
          <t>18(6):e111195</t>
        </is>
      </c>
      <c r="I3" s="6" t="inlineStr">
        <is>
          <t>Splenic Torsion in a 16-Year-Old Female With a Wandering Spleen: A Case Report.</t>
        </is>
      </c>
      <c r="J3" s="5" t="inlineStr">
        <is>
          <t>10.7759/cureus.111195</t>
        </is>
      </c>
      <c r="K3" s="7" t="inlineStr">
        <is>
          <t>link</t>
        </is>
      </c>
      <c r="L3" s="7" t="inlineStr">
        <is>
          <t>link</t>
        </is>
      </c>
      <c r="M3" s="5" t="inlineStr">
        <is>
          <t>PMC13384039</t>
        </is>
      </c>
      <c r="N3" s="7" t="inlineStr">
        <is>
          <t>link</t>
        </is>
      </c>
      <c r="O3" s="5" t="inlineStr"/>
      <c r="P3" s="5" t="inlineStr"/>
      <c r="Q3" s="5" t="inlineStr"/>
      <c r="R3" s="5" t="inlineStr">
        <is>
          <t>1 PMC record exists</t>
        </is>
      </c>
      <c r="S3" s="5" t="inlineStr"/>
      <c r="T3" s="5" t="inlineStr">
        <is>
          <t>WS0008.pdf</t>
        </is>
      </c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</row>
    <row r="4">
      <c r="A4" s="5" t="n">
        <v>3</v>
      </c>
      <c r="B4" s="5" t="inlineStr">
        <is>
          <t>WS0009</t>
        </is>
      </c>
      <c r="C4" s="5" t="inlineStr">
        <is>
          <t>2026</t>
        </is>
      </c>
      <c r="D4" s="5" t="inlineStr">
        <is>
          <t>English</t>
        </is>
      </c>
      <c r="E4" s="5" t="inlineStr">
        <is>
          <t>JOUR</t>
        </is>
      </c>
      <c r="F4" s="5" t="inlineStr">
        <is>
          <t>Altaif</t>
        </is>
      </c>
      <c r="G4" s="5" t="inlineStr">
        <is>
          <t>Cureus</t>
        </is>
      </c>
      <c r="H4" s="5" t="inlineStr">
        <is>
          <t>18(6):e110126</t>
        </is>
      </c>
      <c r="I4" s="6" t="inlineStr">
        <is>
          <t>Intermittent Torsion of a Wandering Spleen: A Case of Recurrent Acute Abdominal Pain.</t>
        </is>
      </c>
      <c r="J4" s="5" t="inlineStr">
        <is>
          <t>10.7759/cureus.110126</t>
        </is>
      </c>
      <c r="K4" s="7" t="inlineStr">
        <is>
          <t>link</t>
        </is>
      </c>
      <c r="L4" s="7" t="inlineStr">
        <is>
          <t>link</t>
        </is>
      </c>
      <c r="M4" s="5" t="inlineStr">
        <is>
          <t>PMC13326857</t>
        </is>
      </c>
      <c r="N4" s="7" t="inlineStr">
        <is>
          <t>link</t>
        </is>
      </c>
      <c r="O4" s="5" t="inlineStr"/>
      <c r="P4" s="5" t="inlineStr"/>
      <c r="Q4" s="5" t="inlineStr"/>
      <c r="R4" s="5" t="inlineStr">
        <is>
          <t>1 PMC record exists</t>
        </is>
      </c>
      <c r="S4" s="5" t="inlineStr"/>
      <c r="T4" s="5" t="inlineStr">
        <is>
          <t>WS0009.pdf</t>
        </is>
      </c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</row>
    <row r="5">
      <c r="A5" s="5" t="n">
        <v>4</v>
      </c>
      <c r="B5" s="5" t="inlineStr">
        <is>
          <t>WS0018</t>
        </is>
      </c>
      <c r="C5" s="5" t="inlineStr">
        <is>
          <t>2026</t>
        </is>
      </c>
      <c r="D5" s="5" t="inlineStr">
        <is>
          <t>English</t>
        </is>
      </c>
      <c r="E5" s="5" t="inlineStr">
        <is>
          <t>JOUR</t>
        </is>
      </c>
      <c r="F5" s="5" t="inlineStr">
        <is>
          <t>Rumhumha</t>
        </is>
      </c>
      <c r="G5" s="5" t="inlineStr">
        <is>
          <t>SA journal of radiology</t>
        </is>
      </c>
      <c r="H5" s="5" t="inlineStr">
        <is>
          <t>30(1):3366</t>
        </is>
      </c>
      <c r="I5" s="6" t="inlineStr">
        <is>
          <t>Splenic pathologies: A pictorial review of common, wandering, twisting and rare presentations.</t>
        </is>
      </c>
      <c r="J5" s="5" t="inlineStr">
        <is>
          <t>10.4102/sajr.v30i1.3366</t>
        </is>
      </c>
      <c r="K5" s="7" t="inlineStr">
        <is>
          <t>link</t>
        </is>
      </c>
      <c r="L5" s="7" t="inlineStr">
        <is>
          <t>link</t>
        </is>
      </c>
      <c r="M5" s="5" t="inlineStr">
        <is>
          <t>PMC13058552</t>
        </is>
      </c>
      <c r="N5" s="7" t="inlineStr">
        <is>
          <t>link</t>
        </is>
      </c>
      <c r="O5" s="5" t="inlineStr"/>
      <c r="P5" s="5" t="inlineStr"/>
      <c r="Q5" s="5" t="inlineStr"/>
      <c r="R5" s="5" t="inlineStr">
        <is>
          <t>1 PMC record exists</t>
        </is>
      </c>
      <c r="S5" s="5" t="inlineStr">
        <is>
          <t>Y</t>
        </is>
      </c>
      <c r="T5" s="5" t="inlineStr">
        <is>
          <t>WS0018.pdf</t>
        </is>
      </c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</row>
    <row r="6">
      <c r="A6" s="5" t="n">
        <v>5</v>
      </c>
      <c r="B6" s="5" t="inlineStr">
        <is>
          <t>WS0031</t>
        </is>
      </c>
      <c r="C6" s="5" t="inlineStr">
        <is>
          <t>2025</t>
        </is>
      </c>
      <c r="D6" s="5" t="inlineStr">
        <is>
          <t>English</t>
        </is>
      </c>
      <c r="E6" s="5" t="inlineStr">
        <is>
          <t>JOUR</t>
        </is>
      </c>
      <c r="F6" s="5" t="inlineStr">
        <is>
          <t>Vasta</t>
        </is>
      </c>
      <c r="G6" s="5" t="inlineStr">
        <is>
          <t>Frontiers in pediatrics</t>
        </is>
      </c>
      <c r="H6" s="5" t="inlineStr">
        <is>
          <t>13:1705547</t>
        </is>
      </c>
      <c r="I6" s="6" t="inlineStr">
        <is>
          <t>Gastric volvulus and wandering spleen in Pitt-Hopkins syndrome: first paediatric case report.</t>
        </is>
      </c>
      <c r="J6" s="5" t="inlineStr">
        <is>
          <t>10.3389/fped.2025.1705547</t>
        </is>
      </c>
      <c r="K6" s="7" t="inlineStr">
        <is>
          <t>link</t>
        </is>
      </c>
      <c r="L6" s="7" t="inlineStr">
        <is>
          <t>link</t>
        </is>
      </c>
      <c r="M6" s="5" t="inlineStr">
        <is>
          <t>PMC12685921</t>
        </is>
      </c>
      <c r="N6" s="7" t="inlineStr">
        <is>
          <t>link</t>
        </is>
      </c>
      <c r="O6" s="5" t="inlineStr"/>
      <c r="P6" s="5" t="inlineStr"/>
      <c r="Q6" s="5" t="inlineStr"/>
      <c r="R6" s="5" t="inlineStr">
        <is>
          <t>1 PMC record exists</t>
        </is>
      </c>
      <c r="S6" s="5" t="inlineStr"/>
      <c r="T6" s="5" t="inlineStr">
        <is>
          <t>WS0031.pdf</t>
        </is>
      </c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</row>
    <row r="7">
      <c r="A7" s="5" t="n">
        <v>6</v>
      </c>
      <c r="B7" s="5" t="inlineStr">
        <is>
          <t>WS0035</t>
        </is>
      </c>
      <c r="C7" s="5" t="inlineStr">
        <is>
          <t>2025</t>
        </is>
      </c>
      <c r="D7" s="5" t="inlineStr">
        <is>
          <t>English</t>
        </is>
      </c>
      <c r="E7" s="5" t="inlineStr">
        <is>
          <t>JOUR</t>
        </is>
      </c>
      <c r="F7" s="5" t="inlineStr">
        <is>
          <t>Layegh</t>
        </is>
      </c>
      <c r="G7" s="5" t="inlineStr">
        <is>
          <t>Clinical case reports</t>
        </is>
      </c>
      <c r="H7" s="5" t="inlineStr">
        <is>
          <t>13(10):e71007</t>
        </is>
      </c>
      <c r="I7" s="6" t="inlineStr">
        <is>
          <t>Gastric Volvulus, Pancreatic Volvulus, and Wandering Spleen: A Rare Emergency Triad Behind Acute Abdomen.</t>
        </is>
      </c>
      <c r="J7" s="5" t="inlineStr">
        <is>
          <t>10.1002/ccr3.71007</t>
        </is>
      </c>
      <c r="K7" s="7" t="inlineStr">
        <is>
          <t>link</t>
        </is>
      </c>
      <c r="L7" s="7" t="inlineStr">
        <is>
          <t>link</t>
        </is>
      </c>
      <c r="M7" s="5" t="inlineStr">
        <is>
          <t>PMC12528540</t>
        </is>
      </c>
      <c r="N7" s="7" t="inlineStr">
        <is>
          <t>link</t>
        </is>
      </c>
      <c r="O7" s="5" t="inlineStr"/>
      <c r="P7" s="5" t="inlineStr"/>
      <c r="Q7" s="5" t="inlineStr"/>
      <c r="R7" s="5" t="inlineStr">
        <is>
          <t>1 PMC record exists</t>
        </is>
      </c>
      <c r="S7" s="5" t="inlineStr"/>
      <c r="T7" s="5" t="inlineStr">
        <is>
          <t>WS0035.pdf</t>
        </is>
      </c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</row>
    <row r="8">
      <c r="A8" s="5" t="n">
        <v>7</v>
      </c>
      <c r="B8" s="5" t="inlineStr">
        <is>
          <t>WS0038</t>
        </is>
      </c>
      <c r="C8" s="5" t="inlineStr">
        <is>
          <t>2025</t>
        </is>
      </c>
      <c r="D8" s="5" t="inlineStr">
        <is>
          <t>English</t>
        </is>
      </c>
      <c r="E8" s="5" t="inlineStr">
        <is>
          <t>JOUR</t>
        </is>
      </c>
      <c r="F8" s="5" t="inlineStr">
        <is>
          <t>Yambah</t>
        </is>
      </c>
      <c r="G8" s="5" t="inlineStr">
        <is>
          <t>Clinical case reports</t>
        </is>
      </c>
      <c r="H8" s="5" t="inlineStr">
        <is>
          <t>13(10):e71204</t>
        </is>
      </c>
      <c r="I8" s="6" t="inlineStr">
        <is>
          <t>Wandering Spleen, A Rare Cause of Acute Abdomen: A Case Report.</t>
        </is>
      </c>
      <c r="J8" s="5" t="inlineStr">
        <is>
          <t>10.1002/ccr3.71204</t>
        </is>
      </c>
      <c r="K8" s="7" t="inlineStr">
        <is>
          <t>link</t>
        </is>
      </c>
      <c r="L8" s="7" t="inlineStr">
        <is>
          <t>link</t>
        </is>
      </c>
      <c r="M8" s="5" t="inlineStr">
        <is>
          <t>PMC12507506</t>
        </is>
      </c>
      <c r="N8" s="7" t="inlineStr">
        <is>
          <t>link</t>
        </is>
      </c>
      <c r="O8" s="5" t="inlineStr"/>
      <c r="P8" s="5" t="inlineStr"/>
      <c r="Q8" s="5" t="inlineStr"/>
      <c r="R8" s="5" t="inlineStr">
        <is>
          <t>1 PMC record exists</t>
        </is>
      </c>
      <c r="S8" s="5" t="inlineStr"/>
      <c r="T8" s="5" t="inlineStr">
        <is>
          <t>WS0038.pdf</t>
        </is>
      </c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</row>
    <row r="9">
      <c r="A9" s="5" t="n">
        <v>8</v>
      </c>
      <c r="B9" s="5" t="inlineStr">
        <is>
          <t>WS0040</t>
        </is>
      </c>
      <c r="C9" s="5" t="inlineStr">
        <is>
          <t>2025</t>
        </is>
      </c>
      <c r="D9" s="5" t="inlineStr">
        <is>
          <t>English</t>
        </is>
      </c>
      <c r="E9" s="5" t="inlineStr">
        <is>
          <t>JOUR</t>
        </is>
      </c>
      <c r="F9" s="5" t="inlineStr">
        <is>
          <t>M P</t>
        </is>
      </c>
      <c r="G9" s="5" t="inlineStr">
        <is>
          <t>Cureus</t>
        </is>
      </c>
      <c r="H9" s="5" t="inlineStr">
        <is>
          <t>17(8):e90043</t>
        </is>
      </c>
      <c r="I9" s="6" t="inlineStr">
        <is>
          <t>Splenic Pedicle Volvulus in a Wandering Spleen: A Rare Pediatric Emergency.</t>
        </is>
      </c>
      <c r="J9" s="5" t="inlineStr">
        <is>
          <t>10.7759/cureus.90043</t>
        </is>
      </c>
      <c r="K9" s="7" t="inlineStr">
        <is>
          <t>link</t>
        </is>
      </c>
      <c r="L9" s="7" t="inlineStr">
        <is>
          <t>link</t>
        </is>
      </c>
      <c r="M9" s="5" t="inlineStr">
        <is>
          <t>PMC12432479</t>
        </is>
      </c>
      <c r="N9" s="7" t="inlineStr">
        <is>
          <t>link</t>
        </is>
      </c>
      <c r="O9" s="5" t="inlineStr"/>
      <c r="P9" s="5" t="inlineStr"/>
      <c r="Q9" s="5" t="inlineStr"/>
      <c r="R9" s="5" t="inlineStr">
        <is>
          <t>1 PMC record exists</t>
        </is>
      </c>
      <c r="S9" s="5" t="inlineStr"/>
      <c r="T9" s="5" t="inlineStr">
        <is>
          <t>WS0040.pdf</t>
        </is>
      </c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</row>
    <row r="10">
      <c r="A10" s="5" t="n">
        <v>9</v>
      </c>
      <c r="B10" s="5" t="inlineStr">
        <is>
          <t>WS0042</t>
        </is>
      </c>
      <c r="C10" s="5" t="inlineStr">
        <is>
          <t>2025</t>
        </is>
      </c>
      <c r="D10" s="5" t="inlineStr">
        <is>
          <t>English</t>
        </is>
      </c>
      <c r="E10" s="5" t="inlineStr">
        <is>
          <t>JOUR</t>
        </is>
      </c>
      <c r="F10" s="5" t="inlineStr">
        <is>
          <t>Liu</t>
        </is>
      </c>
      <c r="G10" s="5" t="inlineStr">
        <is>
          <t>Frontiers in medicine</t>
        </is>
      </c>
      <c r="H10" s="5" t="inlineStr">
        <is>
          <t>12:1646831</t>
        </is>
      </c>
      <c r="I10" s="6" t="inlineStr">
        <is>
          <t>Splenectomy for wandering spleen with pedicle torsion in a 17-year-old: a case report.</t>
        </is>
      </c>
      <c r="J10" s="5" t="inlineStr">
        <is>
          <t>10.3389/fmed.2025.1646831</t>
        </is>
      </c>
      <c r="K10" s="7" t="inlineStr">
        <is>
          <t>link</t>
        </is>
      </c>
      <c r="L10" s="7" t="inlineStr">
        <is>
          <t>link</t>
        </is>
      </c>
      <c r="M10" s="5" t="inlineStr">
        <is>
          <t>PMC12391071</t>
        </is>
      </c>
      <c r="N10" s="7" t="inlineStr">
        <is>
          <t>link</t>
        </is>
      </c>
      <c r="O10" s="5" t="inlineStr"/>
      <c r="P10" s="5" t="inlineStr"/>
      <c r="Q10" s="5" t="inlineStr"/>
      <c r="R10" s="5" t="inlineStr">
        <is>
          <t>1 PMC record exists</t>
        </is>
      </c>
      <c r="S10" s="5" t="inlineStr"/>
      <c r="T10" s="5" t="inlineStr">
        <is>
          <t>WS0042.pdf</t>
        </is>
      </c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</row>
    <row r="11">
      <c r="A11" s="5" t="n">
        <v>10</v>
      </c>
      <c r="B11" s="5" t="inlineStr">
        <is>
          <t>WS0043</t>
        </is>
      </c>
      <c r="C11" s="5" t="inlineStr">
        <is>
          <t>2025</t>
        </is>
      </c>
      <c r="D11" s="5" t="inlineStr">
        <is>
          <t>English</t>
        </is>
      </c>
      <c r="E11" s="5" t="inlineStr">
        <is>
          <t>JOUR</t>
        </is>
      </c>
      <c r="F11" s="5" t="inlineStr">
        <is>
          <t>Innami</t>
        </is>
      </c>
      <c r="G11" s="5" t="inlineStr">
        <is>
          <t>Surgical case reports</t>
        </is>
      </c>
      <c r="H11" s="5" t="inlineStr">
        <is>
          <t>11(1)</t>
        </is>
      </c>
      <c r="I11" s="6" t="inlineStr">
        <is>
          <t>Detorsion of Wandering Spleen Causes Significant Hypersplenism Resulting in Thrombocytopenia and Spinal Cord Injury: A Case Report.</t>
        </is>
      </c>
      <c r="J11" s="5" t="inlineStr">
        <is>
          <t>10.70352/scrj.cr.25-0111</t>
        </is>
      </c>
      <c r="K11" s="7" t="inlineStr">
        <is>
          <t>link</t>
        </is>
      </c>
      <c r="L11" s="7" t="inlineStr">
        <is>
          <t>link</t>
        </is>
      </c>
      <c r="M11" s="5" t="inlineStr">
        <is>
          <t>PMC12377856</t>
        </is>
      </c>
      <c r="N11" s="7" t="inlineStr">
        <is>
          <t>link</t>
        </is>
      </c>
      <c r="O11" s="5" t="inlineStr"/>
      <c r="P11" s="5" t="inlineStr"/>
      <c r="Q11" s="5" t="inlineStr"/>
      <c r="R11" s="5" t="inlineStr">
        <is>
          <t>1 PMC record exists</t>
        </is>
      </c>
      <c r="S11" s="5" t="inlineStr"/>
      <c r="T11" s="5" t="inlineStr">
        <is>
          <t>WS0043.pdf</t>
        </is>
      </c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</row>
    <row r="12">
      <c r="A12" s="5" t="n">
        <v>11</v>
      </c>
      <c r="B12" s="5" t="inlineStr">
        <is>
          <t>WS0044</t>
        </is>
      </c>
      <c r="C12" s="5" t="inlineStr">
        <is>
          <t>2025</t>
        </is>
      </c>
      <c r="D12" s="5" t="inlineStr">
        <is>
          <t>English</t>
        </is>
      </c>
      <c r="E12" s="5" t="inlineStr">
        <is>
          <t>JOUR</t>
        </is>
      </c>
      <c r="F12" s="5" t="inlineStr">
        <is>
          <t>Al Blooshi</t>
        </is>
      </c>
      <c r="G12" s="5" t="inlineStr">
        <is>
          <t>BMC pediatrics</t>
        </is>
      </c>
      <c r="H12" s="5" t="inlineStr">
        <is>
          <t>25(1):631</t>
        </is>
      </c>
      <c r="I12" s="6" t="inlineStr">
        <is>
          <t>The enigmatic wandering spleen: managing three cases in a tertiary setting.</t>
        </is>
      </c>
      <c r="J12" s="5" t="inlineStr">
        <is>
          <t>10.1186/s12887-025-06005-9</t>
        </is>
      </c>
      <c r="K12" s="7" t="inlineStr">
        <is>
          <t>link</t>
        </is>
      </c>
      <c r="L12" s="7" t="inlineStr">
        <is>
          <t>link</t>
        </is>
      </c>
      <c r="M12" s="5" t="inlineStr">
        <is>
          <t>PMC12366119</t>
        </is>
      </c>
      <c r="N12" s="7" t="inlineStr">
        <is>
          <t>link</t>
        </is>
      </c>
      <c r="O12" s="5" t="inlineStr"/>
      <c r="P12" s="5" t="inlineStr"/>
      <c r="Q12" s="5" t="inlineStr"/>
      <c r="R12" s="5" t="inlineStr">
        <is>
          <t>1 PMC record exists</t>
        </is>
      </c>
      <c r="S12" s="5" t="inlineStr"/>
      <c r="T12" s="5" t="inlineStr">
        <is>
          <t>WS0044.pdf</t>
        </is>
      </c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</row>
    <row r="13">
      <c r="A13" s="5" t="n">
        <v>12</v>
      </c>
      <c r="B13" s="5" t="inlineStr">
        <is>
          <t>WS0045</t>
        </is>
      </c>
      <c r="C13" s="5" t="inlineStr">
        <is>
          <t>2025</t>
        </is>
      </c>
      <c r="D13" s="5" t="inlineStr">
        <is>
          <t>English</t>
        </is>
      </c>
      <c r="E13" s="5" t="inlineStr">
        <is>
          <t>JOUR</t>
        </is>
      </c>
      <c r="F13" s="5" t="inlineStr">
        <is>
          <t>Benbrahim</t>
        </is>
      </c>
      <c r="G13" s="5" t="inlineStr">
        <is>
          <t>Radiology case reports</t>
        </is>
      </c>
      <c r="H13" s="5" t="inlineStr">
        <is>
          <t>20(11):5474-5477</t>
        </is>
      </c>
      <c r="I13" s="6" t="inlineStr">
        <is>
          <t>Wandering spleen torsion with splenic vein thrombosis: A case report.</t>
        </is>
      </c>
      <c r="J13" s="5" t="inlineStr">
        <is>
          <t>10.1016/j.radcr.2025.05.050</t>
        </is>
      </c>
      <c r="K13" s="7" t="inlineStr">
        <is>
          <t>link</t>
        </is>
      </c>
      <c r="L13" s="7" t="inlineStr">
        <is>
          <t>link</t>
        </is>
      </c>
      <c r="M13" s="5" t="inlineStr">
        <is>
          <t>PMC12356290</t>
        </is>
      </c>
      <c r="N13" s="7" t="inlineStr">
        <is>
          <t>link</t>
        </is>
      </c>
      <c r="O13" s="5" t="inlineStr"/>
      <c r="P13" s="5" t="inlineStr"/>
      <c r="Q13" s="5" t="inlineStr"/>
      <c r="R13" s="5" t="inlineStr">
        <is>
          <t>1 PMC record exists</t>
        </is>
      </c>
      <c r="S13" s="5" t="inlineStr"/>
      <c r="T13" s="5" t="inlineStr">
        <is>
          <t>WS0045.pdf</t>
        </is>
      </c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</row>
    <row r="14">
      <c r="A14" s="5" t="n">
        <v>13</v>
      </c>
      <c r="B14" s="5" t="inlineStr">
        <is>
          <t>WS0047</t>
        </is>
      </c>
      <c r="C14" s="5" t="inlineStr">
        <is>
          <t>2025</t>
        </is>
      </c>
      <c r="D14" s="5" t="inlineStr">
        <is>
          <t>English</t>
        </is>
      </c>
      <c r="E14" s="5" t="inlineStr">
        <is>
          <t>JOUR</t>
        </is>
      </c>
      <c r="F14" s="5" t="inlineStr">
        <is>
          <t>Sawaftah</t>
        </is>
      </c>
      <c r="G14" s="5" t="inlineStr">
        <is>
          <t>Case reports in pediatrics</t>
        </is>
      </c>
      <c r="H14" s="5" t="inlineStr">
        <is>
          <t>2025(1):9927034</t>
        </is>
      </c>
      <c r="I14" s="6" t="inlineStr">
        <is>
          <t>Massively Enlarged Wandering Spleen With Torsion and Infarction in a 10-Year-Old: Case Report and Comprehensive Literature Review.</t>
        </is>
      </c>
      <c r="J14" s="5" t="inlineStr">
        <is>
          <t>10.1155/crpe/9927034</t>
        </is>
      </c>
      <c r="K14" s="7" t="inlineStr">
        <is>
          <t>link</t>
        </is>
      </c>
      <c r="L14" s="7" t="inlineStr">
        <is>
          <t>link</t>
        </is>
      </c>
      <c r="M14" s="5" t="inlineStr">
        <is>
          <t>PMC12349995</t>
        </is>
      </c>
      <c r="N14" s="7" t="inlineStr">
        <is>
          <t>link</t>
        </is>
      </c>
      <c r="O14" s="5" t="inlineStr"/>
      <c r="P14" s="5" t="inlineStr"/>
      <c r="Q14" s="5" t="inlineStr"/>
      <c r="R14" s="5" t="inlineStr">
        <is>
          <t>1 PMC record exists</t>
        </is>
      </c>
      <c r="S14" s="5" t="inlineStr"/>
      <c r="T14" s="5" t="inlineStr">
        <is>
          <t>WS0047.pdf</t>
        </is>
      </c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</row>
    <row r="15">
      <c r="A15" s="5" t="n">
        <v>14</v>
      </c>
      <c r="B15" s="5" t="inlineStr">
        <is>
          <t>WS0048</t>
        </is>
      </c>
      <c r="C15" s="5" t="inlineStr">
        <is>
          <t>2025</t>
        </is>
      </c>
      <c r="D15" s="5" t="inlineStr">
        <is>
          <t>English</t>
        </is>
      </c>
      <c r="E15" s="5" t="inlineStr">
        <is>
          <t>JOUR</t>
        </is>
      </c>
      <c r="F15" s="5" t="inlineStr">
        <is>
          <t>Knight</t>
        </is>
      </c>
      <c r="G15" s="5" t="inlineStr">
        <is>
          <t>Pediatric transplantation</t>
        </is>
      </c>
      <c r="H15" s="5" t="inlineStr">
        <is>
          <t>29(6):e70161</t>
        </is>
      </c>
      <c r="I15" s="6" t="inlineStr">
        <is>
          <t>Wandering Spleen in a Pediatric Lung Transplant Patient With Filamin A Deficiency: An Incidental Finding.</t>
        </is>
      </c>
      <c r="J15" s="5" t="inlineStr">
        <is>
          <t>10.1111/petr.70161</t>
        </is>
      </c>
      <c r="K15" s="7" t="inlineStr">
        <is>
          <t>link</t>
        </is>
      </c>
      <c r="L15" s="7" t="inlineStr">
        <is>
          <t>link</t>
        </is>
      </c>
      <c r="M15" s="5" t="inlineStr">
        <is>
          <t>PMC12350825</t>
        </is>
      </c>
      <c r="N15" s="7" t="inlineStr">
        <is>
          <t>link</t>
        </is>
      </c>
      <c r="O15" s="5" t="inlineStr"/>
      <c r="P15" s="5" t="inlineStr"/>
      <c r="Q15" s="5" t="inlineStr"/>
      <c r="R15" s="5" t="inlineStr">
        <is>
          <t>1 PMC record exists</t>
        </is>
      </c>
      <c r="S15" s="5" t="inlineStr"/>
      <c r="T15" s="5" t="inlineStr">
        <is>
          <t>WS0048.pdf</t>
        </is>
      </c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</row>
    <row r="16">
      <c r="A16" s="5" t="n">
        <v>15</v>
      </c>
      <c r="B16" s="5" t="inlineStr">
        <is>
          <t>WS0053</t>
        </is>
      </c>
      <c r="C16" s="5" t="inlineStr">
        <is>
          <t>2025</t>
        </is>
      </c>
      <c r="D16" s="5" t="inlineStr">
        <is>
          <t>English</t>
        </is>
      </c>
      <c r="E16" s="5" t="inlineStr">
        <is>
          <t>JOUR</t>
        </is>
      </c>
      <c r="F16" s="5" t="inlineStr">
        <is>
          <t>Arkuszewski</t>
        </is>
      </c>
      <c r="G16" s="5" t="inlineStr">
        <is>
          <t>Journal of clinical medicine</t>
        </is>
      </c>
      <c r="H16" s="5" t="inlineStr">
        <is>
          <t>14(14)</t>
        </is>
      </c>
      <c r="I16" s="6" t="inlineStr">
        <is>
          <t>Splenic Torsion Following Blunt Abdominal Trauma.</t>
        </is>
      </c>
      <c r="J16" s="5" t="inlineStr">
        <is>
          <t>10.3390/jcm14145107</t>
        </is>
      </c>
      <c r="K16" s="7" t="inlineStr">
        <is>
          <t>link</t>
        </is>
      </c>
      <c r="L16" s="7" t="inlineStr">
        <is>
          <t>link</t>
        </is>
      </c>
      <c r="M16" s="5" t="inlineStr">
        <is>
          <t>PMC12295792</t>
        </is>
      </c>
      <c r="N16" s="7" t="inlineStr">
        <is>
          <t>link</t>
        </is>
      </c>
      <c r="O16" s="5" t="inlineStr"/>
      <c r="P16" s="5" t="inlineStr"/>
      <c r="Q16" s="5" t="inlineStr"/>
      <c r="R16" s="5" t="inlineStr">
        <is>
          <t>1 PMC record exists</t>
        </is>
      </c>
      <c r="S16" s="5" t="inlineStr"/>
      <c r="T16" s="5" t="inlineStr">
        <is>
          <t>WS0053.pdf</t>
        </is>
      </c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</row>
    <row r="17">
      <c r="A17" s="5" t="n">
        <v>16</v>
      </c>
      <c r="B17" s="5" t="inlineStr">
        <is>
          <t>WS0055</t>
        </is>
      </c>
      <c r="C17" s="5" t="inlineStr">
        <is>
          <t>2025</t>
        </is>
      </c>
      <c r="D17" s="5" t="inlineStr">
        <is>
          <t>English</t>
        </is>
      </c>
      <c r="E17" s="5" t="inlineStr">
        <is>
          <t>JOUR</t>
        </is>
      </c>
      <c r="F17" s="5" t="inlineStr">
        <is>
          <t>Di</t>
        </is>
      </c>
      <c r="G17" s="5" t="inlineStr">
        <is>
          <t>Frontiers in surgery</t>
        </is>
      </c>
      <c r="H17" s="5" t="inlineStr">
        <is>
          <t>12:1586986</t>
        </is>
      </c>
      <c r="I17" s="6" t="inlineStr">
        <is>
          <t>Ultrasonographic diagnosis of splenic torsion: a case report.</t>
        </is>
      </c>
      <c r="J17" s="5" t="inlineStr">
        <is>
          <t>10.3389/fsurg.2025.1586986</t>
        </is>
      </c>
      <c r="K17" s="7" t="inlineStr">
        <is>
          <t>link</t>
        </is>
      </c>
      <c r="L17" s="7" t="inlineStr">
        <is>
          <t>link</t>
        </is>
      </c>
      <c r="M17" s="5" t="inlineStr">
        <is>
          <t>PMC12222168</t>
        </is>
      </c>
      <c r="N17" s="7" t="inlineStr">
        <is>
          <t>link</t>
        </is>
      </c>
      <c r="O17" s="5" t="inlineStr"/>
      <c r="P17" s="5" t="inlineStr"/>
      <c r="Q17" s="5" t="inlineStr"/>
      <c r="R17" s="5" t="inlineStr">
        <is>
          <t>1 PMC record exists</t>
        </is>
      </c>
      <c r="S17" s="5" t="inlineStr"/>
      <c r="T17" s="5" t="inlineStr">
        <is>
          <t>WS0055.pdf</t>
        </is>
      </c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</row>
    <row r="18">
      <c r="A18" s="5" t="n">
        <v>17</v>
      </c>
      <c r="B18" s="5" t="inlineStr">
        <is>
          <t>WS0057</t>
        </is>
      </c>
      <c r="C18" s="5" t="inlineStr">
        <is>
          <t>2025</t>
        </is>
      </c>
      <c r="D18" s="5" t="inlineStr">
        <is>
          <t>English</t>
        </is>
      </c>
      <c r="E18" s="5" t="inlineStr">
        <is>
          <t>JOUR</t>
        </is>
      </c>
      <c r="F18" s="5" t="inlineStr">
        <is>
          <t>Siouri</t>
        </is>
      </c>
      <c r="G18" s="5" t="inlineStr">
        <is>
          <t>Radiology case reports</t>
        </is>
      </c>
      <c r="H18" s="5" t="inlineStr">
        <is>
          <t>20(9):4469-4473</t>
        </is>
      </c>
      <c r="I18" s="6" t="inlineStr">
        <is>
          <t>Wandering spleen presenting as a pelvic mass: A rare case report and literature review.</t>
        </is>
      </c>
      <c r="J18" s="5" t="inlineStr">
        <is>
          <t>10.1016/j.radcr.2025.05.063</t>
        </is>
      </c>
      <c r="K18" s="7" t="inlineStr">
        <is>
          <t>link</t>
        </is>
      </c>
      <c r="L18" s="7" t="inlineStr">
        <is>
          <t>link</t>
        </is>
      </c>
      <c r="M18" s="5" t="inlineStr">
        <is>
          <t>PMC12221586</t>
        </is>
      </c>
      <c r="N18" s="7" t="inlineStr">
        <is>
          <t>link</t>
        </is>
      </c>
      <c r="O18" s="5" t="inlineStr"/>
      <c r="P18" s="5" t="inlineStr"/>
      <c r="Q18" s="5" t="inlineStr"/>
      <c r="R18" s="5" t="inlineStr">
        <is>
          <t>1 PMC record exists</t>
        </is>
      </c>
      <c r="S18" s="5" t="inlineStr"/>
      <c r="T18" s="5" t="inlineStr">
        <is>
          <t>WS0057.pdf</t>
        </is>
      </c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</row>
    <row r="19">
      <c r="A19" s="5" t="n">
        <v>18</v>
      </c>
      <c r="B19" s="5" t="inlineStr">
        <is>
          <t>WS0061</t>
        </is>
      </c>
      <c r="C19" s="5" t="inlineStr">
        <is>
          <t>2025</t>
        </is>
      </c>
      <c r="D19" s="5" t="inlineStr">
        <is>
          <t>English</t>
        </is>
      </c>
      <c r="E19" s="5" t="inlineStr">
        <is>
          <t>JOUR</t>
        </is>
      </c>
      <c r="F19" s="5" t="inlineStr">
        <is>
          <t>Lombardo</t>
        </is>
      </c>
      <c r="G19" s="5" t="inlineStr">
        <is>
          <t>Case reports in radiology</t>
        </is>
      </c>
      <c r="H19" s="5" t="inlineStr">
        <is>
          <t>2025:6697671</t>
        </is>
      </c>
      <c r="I19" s="6" t="inlineStr">
        <is>
          <t>The Wanderer: Acute Abdomen Secondary to a Wandering Spleen.</t>
        </is>
      </c>
      <c r="J19" s="5" t="inlineStr">
        <is>
          <t>10.1155/crra/6697671</t>
        </is>
      </c>
      <c r="K19" s="7" t="inlineStr">
        <is>
          <t>link</t>
        </is>
      </c>
      <c r="L19" s="7" t="inlineStr">
        <is>
          <t>link</t>
        </is>
      </c>
      <c r="M19" s="5" t="inlineStr">
        <is>
          <t>PMC12173544</t>
        </is>
      </c>
      <c r="N19" s="7" t="inlineStr">
        <is>
          <t>link</t>
        </is>
      </c>
      <c r="O19" s="5" t="inlineStr"/>
      <c r="P19" s="5" t="inlineStr"/>
      <c r="Q19" s="5" t="inlineStr"/>
      <c r="R19" s="5" t="inlineStr">
        <is>
          <t>1 PMC record exists</t>
        </is>
      </c>
      <c r="S19" s="5" t="inlineStr"/>
      <c r="T19" s="5" t="inlineStr">
        <is>
          <t>WS0061.pdf</t>
        </is>
      </c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</row>
    <row r="20">
      <c r="A20" s="5" t="n">
        <v>19</v>
      </c>
      <c r="B20" s="5" t="inlineStr">
        <is>
          <t>WS0067</t>
        </is>
      </c>
      <c r="C20" s="5" t="inlineStr">
        <is>
          <t>2025</t>
        </is>
      </c>
      <c r="D20" s="5" t="inlineStr">
        <is>
          <t>English</t>
        </is>
      </c>
      <c r="E20" s="5" t="inlineStr">
        <is>
          <t>JOUR</t>
        </is>
      </c>
      <c r="F20" s="5" t="inlineStr">
        <is>
          <t>Aljuba</t>
        </is>
      </c>
      <c r="G20" s="5" t="inlineStr">
        <is>
          <t>International journal of surgery case reports</t>
        </is>
      </c>
      <c r="H20" s="5" t="inlineStr">
        <is>
          <t>131:111421</t>
        </is>
      </c>
      <c r="I20" s="6" t="inlineStr">
        <is>
          <t>A case of torsed wandering spleen presenting as perforated acute appendicitis: A case report and literature review.</t>
        </is>
      </c>
      <c r="J20" s="5" t="inlineStr">
        <is>
          <t>10.1016/j.ijscr.2025.111421</t>
        </is>
      </c>
      <c r="K20" s="7" t="inlineStr">
        <is>
          <t>link</t>
        </is>
      </c>
      <c r="L20" s="7" t="inlineStr">
        <is>
          <t>link</t>
        </is>
      </c>
      <c r="M20" s="5" t="inlineStr">
        <is>
          <t>PMC12139484</t>
        </is>
      </c>
      <c r="N20" s="7" t="inlineStr">
        <is>
          <t>link</t>
        </is>
      </c>
      <c r="O20" s="5" t="inlineStr"/>
      <c r="P20" s="5" t="inlineStr"/>
      <c r="Q20" s="5" t="inlineStr"/>
      <c r="R20" s="5" t="inlineStr">
        <is>
          <t>1 PMC record exists</t>
        </is>
      </c>
      <c r="S20" s="5" t="inlineStr"/>
      <c r="T20" s="5" t="inlineStr">
        <is>
          <t>WS0067.pdf</t>
        </is>
      </c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</row>
    <row r="21">
      <c r="A21" s="5" t="n">
        <v>20</v>
      </c>
      <c r="B21" s="5" t="inlineStr">
        <is>
          <t>WS0068</t>
        </is>
      </c>
      <c r="C21" s="5" t="inlineStr">
        <is>
          <t>2025</t>
        </is>
      </c>
      <c r="D21" s="5" t="inlineStr">
        <is>
          <t>English</t>
        </is>
      </c>
      <c r="E21" s="5" t="inlineStr">
        <is>
          <t>JOUR</t>
        </is>
      </c>
      <c r="F21" s="5" t="inlineStr">
        <is>
          <t>Elnour</t>
        </is>
      </c>
      <c r="G21" s="5" t="inlineStr">
        <is>
          <t>International journal of surgery case reports</t>
        </is>
      </c>
      <c r="H21" s="5" t="inlineStr">
        <is>
          <t>131:111391</t>
        </is>
      </c>
      <c r="I21" s="6" t="inlineStr">
        <is>
          <t>A painful twist: Wandering spleen with torsion and infarction: A case report.</t>
        </is>
      </c>
      <c r="J21" s="5" t="inlineStr">
        <is>
          <t>10.1016/j.ijscr.2025.111391</t>
        </is>
      </c>
      <c r="K21" s="7" t="inlineStr">
        <is>
          <t>link</t>
        </is>
      </c>
      <c r="L21" s="7" t="inlineStr">
        <is>
          <t>link</t>
        </is>
      </c>
      <c r="M21" s="5" t="inlineStr">
        <is>
          <t>PMC12423696</t>
        </is>
      </c>
      <c r="N21" s="7" t="inlineStr">
        <is>
          <t>link</t>
        </is>
      </c>
      <c r="O21" s="5" t="inlineStr"/>
      <c r="P21" s="5" t="inlineStr"/>
      <c r="Q21" s="5" t="inlineStr"/>
      <c r="R21" s="5" t="inlineStr">
        <is>
          <t>1 PMC record exists</t>
        </is>
      </c>
      <c r="S21" s="5" t="inlineStr"/>
      <c r="T21" s="5" t="inlineStr">
        <is>
          <t>WS0068.pdf</t>
        </is>
      </c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</row>
    <row r="22">
      <c r="A22" s="5" t="n">
        <v>21</v>
      </c>
      <c r="B22" s="5" t="inlineStr">
        <is>
          <t>WS0072</t>
        </is>
      </c>
      <c r="C22" s="5" t="inlineStr">
        <is>
          <t>2025</t>
        </is>
      </c>
      <c r="D22" s="5" t="inlineStr">
        <is>
          <t>English</t>
        </is>
      </c>
      <c r="E22" s="5" t="inlineStr">
        <is>
          <t>JOUR</t>
        </is>
      </c>
      <c r="F22" s="5" t="inlineStr">
        <is>
          <t>Melkamu</t>
        </is>
      </c>
      <c r="G22" s="5" t="inlineStr">
        <is>
          <t>International journal of surgery case reports</t>
        </is>
      </c>
      <c r="H22" s="5" t="inlineStr">
        <is>
          <t>129:111144</t>
        </is>
      </c>
      <c r="I22" s="6" t="inlineStr">
        <is>
          <t>Torsion of a wandering spleen, a rare cause of acute abdomen: A case report.</t>
        </is>
      </c>
      <c r="J22" s="5" t="inlineStr">
        <is>
          <t>10.1016/j.ijscr.2025.111144</t>
        </is>
      </c>
      <c r="K22" s="7" t="inlineStr">
        <is>
          <t>link</t>
        </is>
      </c>
      <c r="L22" s="7" t="inlineStr">
        <is>
          <t>link</t>
        </is>
      </c>
      <c r="M22" s="5" t="inlineStr">
        <is>
          <t>PMC11981770</t>
        </is>
      </c>
      <c r="N22" s="7" t="inlineStr">
        <is>
          <t>link</t>
        </is>
      </c>
      <c r="O22" s="5" t="inlineStr"/>
      <c r="P22" s="5" t="inlineStr"/>
      <c r="Q22" s="5" t="inlineStr"/>
      <c r="R22" s="5" t="inlineStr">
        <is>
          <t>1 PMC record exists</t>
        </is>
      </c>
      <c r="S22" s="5" t="inlineStr"/>
      <c r="T22" s="5" t="inlineStr">
        <is>
          <t>WS0072.pdf</t>
        </is>
      </c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</row>
    <row r="23">
      <c r="A23" s="5" t="n">
        <v>22</v>
      </c>
      <c r="B23" s="5" t="inlineStr">
        <is>
          <t>WS0077</t>
        </is>
      </c>
      <c r="C23" s="5" t="inlineStr">
        <is>
          <t>2025</t>
        </is>
      </c>
      <c r="D23" s="5" t="inlineStr">
        <is>
          <t>English</t>
        </is>
      </c>
      <c r="E23" s="5" t="inlineStr">
        <is>
          <t>JOUR</t>
        </is>
      </c>
      <c r="F23" s="5" t="inlineStr">
        <is>
          <t>Mandarano</t>
        </is>
      </c>
      <c r="G23" s="5" t="inlineStr">
        <is>
          <t>Journal of Indian Association of Pediatric Surgeons</t>
        </is>
      </c>
      <c r="H23" s="5" t="inlineStr">
        <is>
          <t>30(1):81-86</t>
        </is>
      </c>
      <c r="I23" s="6" t="inlineStr">
        <is>
          <t>Acute Gastric Volvulus Associated with Wandering Spleen and Diaphragmatic Eventration in a 5-month-old Girl.</t>
        </is>
      </c>
      <c r="J23" s="5" t="inlineStr">
        <is>
          <t>10.4103/jiaps.jiaps_122_24</t>
        </is>
      </c>
      <c r="K23" s="7" t="inlineStr">
        <is>
          <t>link</t>
        </is>
      </c>
      <c r="L23" s="7" t="inlineStr">
        <is>
          <t>link</t>
        </is>
      </c>
      <c r="M23" s="5" t="inlineStr">
        <is>
          <t>PMC11832090</t>
        </is>
      </c>
      <c r="N23" s="7" t="inlineStr">
        <is>
          <t>link</t>
        </is>
      </c>
      <c r="O23" s="5" t="inlineStr"/>
      <c r="P23" s="5" t="inlineStr"/>
      <c r="Q23" s="5" t="inlineStr"/>
      <c r="R23" s="5" t="inlineStr">
        <is>
          <t>1 PMC record exists</t>
        </is>
      </c>
      <c r="S23" s="5" t="inlineStr"/>
      <c r="T23" s="5" t="inlineStr">
        <is>
          <t>WS0077.pdf</t>
        </is>
      </c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</row>
    <row r="24">
      <c r="A24" s="5" t="n">
        <v>23</v>
      </c>
      <c r="B24" s="5" t="inlineStr">
        <is>
          <t>WS0079</t>
        </is>
      </c>
      <c r="C24" s="5" t="inlineStr">
        <is>
          <t>2025</t>
        </is>
      </c>
      <c r="D24" s="5" t="inlineStr">
        <is>
          <t>English</t>
        </is>
      </c>
      <c r="E24" s="5" t="inlineStr">
        <is>
          <t>JOUR</t>
        </is>
      </c>
      <c r="F24" s="5" t="inlineStr">
        <is>
          <t>Truong</t>
        </is>
      </c>
      <c r="G24" s="5" t="inlineStr">
        <is>
          <t>Radiology case reports</t>
        </is>
      </c>
      <c r="H24" s="5" t="inlineStr">
        <is>
          <t>20(4):1791-1794</t>
        </is>
      </c>
      <c r="I24" s="6" t="inlineStr">
        <is>
          <t>Wandering spleen with torsion in pelvic: A case report and literature review.</t>
        </is>
      </c>
      <c r="J24" s="5" t="inlineStr">
        <is>
          <t>10.1016/j.radcr.2024.12.047</t>
        </is>
      </c>
      <c r="K24" s="7" t="inlineStr">
        <is>
          <t>link</t>
        </is>
      </c>
      <c r="L24" s="7" t="inlineStr">
        <is>
          <t>link</t>
        </is>
      </c>
      <c r="M24" s="5" t="inlineStr">
        <is>
          <t>PMC11782806</t>
        </is>
      </c>
      <c r="N24" s="7" t="inlineStr">
        <is>
          <t>link</t>
        </is>
      </c>
      <c r="O24" s="5" t="inlineStr"/>
      <c r="P24" s="5" t="inlineStr"/>
      <c r="Q24" s="5" t="inlineStr"/>
      <c r="R24" s="5" t="inlineStr">
        <is>
          <t>1 PMC record exists</t>
        </is>
      </c>
      <c r="S24" s="5" t="inlineStr"/>
      <c r="T24" s="5" t="inlineStr">
        <is>
          <t>WS0079.pdf</t>
        </is>
      </c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</row>
    <row r="25">
      <c r="A25" s="5" t="n">
        <v>24</v>
      </c>
      <c r="B25" s="5" t="inlineStr">
        <is>
          <t>WS0120</t>
        </is>
      </c>
      <c r="C25" s="5" t="inlineStr">
        <is>
          <t>2025</t>
        </is>
      </c>
      <c r="D25" s="5" t="inlineStr">
        <is>
          <t>English</t>
        </is>
      </c>
      <c r="E25" s="5" t="inlineStr">
        <is>
          <t>JOUR</t>
        </is>
      </c>
      <c r="F25" s="5" t="inlineStr">
        <is>
          <t>Merchant</t>
        </is>
      </c>
      <c r="G25" s="5" t="inlineStr">
        <is>
          <t>Journal of minimal access surgery</t>
        </is>
      </c>
      <c r="H25" s="5" t="inlineStr">
        <is>
          <t>21(1):77-79</t>
        </is>
      </c>
      <c r="I25" s="6" t="inlineStr">
        <is>
          <t>Totally laparoscopic partial splenectomy and gastropexy for a splenic cyst in a wandering spleen.</t>
        </is>
      </c>
      <c r="J25" s="5" t="inlineStr">
        <is>
          <t>10.4103/jmas.jmas_212_23</t>
        </is>
      </c>
      <c r="K25" s="7" t="inlineStr">
        <is>
          <t>link</t>
        </is>
      </c>
      <c r="L25" s="7" t="inlineStr">
        <is>
          <t>link</t>
        </is>
      </c>
      <c r="M25" s="5" t="inlineStr">
        <is>
          <t>PMC11838794</t>
        </is>
      </c>
      <c r="N25" s="7" t="inlineStr">
        <is>
          <t>link</t>
        </is>
      </c>
      <c r="O25" s="5" t="inlineStr"/>
      <c r="P25" s="5" t="inlineStr"/>
      <c r="Q25" s="5" t="inlineStr"/>
      <c r="R25" s="5" t="inlineStr">
        <is>
          <t>1 PMC record exists</t>
        </is>
      </c>
      <c r="S25" s="5" t="inlineStr">
        <is>
          <t>Y</t>
        </is>
      </c>
      <c r="T25" s="5" t="inlineStr">
        <is>
          <t>WS0120.pdf</t>
        </is>
      </c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</row>
    <row r="26">
      <c r="A26" s="5" t="n">
        <v>25</v>
      </c>
      <c r="B26" s="5" t="inlineStr">
        <is>
          <t>WS0052</t>
        </is>
      </c>
      <c r="C26" s="5" t="inlineStr">
        <is>
          <t>2024</t>
        </is>
      </c>
      <c r="D26" s="5" t="inlineStr">
        <is>
          <t>English</t>
        </is>
      </c>
      <c r="E26" s="5" t="inlineStr">
        <is>
          <t>JOUR</t>
        </is>
      </c>
      <c r="F26" s="5" t="inlineStr">
        <is>
          <t>Inggriani</t>
        </is>
      </c>
      <c r="G26" s="5" t="inlineStr">
        <is>
          <t>Reports (MDPI)</t>
        </is>
      </c>
      <c r="H26" s="5" t="inlineStr">
        <is>
          <t>7(3)</t>
        </is>
      </c>
      <c r="I26" s="6" t="inlineStr">
        <is>
          <t>Wandering Spleen Complicated by Thrombocytopenia, Acute Appendicitis, and Sepsis: A Case Report and Literature Review.</t>
        </is>
      </c>
      <c r="J26" s="5" t="inlineStr">
        <is>
          <t>10.3390/reports7030073</t>
        </is>
      </c>
      <c r="K26" s="7" t="inlineStr">
        <is>
          <t>link</t>
        </is>
      </c>
      <c r="L26" s="7" t="inlineStr">
        <is>
          <t>link</t>
        </is>
      </c>
      <c r="M26" s="5" t="inlineStr">
        <is>
          <t>PMC12225254</t>
        </is>
      </c>
      <c r="N26" s="7" t="inlineStr">
        <is>
          <t>link</t>
        </is>
      </c>
      <c r="O26" s="5" t="inlineStr"/>
      <c r="P26" s="5" t="inlineStr"/>
      <c r="Q26" s="5" t="inlineStr"/>
      <c r="R26" s="5" t="inlineStr">
        <is>
          <t>1 PMC record exists</t>
        </is>
      </c>
      <c r="S26" s="5" t="inlineStr"/>
      <c r="T26" s="5" t="inlineStr">
        <is>
          <t>WS0052.pdf</t>
        </is>
      </c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</row>
    <row r="27">
      <c r="A27" s="5" t="n">
        <v>26</v>
      </c>
      <c r="B27" s="5" t="inlineStr">
        <is>
          <t>WS0092</t>
        </is>
      </c>
      <c r="C27" s="5" t="inlineStr">
        <is>
          <t>2024</t>
        </is>
      </c>
      <c r="D27" s="5" t="inlineStr">
        <is>
          <t>English</t>
        </is>
      </c>
      <c r="E27" s="5" t="inlineStr">
        <is>
          <t>JOUR</t>
        </is>
      </c>
      <c r="F27" s="5" t="inlineStr">
        <is>
          <t>Cui</t>
        </is>
      </c>
      <c r="G27" s="5" t="inlineStr">
        <is>
          <t>Frontiers in pediatrics</t>
        </is>
      </c>
      <c r="H27" s="5" t="inlineStr">
        <is>
          <t>12:1429490</t>
        </is>
      </c>
      <c r="I27" s="6" t="inlineStr">
        <is>
          <t>Wandering spleen combined with pedicle torsion and splenic infarction: a rare case report and literature review.</t>
        </is>
      </c>
      <c r="J27" s="5" t="inlineStr">
        <is>
          <t>10.3389/fped.2024.1429490</t>
        </is>
      </c>
      <c r="K27" s="7" t="inlineStr">
        <is>
          <t>link</t>
        </is>
      </c>
      <c r="L27" s="7" t="inlineStr">
        <is>
          <t>link</t>
        </is>
      </c>
      <c r="M27" s="5" t="inlineStr">
        <is>
          <t>PMC11439698</t>
        </is>
      </c>
      <c r="N27" s="7" t="inlineStr">
        <is>
          <t>link</t>
        </is>
      </c>
      <c r="O27" s="5" t="inlineStr"/>
      <c r="P27" s="5" t="inlineStr"/>
      <c r="Q27" s="5" t="inlineStr"/>
      <c r="R27" s="5" t="inlineStr">
        <is>
          <t>1 PMC record exists</t>
        </is>
      </c>
      <c r="S27" s="5" t="inlineStr"/>
      <c r="T27" s="5" t="inlineStr">
        <is>
          <t>WS0092.pdf</t>
        </is>
      </c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</row>
    <row r="28">
      <c r="A28" s="5" t="n">
        <v>27</v>
      </c>
      <c r="B28" s="5" t="inlineStr">
        <is>
          <t>WS0108</t>
        </is>
      </c>
      <c r="C28" s="5" t="inlineStr">
        <is>
          <t>2024</t>
        </is>
      </c>
      <c r="D28" s="5" t="inlineStr">
        <is>
          <t>English</t>
        </is>
      </c>
      <c r="E28" s="5" t="inlineStr">
        <is>
          <t>JOUR</t>
        </is>
      </c>
      <c r="F28" s="5" t="inlineStr">
        <is>
          <t>Ferrara</t>
        </is>
      </c>
      <c r="G28" s="5" t="inlineStr">
        <is>
          <t>Radiology case reports</t>
        </is>
      </c>
      <c r="H28" s="5" t="inlineStr">
        <is>
          <t>19(7):2864-2867</t>
        </is>
      </c>
      <c r="I28" s="6" t="inlineStr">
        <is>
          <t>Volvulus of a wandering spleen in a pediatric patient.</t>
        </is>
      </c>
      <c r="J28" s="5" t="inlineStr">
        <is>
          <t>10.1016/j.radcr.2024.03.004</t>
        </is>
      </c>
      <c r="K28" s="7" t="inlineStr">
        <is>
          <t>link</t>
        </is>
      </c>
      <c r="L28" s="7" t="inlineStr">
        <is>
          <t>link</t>
        </is>
      </c>
      <c r="M28" s="5" t="inlineStr">
        <is>
          <t>PMC11058064</t>
        </is>
      </c>
      <c r="N28" s="7" t="inlineStr">
        <is>
          <t>link</t>
        </is>
      </c>
      <c r="O28" s="5" t="inlineStr"/>
      <c r="P28" s="5" t="inlineStr"/>
      <c r="Q28" s="5" t="inlineStr"/>
      <c r="R28" s="5" t="inlineStr">
        <is>
          <t>1 PMC record exists</t>
        </is>
      </c>
      <c r="S28" s="5" t="inlineStr"/>
      <c r="T28" s="5" t="inlineStr">
        <is>
          <t>WS0108.pdf</t>
        </is>
      </c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</row>
    <row r="29">
      <c r="A29" s="5" t="n">
        <v>28</v>
      </c>
      <c r="B29" s="5" t="inlineStr">
        <is>
          <t>WS0113</t>
        </is>
      </c>
      <c r="C29" s="5" t="inlineStr">
        <is>
          <t>2024</t>
        </is>
      </c>
      <c r="D29" s="5" t="inlineStr">
        <is>
          <t>English</t>
        </is>
      </c>
      <c r="E29" s="5" t="inlineStr">
        <is>
          <t>JOUR</t>
        </is>
      </c>
      <c r="F29" s="5" t="inlineStr">
        <is>
          <t>Xiao</t>
        </is>
      </c>
      <c r="G29" s="5" t="inlineStr">
        <is>
          <t>Frontiers in oncology</t>
        </is>
      </c>
      <c r="H29" s="5" t="inlineStr">
        <is>
          <t>14:1310394</t>
        </is>
      </c>
      <c r="I29" s="6" t="inlineStr">
        <is>
          <t>The imaging features of ectopic spleen: which modality is more consistent? A cases series report and literature reviews.</t>
        </is>
      </c>
      <c r="J29" s="5" t="inlineStr">
        <is>
          <t>10.3389/fonc.2024.1310394</t>
        </is>
      </c>
      <c r="K29" s="7" t="inlineStr">
        <is>
          <t>link</t>
        </is>
      </c>
      <c r="L29" s="7" t="inlineStr">
        <is>
          <t>link</t>
        </is>
      </c>
      <c r="M29" s="5" t="inlineStr">
        <is>
          <t>PMC10961413</t>
        </is>
      </c>
      <c r="N29" s="7" t="inlineStr">
        <is>
          <t>link</t>
        </is>
      </c>
      <c r="O29" s="5" t="inlineStr"/>
      <c r="P29" s="5" t="inlineStr"/>
      <c r="Q29" s="5" t="inlineStr"/>
      <c r="R29" s="5" t="inlineStr">
        <is>
          <t>1 PMC record exists</t>
        </is>
      </c>
      <c r="S29" s="5" t="inlineStr"/>
      <c r="T29" s="5" t="inlineStr">
        <is>
          <t>WS0113.pdf</t>
        </is>
      </c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</row>
    <row r="30">
      <c r="A30" s="5" t="n">
        <v>29</v>
      </c>
      <c r="B30" s="5" t="inlineStr">
        <is>
          <t>WS0114</t>
        </is>
      </c>
      <c r="C30" s="5" t="inlineStr">
        <is>
          <t>2024</t>
        </is>
      </c>
      <c r="D30" s="5" t="inlineStr">
        <is>
          <t>English</t>
        </is>
      </c>
      <c r="E30" s="5" t="inlineStr">
        <is>
          <t>JOUR</t>
        </is>
      </c>
      <c r="F30" s="5" t="inlineStr">
        <is>
          <t>Eleiwi</t>
        </is>
      </c>
      <c r="G30" s="5" t="inlineStr">
        <is>
          <t>Cureus</t>
        </is>
      </c>
      <c r="H30" s="5" t="inlineStr">
        <is>
          <t>16(2):e53552</t>
        </is>
      </c>
      <c r="I30" s="6" t="inlineStr">
        <is>
          <t>Wandering Spleen Torsion: A Diagnostic Challenge.</t>
        </is>
      </c>
      <c r="J30" s="5" t="inlineStr">
        <is>
          <t>10.7759/cureus.53552</t>
        </is>
      </c>
      <c r="K30" s="7" t="inlineStr">
        <is>
          <t>link</t>
        </is>
      </c>
      <c r="L30" s="7" t="inlineStr">
        <is>
          <t>link</t>
        </is>
      </c>
      <c r="M30" s="5" t="inlineStr">
        <is>
          <t>PMC10913703</t>
        </is>
      </c>
      <c r="N30" s="7" t="inlineStr">
        <is>
          <t>link</t>
        </is>
      </c>
      <c r="O30" s="5" t="inlineStr"/>
      <c r="P30" s="5" t="inlineStr"/>
      <c r="Q30" s="5" t="inlineStr"/>
      <c r="R30" s="5" t="inlineStr">
        <is>
          <t>1 PMC record exists</t>
        </is>
      </c>
      <c r="S30" s="5" t="inlineStr"/>
      <c r="T30" s="5" t="inlineStr">
        <is>
          <t>WS0114.pdf</t>
        </is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</row>
    <row r="31">
      <c r="A31" s="5" t="n">
        <v>30</v>
      </c>
      <c r="B31" s="5" t="inlineStr">
        <is>
          <t>WS0117</t>
        </is>
      </c>
      <c r="C31" s="5" t="inlineStr">
        <is>
          <t>2024</t>
        </is>
      </c>
      <c r="D31" s="5" t="inlineStr">
        <is>
          <t>English</t>
        </is>
      </c>
      <c r="E31" s="5" t="inlineStr">
        <is>
          <t>JOUR</t>
        </is>
      </c>
      <c r="F31" s="5" t="inlineStr">
        <is>
          <t>Rafei</t>
        </is>
      </c>
      <c r="G31" s="5" t="inlineStr">
        <is>
          <t>Journal of surgical case reports</t>
        </is>
      </c>
      <c r="H31" s="5" t="inlineStr">
        <is>
          <t>2024(2):rjae059</t>
        </is>
      </c>
      <c r="I31" s="6" t="inlineStr">
        <is>
          <t>Laparoscopic exploration of a wandering spleen in a complex adolescent case with sigmoid volvulus and left-side portal hypertension: a case report.</t>
        </is>
      </c>
      <c r="J31" s="5" t="inlineStr">
        <is>
          <t>10.1093/jscr/rjae059</t>
        </is>
      </c>
      <c r="K31" s="7" t="inlineStr">
        <is>
          <t>link</t>
        </is>
      </c>
      <c r="L31" s="7" t="inlineStr">
        <is>
          <t>link</t>
        </is>
      </c>
      <c r="M31" s="5" t="inlineStr">
        <is>
          <t>PMC10871695</t>
        </is>
      </c>
      <c r="N31" s="7" t="inlineStr">
        <is>
          <t>link</t>
        </is>
      </c>
      <c r="O31" s="5" t="inlineStr"/>
      <c r="P31" s="5" t="inlineStr"/>
      <c r="Q31" s="5" t="inlineStr"/>
      <c r="R31" s="5" t="inlineStr">
        <is>
          <t>1 PMC record exists</t>
        </is>
      </c>
      <c r="S31" s="5" t="inlineStr"/>
      <c r="T31" s="5" t="inlineStr">
        <is>
          <t>WS0117.pdf</t>
        </is>
      </c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</row>
    <row r="32">
      <c r="A32" s="5" t="n">
        <v>31</v>
      </c>
      <c r="B32" s="5" t="inlineStr">
        <is>
          <t>WS0122</t>
        </is>
      </c>
      <c r="C32" s="5" t="inlineStr">
        <is>
          <t>2023</t>
        </is>
      </c>
      <c r="D32" s="5" t="inlineStr">
        <is>
          <t>English</t>
        </is>
      </c>
      <c r="E32" s="5" t="inlineStr">
        <is>
          <t>JOUR</t>
        </is>
      </c>
      <c r="F32" s="5" t="inlineStr">
        <is>
          <t>Ghasemi</t>
        </is>
      </c>
      <c r="G32" s="5" t="inlineStr">
        <is>
          <t>Clinical case reports</t>
        </is>
      </c>
      <c r="H32" s="5" t="inlineStr">
        <is>
          <t>11(12):e8270</t>
        </is>
      </c>
      <c r="I32" s="6" t="inlineStr">
        <is>
          <t>Wandering spleen; a rare clinical presentation of chronic pain with acute torsion.</t>
        </is>
      </c>
      <c r="J32" s="5" t="inlineStr">
        <is>
          <t>10.1002/ccr3.8270</t>
        </is>
      </c>
      <c r="K32" s="7" t="inlineStr">
        <is>
          <t>link</t>
        </is>
      </c>
      <c r="L32" s="7" t="inlineStr">
        <is>
          <t>link</t>
        </is>
      </c>
      <c r="M32" s="5" t="inlineStr">
        <is>
          <t>PMC10682236</t>
        </is>
      </c>
      <c r="N32" s="7" t="inlineStr">
        <is>
          <t>link</t>
        </is>
      </c>
      <c r="O32" s="5" t="inlineStr"/>
      <c r="P32" s="5" t="inlineStr"/>
      <c r="Q32" s="5" t="inlineStr"/>
      <c r="R32" s="5" t="inlineStr">
        <is>
          <t>1 PMC record exists</t>
        </is>
      </c>
      <c r="S32" s="5" t="inlineStr"/>
      <c r="T32" s="5" t="inlineStr">
        <is>
          <t>WS0122.pdf</t>
        </is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</row>
    <row r="33">
      <c r="A33" s="5" t="n">
        <v>32</v>
      </c>
      <c r="B33" s="5" t="inlineStr">
        <is>
          <t>WS0141</t>
        </is>
      </c>
      <c r="C33" s="5" t="inlineStr">
        <is>
          <t>2023</t>
        </is>
      </c>
      <c r="D33" s="5" t="inlineStr">
        <is>
          <t>English</t>
        </is>
      </c>
      <c r="E33" s="5" t="inlineStr">
        <is>
          <t>JOUR</t>
        </is>
      </c>
      <c r="F33" s="5" t="inlineStr">
        <is>
          <t>Bhambu</t>
        </is>
      </c>
      <c r="G33" s="5" t="inlineStr">
        <is>
          <t>Cureus</t>
        </is>
      </c>
      <c r="H33" s="5" t="inlineStr">
        <is>
          <t>15(5):e38386</t>
        </is>
      </c>
      <c r="I33" s="6" t="inlineStr">
        <is>
          <t>Acute Gastric Volvulus With Wandering Spleen in a Two-Year-Old Child: A Rare Association.</t>
        </is>
      </c>
      <c r="J33" s="5" t="inlineStr">
        <is>
          <t>10.7759/cureus.38386</t>
        </is>
      </c>
      <c r="K33" s="7" t="inlineStr">
        <is>
          <t>link</t>
        </is>
      </c>
      <c r="L33" s="7" t="inlineStr">
        <is>
          <t>link</t>
        </is>
      </c>
      <c r="M33" s="5" t="inlineStr">
        <is>
          <t>PMC10231407</t>
        </is>
      </c>
      <c r="N33" s="7" t="inlineStr">
        <is>
          <t>link</t>
        </is>
      </c>
      <c r="O33" s="5" t="inlineStr"/>
      <c r="P33" s="5" t="inlineStr"/>
      <c r="Q33" s="5" t="inlineStr"/>
      <c r="R33" s="5" t="inlineStr">
        <is>
          <t>1 PMC record exists</t>
        </is>
      </c>
      <c r="S33" s="5" t="inlineStr"/>
      <c r="T33" s="5" t="inlineStr">
        <is>
          <t>WS0141.pdf</t>
        </is>
      </c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</row>
    <row r="34">
      <c r="A34" s="5" t="n">
        <v>33</v>
      </c>
      <c r="B34" s="5" t="inlineStr">
        <is>
          <t>WS0142</t>
        </is>
      </c>
      <c r="C34" s="5" t="inlineStr">
        <is>
          <t>2023</t>
        </is>
      </c>
      <c r="D34" s="5" t="inlineStr">
        <is>
          <t>English</t>
        </is>
      </c>
      <c r="E34" s="5" t="inlineStr">
        <is>
          <t>JOUR</t>
        </is>
      </c>
      <c r="F34" s="5" t="inlineStr">
        <is>
          <t>Ahmad</t>
        </is>
      </c>
      <c r="G34" s="5" t="inlineStr">
        <is>
          <t>International journal of surgery case reports</t>
        </is>
      </c>
      <c r="H34" s="5" t="inlineStr">
        <is>
          <t>107:108319</t>
        </is>
      </c>
      <c r="I34" s="6" t="inlineStr">
        <is>
          <t>A wandering spleen with 720 degrees torsion and persistent ascending and descending mesocolon in a 5-year-old Syrian male: A case report.</t>
        </is>
      </c>
      <c r="J34" s="5" t="inlineStr">
        <is>
          <t>10.1016/j.ijscr.2023.108319</t>
        </is>
      </c>
      <c r="K34" s="7" t="inlineStr">
        <is>
          <t>link</t>
        </is>
      </c>
      <c r="L34" s="7" t="inlineStr">
        <is>
          <t>link</t>
        </is>
      </c>
      <c r="M34" s="5" t="inlineStr">
        <is>
          <t>PMC10310902</t>
        </is>
      </c>
      <c r="N34" s="7" t="inlineStr">
        <is>
          <t>link</t>
        </is>
      </c>
      <c r="O34" s="5" t="inlineStr"/>
      <c r="P34" s="5" t="inlineStr"/>
      <c r="Q34" s="5" t="inlineStr"/>
      <c r="R34" s="5" t="inlineStr">
        <is>
          <t>1 PMC record exists</t>
        </is>
      </c>
      <c r="S34" s="5" t="inlineStr"/>
      <c r="T34" s="5" t="inlineStr">
        <is>
          <t>WS0142.pdf</t>
        </is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</row>
    <row r="35">
      <c r="A35" s="5" t="n">
        <v>34</v>
      </c>
      <c r="B35" s="5" t="inlineStr">
        <is>
          <t>WS0151</t>
        </is>
      </c>
      <c r="C35" s="5" t="inlineStr">
        <is>
          <t>2023</t>
        </is>
      </c>
      <c r="D35" s="5" t="inlineStr">
        <is>
          <t>English</t>
        </is>
      </c>
      <c r="E35" s="5" t="inlineStr">
        <is>
          <t>JOUR</t>
        </is>
      </c>
      <c r="F35" s="5" t="inlineStr">
        <is>
          <t>Moore</t>
        </is>
      </c>
      <c r="G35" s="5" t="inlineStr">
        <is>
          <t>Annals of the Royal College of Surgeons of England</t>
        </is>
      </c>
      <c r="H35" s="5" t="inlineStr">
        <is>
          <t>105(6):501-506</t>
        </is>
      </c>
      <c r="I35" s="6" t="inlineStr">
        <is>
          <t>Gastric outlet obstruction secondary to a wandering spleen: systematic review and surgical management of a case.</t>
        </is>
      </c>
      <c r="J35" s="5" t="inlineStr">
        <is>
          <t>10.1308/rcsann.2022.0149</t>
        </is>
      </c>
      <c r="K35" s="7" t="inlineStr">
        <is>
          <t>link</t>
        </is>
      </c>
      <c r="L35" s="7" t="inlineStr">
        <is>
          <t>link</t>
        </is>
      </c>
      <c r="M35" s="5" t="inlineStr">
        <is>
          <t>PMC10313450</t>
        </is>
      </c>
      <c r="N35" s="7" t="inlineStr">
        <is>
          <t>link</t>
        </is>
      </c>
      <c r="O35" s="5" t="inlineStr"/>
      <c r="P35" s="5" t="inlineStr"/>
      <c r="Q35" s="5" t="inlineStr"/>
      <c r="R35" s="5" t="inlineStr">
        <is>
          <t>1 PMC record exists</t>
        </is>
      </c>
      <c r="S35" s="5" t="inlineStr"/>
      <c r="T35" s="5" t="inlineStr">
        <is>
          <t>WS0151.pdf</t>
        </is>
      </c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</row>
    <row r="36">
      <c r="A36" s="5" t="n">
        <v>35</v>
      </c>
      <c r="B36" s="5" t="inlineStr">
        <is>
          <t>WS0150</t>
        </is>
      </c>
      <c r="C36" s="5" t="inlineStr">
        <is>
          <t>2022</t>
        </is>
      </c>
      <c r="D36" s="5" t="inlineStr">
        <is>
          <t>English</t>
        </is>
      </c>
      <c r="E36" s="5" t="inlineStr">
        <is>
          <t>JOUR</t>
        </is>
      </c>
      <c r="F36" s="5" t="inlineStr">
        <is>
          <t>Infantino</t>
        </is>
      </c>
      <c r="G36" s="5" t="inlineStr">
        <is>
          <t>Frontiers in pediatrics</t>
        </is>
      </c>
      <c r="H36" s="5" t="inlineStr">
        <is>
          <t>10:936732</t>
        </is>
      </c>
      <c r="I36" s="6" t="inlineStr">
        <is>
          <t>Case Report: Gut and spleen anomalies associated with DYRK1A syndrome.</t>
        </is>
      </c>
      <c r="J36" s="5" t="inlineStr">
        <is>
          <t>10.3389/fped.2022.936732</t>
        </is>
      </c>
      <c r="K36" s="7" t="inlineStr">
        <is>
          <t>link</t>
        </is>
      </c>
      <c r="L36" s="7" t="inlineStr">
        <is>
          <t>link</t>
        </is>
      </c>
      <c r="M36" s="5" t="inlineStr">
        <is>
          <t>PMC9890171</t>
        </is>
      </c>
      <c r="N36" s="7" t="inlineStr">
        <is>
          <t>link</t>
        </is>
      </c>
      <c r="O36" s="5" t="inlineStr"/>
      <c r="P36" s="5" t="inlineStr"/>
      <c r="Q36" s="5" t="inlineStr"/>
      <c r="R36" s="5" t="inlineStr">
        <is>
          <t>1 PMC record exists</t>
        </is>
      </c>
      <c r="S36" s="5" t="inlineStr"/>
      <c r="T36" s="5" t="inlineStr">
        <is>
          <t>WS0150.pdf</t>
        </is>
      </c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</row>
    <row r="37">
      <c r="A37" s="5" t="n">
        <v>36</v>
      </c>
      <c r="B37" s="5" t="inlineStr">
        <is>
          <t>WS0156</t>
        </is>
      </c>
      <c r="C37" s="5" t="inlineStr">
        <is>
          <t>2022</t>
        </is>
      </c>
      <c r="D37" s="5" t="inlineStr">
        <is>
          <t>English</t>
        </is>
      </c>
      <c r="E37" s="5" t="inlineStr">
        <is>
          <t>JOUR</t>
        </is>
      </c>
      <c r="F37" s="5" t="inlineStr">
        <is>
          <t>Ahmed</t>
        </is>
      </c>
      <c r="G37" s="5" t="inlineStr">
        <is>
          <t>International medical case reports journal</t>
        </is>
      </c>
      <c r="H37" s="5" t="inlineStr">
        <is>
          <t>15:625-630</t>
        </is>
      </c>
      <c r="I37" s="6" t="inlineStr">
        <is>
          <t>Wandering Spleen with Splenic Torsion: Unusual Cause of Acute Abdomen.</t>
        </is>
      </c>
      <c r="J37" s="5" t="inlineStr">
        <is>
          <t>10.2147/imcrj.s388271</t>
        </is>
      </c>
      <c r="K37" s="7" t="inlineStr">
        <is>
          <t>link</t>
        </is>
      </c>
      <c r="L37" s="7" t="inlineStr">
        <is>
          <t>link</t>
        </is>
      </c>
      <c r="M37" s="5" t="inlineStr">
        <is>
          <t>PMC9642092</t>
        </is>
      </c>
      <c r="N37" s="7" t="inlineStr">
        <is>
          <t>link</t>
        </is>
      </c>
      <c r="O37" s="5" t="inlineStr"/>
      <c r="P37" s="5" t="inlineStr"/>
      <c r="Q37" s="5" t="inlineStr"/>
      <c r="R37" s="5" t="inlineStr">
        <is>
          <t>1 PMC record exists</t>
        </is>
      </c>
      <c r="S37" s="5" t="inlineStr"/>
      <c r="T37" s="5" t="inlineStr">
        <is>
          <t>WS0156.pdf</t>
        </is>
      </c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</row>
    <row r="38">
      <c r="A38" s="5" t="n">
        <v>37</v>
      </c>
      <c r="B38" s="5" t="inlineStr">
        <is>
          <t>WS0159</t>
        </is>
      </c>
      <c r="C38" s="5" t="inlineStr">
        <is>
          <t>2022</t>
        </is>
      </c>
      <c r="D38" s="5" t="inlineStr">
        <is>
          <t>English</t>
        </is>
      </c>
      <c r="E38" s="5" t="inlineStr">
        <is>
          <t>JOUR</t>
        </is>
      </c>
      <c r="F38" s="5" t="inlineStr">
        <is>
          <t>Demir</t>
        </is>
      </c>
      <c r="G38" s="5" t="inlineStr">
        <is>
          <t>Sisli Etfal Hastanesi tip bulteni</t>
        </is>
      </c>
      <c r="H38" s="5" t="inlineStr">
        <is>
          <t>56(3):435-438</t>
        </is>
      </c>
      <c r="I38" s="6" t="inlineStr">
        <is>
          <t>The Cause of an Unusual Abdominal Pain in Children: Splenic Torsiyon - Three Case Report.</t>
        </is>
      </c>
      <c r="J38" s="5" t="inlineStr">
        <is>
          <t>10.14744/semb.2021.64872</t>
        </is>
      </c>
      <c r="K38" s="7" t="inlineStr">
        <is>
          <t>link</t>
        </is>
      </c>
      <c r="L38" s="7" t="inlineStr">
        <is>
          <t>link</t>
        </is>
      </c>
      <c r="M38" s="5" t="inlineStr">
        <is>
          <t>PMC9580979</t>
        </is>
      </c>
      <c r="N38" s="7" t="inlineStr">
        <is>
          <t>link</t>
        </is>
      </c>
      <c r="O38" s="5" t="inlineStr"/>
      <c r="P38" s="5" t="inlineStr"/>
      <c r="Q38" s="5" t="inlineStr"/>
      <c r="R38" s="5" t="inlineStr">
        <is>
          <t>1 PMC record exists</t>
        </is>
      </c>
      <c r="S38" s="5" t="inlineStr"/>
      <c r="T38" s="5" t="inlineStr">
        <is>
          <t>WS0159.pdf</t>
        </is>
      </c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</row>
    <row r="39">
      <c r="A39" s="5" t="n">
        <v>38</v>
      </c>
      <c r="B39" s="5" t="inlineStr">
        <is>
          <t>WS0160</t>
        </is>
      </c>
      <c r="C39" s="5" t="inlineStr">
        <is>
          <t>2022</t>
        </is>
      </c>
      <c r="D39" s="5" t="inlineStr">
        <is>
          <t>English</t>
        </is>
      </c>
      <c r="E39" s="5" t="inlineStr">
        <is>
          <t>JOUR</t>
        </is>
      </c>
      <c r="F39" s="5" t="inlineStr">
        <is>
          <t>Ikeda</t>
        </is>
      </c>
      <c r="G39" s="5" t="inlineStr">
        <is>
          <t>Journal of surgical case reports</t>
        </is>
      </c>
      <c r="H39" s="5" t="inlineStr">
        <is>
          <t>2022(10):rjac483</t>
        </is>
      </c>
      <c r="I39" s="6" t="inlineStr">
        <is>
          <t>Successful laparoscopic-assisted partial splenectomy and splenopexy with umbilical approach to wandering spleen with an enlarged cyst in a pediatric patient.</t>
        </is>
      </c>
      <c r="J39" s="5" t="inlineStr">
        <is>
          <t>10.1093/jscr/rjac483</t>
        </is>
      </c>
      <c r="K39" s="7" t="inlineStr">
        <is>
          <t>link</t>
        </is>
      </c>
      <c r="L39" s="7" t="inlineStr">
        <is>
          <t>link</t>
        </is>
      </c>
      <c r="M39" s="5" t="inlineStr">
        <is>
          <t>PMC9584345</t>
        </is>
      </c>
      <c r="N39" s="7" t="inlineStr">
        <is>
          <t>link</t>
        </is>
      </c>
      <c r="O39" s="5" t="inlineStr"/>
      <c r="P39" s="5" t="inlineStr"/>
      <c r="Q39" s="5" t="inlineStr"/>
      <c r="R39" s="5" t="inlineStr">
        <is>
          <t>1 PMC record exists</t>
        </is>
      </c>
      <c r="S39" s="5" t="inlineStr"/>
      <c r="T39" s="5" t="inlineStr">
        <is>
          <t>WS0160.pdf</t>
        </is>
      </c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</row>
    <row r="40">
      <c r="A40" s="5" t="n">
        <v>39</v>
      </c>
      <c r="B40" s="5" t="inlineStr">
        <is>
          <t>WS0161</t>
        </is>
      </c>
      <c r="C40" s="5" t="inlineStr">
        <is>
          <t>2022</t>
        </is>
      </c>
      <c r="D40" s="5" t="inlineStr">
        <is>
          <t>English</t>
        </is>
      </c>
      <c r="E40" s="5" t="inlineStr">
        <is>
          <t>JOUR</t>
        </is>
      </c>
      <c r="F40" s="5" t="inlineStr">
        <is>
          <t>Korbi</t>
        </is>
      </c>
      <c r="G40" s="5" t="inlineStr">
        <is>
          <t>International journal of surgery case reports</t>
        </is>
      </c>
      <c r="H40" s="5" t="inlineStr">
        <is>
          <t>99:107719</t>
        </is>
      </c>
      <c r="I40" s="6" t="inlineStr">
        <is>
          <t>Splenectomy for wandering splenomegaly in a patient with idiopathic thrombocytopenic purpura: A case report of a rare association.</t>
        </is>
      </c>
      <c r="J40" s="5" t="inlineStr">
        <is>
          <t>10.1016/j.ijscr.2022.107719</t>
        </is>
      </c>
      <c r="K40" s="7" t="inlineStr">
        <is>
          <t>link</t>
        </is>
      </c>
      <c r="L40" s="7" t="inlineStr">
        <is>
          <t>link</t>
        </is>
      </c>
      <c r="M40" s="5" t="inlineStr">
        <is>
          <t>PMC9568874</t>
        </is>
      </c>
      <c r="N40" s="7" t="inlineStr">
        <is>
          <t>link</t>
        </is>
      </c>
      <c r="O40" s="5" t="inlineStr"/>
      <c r="P40" s="5" t="inlineStr"/>
      <c r="Q40" s="5" t="inlineStr"/>
      <c r="R40" s="5" t="inlineStr">
        <is>
          <t>1 PMC record exists</t>
        </is>
      </c>
      <c r="S40" s="5" t="inlineStr"/>
      <c r="T40" s="5" t="inlineStr">
        <is>
          <t>WS0161.pdf</t>
        </is>
      </c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</row>
    <row r="41">
      <c r="A41" s="5" t="n">
        <v>40</v>
      </c>
      <c r="B41" s="5" t="inlineStr">
        <is>
          <t>WS0164</t>
        </is>
      </c>
      <c r="C41" s="5" t="inlineStr">
        <is>
          <t>2022</t>
        </is>
      </c>
      <c r="D41" s="5" t="inlineStr">
        <is>
          <t>English</t>
        </is>
      </c>
      <c r="E41" s="5" t="inlineStr">
        <is>
          <t>JOUR</t>
        </is>
      </c>
      <c r="F41" s="5" t="inlineStr">
        <is>
          <t>Oyachi</t>
        </is>
      </c>
      <c r="G41" s="5" t="inlineStr">
        <is>
          <t>Surgical case reports</t>
        </is>
      </c>
      <c r="H41" s="5" t="inlineStr">
        <is>
          <t>8(1):178</t>
        </is>
      </c>
      <c r="I41" s="6" t="inlineStr">
        <is>
          <t>Volvulus of the stomach and wandering spleen after repair of congenital diaphragmatic hernia: unexpected manifestations in a neonate.</t>
        </is>
      </c>
      <c r="J41" s="5" t="inlineStr">
        <is>
          <t>10.1186/s40792-022-01537-z</t>
        </is>
      </c>
      <c r="K41" s="7" t="inlineStr">
        <is>
          <t>link</t>
        </is>
      </c>
      <c r="L41" s="7" t="inlineStr">
        <is>
          <t>link</t>
        </is>
      </c>
      <c r="M41" s="5" t="inlineStr">
        <is>
          <t>PMC9500137</t>
        </is>
      </c>
      <c r="N41" s="7" t="inlineStr">
        <is>
          <t>link</t>
        </is>
      </c>
      <c r="O41" s="5" t="inlineStr"/>
      <c r="P41" s="5" t="inlineStr"/>
      <c r="Q41" s="5" t="inlineStr"/>
      <c r="R41" s="5" t="inlineStr">
        <is>
          <t>1 PMC record exists</t>
        </is>
      </c>
      <c r="S41" s="5" t="inlineStr"/>
      <c r="T41" s="5" t="inlineStr">
        <is>
          <t>WS0164.pdf</t>
        </is>
      </c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</row>
    <row r="42">
      <c r="A42" s="5" t="n">
        <v>41</v>
      </c>
      <c r="B42" s="5" t="inlineStr">
        <is>
          <t>WS0172</t>
        </is>
      </c>
      <c r="C42" s="5" t="inlineStr">
        <is>
          <t>2022</t>
        </is>
      </c>
      <c r="D42" s="5" t="inlineStr">
        <is>
          <t>English</t>
        </is>
      </c>
      <c r="E42" s="5" t="inlineStr">
        <is>
          <t>JOUR</t>
        </is>
      </c>
      <c r="F42" s="5" t="inlineStr">
        <is>
          <t>Lugo-Fagundo</t>
        </is>
      </c>
      <c r="G42" s="5" t="inlineStr">
        <is>
          <t>Radiology case reports</t>
        </is>
      </c>
      <c r="H42" s="5" t="inlineStr">
        <is>
          <t>17(9):3377-3379</t>
        </is>
      </c>
      <c r="I42" s="6" t="inlineStr">
        <is>
          <t>Wandering spleen with torsion and infarction: A case report.</t>
        </is>
      </c>
      <c r="J42" s="5" t="inlineStr">
        <is>
          <t>10.1016/j.radcr.2022.06.073</t>
        </is>
      </c>
      <c r="K42" s="7" t="inlineStr">
        <is>
          <t>link</t>
        </is>
      </c>
      <c r="L42" s="7" t="inlineStr">
        <is>
          <t>link</t>
        </is>
      </c>
      <c r="M42" s="5" t="inlineStr">
        <is>
          <t>PMC9304641</t>
        </is>
      </c>
      <c r="N42" s="7" t="inlineStr">
        <is>
          <t>link</t>
        </is>
      </c>
      <c r="O42" s="5" t="inlineStr"/>
      <c r="P42" s="5" t="inlineStr"/>
      <c r="Q42" s="5" t="inlineStr"/>
      <c r="R42" s="5" t="inlineStr">
        <is>
          <t>1 PMC record exists</t>
        </is>
      </c>
      <c r="S42" s="5" t="inlineStr"/>
      <c r="T42" s="5" t="inlineStr">
        <is>
          <t>WS0172.pdf</t>
        </is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</row>
    <row r="43">
      <c r="A43" s="5" t="n">
        <v>42</v>
      </c>
      <c r="B43" s="5" t="inlineStr">
        <is>
          <t>WS0173</t>
        </is>
      </c>
      <c r="C43" s="5" t="inlineStr">
        <is>
          <t>2022</t>
        </is>
      </c>
      <c r="D43" s="5" t="inlineStr">
        <is>
          <t>English</t>
        </is>
      </c>
      <c r="E43" s="5" t="inlineStr">
        <is>
          <t>JOUR</t>
        </is>
      </c>
      <c r="F43" s="5" t="inlineStr">
        <is>
          <t>Wang</t>
        </is>
      </c>
      <c r="G43" s="5" t="inlineStr">
        <is>
          <t>BMC pediatrics</t>
        </is>
      </c>
      <c r="H43" s="5" t="inlineStr">
        <is>
          <t>22(1):440</t>
        </is>
      </c>
      <c r="I43" s="6" t="inlineStr">
        <is>
          <t>Diagnosis and treatment of splenic torsion in children: preoperative thrombocytosis predicts splenic infarction.</t>
        </is>
      </c>
      <c r="J43" s="5" t="inlineStr">
        <is>
          <t>10.1186/s12887-022-03484-y</t>
        </is>
      </c>
      <c r="K43" s="7" t="inlineStr">
        <is>
          <t>link</t>
        </is>
      </c>
      <c r="L43" s="7" t="inlineStr">
        <is>
          <t>link</t>
        </is>
      </c>
      <c r="M43" s="5" t="inlineStr">
        <is>
          <t>PMC9306085</t>
        </is>
      </c>
      <c r="N43" s="7" t="inlineStr">
        <is>
          <t>link</t>
        </is>
      </c>
      <c r="O43" s="5" t="inlineStr"/>
      <c r="P43" s="5" t="inlineStr"/>
      <c r="Q43" s="5" t="inlineStr"/>
      <c r="R43" s="5" t="inlineStr">
        <is>
          <t>1 PMC record exists</t>
        </is>
      </c>
      <c r="S43" s="5" t="inlineStr"/>
      <c r="T43" s="5" t="inlineStr">
        <is>
          <t>WS0173.pdf</t>
        </is>
      </c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</row>
    <row r="44">
      <c r="A44" s="5" t="n">
        <v>43</v>
      </c>
      <c r="B44" s="5" t="inlineStr">
        <is>
          <t>WS0176</t>
        </is>
      </c>
      <c r="C44" s="5" t="inlineStr">
        <is>
          <t>2022</t>
        </is>
      </c>
      <c r="D44" s="5" t="inlineStr">
        <is>
          <t>English</t>
        </is>
      </c>
      <c r="E44" s="5" t="inlineStr">
        <is>
          <t>JOUR</t>
        </is>
      </c>
      <c r="F44" s="5" t="inlineStr">
        <is>
          <t>Bairwa</t>
        </is>
      </c>
      <c r="G44" s="5" t="inlineStr">
        <is>
          <t>Archive of clinical cases</t>
        </is>
      </c>
      <c r="H44" s="5" t="inlineStr">
        <is>
          <t>9(2):56-61</t>
        </is>
      </c>
      <c r="I44" s="6" t="inlineStr">
        <is>
          <t>Wandering spleen with torsion: a rare cause of acute abdomen in a 14-year-old girl.</t>
        </is>
      </c>
      <c r="J44" s="5" t="inlineStr">
        <is>
          <t>10.22551/2022.35.0902.10204</t>
        </is>
      </c>
      <c r="K44" s="7" t="inlineStr">
        <is>
          <t>link</t>
        </is>
      </c>
      <c r="L44" s="7" t="inlineStr">
        <is>
          <t>link</t>
        </is>
      </c>
      <c r="M44" s="5" t="inlineStr">
        <is>
          <t>PMC9262086</t>
        </is>
      </c>
      <c r="N44" s="7" t="inlineStr">
        <is>
          <t>link</t>
        </is>
      </c>
      <c r="O44" s="5" t="inlineStr"/>
      <c r="P44" s="5" t="inlineStr"/>
      <c r="Q44" s="5" t="inlineStr"/>
      <c r="R44" s="5" t="inlineStr">
        <is>
          <t>1 PMC record exists</t>
        </is>
      </c>
      <c r="S44" s="5" t="inlineStr"/>
      <c r="T44" s="5" t="inlineStr">
        <is>
          <t>WS0176.pdf</t>
        </is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</row>
    <row r="45">
      <c r="A45" s="5" t="n">
        <v>44</v>
      </c>
      <c r="B45" s="5" t="inlineStr">
        <is>
          <t>WS0182</t>
        </is>
      </c>
      <c r="C45" s="5" t="inlineStr">
        <is>
          <t>2022</t>
        </is>
      </c>
      <c r="D45" s="5" t="inlineStr">
        <is>
          <t>English</t>
        </is>
      </c>
      <c r="E45" s="5" t="inlineStr">
        <is>
          <t>JOUR</t>
        </is>
      </c>
      <c r="F45" s="5" t="inlineStr">
        <is>
          <t>Petroianu</t>
        </is>
      </c>
      <c r="G45" s="5" t="inlineStr">
        <is>
          <t>Jornal vascular brasileiro</t>
        </is>
      </c>
      <c r="H45" s="5" t="inlineStr">
        <is>
          <t>21:e20210191</t>
        </is>
      </c>
      <c r="I45" s="6" t="inlineStr">
        <is>
          <t>The left gastro-omental vessels are able to maintain the entire spleen blood supply.</t>
        </is>
      </c>
      <c r="J45" s="5" t="inlineStr">
        <is>
          <t>10.1590/1677-5449.20210178</t>
        </is>
      </c>
      <c r="K45" s="7" t="inlineStr">
        <is>
          <t>link</t>
        </is>
      </c>
      <c r="L45" s="7" t="inlineStr">
        <is>
          <t>link</t>
        </is>
      </c>
      <c r="M45" s="5" t="inlineStr">
        <is>
          <t>PMC9083538</t>
        </is>
      </c>
      <c r="N45" s="7" t="inlineStr">
        <is>
          <t>link</t>
        </is>
      </c>
      <c r="O45" s="5" t="inlineStr"/>
      <c r="P45" s="5" t="inlineStr"/>
      <c r="Q45" s="5" t="inlineStr"/>
      <c r="R45" s="5" t="inlineStr">
        <is>
          <t>1 PMC record exists</t>
        </is>
      </c>
      <c r="S45" s="5" t="inlineStr"/>
      <c r="T45" s="5" t="inlineStr">
        <is>
          <t>WS0182.pdf</t>
        </is>
      </c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</row>
    <row r="46">
      <c r="A46" s="5" t="n">
        <v>45</v>
      </c>
      <c r="B46" s="5" t="inlineStr">
        <is>
          <t>WS0183</t>
        </is>
      </c>
      <c r="C46" s="5" t="inlineStr">
        <is>
          <t>2022</t>
        </is>
      </c>
      <c r="D46" s="5" t="inlineStr">
        <is>
          <t>English</t>
        </is>
      </c>
      <c r="E46" s="5" t="inlineStr">
        <is>
          <t>JOUR</t>
        </is>
      </c>
      <c r="F46" s="5" t="inlineStr">
        <is>
          <t>Draghmeh</t>
        </is>
      </c>
      <c r="G46" s="5" t="inlineStr">
        <is>
          <t>Radiology case reports</t>
        </is>
      </c>
      <c r="H46" s="5" t="inlineStr">
        <is>
          <t>17(7):2373-2377</t>
        </is>
      </c>
      <c r="I46" s="6" t="inlineStr">
        <is>
          <t>Wandering spleen torsion in a patient with polysplenia syndrome.</t>
        </is>
      </c>
      <c r="J46" s="5" t="inlineStr">
        <is>
          <t>10.1016/j.radcr.2022.04.009</t>
        </is>
      </c>
      <c r="K46" s="7" t="inlineStr">
        <is>
          <t>link</t>
        </is>
      </c>
      <c r="L46" s="7" t="inlineStr">
        <is>
          <t>link</t>
        </is>
      </c>
      <c r="M46" s="5" t="inlineStr">
        <is>
          <t>PMC9096468</t>
        </is>
      </c>
      <c r="N46" s="7" t="inlineStr">
        <is>
          <t>link</t>
        </is>
      </c>
      <c r="O46" s="5" t="inlineStr"/>
      <c r="P46" s="5" t="inlineStr"/>
      <c r="Q46" s="5" t="inlineStr"/>
      <c r="R46" s="5" t="inlineStr">
        <is>
          <t>1 PMC record exists</t>
        </is>
      </c>
      <c r="S46" s="5" t="inlineStr"/>
      <c r="T46" s="5" t="inlineStr">
        <is>
          <t>WS0183.pdf</t>
        </is>
      </c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</row>
    <row r="47">
      <c r="A47" s="5" t="n">
        <v>46</v>
      </c>
      <c r="B47" s="5" t="inlineStr">
        <is>
          <t>WS0188</t>
        </is>
      </c>
      <c r="C47" s="5" t="inlineStr">
        <is>
          <t>2022</t>
        </is>
      </c>
      <c r="D47" s="5" t="inlineStr">
        <is>
          <t>English</t>
        </is>
      </c>
      <c r="E47" s="5" t="inlineStr">
        <is>
          <t>JOUR</t>
        </is>
      </c>
      <c r="F47" s="5" t="inlineStr">
        <is>
          <t>Tang</t>
        </is>
      </c>
      <c r="G47" s="5" t="inlineStr">
        <is>
          <t>Radiology case reports</t>
        </is>
      </c>
      <c r="H47" s="5" t="inlineStr">
        <is>
          <t>17(5):1794-1797</t>
        </is>
      </c>
      <c r="I47" s="6" t="inlineStr">
        <is>
          <t>Torsed wandering spleen as a cause of recurrent abdominal pain in a child.</t>
        </is>
      </c>
      <c r="J47" s="5" t="inlineStr">
        <is>
          <t>10.1016/j.radcr.2022.03.017</t>
        </is>
      </c>
      <c r="K47" s="7" t="inlineStr">
        <is>
          <t>link</t>
        </is>
      </c>
      <c r="L47" s="7" t="inlineStr">
        <is>
          <t>link</t>
        </is>
      </c>
      <c r="M47" s="5" t="inlineStr">
        <is>
          <t>PMC8965025</t>
        </is>
      </c>
      <c r="N47" s="7" t="inlineStr">
        <is>
          <t>link</t>
        </is>
      </c>
      <c r="O47" s="5" t="inlineStr"/>
      <c r="P47" s="5" t="inlineStr"/>
      <c r="Q47" s="5" t="inlineStr"/>
      <c r="R47" s="5" t="inlineStr">
        <is>
          <t>1 PMC record exists</t>
        </is>
      </c>
      <c r="S47" s="5" t="inlineStr"/>
      <c r="T47" s="5" t="inlineStr">
        <is>
          <t>WS0188.pdf</t>
        </is>
      </c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</row>
    <row r="48">
      <c r="A48" s="5" t="n">
        <v>47</v>
      </c>
      <c r="B48" s="5" t="inlineStr">
        <is>
          <t>WS0193</t>
        </is>
      </c>
      <c r="C48" s="5" t="inlineStr">
        <is>
          <t>2022</t>
        </is>
      </c>
      <c r="D48" s="5" t="inlineStr">
        <is>
          <t>English</t>
        </is>
      </c>
      <c r="E48" s="5" t="inlineStr">
        <is>
          <t>JOUR</t>
        </is>
      </c>
      <c r="F48" s="5" t="inlineStr">
        <is>
          <t>Petroianu</t>
        </is>
      </c>
      <c r="G48" s="5" t="inlineStr">
        <is>
          <t>Journal of surgical case reports</t>
        </is>
      </c>
      <c r="H48" s="5" t="inlineStr">
        <is>
          <t>2022(1):rjab558</t>
        </is>
      </c>
      <c r="I48" s="6" t="inlineStr">
        <is>
          <t>Dwarfism associated with wandering splenomegaly.</t>
        </is>
      </c>
      <c r="J48" s="5" t="inlineStr">
        <is>
          <t>10.1093/jscr/rjab558</t>
        </is>
      </c>
      <c r="K48" s="7" t="inlineStr">
        <is>
          <t>link</t>
        </is>
      </c>
      <c r="L48" s="7" t="inlineStr">
        <is>
          <t>link</t>
        </is>
      </c>
      <c r="M48" s="5" t="inlineStr">
        <is>
          <t>PMC8784172</t>
        </is>
      </c>
      <c r="N48" s="7" t="inlineStr">
        <is>
          <t>link</t>
        </is>
      </c>
      <c r="O48" s="5" t="inlineStr"/>
      <c r="P48" s="5" t="inlineStr"/>
      <c r="Q48" s="5" t="inlineStr"/>
      <c r="R48" s="5" t="inlineStr">
        <is>
          <t>1 PMC record exists</t>
        </is>
      </c>
      <c r="S48" s="5" t="inlineStr"/>
      <c r="T48" s="5" t="inlineStr">
        <is>
          <t>WS0193.pdf</t>
        </is>
      </c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</row>
    <row r="49">
      <c r="A49" s="5" t="n">
        <v>48</v>
      </c>
      <c r="B49" s="5" t="inlineStr">
        <is>
          <t>WS0191</t>
        </is>
      </c>
      <c r="C49" s="5" t="inlineStr">
        <is>
          <t>2021</t>
        </is>
      </c>
      <c r="D49" s="5" t="inlineStr">
        <is>
          <t>English</t>
        </is>
      </c>
      <c r="E49" s="5" t="inlineStr">
        <is>
          <t>JOUR</t>
        </is>
      </c>
      <c r="F49" s="5" t="inlineStr">
        <is>
          <t>Bourusly</t>
        </is>
      </c>
      <c r="G49" s="5" t="inlineStr">
        <is>
          <t>Frontiers in pediatrics</t>
        </is>
      </c>
      <c r="H49" s="5" t="inlineStr">
        <is>
          <t>9:791932</t>
        </is>
      </c>
      <c r="I49" s="6" t="inlineStr">
        <is>
          <t>Case Report: Conservative Non-operative Management of a Neonate With Torted Wandering Spleen.</t>
        </is>
      </c>
      <c r="J49" s="5" t="inlineStr">
        <is>
          <t>10.3389/fped.2021.791932</t>
        </is>
      </c>
      <c r="K49" s="7" t="inlineStr">
        <is>
          <t>link</t>
        </is>
      </c>
      <c r="L49" s="7" t="inlineStr">
        <is>
          <t>link</t>
        </is>
      </c>
      <c r="M49" s="5" t="inlineStr">
        <is>
          <t>PMC8832051</t>
        </is>
      </c>
      <c r="N49" s="7" t="inlineStr">
        <is>
          <t>link</t>
        </is>
      </c>
      <c r="O49" s="5" t="inlineStr"/>
      <c r="P49" s="5" t="inlineStr"/>
      <c r="Q49" s="5" t="inlineStr"/>
      <c r="R49" s="5" t="inlineStr">
        <is>
          <t>1 PMC record exists</t>
        </is>
      </c>
      <c r="S49" s="5" t="inlineStr"/>
      <c r="T49" s="5" t="inlineStr">
        <is>
          <t>WS0191.pdf</t>
        </is>
      </c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</row>
    <row r="50">
      <c r="A50" s="5" t="n">
        <v>49</v>
      </c>
      <c r="B50" s="5" t="inlineStr">
        <is>
          <t>WS0197</t>
        </is>
      </c>
      <c r="C50" s="5" t="inlineStr">
        <is>
          <t>2021</t>
        </is>
      </c>
      <c r="D50" s="5" t="inlineStr">
        <is>
          <t>English</t>
        </is>
      </c>
      <c r="E50" s="5" t="inlineStr">
        <is>
          <t>JOUR</t>
        </is>
      </c>
      <c r="F50" s="5" t="inlineStr">
        <is>
          <t>Hashiguchi</t>
        </is>
      </c>
      <c r="G50" s="5" t="inlineStr">
        <is>
          <t>Clinical case reports</t>
        </is>
      </c>
      <c r="H50" s="5" t="inlineStr">
        <is>
          <t>9(11):e05051</t>
        </is>
      </c>
      <c r="I50" s="6" t="inlineStr">
        <is>
          <t>Wandering spleen with splenic arteriovenous torsion.</t>
        </is>
      </c>
      <c r="J50" s="5" t="inlineStr">
        <is>
          <t>10.1002/ccr3.5051</t>
        </is>
      </c>
      <c r="K50" s="7" t="inlineStr">
        <is>
          <t>link</t>
        </is>
      </c>
      <c r="L50" s="7" t="inlineStr">
        <is>
          <t>link</t>
        </is>
      </c>
      <c r="M50" s="5" t="inlineStr">
        <is>
          <t>PMC8572348</t>
        </is>
      </c>
      <c r="N50" s="7" t="inlineStr">
        <is>
          <t>link</t>
        </is>
      </c>
      <c r="O50" s="5" t="inlineStr"/>
      <c r="P50" s="5" t="inlineStr"/>
      <c r="Q50" s="5" t="inlineStr"/>
      <c r="R50" s="5" t="inlineStr">
        <is>
          <t>1 PMC record exists</t>
        </is>
      </c>
      <c r="S50" s="5" t="inlineStr"/>
      <c r="T50" s="5" t="inlineStr">
        <is>
          <t>WS0197.pdf</t>
        </is>
      </c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</row>
    <row r="51">
      <c r="A51" s="5" t="n">
        <v>50</v>
      </c>
      <c r="B51" s="5" t="inlineStr">
        <is>
          <t>WS0199</t>
        </is>
      </c>
      <c r="C51" s="5" t="inlineStr">
        <is>
          <t>2021</t>
        </is>
      </c>
      <c r="D51" s="5" t="inlineStr">
        <is>
          <t>English</t>
        </is>
      </c>
      <c r="E51" s="5" t="inlineStr">
        <is>
          <t>JOUR</t>
        </is>
      </c>
      <c r="F51" s="5" t="inlineStr">
        <is>
          <t>Sun</t>
        </is>
      </c>
      <c r="G51" s="5" t="inlineStr">
        <is>
          <t>World journal of clinical cases</t>
        </is>
      </c>
      <c r="H51" s="5" t="inlineStr">
        <is>
          <t>9(29):8812-8819</t>
        </is>
      </c>
      <c r="I51" s="6" t="inlineStr">
        <is>
          <t>Successful treatment of floating splenic volvulus: Two case reports and a literature review.</t>
        </is>
      </c>
      <c r="J51" s="5" t="inlineStr">
        <is>
          <t>10.12998/wjcc.v9.i29.8812</t>
        </is>
      </c>
      <c r="K51" s="7" t="inlineStr">
        <is>
          <t>link</t>
        </is>
      </c>
      <c r="L51" s="7" t="inlineStr">
        <is>
          <t>link</t>
        </is>
      </c>
      <c r="M51" s="5" t="inlineStr">
        <is>
          <t>PMC8546827</t>
        </is>
      </c>
      <c r="N51" s="7" t="inlineStr">
        <is>
          <t>link</t>
        </is>
      </c>
      <c r="O51" s="5" t="inlineStr"/>
      <c r="P51" s="5" t="inlineStr"/>
      <c r="Q51" s="5" t="inlineStr"/>
      <c r="R51" s="5" t="inlineStr">
        <is>
          <t>1 PMC record exists</t>
        </is>
      </c>
      <c r="S51" s="5" t="inlineStr"/>
      <c r="T51" s="5" t="inlineStr">
        <is>
          <t>WS0199.pdf</t>
        </is>
      </c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</row>
    <row r="52">
      <c r="A52" s="5" t="n">
        <v>51</v>
      </c>
      <c r="B52" s="5" t="inlineStr">
        <is>
          <t>WS0205</t>
        </is>
      </c>
      <c r="C52" s="5" t="inlineStr">
        <is>
          <t>2021</t>
        </is>
      </c>
      <c r="D52" s="5" t="inlineStr">
        <is>
          <t>English</t>
        </is>
      </c>
      <c r="E52" s="5" t="inlineStr">
        <is>
          <t>JOUR</t>
        </is>
      </c>
      <c r="F52" s="5" t="inlineStr">
        <is>
          <t>Petroianu</t>
        </is>
      </c>
      <c r="G52" s="5" t="inlineStr">
        <is>
          <t>International journal of surgery case reports</t>
        </is>
      </c>
      <c r="H52" s="5" t="inlineStr">
        <is>
          <t>85:106273</t>
        </is>
      </c>
      <c r="I52" s="6" t="inlineStr">
        <is>
          <t>Wandering splenomegaly reduction after splenopexy.</t>
        </is>
      </c>
      <c r="J52" s="5" t="inlineStr">
        <is>
          <t>10.1016/j.ijscr.2021.106273</t>
        </is>
      </c>
      <c r="K52" s="7" t="inlineStr">
        <is>
          <t>link</t>
        </is>
      </c>
      <c r="L52" s="7" t="inlineStr">
        <is>
          <t>link</t>
        </is>
      </c>
      <c r="M52" s="5" t="inlineStr">
        <is>
          <t>PMC8350494</t>
        </is>
      </c>
      <c r="N52" s="7" t="inlineStr">
        <is>
          <t>link</t>
        </is>
      </c>
      <c r="O52" s="5" t="inlineStr"/>
      <c r="P52" s="5" t="inlineStr"/>
      <c r="Q52" s="5" t="inlineStr"/>
      <c r="R52" s="5" t="inlineStr">
        <is>
          <t>1 PMC record exists</t>
        </is>
      </c>
      <c r="S52" s="5" t="inlineStr"/>
      <c r="T52" s="5" t="inlineStr">
        <is>
          <t>WS0205.pdf</t>
        </is>
      </c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</row>
    <row r="53">
      <c r="A53" s="5" t="n">
        <v>52</v>
      </c>
      <c r="B53" s="5" t="inlineStr">
        <is>
          <t>WS0212</t>
        </is>
      </c>
      <c r="C53" s="5" t="inlineStr">
        <is>
          <t>2021</t>
        </is>
      </c>
      <c r="D53" s="5" t="inlineStr">
        <is>
          <t>English</t>
        </is>
      </c>
      <c r="E53" s="5" t="inlineStr">
        <is>
          <t>JOUR</t>
        </is>
      </c>
      <c r="F53" s="5" t="inlineStr">
        <is>
          <t>Kataria</t>
        </is>
      </c>
      <c r="G53" s="5" t="inlineStr">
        <is>
          <t>BMJ case reports</t>
        </is>
      </c>
      <c r="H53" s="5" t="inlineStr">
        <is>
          <t>14(6)</t>
        </is>
      </c>
      <c r="I53" s="6" t="inlineStr">
        <is>
          <t>Laparoscopic management of gastric volvulus, diaphragmatic eventration and wandering spleen in a child.</t>
        </is>
      </c>
      <c r="J53" s="5" t="inlineStr">
        <is>
          <t>10.1136/bcr-2021-242441</t>
        </is>
      </c>
      <c r="K53" s="7" t="inlineStr">
        <is>
          <t>link</t>
        </is>
      </c>
      <c r="L53" s="7" t="inlineStr">
        <is>
          <t>link</t>
        </is>
      </c>
      <c r="M53" s="5" t="inlineStr">
        <is>
          <t>PMC8231058</t>
        </is>
      </c>
      <c r="N53" s="7" t="inlineStr">
        <is>
          <t>link</t>
        </is>
      </c>
      <c r="O53" s="5" t="inlineStr"/>
      <c r="P53" s="5" t="inlineStr"/>
      <c r="Q53" s="5" t="inlineStr"/>
      <c r="R53" s="5" t="inlineStr">
        <is>
          <t>1 PMC record exists</t>
        </is>
      </c>
      <c r="S53" s="5" t="inlineStr"/>
      <c r="T53" s="5" t="inlineStr">
        <is>
          <t>WS0212.pdf</t>
        </is>
      </c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</row>
    <row r="54">
      <c r="A54" s="5" t="n">
        <v>53</v>
      </c>
      <c r="B54" s="5" t="inlineStr">
        <is>
          <t>WS0216</t>
        </is>
      </c>
      <c r="C54" s="5" t="inlineStr">
        <is>
          <t>2021</t>
        </is>
      </c>
      <c r="D54" s="5" t="inlineStr">
        <is>
          <t>English</t>
        </is>
      </c>
      <c r="E54" s="5" t="inlineStr">
        <is>
          <t>JOUR</t>
        </is>
      </c>
      <c r="F54" s="5" t="inlineStr">
        <is>
          <t>Gordon</t>
        </is>
      </c>
      <c r="G54" s="5" t="inlineStr">
        <is>
          <t>BMJ case reports</t>
        </is>
      </c>
      <c r="H54" s="5" t="inlineStr">
        <is>
          <t>14(4)</t>
        </is>
      </c>
      <c r="I54" s="6" t="inlineStr">
        <is>
          <t>Challenge of diagnosing splenic torsion in a paediatric patient with gastroschisis.</t>
        </is>
      </c>
      <c r="J54" s="5" t="inlineStr">
        <is>
          <t>10.1136/bcr-2020-239520</t>
        </is>
      </c>
      <c r="K54" s="7" t="inlineStr">
        <is>
          <t>link</t>
        </is>
      </c>
      <c r="L54" s="7" t="inlineStr">
        <is>
          <t>link</t>
        </is>
      </c>
      <c r="M54" s="5" t="inlineStr">
        <is>
          <t>PMC8061818</t>
        </is>
      </c>
      <c r="N54" s="7" t="inlineStr">
        <is>
          <t>link</t>
        </is>
      </c>
      <c r="O54" s="5" t="inlineStr"/>
      <c r="P54" s="5" t="inlineStr"/>
      <c r="Q54" s="5" t="inlineStr"/>
      <c r="R54" s="5" t="inlineStr">
        <is>
          <t>1 PMC record exists</t>
        </is>
      </c>
      <c r="S54" s="5" t="inlineStr"/>
      <c r="T54" s="5" t="inlineStr">
        <is>
          <t>WS0216.pdf</t>
        </is>
      </c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</row>
    <row r="55">
      <c r="A55" s="5" t="n">
        <v>54</v>
      </c>
      <c r="B55" s="5" t="inlineStr">
        <is>
          <t>WS0220</t>
        </is>
      </c>
      <c r="C55" s="5" t="inlineStr">
        <is>
          <t>2021</t>
        </is>
      </c>
      <c r="D55" s="5" t="inlineStr">
        <is>
          <t>English</t>
        </is>
      </c>
      <c r="E55" s="5" t="inlineStr">
        <is>
          <t>JOUR</t>
        </is>
      </c>
      <c r="F55" s="5" t="inlineStr">
        <is>
          <t>Guo</t>
        </is>
      </c>
      <c r="G55" s="5" t="inlineStr">
        <is>
          <t>The Journal of international medical research</t>
        </is>
      </c>
      <c r="H55" s="5" t="inlineStr">
        <is>
          <t>49(3):3000605211000511</t>
        </is>
      </c>
      <c r="I55" s="6" t="inlineStr">
        <is>
          <t>Abdominopelvic ectopic spleen with a comprehensive imaging examination: a case report.</t>
        </is>
      </c>
      <c r="J55" s="5" t="inlineStr">
        <is>
          <t>10.1177/03000605211000511</t>
        </is>
      </c>
      <c r="K55" s="7" t="inlineStr">
        <is>
          <t>link</t>
        </is>
      </c>
      <c r="L55" s="7" t="inlineStr">
        <is>
          <t>link</t>
        </is>
      </c>
      <c r="M55" s="5" t="inlineStr">
        <is>
          <t>PMC8166395</t>
        </is>
      </c>
      <c r="N55" s="7" t="inlineStr">
        <is>
          <t>link</t>
        </is>
      </c>
      <c r="O55" s="5" t="inlineStr"/>
      <c r="P55" s="5" t="inlineStr"/>
      <c r="Q55" s="5" t="inlineStr"/>
      <c r="R55" s="5" t="inlineStr">
        <is>
          <t>1 PMC record exists</t>
        </is>
      </c>
      <c r="S55" s="5" t="inlineStr"/>
      <c r="T55" s="5" t="inlineStr">
        <is>
          <t>WS0220.pdf</t>
        </is>
      </c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</row>
    <row r="56">
      <c r="A56" s="5" t="n">
        <v>55</v>
      </c>
      <c r="B56" s="5" t="inlineStr">
        <is>
          <t>WS0222</t>
        </is>
      </c>
      <c r="C56" s="5" t="inlineStr">
        <is>
          <t>2021</t>
        </is>
      </c>
      <c r="D56" s="5" t="inlineStr">
        <is>
          <t>English</t>
        </is>
      </c>
      <c r="E56" s="5" t="inlineStr">
        <is>
          <t>JOUR</t>
        </is>
      </c>
      <c r="F56" s="5" t="inlineStr">
        <is>
          <t>Hamdy</t>
        </is>
      </c>
      <c r="G56" s="5" t="inlineStr">
        <is>
          <t>Annals of the Royal College of Surgeons of England</t>
        </is>
      </c>
      <c r="H56" s="5" t="inlineStr">
        <is>
          <t>103(4):e127-e130</t>
        </is>
      </c>
      <c r="I56" s="6" t="inlineStr">
        <is>
          <t>An infarcted wandering spleen leading to a sigmoid volvulus presenting with acute large bowel obstruction: a case report.</t>
        </is>
      </c>
      <c r="J56" s="5" t="inlineStr">
        <is>
          <t>10.1308/rcsann.2020.7144</t>
        </is>
      </c>
      <c r="K56" s="7" t="inlineStr">
        <is>
          <t>link</t>
        </is>
      </c>
      <c r="L56" s="7" t="inlineStr">
        <is>
          <t>link</t>
        </is>
      </c>
      <c r="M56" s="5" t="inlineStr">
        <is>
          <t>PMC10335255</t>
        </is>
      </c>
      <c r="N56" s="7" t="inlineStr">
        <is>
          <t>link</t>
        </is>
      </c>
      <c r="O56" s="5" t="inlineStr"/>
      <c r="P56" s="5" t="inlineStr"/>
      <c r="Q56" s="5" t="inlineStr"/>
      <c r="R56" s="5" t="inlineStr">
        <is>
          <t>1 PMC record exists</t>
        </is>
      </c>
      <c r="S56" s="5" t="inlineStr"/>
      <c r="T56" s="5" t="inlineStr">
        <is>
          <t>WS0222.pdf</t>
        </is>
      </c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</row>
    <row r="57">
      <c r="A57" s="5" t="n">
        <v>56</v>
      </c>
      <c r="B57" s="5" t="inlineStr">
        <is>
          <t>WS0232</t>
        </is>
      </c>
      <c r="C57" s="5" t="inlineStr">
        <is>
          <t>2020</t>
        </is>
      </c>
      <c r="D57" s="5" t="inlineStr">
        <is>
          <t>English</t>
        </is>
      </c>
      <c r="E57" s="5" t="inlineStr">
        <is>
          <t>JOUR</t>
        </is>
      </c>
      <c r="F57" s="5" t="inlineStr">
        <is>
          <t>Skiba</t>
        </is>
      </c>
      <c r="G57" s="5" t="inlineStr">
        <is>
          <t>Journal of Indian Association of Pediatric Surgeons</t>
        </is>
      </c>
      <c r="H57" s="5" t="inlineStr">
        <is>
          <t>25(5):323-325</t>
        </is>
      </c>
      <c r="I57" s="6" t="inlineStr">
        <is>
          <t>Torsion of a Wandering Spleen Managed Conservatively: Rare and Interesting.</t>
        </is>
      </c>
      <c r="J57" s="5" t="inlineStr">
        <is>
          <t>10.4103/jiaps.jiaps_216_19</t>
        </is>
      </c>
      <c r="K57" s="7" t="inlineStr">
        <is>
          <t>link</t>
        </is>
      </c>
      <c r="L57" s="7" t="inlineStr">
        <is>
          <t>link</t>
        </is>
      </c>
      <c r="M57" s="5" t="inlineStr">
        <is>
          <t>PMC7732016</t>
        </is>
      </c>
      <c r="N57" s="7" t="inlineStr">
        <is>
          <t>link</t>
        </is>
      </c>
      <c r="O57" s="5" t="inlineStr"/>
      <c r="P57" s="5" t="inlineStr"/>
      <c r="Q57" s="5" t="inlineStr"/>
      <c r="R57" s="5" t="inlineStr">
        <is>
          <t>1 PMC record exists</t>
        </is>
      </c>
      <c r="S57" s="5" t="inlineStr"/>
      <c r="T57" s="5" t="inlineStr">
        <is>
          <t>WS0232.pdf</t>
        </is>
      </c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</row>
    <row r="58">
      <c r="A58" s="5" t="n">
        <v>57</v>
      </c>
      <c r="B58" s="5" t="inlineStr">
        <is>
          <t>WS0235</t>
        </is>
      </c>
      <c r="C58" s="5" t="inlineStr">
        <is>
          <t>2020</t>
        </is>
      </c>
      <c r="D58" s="5" t="inlineStr">
        <is>
          <t>English</t>
        </is>
      </c>
      <c r="E58" s="5" t="inlineStr">
        <is>
          <t>JOUR</t>
        </is>
      </c>
      <c r="F58" s="5" t="inlineStr">
        <is>
          <t>Kaur</t>
        </is>
      </c>
      <c r="G58" s="5" t="inlineStr">
        <is>
          <t>The Indian journal of radiology &amp; imaging</t>
        </is>
      </c>
      <c r="H58" s="5" t="inlineStr">
        <is>
          <t>30(3):389-391</t>
        </is>
      </c>
      <c r="I58" s="6" t="inlineStr">
        <is>
          <t>Wandering spleen: A rare entity and a diagnostic dilemma.</t>
        </is>
      </c>
      <c r="J58" s="5" t="inlineStr">
        <is>
          <t>10.4103/ijri.ijri_46_20</t>
        </is>
      </c>
      <c r="K58" s="7" t="inlineStr">
        <is>
          <t>link</t>
        </is>
      </c>
      <c r="L58" s="7" t="inlineStr">
        <is>
          <t>link</t>
        </is>
      </c>
      <c r="M58" s="5" t="inlineStr">
        <is>
          <t>PMC7694723</t>
        </is>
      </c>
      <c r="N58" s="7" t="inlineStr">
        <is>
          <t>link</t>
        </is>
      </c>
      <c r="O58" s="5" t="inlineStr"/>
      <c r="P58" s="5" t="inlineStr"/>
      <c r="Q58" s="5" t="inlineStr"/>
      <c r="R58" s="5" t="inlineStr">
        <is>
          <t>1 PMC record exists</t>
        </is>
      </c>
      <c r="S58" s="5" t="inlineStr"/>
      <c r="T58" s="5" t="inlineStr">
        <is>
          <t>WS0235.pdf</t>
        </is>
      </c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</row>
    <row r="59">
      <c r="A59" s="5" t="n">
        <v>58</v>
      </c>
      <c r="B59" s="5" t="inlineStr">
        <is>
          <t>WS0239</t>
        </is>
      </c>
      <c r="C59" s="5" t="inlineStr">
        <is>
          <t>2020</t>
        </is>
      </c>
      <c r="D59" s="5" t="inlineStr">
        <is>
          <t>English</t>
        </is>
      </c>
      <c r="E59" s="5" t="inlineStr">
        <is>
          <t>JOUR</t>
        </is>
      </c>
      <c r="F59" s="5" t="inlineStr">
        <is>
          <t>El-Helou</t>
        </is>
      </c>
      <c r="G59" s="5" t="inlineStr">
        <is>
          <t>International journal of surgery case reports</t>
        </is>
      </c>
      <c r="H59" s="5" t="inlineStr">
        <is>
          <t>77:214-218</t>
        </is>
      </c>
      <c r="I59" s="6" t="inlineStr">
        <is>
          <t>Splenoptosis in young female, case report.</t>
        </is>
      </c>
      <c r="J59" s="5" t="inlineStr">
        <is>
          <t>10.1016/j.ijscr.2020.11.001</t>
        </is>
      </c>
      <c r="K59" s="7" t="inlineStr">
        <is>
          <t>link</t>
        </is>
      </c>
      <c r="L59" s="7" t="inlineStr">
        <is>
          <t>link</t>
        </is>
      </c>
      <c r="M59" s="5" t="inlineStr">
        <is>
          <t>PMC7653206</t>
        </is>
      </c>
      <c r="N59" s="7" t="inlineStr">
        <is>
          <t>link</t>
        </is>
      </c>
      <c r="O59" s="5" t="inlineStr"/>
      <c r="P59" s="5" t="inlineStr"/>
      <c r="Q59" s="5" t="inlineStr"/>
      <c r="R59" s="5" t="inlineStr">
        <is>
          <t>1 PMC record exists</t>
        </is>
      </c>
      <c r="S59" s="5" t="inlineStr"/>
      <c r="T59" s="5" t="inlineStr">
        <is>
          <t>WS0239.pdf</t>
        </is>
      </c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</row>
    <row r="60">
      <c r="A60" s="5" t="n">
        <v>59</v>
      </c>
      <c r="B60" s="5" t="inlineStr">
        <is>
          <t>WS0240</t>
        </is>
      </c>
      <c r="C60" s="5" t="inlineStr">
        <is>
          <t>2020</t>
        </is>
      </c>
      <c r="D60" s="5" t="inlineStr">
        <is>
          <t>English</t>
        </is>
      </c>
      <c r="E60" s="5" t="inlineStr">
        <is>
          <t>JOUR</t>
        </is>
      </c>
      <c r="F60" s="5" t="inlineStr">
        <is>
          <t>Dangen</t>
        </is>
      </c>
      <c r="G60" s="5" t="inlineStr">
        <is>
          <t>International journal of surgery case reports</t>
        </is>
      </c>
      <c r="H60" s="5" t="inlineStr">
        <is>
          <t>77:32-35</t>
        </is>
      </c>
      <c r="I60" s="6" t="inlineStr">
        <is>
          <t>Treatment of a congenital diaphragmatic hernia with associated wandering spleen: Case report of a 17-year-old girl.</t>
        </is>
      </c>
      <c r="J60" s="5" t="inlineStr">
        <is>
          <t>10.1016/j.ijscr.2020.10.049</t>
        </is>
      </c>
      <c r="K60" s="7" t="inlineStr">
        <is>
          <t>link</t>
        </is>
      </c>
      <c r="L60" s="7" t="inlineStr">
        <is>
          <t>link</t>
        </is>
      </c>
      <c r="M60" s="5" t="inlineStr">
        <is>
          <t>PMC7610022</t>
        </is>
      </c>
      <c r="N60" s="7" t="inlineStr">
        <is>
          <t>link</t>
        </is>
      </c>
      <c r="O60" s="5" t="inlineStr"/>
      <c r="P60" s="5" t="inlineStr"/>
      <c r="Q60" s="5" t="inlineStr"/>
      <c r="R60" s="5" t="inlineStr">
        <is>
          <t>1 PMC record exists</t>
        </is>
      </c>
      <c r="S60" s="5" t="inlineStr"/>
      <c r="T60" s="5" t="inlineStr">
        <is>
          <t>WS0240.pdf</t>
        </is>
      </c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</row>
    <row r="61">
      <c r="A61" s="5" t="n">
        <v>60</v>
      </c>
      <c r="B61" s="5" t="inlineStr">
        <is>
          <t>WS0241</t>
        </is>
      </c>
      <c r="C61" s="5" t="inlineStr">
        <is>
          <t>2020</t>
        </is>
      </c>
      <c r="D61" s="5" t="inlineStr">
        <is>
          <t>English</t>
        </is>
      </c>
      <c r="E61" s="5" t="inlineStr">
        <is>
          <t>JOUR</t>
        </is>
      </c>
      <c r="F61" s="5" t="inlineStr">
        <is>
          <t>Gulati</t>
        </is>
      </c>
      <c r="G61" s="5" t="inlineStr">
        <is>
          <t>Journal of radiology case reports</t>
        </is>
      </c>
      <c r="H61" s="5" t="inlineStr">
        <is>
          <t>14(7):10-18</t>
        </is>
      </c>
      <c r="I61" s="6" t="inlineStr">
        <is>
          <t>Torsion of Wandering Spleen and its adherence to the right ovary - An unusual cause of recurrent pain abdomen.</t>
        </is>
      </c>
      <c r="J61" s="5" t="inlineStr">
        <is>
          <t>10.3941/jrcr.v14i7.3752</t>
        </is>
      </c>
      <c r="K61" s="7" t="inlineStr">
        <is>
          <t>link</t>
        </is>
      </c>
      <c r="L61" s="7" t="inlineStr">
        <is>
          <t>link</t>
        </is>
      </c>
      <c r="M61" s="5" t="inlineStr">
        <is>
          <t>PMC7536009</t>
        </is>
      </c>
      <c r="N61" s="7" t="inlineStr">
        <is>
          <t>link</t>
        </is>
      </c>
      <c r="O61" s="5" t="inlineStr"/>
      <c r="P61" s="5" t="inlineStr"/>
      <c r="Q61" s="5" t="inlineStr"/>
      <c r="R61" s="5" t="inlineStr">
        <is>
          <t>1 PMC record exists</t>
        </is>
      </c>
      <c r="S61" s="5" t="inlineStr"/>
      <c r="T61" s="5" t="inlineStr">
        <is>
          <t>WS0241.pdf</t>
        </is>
      </c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</row>
    <row r="62">
      <c r="A62" s="5" t="n">
        <v>61</v>
      </c>
      <c r="B62" s="5" t="inlineStr">
        <is>
          <t>WS0244</t>
        </is>
      </c>
      <c r="C62" s="5" t="inlineStr">
        <is>
          <t>2020</t>
        </is>
      </c>
      <c r="D62" s="5" t="inlineStr">
        <is>
          <t>English</t>
        </is>
      </c>
      <c r="E62" s="5" t="inlineStr">
        <is>
          <t>JOUR</t>
        </is>
      </c>
      <c r="F62" s="5" t="inlineStr">
        <is>
          <t>Wang</t>
        </is>
      </c>
      <c r="G62" s="5" t="inlineStr">
        <is>
          <t>Medicine</t>
        </is>
      </c>
      <c r="H62" s="5" t="inlineStr">
        <is>
          <t>99(37):e22063</t>
        </is>
      </c>
      <c r="I62" s="6" t="inlineStr">
        <is>
          <t>Wandering spleen with splenic torsion in a toddler: A case report and literature review.</t>
        </is>
      </c>
      <c r="J62" s="5" t="inlineStr">
        <is>
          <t>10.1097/md.0000000000022063</t>
        </is>
      </c>
      <c r="K62" s="7" t="inlineStr">
        <is>
          <t>link</t>
        </is>
      </c>
      <c r="L62" s="7" t="inlineStr">
        <is>
          <t>link</t>
        </is>
      </c>
      <c r="M62" s="5" t="inlineStr">
        <is>
          <t>PMC7489642</t>
        </is>
      </c>
      <c r="N62" s="7" t="inlineStr">
        <is>
          <t>link</t>
        </is>
      </c>
      <c r="O62" s="5" t="inlineStr"/>
      <c r="P62" s="5" t="inlineStr"/>
      <c r="Q62" s="5" t="inlineStr"/>
      <c r="R62" s="5" t="inlineStr">
        <is>
          <t>1 PMC record exists</t>
        </is>
      </c>
      <c r="S62" s="5" t="inlineStr"/>
      <c r="T62" s="5" t="inlineStr">
        <is>
          <t>WS0244.pdf</t>
        </is>
      </c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</row>
    <row r="63">
      <c r="A63" s="5" t="n">
        <v>62</v>
      </c>
      <c r="B63" s="5" t="inlineStr">
        <is>
          <t>WS0248</t>
        </is>
      </c>
      <c r="C63" s="5" t="inlineStr">
        <is>
          <t>2020</t>
        </is>
      </c>
      <c r="D63" s="5" t="inlineStr">
        <is>
          <t>English</t>
        </is>
      </c>
      <c r="E63" s="5" t="inlineStr">
        <is>
          <t>JOUR</t>
        </is>
      </c>
      <c r="F63" s="5" t="inlineStr">
        <is>
          <t>Shimshoni</t>
        </is>
      </c>
      <c r="G63" s="5" t="inlineStr">
        <is>
          <t>Cureus</t>
        </is>
      </c>
      <c r="H63" s="5" t="inlineStr">
        <is>
          <t>12(7):e9176</t>
        </is>
      </c>
      <c r="I63" s="6" t="inlineStr">
        <is>
          <t>Rare Cause of Abdominal Pain in an Adolescent Patient: Splenic Infarction in Absence of Causative Underlying Hematologic Disorder.</t>
        </is>
      </c>
      <c r="J63" s="5" t="inlineStr">
        <is>
          <t>10.7759/cureus.9176</t>
        </is>
      </c>
      <c r="K63" s="7" t="inlineStr">
        <is>
          <t>link</t>
        </is>
      </c>
      <c r="L63" s="7" t="inlineStr">
        <is>
          <t>link</t>
        </is>
      </c>
      <c r="M63" s="5" t="inlineStr">
        <is>
          <t>PMC7425819</t>
        </is>
      </c>
      <c r="N63" s="7" t="inlineStr">
        <is>
          <t>link</t>
        </is>
      </c>
      <c r="O63" s="5" t="inlineStr"/>
      <c r="P63" s="5" t="inlineStr"/>
      <c r="Q63" s="5" t="inlineStr"/>
      <c r="R63" s="5" t="inlineStr">
        <is>
          <t>1 PMC record exists</t>
        </is>
      </c>
      <c r="S63" s="5" t="inlineStr"/>
      <c r="T63" s="5" t="inlineStr">
        <is>
          <t>WS0248.pdf</t>
        </is>
      </c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</row>
    <row r="64">
      <c r="A64" s="5" t="n">
        <v>63</v>
      </c>
      <c r="B64" s="5" t="inlineStr">
        <is>
          <t>WS0253</t>
        </is>
      </c>
      <c r="C64" s="5" t="inlineStr">
        <is>
          <t>2020</t>
        </is>
      </c>
      <c r="D64" s="5" t="inlineStr">
        <is>
          <t>English</t>
        </is>
      </c>
      <c r="E64" s="5" t="inlineStr">
        <is>
          <t>JOUR</t>
        </is>
      </c>
      <c r="F64" s="5" t="inlineStr">
        <is>
          <t>Abaszadeh</t>
        </is>
      </c>
      <c r="G64" s="5" t="inlineStr">
        <is>
          <t>International journal of general medicine</t>
        </is>
      </c>
      <c r="H64" s="5" t="inlineStr">
        <is>
          <t>13:333-336</t>
        </is>
      </c>
      <c r="I64" s="6" t="inlineStr">
        <is>
          <t>Torsion of Wandering Spleen Attached to the Omentum: A Rare Case Report from Iran.</t>
        </is>
      </c>
      <c r="J64" s="5" t="inlineStr">
        <is>
          <t>10.2147/ijgm.s248259</t>
        </is>
      </c>
      <c r="K64" s="7" t="inlineStr">
        <is>
          <t>link</t>
        </is>
      </c>
      <c r="L64" s="7" t="inlineStr">
        <is>
          <t>link</t>
        </is>
      </c>
      <c r="M64" s="5" t="inlineStr">
        <is>
          <t>PMC7322114</t>
        </is>
      </c>
      <c r="N64" s="7" t="inlineStr">
        <is>
          <t>link</t>
        </is>
      </c>
      <c r="O64" s="5" t="inlineStr"/>
      <c r="P64" s="5" t="inlineStr"/>
      <c r="Q64" s="5" t="inlineStr"/>
      <c r="R64" s="5" t="inlineStr">
        <is>
          <t>1 PMC record exists</t>
        </is>
      </c>
      <c r="S64" s="5" t="inlineStr"/>
      <c r="T64" s="5" t="inlineStr">
        <is>
          <t>WS0253.pdf</t>
        </is>
      </c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</row>
    <row r="65">
      <c r="A65" s="5" t="n">
        <v>64</v>
      </c>
      <c r="B65" s="5" t="inlineStr">
        <is>
          <t>WS0264</t>
        </is>
      </c>
      <c r="C65" s="5" t="inlineStr">
        <is>
          <t>2020</t>
        </is>
      </c>
      <c r="D65" s="5" t="inlineStr">
        <is>
          <t>English</t>
        </is>
      </c>
      <c r="E65" s="5" t="inlineStr">
        <is>
          <t>JOUR</t>
        </is>
      </c>
      <c r="F65" s="5" t="inlineStr">
        <is>
          <t>Assaf</t>
        </is>
      </c>
      <c r="G65" s="5" t="inlineStr">
        <is>
          <t>Journal of surgical case reports</t>
        </is>
      </c>
      <c r="H65" s="5" t="inlineStr">
        <is>
          <t>2020(2):rjz378</t>
        </is>
      </c>
      <c r="I65" s="6" t="inlineStr">
        <is>
          <t>Acute abdomen due to an infarction of wandering spleen: case report.</t>
        </is>
      </c>
      <c r="J65" s="5" t="inlineStr">
        <is>
          <t>10.1093/jscr/rjz378</t>
        </is>
      </c>
      <c r="K65" s="7" t="inlineStr">
        <is>
          <t>link</t>
        </is>
      </c>
      <c r="L65" s="7" t="inlineStr">
        <is>
          <t>link</t>
        </is>
      </c>
      <c r="M65" s="5" t="inlineStr">
        <is>
          <t>PMC7024078</t>
        </is>
      </c>
      <c r="N65" s="7" t="inlineStr">
        <is>
          <t>link</t>
        </is>
      </c>
      <c r="O65" s="5" t="inlineStr"/>
      <c r="P65" s="5" t="inlineStr"/>
      <c r="Q65" s="5" t="inlineStr"/>
      <c r="R65" s="5" t="inlineStr">
        <is>
          <t>1 PMC record exists</t>
        </is>
      </c>
      <c r="S65" s="5" t="inlineStr"/>
      <c r="T65" s="5" t="inlineStr">
        <is>
          <t>WS0264.pdf</t>
        </is>
      </c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</row>
    <row r="66">
      <c r="A66" s="5" t="n">
        <v>65</v>
      </c>
      <c r="B66" s="5" t="inlineStr">
        <is>
          <t>WS0286</t>
        </is>
      </c>
      <c r="C66" s="5" t="inlineStr">
        <is>
          <t>2019</t>
        </is>
      </c>
      <c r="D66" s="5" t="inlineStr">
        <is>
          <t>English</t>
        </is>
      </c>
      <c r="E66" s="5" t="inlineStr">
        <is>
          <t>JOUR</t>
        </is>
      </c>
      <c r="F66" s="5" t="inlineStr">
        <is>
          <t>Taylor</t>
        </is>
      </c>
      <c r="G66" s="5" t="inlineStr">
        <is>
          <t>Radiology case reports</t>
        </is>
      </c>
      <c r="H66" s="5" t="inlineStr">
        <is>
          <t>14(10):1209-1213</t>
        </is>
      </c>
      <c r="I66" s="6" t="inlineStr">
        <is>
          <t>Wandering spleen with splenic torsion in a child with DiGeorge syndrome.</t>
        </is>
      </c>
      <c r="J66" s="5" t="inlineStr">
        <is>
          <t>10.1016/j.radcr.2019.06.018</t>
        </is>
      </c>
      <c r="K66" s="7" t="inlineStr">
        <is>
          <t>link</t>
        </is>
      </c>
      <c r="L66" s="7" t="inlineStr">
        <is>
          <t>link</t>
        </is>
      </c>
      <c r="M66" s="5" t="inlineStr">
        <is>
          <t>PMC6698723</t>
        </is>
      </c>
      <c r="N66" s="7" t="inlineStr">
        <is>
          <t>link</t>
        </is>
      </c>
      <c r="O66" s="5" t="inlineStr"/>
      <c r="P66" s="5" t="inlineStr"/>
      <c r="Q66" s="5" t="inlineStr"/>
      <c r="R66" s="5" t="inlineStr">
        <is>
          <t>1 PMC record exists</t>
        </is>
      </c>
      <c r="S66" s="5" t="inlineStr"/>
      <c r="T66" s="5" t="inlineStr">
        <is>
          <t>WS0286.pdf</t>
        </is>
      </c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</row>
    <row r="67">
      <c r="A67" s="5" t="n">
        <v>66</v>
      </c>
      <c r="B67" s="5" t="inlineStr">
        <is>
          <t>WS0292</t>
        </is>
      </c>
      <c r="C67" s="5" t="inlineStr">
        <is>
          <t>2019</t>
        </is>
      </c>
      <c r="D67" s="5" t="inlineStr">
        <is>
          <t>English</t>
        </is>
      </c>
      <c r="E67" s="5" t="inlineStr">
        <is>
          <t>JOUR</t>
        </is>
      </c>
      <c r="F67" s="5" t="inlineStr">
        <is>
          <t>Asafu Adjaye Frimpong</t>
        </is>
      </c>
      <c r="G67" s="5" t="inlineStr">
        <is>
          <t>Radiology case reports</t>
        </is>
      </c>
      <c r="H67" s="5" t="inlineStr">
        <is>
          <t>14(8):946-951</t>
        </is>
      </c>
      <c r="I67" s="6" t="inlineStr">
        <is>
          <t>Concurrent occurrence of a wandering spleen, organoaxial gastric volvulus, pancreatic volvulus, and cholestasis - A rare cause of an acute abdomen.</t>
        </is>
      </c>
      <c r="J67" s="5" t="inlineStr">
        <is>
          <t>10.1016/j.radcr.2019.05.018</t>
        </is>
      </c>
      <c r="K67" s="7" t="inlineStr">
        <is>
          <t>link</t>
        </is>
      </c>
      <c r="L67" s="7" t="inlineStr">
        <is>
          <t>link</t>
        </is>
      </c>
      <c r="M67" s="5" t="inlineStr">
        <is>
          <t>PMC6543132</t>
        </is>
      </c>
      <c r="N67" s="7" t="inlineStr">
        <is>
          <t>link</t>
        </is>
      </c>
      <c r="O67" s="5" t="inlineStr"/>
      <c r="P67" s="5" t="inlineStr"/>
      <c r="Q67" s="5" t="inlineStr"/>
      <c r="R67" s="5" t="inlineStr">
        <is>
          <t>1 PMC record exists</t>
        </is>
      </c>
      <c r="S67" s="5" t="inlineStr"/>
      <c r="T67" s="5" t="inlineStr">
        <is>
          <t>WS0292.pdf</t>
        </is>
      </c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</row>
    <row r="68">
      <c r="A68" s="5" t="n">
        <v>67</v>
      </c>
      <c r="B68" s="5" t="inlineStr">
        <is>
          <t>WS0293</t>
        </is>
      </c>
      <c r="C68" s="5" t="inlineStr">
        <is>
          <t>2019</t>
        </is>
      </c>
      <c r="D68" s="5" t="inlineStr">
        <is>
          <t>English</t>
        </is>
      </c>
      <c r="E68" s="5" t="inlineStr">
        <is>
          <t>JOUR</t>
        </is>
      </c>
      <c r="F68" s="5" t="inlineStr">
        <is>
          <t>Seif Amir Hosseini</t>
        </is>
      </c>
      <c r="G68" s="5" t="inlineStr">
        <is>
          <t>BJR case reports</t>
        </is>
      </c>
      <c r="H68" s="5" t="inlineStr">
        <is>
          <t>5(1):20180051</t>
        </is>
      </c>
      <c r="I68" s="6" t="inlineStr">
        <is>
          <t>Splenic torsion with involvement of pancreas and descending colon in a 9-year-old boy.</t>
        </is>
      </c>
      <c r="J68" s="5" t="inlineStr">
        <is>
          <t>10.1259/bjrcr.20180051</t>
        </is>
      </c>
      <c r="K68" s="7" t="inlineStr">
        <is>
          <t>link</t>
        </is>
      </c>
      <c r="L68" s="7" t="inlineStr">
        <is>
          <t>link</t>
        </is>
      </c>
      <c r="M68" s="5" t="inlineStr">
        <is>
          <t>PMC6519498</t>
        </is>
      </c>
      <c r="N68" s="7" t="inlineStr">
        <is>
          <t>link</t>
        </is>
      </c>
      <c r="O68" s="5" t="inlineStr"/>
      <c r="P68" s="5" t="inlineStr"/>
      <c r="Q68" s="5" t="inlineStr"/>
      <c r="R68" s="5" t="inlineStr">
        <is>
          <t>1 PMC record exists</t>
        </is>
      </c>
      <c r="S68" s="5" t="inlineStr"/>
      <c r="T68" s="5" t="inlineStr">
        <is>
          <t>WS0293.pdf</t>
        </is>
      </c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</row>
    <row r="69">
      <c r="A69" s="5" t="n">
        <v>68</v>
      </c>
      <c r="B69" s="5" t="inlineStr">
        <is>
          <t>WS0324</t>
        </is>
      </c>
      <c r="C69" s="5" t="inlineStr">
        <is>
          <t>2019</t>
        </is>
      </c>
      <c r="D69" s="5" t="inlineStr">
        <is>
          <t>English</t>
        </is>
      </c>
      <c r="E69" s="5" t="inlineStr">
        <is>
          <t>JOUR</t>
        </is>
      </c>
      <c r="F69" s="5" t="inlineStr">
        <is>
          <t>Alqadi</t>
        </is>
      </c>
      <c r="G69" s="5" t="inlineStr">
        <is>
          <t>Journal of minimal access surgery</t>
        </is>
      </c>
      <c r="H69" s="5" t="inlineStr">
        <is>
          <t>15(2):93-97</t>
        </is>
      </c>
      <c r="I69" s="6" t="inlineStr">
        <is>
          <t>Is laparoscopic approach for wandering spleen in children an option?</t>
        </is>
      </c>
      <c r="J69" s="5" t="inlineStr">
        <is>
          <t>10.4103/jmas.jmas_14_18</t>
        </is>
      </c>
      <c r="K69" s="7" t="inlineStr">
        <is>
          <t>link</t>
        </is>
      </c>
      <c r="L69" s="7" t="inlineStr">
        <is>
          <t>link</t>
        </is>
      </c>
      <c r="M69" s="5" t="inlineStr">
        <is>
          <t>PMC6438076</t>
        </is>
      </c>
      <c r="N69" s="7" t="inlineStr">
        <is>
          <t>link</t>
        </is>
      </c>
      <c r="O69" s="5" t="inlineStr"/>
      <c r="P69" s="5" t="inlineStr"/>
      <c r="Q69" s="5" t="inlineStr"/>
      <c r="R69" s="5" t="inlineStr">
        <is>
          <t>1 PMC record exists</t>
        </is>
      </c>
      <c r="S69" s="5" t="inlineStr"/>
      <c r="T69" s="5" t="inlineStr">
        <is>
          <t>WS0324.pdf</t>
        </is>
      </c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</row>
    <row r="70">
      <c r="A70" s="5" t="n">
        <v>69</v>
      </c>
      <c r="B70" s="5" t="inlineStr">
        <is>
          <t>WS0330</t>
        </is>
      </c>
      <c r="C70" s="5" t="inlineStr">
        <is>
          <t>2018</t>
        </is>
      </c>
      <c r="D70" s="5" t="inlineStr">
        <is>
          <t>English</t>
        </is>
      </c>
      <c r="E70" s="5" t="inlineStr">
        <is>
          <t>JOUR</t>
        </is>
      </c>
      <c r="F70" s="5" t="inlineStr">
        <is>
          <t>Rizzuto</t>
        </is>
      </c>
      <c r="G70" s="5" t="inlineStr">
        <is>
          <t>International journal of surgery case reports</t>
        </is>
      </c>
      <c r="H70" s="5" t="inlineStr">
        <is>
          <t>43:36-40</t>
        </is>
      </c>
      <c r="I70" s="6" t="inlineStr">
        <is>
          <t>Laparoscopic splenectomy for a simultaneous wandering spleen along with an ectopic accessory spleen. Case report and review of the literature.</t>
        </is>
      </c>
      <c r="J70" s="5" t="inlineStr">
        <is>
          <t>10.1016/j.ijscr.2018.01.017</t>
        </is>
      </c>
      <c r="K70" s="7" t="inlineStr">
        <is>
          <t>link</t>
        </is>
      </c>
      <c r="L70" s="7" t="inlineStr">
        <is>
          <t>link</t>
        </is>
      </c>
      <c r="M70" s="5" t="inlineStr">
        <is>
          <t>PMC5907687</t>
        </is>
      </c>
      <c r="N70" s="7" t="inlineStr">
        <is>
          <t>link</t>
        </is>
      </c>
      <c r="O70" s="5" t="inlineStr"/>
      <c r="P70" s="5" t="inlineStr"/>
      <c r="Q70" s="5" t="inlineStr"/>
      <c r="R70" s="5" t="inlineStr">
        <is>
          <t>1 PMC record exists</t>
        </is>
      </c>
      <c r="S70" s="5" t="inlineStr"/>
      <c r="T70" s="5" t="inlineStr">
        <is>
          <t>WS0330.pdf</t>
        </is>
      </c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</row>
    <row r="71">
      <c r="A71" s="5" t="n">
        <v>70</v>
      </c>
      <c r="B71" s="5" t="inlineStr">
        <is>
          <t>WS0400</t>
        </is>
      </c>
      <c r="C71" s="5" t="inlineStr">
        <is>
          <t>2017</t>
        </is>
      </c>
      <c r="D71" s="5" t="inlineStr">
        <is>
          <t>English</t>
        </is>
      </c>
      <c r="E71" s="5" t="inlineStr">
        <is>
          <t>JOUR</t>
        </is>
      </c>
      <c r="F71" s="5" t="inlineStr">
        <is>
          <t>Puranik</t>
        </is>
      </c>
      <c r="G71" s="5" t="inlineStr">
        <is>
          <t>Gastroenterology report</t>
        </is>
      </c>
      <c r="H71" s="5" t="inlineStr">
        <is>
          <t>5(3):241-243</t>
        </is>
      </c>
      <c r="I71" s="6" t="inlineStr">
        <is>
          <t>Wandering spleen: a surgical enigma.</t>
        </is>
      </c>
      <c r="J71" s="5" t="inlineStr">
        <is>
          <t>10.1093/gastro/gov034</t>
        </is>
      </c>
      <c r="K71" s="7" t="inlineStr">
        <is>
          <t>link</t>
        </is>
      </c>
      <c r="L71" s="7" t="inlineStr">
        <is>
          <t>link</t>
        </is>
      </c>
      <c r="M71" s="5" t="inlineStr">
        <is>
          <t>PMC5554386</t>
        </is>
      </c>
      <c r="N71" s="7" t="inlineStr">
        <is>
          <t>link</t>
        </is>
      </c>
      <c r="O71" s="5" t="inlineStr"/>
      <c r="P71" s="5" t="inlineStr"/>
      <c r="Q71" s="5" t="inlineStr"/>
      <c r="R71" s="5" t="inlineStr">
        <is>
          <t>1 PMC record exists</t>
        </is>
      </c>
      <c r="S71" s="5" t="inlineStr"/>
      <c r="T71" s="5" t="inlineStr">
        <is>
          <t>WS0400.pdf</t>
        </is>
      </c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</row>
    <row r="72">
      <c r="A72" s="5" t="n">
        <v>71</v>
      </c>
      <c r="B72" s="5" t="inlineStr">
        <is>
          <t>WS0359</t>
        </is>
      </c>
      <c r="C72" s="5" t="inlineStr">
        <is>
          <t>2016</t>
        </is>
      </c>
      <c r="D72" s="5" t="inlineStr">
        <is>
          <t>English</t>
        </is>
      </c>
      <c r="E72" s="5" t="inlineStr">
        <is>
          <t>JOUR</t>
        </is>
      </c>
      <c r="F72" s="5" t="inlineStr">
        <is>
          <t>Cantone</t>
        </is>
      </c>
      <c r="G72" s="5" t="inlineStr">
        <is>
          <t>Case reports in surgery</t>
        </is>
      </c>
      <c r="H72" s="5" t="inlineStr">
        <is>
          <t>2016:6450765</t>
        </is>
      </c>
      <c r="I72" s="6" t="inlineStr">
        <is>
          <t>Wandering Spleen and Organoaxial Gastric Volvulus after Morgagni Hernia Repair: A Case Report and Review of the Literature.</t>
        </is>
      </c>
      <c r="J72" s="5" t="inlineStr">
        <is>
          <t>10.1155/2016/6450765</t>
        </is>
      </c>
      <c r="K72" s="7" t="inlineStr">
        <is>
          <t>link</t>
        </is>
      </c>
      <c r="L72" s="7" t="inlineStr">
        <is>
          <t>link</t>
        </is>
      </c>
      <c r="M72" s="5" t="inlineStr">
        <is>
          <t>PMC5039297</t>
        </is>
      </c>
      <c r="N72" s="7" t="inlineStr">
        <is>
          <t>link</t>
        </is>
      </c>
      <c r="O72" s="5" t="inlineStr"/>
      <c r="P72" s="5" t="inlineStr"/>
      <c r="Q72" s="5" t="inlineStr"/>
      <c r="R72" s="5" t="inlineStr">
        <is>
          <t>1 PMC record exists</t>
        </is>
      </c>
      <c r="S72" s="5" t="inlineStr"/>
      <c r="T72" s="5" t="inlineStr">
        <is>
          <t>WS0359.pdf</t>
        </is>
      </c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</row>
    <row r="73">
      <c r="A73" s="5" t="n">
        <v>72</v>
      </c>
      <c r="B73" s="5" t="inlineStr">
        <is>
          <t>WS0363</t>
        </is>
      </c>
      <c r="C73" s="5" t="inlineStr">
        <is>
          <t>2016</t>
        </is>
      </c>
      <c r="D73" s="5" t="inlineStr">
        <is>
          <t>English</t>
        </is>
      </c>
      <c r="E73" s="5" t="inlineStr">
        <is>
          <t>JOUR</t>
        </is>
      </c>
      <c r="F73" s="5" t="inlineStr">
        <is>
          <t>Din</t>
        </is>
      </c>
      <c r="G73" s="5" t="inlineStr">
        <is>
          <t>Case reports in pediatrics</t>
        </is>
      </c>
      <c r="H73" s="5" t="inlineStr">
        <is>
          <t>2016:5437971</t>
        </is>
      </c>
      <c r="I73" s="6" t="inlineStr">
        <is>
          <t>A Physician's Nightmare: Fever of Unknown Origin.</t>
        </is>
      </c>
      <c r="J73" s="5" t="inlineStr">
        <is>
          <t>10.1155/2016/5437971</t>
        </is>
      </c>
      <c r="K73" s="7" t="inlineStr">
        <is>
          <t>link</t>
        </is>
      </c>
      <c r="L73" s="7" t="inlineStr">
        <is>
          <t>link</t>
        </is>
      </c>
      <c r="M73" s="5" t="inlineStr">
        <is>
          <t>PMC4940533</t>
        </is>
      </c>
      <c r="N73" s="7" t="inlineStr">
        <is>
          <t>link</t>
        </is>
      </c>
      <c r="O73" s="5" t="inlineStr"/>
      <c r="P73" s="5" t="inlineStr"/>
      <c r="Q73" s="5" t="inlineStr"/>
      <c r="R73" s="5" t="inlineStr">
        <is>
          <t>1 PMC record exists</t>
        </is>
      </c>
      <c r="S73" s="5" t="inlineStr"/>
      <c r="T73" s="5" t="inlineStr">
        <is>
          <t>WS0363.pdf</t>
        </is>
      </c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</row>
    <row r="74">
      <c r="A74" s="5" t="n">
        <v>73</v>
      </c>
      <c r="B74" s="5" t="inlineStr">
        <is>
          <t>WS0380</t>
        </is>
      </c>
      <c r="C74" s="5" t="inlineStr">
        <is>
          <t>2016</t>
        </is>
      </c>
      <c r="D74" s="5" t="inlineStr">
        <is>
          <t>English</t>
        </is>
      </c>
      <c r="E74" s="5" t="inlineStr">
        <is>
          <t>JOUR</t>
        </is>
      </c>
      <c r="F74" s="5" t="inlineStr">
        <is>
          <t>Unal</t>
        </is>
      </c>
      <c r="G74" s="5" t="inlineStr">
        <is>
          <t>Insights into imaging</t>
        </is>
      </c>
      <c r="H74" s="5" t="inlineStr">
        <is>
          <t>7(2):215-22</t>
        </is>
      </c>
      <c r="I74" s="6" t="inlineStr">
        <is>
          <t>Imaging findings of splenic emergencies: a pictorial review.</t>
        </is>
      </c>
      <c r="J74" s="5" t="inlineStr">
        <is>
          <t>10.1007/s13244-016-0467-8</t>
        </is>
      </c>
      <c r="K74" s="7" t="inlineStr">
        <is>
          <t>link</t>
        </is>
      </c>
      <c r="L74" s="7" t="inlineStr">
        <is>
          <t>link</t>
        </is>
      </c>
      <c r="M74" s="5" t="inlineStr">
        <is>
          <t>PMC4805612</t>
        </is>
      </c>
      <c r="N74" s="7" t="inlineStr">
        <is>
          <t>link</t>
        </is>
      </c>
      <c r="O74" s="5" t="inlineStr"/>
      <c r="P74" s="5" t="inlineStr"/>
      <c r="Q74" s="5" t="inlineStr"/>
      <c r="R74" s="5" t="inlineStr">
        <is>
          <t>1 PMC record exists</t>
        </is>
      </c>
      <c r="S74" s="5" t="inlineStr"/>
      <c r="T74" s="5" t="inlineStr">
        <is>
          <t>WS0380.pdf</t>
        </is>
      </c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</row>
    <row r="75">
      <c r="A75" s="5" t="n">
        <v>74</v>
      </c>
      <c r="B75" s="5" t="inlineStr">
        <is>
          <t>WS0404</t>
        </is>
      </c>
      <c r="C75" s="5" t="inlineStr">
        <is>
          <t>2016</t>
        </is>
      </c>
      <c r="D75" s="5" t="inlineStr">
        <is>
          <t>English</t>
        </is>
      </c>
      <c r="E75" s="5" t="inlineStr">
        <is>
          <t>JOUR</t>
        </is>
      </c>
      <c r="F75" s="5" t="inlineStr">
        <is>
          <t>Yoldas</t>
        </is>
      </c>
      <c r="G75" s="5" t="inlineStr">
        <is>
          <t>Ulusal cerrahi dergisi</t>
        </is>
      </c>
      <c r="H75" s="5" t="inlineStr">
        <is>
          <t>32(4):292-294</t>
        </is>
      </c>
      <c r="I75" s="6" t="inlineStr">
        <is>
          <t>Laparoscopic splenectomy for a wandering spleen causing chronic pelvic pain.</t>
        </is>
      </c>
      <c r="J75" s="5" t="inlineStr">
        <is>
          <t>10.5152/ucd.2015.2850</t>
        </is>
      </c>
      <c r="K75" s="7" t="inlineStr">
        <is>
          <t>link</t>
        </is>
      </c>
      <c r="L75" s="7" t="inlineStr">
        <is>
          <t>link</t>
        </is>
      </c>
      <c r="M75" s="5" t="inlineStr">
        <is>
          <t>PMC5245725</t>
        </is>
      </c>
      <c r="N75" s="7" t="inlineStr">
        <is>
          <t>link</t>
        </is>
      </c>
      <c r="O75" s="5" t="inlineStr"/>
      <c r="P75" s="5" t="inlineStr"/>
      <c r="Q75" s="5" t="inlineStr"/>
      <c r="R75" s="5" t="inlineStr">
        <is>
          <t>1 PMC record exists</t>
        </is>
      </c>
      <c r="S75" s="5" t="inlineStr"/>
      <c r="T75" s="5" t="inlineStr">
        <is>
          <t>WS0404.pdf</t>
        </is>
      </c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</row>
    <row r="76">
      <c r="A76" s="5" t="n">
        <v>75</v>
      </c>
      <c r="B76" s="5" t="inlineStr">
        <is>
          <t>WS0388</t>
        </is>
      </c>
      <c r="C76" s="5" t="inlineStr">
        <is>
          <t>2015</t>
        </is>
      </c>
      <c r="D76" s="5" t="inlineStr">
        <is>
          <t>English</t>
        </is>
      </c>
      <c r="E76" s="5" t="inlineStr">
        <is>
          <t>JOUR</t>
        </is>
      </c>
      <c r="F76" s="5" t="inlineStr">
        <is>
          <t>Flores-Rios</t>
        </is>
      </c>
      <c r="G76" s="5" t="inlineStr">
        <is>
          <t>Journal of radiology case reports</t>
        </is>
      </c>
      <c r="H76" s="5" t="inlineStr">
        <is>
          <t>9(10):18-25</t>
        </is>
      </c>
      <c r="I76" s="6" t="inlineStr">
        <is>
          <t>Wandering spleen, gastric and pancreatic volvulus and right-sided descending and sigmoid colon.</t>
        </is>
      </c>
      <c r="J76" s="5" t="inlineStr">
        <is>
          <t>10.3941/jrcr.v9i10.2475</t>
        </is>
      </c>
      <c r="K76" s="7" t="inlineStr">
        <is>
          <t>link</t>
        </is>
      </c>
      <c r="L76" s="7" t="inlineStr">
        <is>
          <t>link</t>
        </is>
      </c>
      <c r="M76" s="5" t="inlineStr">
        <is>
          <t>PMC4638397</t>
        </is>
      </c>
      <c r="N76" s="7" t="inlineStr">
        <is>
          <t>link</t>
        </is>
      </c>
      <c r="O76" s="5" t="inlineStr"/>
      <c r="P76" s="5" t="inlineStr"/>
      <c r="Q76" s="5" t="inlineStr"/>
      <c r="R76" s="5" t="inlineStr">
        <is>
          <t>1 PMC record exists</t>
        </is>
      </c>
      <c r="S76" s="5" t="inlineStr"/>
      <c r="T76" s="5" t="inlineStr">
        <is>
          <t>WS0388.pdf</t>
        </is>
      </c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</row>
    <row r="77">
      <c r="A77" s="5" t="n">
        <v>76</v>
      </c>
      <c r="B77" s="5" t="inlineStr">
        <is>
          <t>WS0393</t>
        </is>
      </c>
      <c r="C77" s="5" t="inlineStr">
        <is>
          <t>2015</t>
        </is>
      </c>
      <c r="D77" s="5" t="inlineStr">
        <is>
          <t>English</t>
        </is>
      </c>
      <c r="E77" s="5" t="inlineStr">
        <is>
          <t>JOUR</t>
        </is>
      </c>
      <c r="F77" s="5" t="inlineStr">
        <is>
          <t>Rajaram</t>
        </is>
      </c>
      <c r="G77" s="5" t="inlineStr">
        <is>
          <t>Journal of clinical and diagnostic research : JCDR</t>
        </is>
      </c>
      <c r="H77" s="5" t="inlineStr">
        <is>
          <t>9(9):PD26-7</t>
        </is>
      </c>
      <c r="I77" s="6" t="inlineStr">
        <is>
          <t>Ectopic Spleen Presenting as Lump Abdomen: A Rare Case Report and Review of Literature.</t>
        </is>
      </c>
      <c r="J77" s="5" t="inlineStr">
        <is>
          <t>10.7860/jcdr/2015/13135.6541</t>
        </is>
      </c>
      <c r="K77" s="7" t="inlineStr">
        <is>
          <t>link</t>
        </is>
      </c>
      <c r="L77" s="7" t="inlineStr">
        <is>
          <t>link</t>
        </is>
      </c>
      <c r="M77" s="5" t="inlineStr">
        <is>
          <t>PMC4606285</t>
        </is>
      </c>
      <c r="N77" s="7" t="inlineStr">
        <is>
          <t>link</t>
        </is>
      </c>
      <c r="O77" s="5" t="inlineStr"/>
      <c r="P77" s="5" t="inlineStr"/>
      <c r="Q77" s="5" t="inlineStr"/>
      <c r="R77" s="5" t="inlineStr">
        <is>
          <t>1 PMC record exists</t>
        </is>
      </c>
      <c r="S77" s="5" t="inlineStr"/>
      <c r="T77" s="5" t="inlineStr">
        <is>
          <t>WS0393.pdf</t>
        </is>
      </c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</row>
    <row r="78">
      <c r="A78" s="5" t="n">
        <v>77</v>
      </c>
      <c r="B78" s="5" t="inlineStr">
        <is>
          <t>WS0396</t>
        </is>
      </c>
      <c r="C78" s="5" t="inlineStr">
        <is>
          <t>2015</t>
        </is>
      </c>
      <c r="D78" s="5" t="inlineStr">
        <is>
          <t>English</t>
        </is>
      </c>
      <c r="E78" s="5" t="inlineStr">
        <is>
          <t>JOUR</t>
        </is>
      </c>
      <c r="F78" s="5" t="inlineStr">
        <is>
          <t>Jiang</t>
        </is>
      </c>
      <c r="G78" s="5" t="inlineStr">
        <is>
          <t>International journal of clinical and experimental medicine</t>
        </is>
      </c>
      <c r="H78" s="5" t="inlineStr">
        <is>
          <t>8(7):11621-3</t>
        </is>
      </c>
      <c r="I78" s="6" t="inlineStr">
        <is>
          <t>Acute torsion of wandering spleen in a 17-year-old girl.</t>
        </is>
      </c>
      <c r="J78" s="5" t="inlineStr"/>
      <c r="K78" s="5" t="inlineStr"/>
      <c r="L78" s="7" t="inlineStr">
        <is>
          <t>link</t>
        </is>
      </c>
      <c r="M78" s="5" t="inlineStr">
        <is>
          <t>PMC4565377</t>
        </is>
      </c>
      <c r="N78" s="7" t="inlineStr">
        <is>
          <t>link</t>
        </is>
      </c>
      <c r="O78" s="5" t="inlineStr"/>
      <c r="P78" s="5" t="inlineStr"/>
      <c r="Q78" s="5" t="inlineStr"/>
      <c r="R78" s="5" t="inlineStr">
        <is>
          <t>1 PMC record exists</t>
        </is>
      </c>
      <c r="S78" s="5" t="inlineStr"/>
      <c r="T78" s="5" t="inlineStr">
        <is>
          <t>WS0396.pdf</t>
        </is>
      </c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</row>
    <row r="79">
      <c r="A79" s="5" t="n">
        <v>78</v>
      </c>
      <c r="B79" s="5" t="inlineStr">
        <is>
          <t>WS0411</t>
        </is>
      </c>
      <c r="C79" s="5" t="inlineStr">
        <is>
          <t>2014</t>
        </is>
      </c>
      <c r="D79" s="5" t="inlineStr">
        <is>
          <t>English</t>
        </is>
      </c>
      <c r="E79" s="5" t="inlineStr">
        <is>
          <t>JOUR</t>
        </is>
      </c>
      <c r="F79" s="5" t="inlineStr">
        <is>
          <t>Rellum</t>
        </is>
      </c>
      <c r="G79" s="5" t="inlineStr">
        <is>
          <t>European journal of pediatric surgery reports</t>
        </is>
      </c>
      <c r="H79" s="5" t="inlineStr">
        <is>
          <t>2(1):26-8</t>
        </is>
      </c>
      <c r="I79" s="6" t="inlineStr">
        <is>
          <t>Splenorenal collaterals as hallmark for a twisted wandering spleen in a 14-year-old girl with abdominal pain: a case report.</t>
        </is>
      </c>
      <c r="J79" s="5" t="inlineStr">
        <is>
          <t>10.1055/s-0034-1370776</t>
        </is>
      </c>
      <c r="K79" s="7" t="inlineStr">
        <is>
          <t>link</t>
        </is>
      </c>
      <c r="L79" s="7" t="inlineStr">
        <is>
          <t>link</t>
        </is>
      </c>
      <c r="M79" s="5" t="inlineStr">
        <is>
          <t>PMC4336078</t>
        </is>
      </c>
      <c r="N79" s="7" t="inlineStr">
        <is>
          <t>link</t>
        </is>
      </c>
      <c r="O79" s="5" t="inlineStr"/>
      <c r="P79" s="5" t="inlineStr"/>
      <c r="Q79" s="5" t="inlineStr"/>
      <c r="R79" s="5" t="inlineStr">
        <is>
          <t>1 PMC record exists</t>
        </is>
      </c>
      <c r="S79" s="5" t="inlineStr"/>
      <c r="T79" s="5" t="inlineStr">
        <is>
          <t>WS0411.pdf</t>
        </is>
      </c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</row>
    <row r="80">
      <c r="A80" s="5" t="n">
        <v>79</v>
      </c>
      <c r="B80" s="5" t="inlineStr">
        <is>
          <t>WS0412</t>
        </is>
      </c>
      <c r="C80" s="5" t="inlineStr">
        <is>
          <t>2014</t>
        </is>
      </c>
      <c r="D80" s="5" t="inlineStr">
        <is>
          <t>English</t>
        </is>
      </c>
      <c r="E80" s="5" t="inlineStr">
        <is>
          <t>JOUR</t>
        </is>
      </c>
      <c r="F80" s="5" t="inlineStr">
        <is>
          <t>Katsura</t>
        </is>
      </c>
      <c r="G80" s="5" t="inlineStr">
        <is>
          <t>European journal of pediatric surgery reports</t>
        </is>
      </c>
      <c r="H80" s="5" t="inlineStr">
        <is>
          <t>2(1):23-5</t>
        </is>
      </c>
      <c r="I80" s="6" t="inlineStr">
        <is>
          <t>Single-incision laparoscopic splenectomy and splenic autotransplantation for an enlarged wandering spleen with torsion.</t>
        </is>
      </c>
      <c r="J80" s="5" t="inlineStr">
        <is>
          <t>10.1055/s-0033-1357262</t>
        </is>
      </c>
      <c r="K80" s="7" t="inlineStr">
        <is>
          <t>link</t>
        </is>
      </c>
      <c r="L80" s="7" t="inlineStr">
        <is>
          <t>link</t>
        </is>
      </c>
      <c r="M80" s="5" t="inlineStr">
        <is>
          <t>PMC4336060</t>
        </is>
      </c>
      <c r="N80" s="7" t="inlineStr">
        <is>
          <t>link</t>
        </is>
      </c>
      <c r="O80" s="5" t="inlineStr"/>
      <c r="P80" s="5" t="inlineStr"/>
      <c r="Q80" s="5" t="inlineStr"/>
      <c r="R80" s="5" t="inlineStr">
        <is>
          <t>1 PMC record exists</t>
        </is>
      </c>
      <c r="S80" s="5" t="inlineStr"/>
      <c r="T80" s="5" t="inlineStr">
        <is>
          <t>WS0412.pdf</t>
        </is>
      </c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</row>
    <row r="81">
      <c r="A81" s="5" t="n">
        <v>80</v>
      </c>
      <c r="B81" s="5" t="inlineStr">
        <is>
          <t>WS0420</t>
        </is>
      </c>
      <c r="C81" s="5" t="inlineStr">
        <is>
          <t>2014</t>
        </is>
      </c>
      <c r="D81" s="5" t="inlineStr">
        <is>
          <t>English</t>
        </is>
      </c>
      <c r="E81" s="5" t="inlineStr">
        <is>
          <t>JOUR</t>
        </is>
      </c>
      <c r="F81" s="5" t="inlineStr">
        <is>
          <t>Maksoud</t>
        </is>
      </c>
      <c r="G81" s="5" t="inlineStr">
        <is>
          <t>Journal of radiology case reports</t>
        </is>
      </c>
      <c r="H81" s="5" t="inlineStr">
        <is>
          <t>8(6):18-26</t>
        </is>
      </c>
      <c r="I81" s="6" t="inlineStr">
        <is>
          <t>Tale of a wandering spleen: 1800 degree torsion with infarcted spleen and secondary involvement of liver.</t>
        </is>
      </c>
      <c r="J81" s="5" t="inlineStr">
        <is>
          <t>10.3941/jrcr.v8i6.1534</t>
        </is>
      </c>
      <c r="K81" s="7" t="inlineStr">
        <is>
          <t>link</t>
        </is>
      </c>
      <c r="L81" s="7" t="inlineStr">
        <is>
          <t>link</t>
        </is>
      </c>
      <c r="M81" s="5" t="inlineStr">
        <is>
          <t>PMC4242138</t>
        </is>
      </c>
      <c r="N81" s="7" t="inlineStr">
        <is>
          <t>link</t>
        </is>
      </c>
      <c r="O81" s="5" t="inlineStr"/>
      <c r="P81" s="5" t="inlineStr"/>
      <c r="Q81" s="5" t="inlineStr"/>
      <c r="R81" s="5" t="inlineStr">
        <is>
          <t>1 PMC record exists</t>
        </is>
      </c>
      <c r="S81" s="5" t="inlineStr"/>
      <c r="T81" s="5" t="inlineStr">
        <is>
          <t>WS0420.pdf</t>
        </is>
      </c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</row>
    <row r="82">
      <c r="A82" s="5" t="n">
        <v>81</v>
      </c>
      <c r="B82" s="5" t="inlineStr">
        <is>
          <t>WS0427</t>
        </is>
      </c>
      <c r="C82" s="5" t="inlineStr">
        <is>
          <t>2014</t>
        </is>
      </c>
      <c r="D82" s="5" t="inlineStr">
        <is>
          <t>English</t>
        </is>
      </c>
      <c r="E82" s="5" t="inlineStr">
        <is>
          <t>JOUR</t>
        </is>
      </c>
      <c r="F82" s="5" t="inlineStr">
        <is>
          <t>Gorsi</t>
        </is>
      </c>
      <c r="G82" s="5" t="inlineStr">
        <is>
          <t>Saudi journal of gastroenterology : official journal of the Saudi Gastroenterology Association</t>
        </is>
      </c>
      <c r="H82" s="5" t="inlineStr">
        <is>
          <t>20(3):195-8</t>
        </is>
      </c>
      <c r="I82" s="6" t="inlineStr">
        <is>
          <t>Pancreatic volvulus with wandering spleen and gastric volvulus: an unusual triad for acute abdomen in a surgical emergency.</t>
        </is>
      </c>
      <c r="J82" s="5" t="inlineStr">
        <is>
          <t>10.4103/1319-3767.133026</t>
        </is>
      </c>
      <c r="K82" s="7" t="inlineStr">
        <is>
          <t>link</t>
        </is>
      </c>
      <c r="L82" s="7" t="inlineStr">
        <is>
          <t>link</t>
        </is>
      </c>
      <c r="M82" s="5" t="inlineStr">
        <is>
          <t>PMC4067917</t>
        </is>
      </c>
      <c r="N82" s="7" t="inlineStr">
        <is>
          <t>link</t>
        </is>
      </c>
      <c r="O82" s="5" t="inlineStr"/>
      <c r="P82" s="5" t="inlineStr"/>
      <c r="Q82" s="5" t="inlineStr"/>
      <c r="R82" s="5" t="inlineStr">
        <is>
          <t>1 PMC record exists</t>
        </is>
      </c>
      <c r="S82" s="5" t="inlineStr"/>
      <c r="T82" s="5" t="inlineStr">
        <is>
          <t>WS0427.pdf</t>
        </is>
      </c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</row>
    <row r="83">
      <c r="A83" s="5" t="n">
        <v>82</v>
      </c>
      <c r="B83" s="5" t="inlineStr">
        <is>
          <t>WS0428</t>
        </is>
      </c>
      <c r="C83" s="5" t="inlineStr">
        <is>
          <t>2014</t>
        </is>
      </c>
      <c r="D83" s="5" t="inlineStr">
        <is>
          <t>English</t>
        </is>
      </c>
      <c r="E83" s="5" t="inlineStr">
        <is>
          <t>JOUR</t>
        </is>
      </c>
      <c r="F83" s="5" t="inlineStr">
        <is>
          <t>Blouhos</t>
        </is>
      </c>
      <c r="G83" s="5" t="inlineStr">
        <is>
          <t>International journal of surgery case reports</t>
        </is>
      </c>
      <c r="H83" s="5" t="inlineStr">
        <is>
          <t>5(8):451-4</t>
        </is>
      </c>
      <c r="I83" s="6" t="inlineStr">
        <is>
          <t>Ectopic spleen: An easily identifiable but commonly undiagnosed entity until manifestation of complications.</t>
        </is>
      </c>
      <c r="J83" s="5" t="inlineStr">
        <is>
          <t>10.1016/j.ijscr.2014.05.010</t>
        </is>
      </c>
      <c r="K83" s="7" t="inlineStr">
        <is>
          <t>link</t>
        </is>
      </c>
      <c r="L83" s="7" t="inlineStr">
        <is>
          <t>link</t>
        </is>
      </c>
      <c r="M83" s="5" t="inlineStr">
        <is>
          <t>PMC4147574</t>
        </is>
      </c>
      <c r="N83" s="7" t="inlineStr">
        <is>
          <t>link</t>
        </is>
      </c>
      <c r="O83" s="5" t="inlineStr"/>
      <c r="P83" s="5" t="inlineStr"/>
      <c r="Q83" s="5" t="inlineStr"/>
      <c r="R83" s="5" t="inlineStr">
        <is>
          <t>1 PMC record exists</t>
        </is>
      </c>
      <c r="S83" s="5" t="inlineStr"/>
      <c r="T83" s="5" t="inlineStr">
        <is>
          <t>WS0428.pdf</t>
        </is>
      </c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</row>
    <row r="84">
      <c r="A84" s="5" t="n">
        <v>83</v>
      </c>
      <c r="B84" s="5" t="inlineStr">
        <is>
          <t>WS0432</t>
        </is>
      </c>
      <c r="C84" s="5" t="inlineStr">
        <is>
          <t>2014</t>
        </is>
      </c>
      <c r="D84" s="5" t="inlineStr">
        <is>
          <t>English</t>
        </is>
      </c>
      <c r="E84" s="5" t="inlineStr">
        <is>
          <t>JOUR</t>
        </is>
      </c>
      <c r="F84" s="5" t="inlineStr">
        <is>
          <t>Goyal</t>
        </is>
      </c>
      <c r="G84" s="5" t="inlineStr">
        <is>
          <t>APSP journal of case reports</t>
        </is>
      </c>
      <c r="H84" s="5" t="inlineStr">
        <is>
          <t>5(1):4</t>
        </is>
      </c>
      <c r="I84" s="6" t="inlineStr">
        <is>
          <t>Salvage splenopexy for torsion of wandering spleen in a child.</t>
        </is>
      </c>
      <c r="J84" s="5" t="inlineStr"/>
      <c r="K84" s="5" t="inlineStr"/>
      <c r="L84" s="7" t="inlineStr">
        <is>
          <t>link</t>
        </is>
      </c>
      <c r="M84" s="5" t="inlineStr">
        <is>
          <t>PMC4005091</t>
        </is>
      </c>
      <c r="N84" s="7" t="inlineStr">
        <is>
          <t>link</t>
        </is>
      </c>
      <c r="O84" s="5" t="inlineStr"/>
      <c r="P84" s="5" t="inlineStr"/>
      <c r="Q84" s="5" t="inlineStr"/>
      <c r="R84" s="5" t="inlineStr">
        <is>
          <t>1 PMC record exists</t>
        </is>
      </c>
      <c r="S84" s="5" t="inlineStr"/>
      <c r="T84" s="5" t="inlineStr">
        <is>
          <t>WS0432.pdf</t>
        </is>
      </c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</row>
    <row r="85">
      <c r="A85" s="5" t="n">
        <v>84</v>
      </c>
      <c r="B85" s="5" t="inlineStr">
        <is>
          <t>WS0441</t>
        </is>
      </c>
      <c r="C85" s="5" t="inlineStr">
        <is>
          <t>2014</t>
        </is>
      </c>
      <c r="D85" s="5" t="inlineStr">
        <is>
          <t>English</t>
        </is>
      </c>
      <c r="E85" s="5" t="inlineStr">
        <is>
          <t>JOUR</t>
        </is>
      </c>
      <c r="F85" s="5" t="inlineStr">
        <is>
          <t>Sheikh</t>
        </is>
      </c>
      <c r="G85" s="5" t="inlineStr">
        <is>
          <t>Patient safety in surgery</t>
        </is>
      </c>
      <c r="H85" s="5" t="inlineStr">
        <is>
          <t>8(1):12</t>
        </is>
      </c>
      <c r="I85" s="6" t="inlineStr">
        <is>
          <t>Non-operative management of a rare diagnosis of splenic torsion in a child with a history of giant omphalocele: a case report and literature review.</t>
        </is>
      </c>
      <c r="J85" s="5" t="inlineStr">
        <is>
          <t>10.1186/1754-9493-8-12</t>
        </is>
      </c>
      <c r="K85" s="7" t="inlineStr">
        <is>
          <t>link</t>
        </is>
      </c>
      <c r="L85" s="7" t="inlineStr">
        <is>
          <t>link</t>
        </is>
      </c>
      <c r="M85" s="5" t="inlineStr">
        <is>
          <t>PMC3973840</t>
        </is>
      </c>
      <c r="N85" s="7" t="inlineStr">
        <is>
          <t>link</t>
        </is>
      </c>
      <c r="O85" s="5" t="inlineStr"/>
      <c r="P85" s="5" t="inlineStr"/>
      <c r="Q85" s="5" t="inlineStr"/>
      <c r="R85" s="5" t="inlineStr">
        <is>
          <t>1 PMC record exists</t>
        </is>
      </c>
      <c r="S85" s="5" t="inlineStr"/>
      <c r="T85" s="5" t="inlineStr">
        <is>
          <t>WS0441.pdf</t>
        </is>
      </c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</row>
    <row r="86">
      <c r="A86" s="5" t="n">
        <v>85</v>
      </c>
      <c r="B86" s="5" t="inlineStr">
        <is>
          <t>WS0423</t>
        </is>
      </c>
      <c r="C86" s="5" t="inlineStr">
        <is>
          <t>2013</t>
        </is>
      </c>
      <c r="D86" s="5" t="inlineStr">
        <is>
          <t>English</t>
        </is>
      </c>
      <c r="E86" s="5" t="inlineStr">
        <is>
          <t>JOUR</t>
        </is>
      </c>
      <c r="F86" s="5" t="inlineStr">
        <is>
          <t>McBrearty</t>
        </is>
      </c>
      <c r="G86" s="5" t="inlineStr">
        <is>
          <t>Clinical case reports</t>
        </is>
      </c>
      <c r="H86" s="5" t="inlineStr">
        <is>
          <t>1(1):42-3</t>
        </is>
      </c>
      <c r="I86" s="6" t="inlineStr">
        <is>
          <t>Wandering spleen: a potential abdominal catastrophe.</t>
        </is>
      </c>
      <c r="J86" s="5" t="inlineStr">
        <is>
          <t>10.1002/ccr3.9</t>
        </is>
      </c>
      <c r="K86" s="7" t="inlineStr">
        <is>
          <t>link</t>
        </is>
      </c>
      <c r="L86" s="7" t="inlineStr">
        <is>
          <t>link</t>
        </is>
      </c>
      <c r="M86" s="5" t="inlineStr">
        <is>
          <t>PMC4184540</t>
        </is>
      </c>
      <c r="N86" s="7" t="inlineStr">
        <is>
          <t>link</t>
        </is>
      </c>
      <c r="O86" s="5" t="inlineStr"/>
      <c r="P86" s="5" t="inlineStr"/>
      <c r="Q86" s="5" t="inlineStr"/>
      <c r="R86" s="5" t="inlineStr">
        <is>
          <t>1 PMC record exists</t>
        </is>
      </c>
      <c r="S86" s="5" t="inlineStr"/>
      <c r="T86" s="5" t="inlineStr">
        <is>
          <t>WS0423.pdf</t>
        </is>
      </c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</row>
    <row r="87">
      <c r="A87" s="5" t="n">
        <v>86</v>
      </c>
      <c r="B87" s="5" t="inlineStr">
        <is>
          <t>WS0460</t>
        </is>
      </c>
      <c r="C87" s="5" t="inlineStr">
        <is>
          <t>2013</t>
        </is>
      </c>
      <c r="D87" s="5" t="inlineStr">
        <is>
          <t>English</t>
        </is>
      </c>
      <c r="E87" s="5" t="inlineStr">
        <is>
          <t>JOUR</t>
        </is>
      </c>
      <c r="F87" s="5" t="inlineStr">
        <is>
          <t>Leci-Tahiri</t>
        </is>
      </c>
      <c r="G87" s="5" t="inlineStr">
        <is>
          <t>World journal of emergency surgery : WJES</t>
        </is>
      </c>
      <c r="H87" s="5" t="inlineStr">
        <is>
          <t>8(1):30</t>
        </is>
      </c>
      <c r="I87" s="6" t="inlineStr">
        <is>
          <t>Acute abdomen due to torsion of the wandering spleen in a patient with Marfan Syndrome.</t>
        </is>
      </c>
      <c r="J87" s="5" t="inlineStr">
        <is>
          <t>10.1186/1749-7922-8-30</t>
        </is>
      </c>
      <c r="K87" s="7" t="inlineStr">
        <is>
          <t>link</t>
        </is>
      </c>
      <c r="L87" s="7" t="inlineStr">
        <is>
          <t>link</t>
        </is>
      </c>
      <c r="M87" s="5" t="inlineStr">
        <is>
          <t>PMC3751152</t>
        </is>
      </c>
      <c r="N87" s="7" t="inlineStr">
        <is>
          <t>link</t>
        </is>
      </c>
      <c r="O87" s="5" t="inlineStr"/>
      <c r="P87" s="5" t="inlineStr"/>
      <c r="Q87" s="5" t="inlineStr"/>
      <c r="R87" s="5" t="inlineStr">
        <is>
          <t>1 PMC record exists</t>
        </is>
      </c>
      <c r="S87" s="5" t="inlineStr"/>
      <c r="T87" s="5" t="inlineStr">
        <is>
          <t>WS0460.pdf</t>
        </is>
      </c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</row>
    <row r="88">
      <c r="A88" s="5" t="n">
        <v>87</v>
      </c>
      <c r="B88" s="5" t="inlineStr">
        <is>
          <t>WS0486</t>
        </is>
      </c>
      <c r="C88" s="5" t="inlineStr">
        <is>
          <t>2013</t>
        </is>
      </c>
      <c r="D88" s="5" t="inlineStr">
        <is>
          <t>English</t>
        </is>
      </c>
      <c r="E88" s="5" t="inlineStr">
        <is>
          <t>JOUR</t>
        </is>
      </c>
      <c r="F88" s="5" t="inlineStr">
        <is>
          <t>Yilmaz</t>
        </is>
      </c>
      <c r="G88" s="5" t="inlineStr">
        <is>
          <t>Ulusal cerrahi dergisi</t>
        </is>
      </c>
      <c r="H88" s="5" t="inlineStr">
        <is>
          <t>29(4):200-2</t>
        </is>
      </c>
      <c r="I88" s="6" t="inlineStr">
        <is>
          <t>Torsion of wandering spleen as a rare reason for acute abdomen: A presentation of two cases.</t>
        </is>
      </c>
      <c r="J88" s="5" t="inlineStr">
        <is>
          <t>10.5152/ucd.2013.47</t>
        </is>
      </c>
      <c r="K88" s="7" t="inlineStr">
        <is>
          <t>link</t>
        </is>
      </c>
      <c r="L88" s="7" t="inlineStr">
        <is>
          <t>link</t>
        </is>
      </c>
      <c r="M88" s="5" t="inlineStr">
        <is>
          <t>PMC4382814</t>
        </is>
      </c>
      <c r="N88" s="7" t="inlineStr">
        <is>
          <t>link</t>
        </is>
      </c>
      <c r="O88" s="5" t="inlineStr"/>
      <c r="P88" s="5" t="inlineStr"/>
      <c r="Q88" s="5" t="inlineStr"/>
      <c r="R88" s="5" t="inlineStr">
        <is>
          <t>1 PMC record exists</t>
        </is>
      </c>
      <c r="S88" s="5" t="inlineStr"/>
      <c r="T88" s="5" t="inlineStr">
        <is>
          <t>WS0486.pdf</t>
        </is>
      </c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</row>
    <row r="89">
      <c r="A89" s="5" t="n">
        <v>88</v>
      </c>
      <c r="B89" s="5" t="inlineStr">
        <is>
          <t>WS0489</t>
        </is>
      </c>
      <c r="C89" s="5" t="inlineStr">
        <is>
          <t>2013</t>
        </is>
      </c>
      <c r="D89" s="5" t="inlineStr">
        <is>
          <t>English</t>
        </is>
      </c>
      <c r="E89" s="5" t="inlineStr">
        <is>
          <t>JOUR</t>
        </is>
      </c>
      <c r="F89" s="5" t="inlineStr">
        <is>
          <t>Magowska</t>
        </is>
      </c>
      <c r="G89" s="5" t="inlineStr">
        <is>
          <t>World journal of surgery</t>
        </is>
      </c>
      <c r="H89" s="5" t="inlineStr">
        <is>
          <t>37(3):545-50</t>
        </is>
      </c>
      <c r="I89" s="6" t="inlineStr">
        <is>
          <t>Wandering spleen: a medical enigma, its natural history and rationalization.</t>
        </is>
      </c>
      <c r="J89" s="5" t="inlineStr">
        <is>
          <t>10.1007/s00268-012-1880-x</t>
        </is>
      </c>
      <c r="K89" s="7" t="inlineStr">
        <is>
          <t>link</t>
        </is>
      </c>
      <c r="L89" s="7" t="inlineStr">
        <is>
          <t>link</t>
        </is>
      </c>
      <c r="M89" s="5" t="inlineStr">
        <is>
          <t>PMC3566390</t>
        </is>
      </c>
      <c r="N89" s="7" t="inlineStr">
        <is>
          <t>link</t>
        </is>
      </c>
      <c r="O89" s="5" t="inlineStr"/>
      <c r="P89" s="5" t="inlineStr"/>
      <c r="Q89" s="5" t="inlineStr"/>
      <c r="R89" s="5" t="inlineStr">
        <is>
          <t>1 PMC record exists</t>
        </is>
      </c>
      <c r="S89" s="5" t="inlineStr"/>
      <c r="T89" s="5" t="inlineStr">
        <is>
          <t>WS0489.pdf</t>
        </is>
      </c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</row>
    <row r="90">
      <c r="A90" s="5" t="n">
        <v>89</v>
      </c>
      <c r="B90" s="5" t="inlineStr">
        <is>
          <t>WS0520</t>
        </is>
      </c>
      <c r="C90" s="5" t="inlineStr">
        <is>
          <t>2012</t>
        </is>
      </c>
      <c r="D90" s="5" t="inlineStr">
        <is>
          <t>English</t>
        </is>
      </c>
      <c r="E90" s="5" t="inlineStr">
        <is>
          <t>JOUR</t>
        </is>
      </c>
      <c r="F90" s="5" t="inlineStr">
        <is>
          <t>Lemke</t>
        </is>
      </c>
      <c r="G90" s="5" t="inlineStr">
        <is>
          <t>GMS Interdisciplinary plastic and reconstructive surgery DGPW</t>
        </is>
      </c>
      <c r="H90" s="5" t="inlineStr">
        <is>
          <t>1:Doc14</t>
        </is>
      </c>
      <c r="I90" s="6" t="inlineStr">
        <is>
          <t>Laparoscopic splenectomy of a wandering spleen with coincidental enormous splenomegaly.</t>
        </is>
      </c>
      <c r="J90" s="5" t="inlineStr">
        <is>
          <t>10.3205/iprs000014</t>
        </is>
      </c>
      <c r="K90" s="7" t="inlineStr">
        <is>
          <t>link</t>
        </is>
      </c>
      <c r="L90" s="7" t="inlineStr">
        <is>
          <t>link</t>
        </is>
      </c>
      <c r="M90" s="5" t="inlineStr">
        <is>
          <t>PMC4582471</t>
        </is>
      </c>
      <c r="N90" s="7" t="inlineStr">
        <is>
          <t>link</t>
        </is>
      </c>
      <c r="O90" s="5" t="inlineStr"/>
      <c r="P90" s="5" t="inlineStr"/>
      <c r="Q90" s="5" t="inlineStr"/>
      <c r="R90" s="5" t="inlineStr">
        <is>
          <t>1 PMC record exists</t>
        </is>
      </c>
      <c r="S90" s="5" t="inlineStr"/>
      <c r="T90" s="5" t="inlineStr">
        <is>
          <t>WS0520.pdf</t>
        </is>
      </c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</row>
    <row r="91">
      <c r="A91" s="5" t="n">
        <v>90</v>
      </c>
      <c r="B91" s="5" t="inlineStr">
        <is>
          <t>WS0541</t>
        </is>
      </c>
      <c r="C91" s="5" t="inlineStr">
        <is>
          <t>2011</t>
        </is>
      </c>
      <c r="D91" s="5" t="inlineStr">
        <is>
          <t>English</t>
        </is>
      </c>
      <c r="E91" s="5" t="inlineStr">
        <is>
          <t>JOUR</t>
        </is>
      </c>
      <c r="F91" s="5" t="inlineStr">
        <is>
          <t>Parisinos</t>
        </is>
      </c>
      <c r="G91" s="5" t="inlineStr">
        <is>
          <t>BMJ case reports</t>
        </is>
      </c>
      <c r="H91" s="5" t="inlineStr">
        <is>
          <t>2011</t>
        </is>
      </c>
      <c r="I91" s="6" t="inlineStr">
        <is>
          <t>Right abdominal mass in a 2 year-old child.</t>
        </is>
      </c>
      <c r="J91" s="5" t="inlineStr">
        <is>
          <t>10.1136/bcr.08.2011.4676</t>
        </is>
      </c>
      <c r="K91" s="7" t="inlineStr">
        <is>
          <t>link</t>
        </is>
      </c>
      <c r="L91" s="7" t="inlineStr">
        <is>
          <t>link</t>
        </is>
      </c>
      <c r="M91" s="5" t="inlineStr">
        <is>
          <t>PMC3207771</t>
        </is>
      </c>
      <c r="N91" s="7" t="inlineStr">
        <is>
          <t>link</t>
        </is>
      </c>
      <c r="O91" s="5" t="inlineStr"/>
      <c r="P91" s="5" t="inlineStr"/>
      <c r="Q91" s="5" t="inlineStr"/>
      <c r="R91" s="5" t="inlineStr">
        <is>
          <t>1 PMC record exists</t>
        </is>
      </c>
      <c r="S91" s="5" t="inlineStr"/>
      <c r="T91" s="5" t="inlineStr">
        <is>
          <t>WS0541.pdf</t>
        </is>
      </c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</row>
    <row r="92">
      <c r="A92" s="5" t="n">
        <v>91</v>
      </c>
      <c r="B92" s="5" t="inlineStr">
        <is>
          <t>WS0545</t>
        </is>
      </c>
      <c r="C92" s="5" t="inlineStr">
        <is>
          <t>2010</t>
        </is>
      </c>
      <c r="D92" s="5" t="inlineStr">
        <is>
          <t>English</t>
        </is>
      </c>
      <c r="E92" s="5" t="inlineStr">
        <is>
          <t>JOUR</t>
        </is>
      </c>
      <c r="F92" s="5" t="inlineStr">
        <is>
          <t>El Bouhaddouti</t>
        </is>
      </c>
      <c r="G92" s="5" t="inlineStr">
        <is>
          <t>Saudi journal of gastroenterology : official journal of the Saudi Gastroenterology Association</t>
        </is>
      </c>
      <c r="H92" s="5" t="inlineStr">
        <is>
          <t>16(4):288-91</t>
        </is>
      </c>
      <c r="I92" s="6" t="inlineStr">
        <is>
          <t>Torsion of a wandering spleen.</t>
        </is>
      </c>
      <c r="J92" s="5" t="inlineStr">
        <is>
          <t>10.4103/1319-3767.70618</t>
        </is>
      </c>
      <c r="K92" s="7" t="inlineStr">
        <is>
          <t>link</t>
        </is>
      </c>
      <c r="L92" s="7" t="inlineStr">
        <is>
          <t>link</t>
        </is>
      </c>
      <c r="M92" s="5" t="inlineStr">
        <is>
          <t>PMC2995100</t>
        </is>
      </c>
      <c r="N92" s="7" t="inlineStr">
        <is>
          <t>link</t>
        </is>
      </c>
      <c r="O92" s="5" t="inlineStr"/>
      <c r="P92" s="5" t="inlineStr"/>
      <c r="Q92" s="5" t="inlineStr"/>
      <c r="R92" s="5" t="inlineStr">
        <is>
          <t>1 PMC record exists</t>
        </is>
      </c>
      <c r="S92" s="5" t="inlineStr"/>
      <c r="T92" s="5" t="inlineStr">
        <is>
          <t>WS0545.pdf</t>
        </is>
      </c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</row>
    <row r="93">
      <c r="A93" s="5" t="n">
        <v>92</v>
      </c>
      <c r="B93" s="5" t="inlineStr">
        <is>
          <t>WS0562</t>
        </is>
      </c>
      <c r="C93" s="5" t="inlineStr">
        <is>
          <t>2010</t>
        </is>
      </c>
      <c r="D93" s="5" t="inlineStr">
        <is>
          <t>English</t>
        </is>
      </c>
      <c r="E93" s="5" t="inlineStr">
        <is>
          <t>JOUR</t>
        </is>
      </c>
      <c r="F93" s="5" t="inlineStr">
        <is>
          <t>Turhan</t>
        </is>
      </c>
      <c r="G93" s="5" t="inlineStr">
        <is>
          <t>International medical case reports journal</t>
        </is>
      </c>
      <c r="H93" s="5" t="inlineStr">
        <is>
          <t>3(1):19-22</t>
        </is>
      </c>
      <c r="I93" s="6" t="inlineStr">
        <is>
          <t>Wandering spleen: Report of two cases.</t>
        </is>
      </c>
      <c r="J93" s="5" t="inlineStr">
        <is>
          <t>10.2147/imcrj.s8937</t>
        </is>
      </c>
      <c r="K93" s="7" t="inlineStr">
        <is>
          <t>link</t>
        </is>
      </c>
      <c r="L93" s="7" t="inlineStr">
        <is>
          <t>link</t>
        </is>
      </c>
      <c r="M93" s="5" t="inlineStr">
        <is>
          <t>PMC3658214</t>
        </is>
      </c>
      <c r="N93" s="7" t="inlineStr">
        <is>
          <t>link</t>
        </is>
      </c>
      <c r="O93" s="5" t="inlineStr"/>
      <c r="P93" s="5" t="inlineStr"/>
      <c r="Q93" s="5" t="inlineStr"/>
      <c r="R93" s="5" t="inlineStr">
        <is>
          <t>1 PMC record exists</t>
        </is>
      </c>
      <c r="S93" s="5" t="inlineStr"/>
      <c r="T93" s="5" t="inlineStr">
        <is>
          <t>WS0562.pdf</t>
        </is>
      </c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</row>
    <row r="94">
      <c r="A94" s="5" t="n">
        <v>93</v>
      </c>
      <c r="B94" s="5" t="inlineStr">
        <is>
          <t>WS0595</t>
        </is>
      </c>
      <c r="C94" s="5" t="inlineStr">
        <is>
          <t>2008</t>
        </is>
      </c>
      <c r="D94" s="5" t="inlineStr">
        <is>
          <t>English</t>
        </is>
      </c>
      <c r="E94" s="5" t="inlineStr">
        <is>
          <t>JOUR</t>
        </is>
      </c>
      <c r="F94" s="5" t="inlineStr">
        <is>
          <t>Feroci</t>
        </is>
      </c>
      <c r="G94" s="5" t="inlineStr">
        <is>
          <t>Cases journal</t>
        </is>
      </c>
      <c r="H94" s="5" t="inlineStr">
        <is>
          <t>1(1):149</t>
        </is>
      </c>
      <c r="I94" s="6" t="inlineStr">
        <is>
          <t>The torsion of a wandering pelvic spleen: A case report.</t>
        </is>
      </c>
      <c r="J94" s="5" t="inlineStr">
        <is>
          <t>10.1186/1757-1626-1-149</t>
        </is>
      </c>
      <c r="K94" s="7" t="inlineStr">
        <is>
          <t>link</t>
        </is>
      </c>
      <c r="L94" s="7" t="inlineStr">
        <is>
          <t>link</t>
        </is>
      </c>
      <c r="M94" s="5" t="inlineStr">
        <is>
          <t>PMC2553057</t>
        </is>
      </c>
      <c r="N94" s="7" t="inlineStr">
        <is>
          <t>link</t>
        </is>
      </c>
      <c r="O94" s="5" t="inlineStr"/>
      <c r="P94" s="5" t="inlineStr"/>
      <c r="Q94" s="5" t="inlineStr"/>
      <c r="R94" s="5" t="inlineStr">
        <is>
          <t>1 PMC record exists</t>
        </is>
      </c>
      <c r="S94" s="5" t="inlineStr"/>
      <c r="T94" s="5" t="inlineStr">
        <is>
          <t>WS0595.pdf</t>
        </is>
      </c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</row>
    <row r="95">
      <c r="A95" s="5" t="n">
        <v>94</v>
      </c>
      <c r="B95" s="5" t="inlineStr">
        <is>
          <t>WS0612</t>
        </is>
      </c>
      <c r="C95" s="5" t="inlineStr">
        <is>
          <t>2008</t>
        </is>
      </c>
      <c r="D95" s="5" t="inlineStr">
        <is>
          <t>English</t>
        </is>
      </c>
      <c r="E95" s="5" t="inlineStr">
        <is>
          <t>JOUR</t>
        </is>
      </c>
      <c r="F95" s="5" t="inlineStr">
        <is>
          <t>DeJohn</t>
        </is>
      </c>
      <c r="G95" s="5" t="inlineStr">
        <is>
          <t>Radiology case reports</t>
        </is>
      </c>
      <c r="H95" s="5" t="inlineStr">
        <is>
          <t>3(4):229</t>
        </is>
      </c>
      <c r="I95" s="6" t="inlineStr">
        <is>
          <t>Wandering Spleen: A Rare Diagnosis with Variable Presentation.</t>
        </is>
      </c>
      <c r="J95" s="5" t="inlineStr">
        <is>
          <t>10.2484/rcr.v3i4.229</t>
        </is>
      </c>
      <c r="K95" s="7" t="inlineStr">
        <is>
          <t>link</t>
        </is>
      </c>
      <c r="L95" s="7" t="inlineStr">
        <is>
          <t>link</t>
        </is>
      </c>
      <c r="M95" s="5" t="inlineStr">
        <is>
          <t>PMC4897094</t>
        </is>
      </c>
      <c r="N95" s="7" t="inlineStr">
        <is>
          <t>link</t>
        </is>
      </c>
      <c r="O95" s="5" t="inlineStr"/>
      <c r="P95" s="5" t="inlineStr"/>
      <c r="Q95" s="5" t="inlineStr"/>
      <c r="R95" s="5" t="inlineStr">
        <is>
          <t>1 PMC record exists</t>
        </is>
      </c>
      <c r="S95" s="5" t="inlineStr"/>
      <c r="T95" s="5" t="inlineStr">
        <is>
          <t>WS0612.pdf</t>
        </is>
      </c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</row>
    <row r="96">
      <c r="A96" s="5" t="n">
        <v>95</v>
      </c>
      <c r="B96" s="5" t="inlineStr">
        <is>
          <t>WS0618</t>
        </is>
      </c>
      <c r="C96" s="5" t="inlineStr">
        <is>
          <t>2007</t>
        </is>
      </c>
      <c r="D96" s="5" t="inlineStr">
        <is>
          <t>English</t>
        </is>
      </c>
      <c r="E96" s="5" t="inlineStr">
        <is>
          <t>JOUR</t>
        </is>
      </c>
      <c r="F96" s="5" t="inlineStr">
        <is>
          <t>Palanivelu</t>
        </is>
      </c>
      <c r="G96" s="5" t="inlineStr">
        <is>
          <t>JSLS : Journal of the Society of Laparoendoscopic Surgeons</t>
        </is>
      </c>
      <c r="H96" s="5" t="inlineStr">
        <is>
          <t>11(2):246-51</t>
        </is>
      </c>
      <c r="I96" s="6" t="inlineStr">
        <is>
          <t>Laparoscopic mesh splenopexy (sandwich technique) for wandering spleen.</t>
        </is>
      </c>
      <c r="J96" s="5" t="inlineStr"/>
      <c r="K96" s="5" t="inlineStr"/>
      <c r="L96" s="7" t="inlineStr">
        <is>
          <t>link</t>
        </is>
      </c>
      <c r="M96" s="5" t="inlineStr">
        <is>
          <t>PMC3015717</t>
        </is>
      </c>
      <c r="N96" s="7" t="inlineStr">
        <is>
          <t>link</t>
        </is>
      </c>
      <c r="O96" s="5" t="inlineStr"/>
      <c r="P96" s="5" t="inlineStr"/>
      <c r="Q96" s="5" t="inlineStr"/>
      <c r="R96" s="5" t="inlineStr">
        <is>
          <t>1 PMC record exists</t>
        </is>
      </c>
      <c r="S96" s="5" t="inlineStr"/>
      <c r="T96" s="5" t="inlineStr">
        <is>
          <t>WS0618.pdf</t>
        </is>
      </c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</row>
    <row r="97">
      <c r="A97" s="5" t="n">
        <v>96</v>
      </c>
      <c r="B97" s="5" t="inlineStr">
        <is>
          <t>WS0011</t>
        </is>
      </c>
      <c r="C97" s="5" t="inlineStr">
        <is>
          <t>2026</t>
        </is>
      </c>
      <c r="D97" s="5" t="inlineStr">
        <is>
          <t>English</t>
        </is>
      </c>
      <c r="E97" s="5" t="inlineStr">
        <is>
          <t>JOUR</t>
        </is>
      </c>
      <c r="F97" s="5" t="inlineStr">
        <is>
          <t>Malik</t>
        </is>
      </c>
      <c r="G97" s="5" t="inlineStr">
        <is>
          <t>Journal of minimal access surgery</t>
        </is>
      </c>
      <c r="H97" s="5" t="inlineStr"/>
      <c r="I97" s="6" t="inlineStr">
        <is>
          <t>Laparoscopic splenopexy for splenic torsion in a patient with heterotaxy and single ventricle physiology: A rare case report.</t>
        </is>
      </c>
      <c r="J97" s="5" t="inlineStr">
        <is>
          <t>10.4103/jmas.jmas_586_25</t>
        </is>
      </c>
      <c r="K97" s="7" t="inlineStr">
        <is>
          <t>link</t>
        </is>
      </c>
      <c r="L97" s="7" t="inlineStr">
        <is>
          <t>link</t>
        </is>
      </c>
      <c r="M97" s="5" t="inlineStr"/>
      <c r="N97" s="5" t="inlineStr"/>
      <c r="O97" s="5" t="inlineStr"/>
      <c r="P97" s="5" t="inlineStr"/>
      <c r="Q97" s="5" t="inlineStr"/>
      <c r="R97" s="5" t="inlineStr">
        <is>
          <t>2 English, DOI or PubMed link</t>
        </is>
      </c>
      <c r="S97" s="5" t="inlineStr"/>
      <c r="T97" s="5" t="inlineStr">
        <is>
          <t>WS0011.pdf</t>
        </is>
      </c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</row>
    <row r="98">
      <c r="A98" s="5" t="n">
        <v>97</v>
      </c>
      <c r="B98" s="5" t="inlineStr">
        <is>
          <t>WS0016</t>
        </is>
      </c>
      <c r="C98" s="5" t="inlineStr">
        <is>
          <t>2026</t>
        </is>
      </c>
      <c r="D98" s="5" t="inlineStr">
        <is>
          <t>English</t>
        </is>
      </c>
      <c r="E98" s="5" t="inlineStr">
        <is>
          <t>JOUR</t>
        </is>
      </c>
      <c r="F98" s="5" t="inlineStr">
        <is>
          <t>Liu</t>
        </is>
      </c>
      <c r="G98" s="5" t="inlineStr">
        <is>
          <t>Updates in surgery</t>
        </is>
      </c>
      <c r="H98" s="5" t="inlineStr"/>
      <c r="I98" s="6" t="inlineStr">
        <is>
          <t>Surgical management of pediatric primary splenic lesions: safety and feasibility of transumbilical single-port laparoscopic partial splenectomy.</t>
        </is>
      </c>
      <c r="J98" s="5" t="inlineStr">
        <is>
          <t>10.1007/s13304-026-02552-7</t>
        </is>
      </c>
      <c r="K98" s="7" t="inlineStr">
        <is>
          <t>link</t>
        </is>
      </c>
      <c r="L98" s="7" t="inlineStr">
        <is>
          <t>link</t>
        </is>
      </c>
      <c r="M98" s="5" t="inlineStr"/>
      <c r="N98" s="5" t="inlineStr"/>
      <c r="O98" s="5" t="inlineStr"/>
      <c r="P98" s="5" t="inlineStr"/>
      <c r="Q98" s="5" t="inlineStr"/>
      <c r="R98" s="5" t="inlineStr">
        <is>
          <t>2 English, DOI or PubMed link</t>
        </is>
      </c>
      <c r="S98" s="5" t="inlineStr"/>
      <c r="T98" s="5" t="inlineStr">
        <is>
          <t>WS0016.pdf</t>
        </is>
      </c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</row>
    <row r="99">
      <c r="A99" s="5" t="n">
        <v>98</v>
      </c>
      <c r="B99" s="5" t="inlineStr">
        <is>
          <t>WS1283</t>
        </is>
      </c>
      <c r="C99" s="5" t="inlineStr">
        <is>
          <t>2026</t>
        </is>
      </c>
      <c r="D99" s="5" t="inlineStr">
        <is>
          <t>English</t>
        </is>
      </c>
      <c r="E99" s="5" t="inlineStr">
        <is>
          <t>JOUR</t>
        </is>
      </c>
      <c r="F99" s="5" t="inlineStr">
        <is>
          <t>Khan</t>
        </is>
      </c>
      <c r="G99" s="5" t="inlineStr">
        <is>
          <t>Journal of Pediatric Surgery Case Reports</t>
        </is>
      </c>
      <c r="H99" s="5" t="inlineStr">
        <is>
          <t>133</t>
        </is>
      </c>
      <c r="I99" s="6" t="inlineStr">
        <is>
          <t>Splenic torsion of a wandering spleen and polysplenia syndrome in a 10-year-old boy with cyanotic congenital heart disease: A case report</t>
        </is>
      </c>
      <c r="J99" s="5" t="inlineStr">
        <is>
          <t>10.1016/j.epsc.2026.103340</t>
        </is>
      </c>
      <c r="K99" s="7" t="inlineStr">
        <is>
          <t>link</t>
        </is>
      </c>
      <c r="L99" s="5" t="inlineStr"/>
      <c r="M99" s="5" t="inlineStr"/>
      <c r="N99" s="5" t="inlineStr"/>
      <c r="O99" s="5" t="inlineStr"/>
      <c r="P99" s="5" t="inlineStr"/>
      <c r="Q99" s="7" t="inlineStr">
        <is>
          <t>link</t>
        </is>
      </c>
      <c r="R99" s="5" t="inlineStr">
        <is>
          <t>2 English, DOI or PubMed link</t>
        </is>
      </c>
      <c r="S99" s="5" t="inlineStr"/>
      <c r="T99" s="5" t="inlineStr">
        <is>
          <t>WS1283.pdf</t>
        </is>
      </c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</row>
    <row r="100">
      <c r="A100" s="5" t="n">
        <v>99</v>
      </c>
      <c r="B100" s="5" t="inlineStr">
        <is>
          <t>WS1574</t>
        </is>
      </c>
      <c r="C100" s="5" t="inlineStr">
        <is>
          <t>2026</t>
        </is>
      </c>
      <c r="D100" s="5" t="inlineStr">
        <is>
          <t>English</t>
        </is>
      </c>
      <c r="E100" s="5" t="inlineStr">
        <is>
          <t>JOUR</t>
        </is>
      </c>
      <c r="F100" s="5" t="inlineStr">
        <is>
          <t>Zhou</t>
        </is>
      </c>
      <c r="G100" s="5" t="inlineStr">
        <is>
          <t>Frontiers in Oncology</t>
        </is>
      </c>
      <c r="H100" s="5" t="inlineStr">
        <is>
          <t>16</t>
        </is>
      </c>
      <c r="I100" s="6" t="inlineStr">
        <is>
          <t>Giant solid pseudopapillary neoplasm of the pancreas in an adolescent girl: a case report with narrative review</t>
        </is>
      </c>
      <c r="J100" s="5" t="inlineStr">
        <is>
          <t>10.3389/fonc.2026.1871126</t>
        </is>
      </c>
      <c r="K100" s="7" t="inlineStr">
        <is>
          <t>link</t>
        </is>
      </c>
      <c r="L100" s="5" t="inlineStr"/>
      <c r="M100" s="5" t="inlineStr"/>
      <c r="N100" s="5" t="inlineStr"/>
      <c r="O100" s="5" t="inlineStr"/>
      <c r="P100" s="5" t="inlineStr"/>
      <c r="Q100" s="7" t="inlineStr">
        <is>
          <t>link</t>
        </is>
      </c>
      <c r="R100" s="5" t="inlineStr">
        <is>
          <t>2 English, DOI or PubMed link</t>
        </is>
      </c>
      <c r="S100" s="5" t="inlineStr"/>
      <c r="T100" s="5" t="inlineStr">
        <is>
          <t>WS1574.pdf</t>
        </is>
      </c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</row>
    <row r="101">
      <c r="A101" s="5" t="n">
        <v>100</v>
      </c>
      <c r="B101" s="5" t="inlineStr">
        <is>
          <t>WS0071</t>
        </is>
      </c>
      <c r="C101" s="5" t="inlineStr">
        <is>
          <t>2025</t>
        </is>
      </c>
      <c r="D101" s="5" t="inlineStr">
        <is>
          <t>English</t>
        </is>
      </c>
      <c r="E101" s="5" t="inlineStr">
        <is>
          <t>JOUR</t>
        </is>
      </c>
      <c r="F101" s="5" t="inlineStr">
        <is>
          <t>Cesana</t>
        </is>
      </c>
      <c r="G101" s="5" t="inlineStr">
        <is>
          <t>Updates in surgery</t>
        </is>
      </c>
      <c r="H101" s="5" t="inlineStr">
        <is>
          <t>77(4):1261-1264</t>
        </is>
      </c>
      <c r="I101" s="6" t="inlineStr">
        <is>
          <t>Case report: laparoscopic keyhole splenopexy with composite mesh for wandering spleen.</t>
        </is>
      </c>
      <c r="J101" s="5" t="inlineStr">
        <is>
          <t>10.1007/s13304-025-02181-6</t>
        </is>
      </c>
      <c r="K101" s="7" t="inlineStr">
        <is>
          <t>link</t>
        </is>
      </c>
      <c r="L101" s="7" t="inlineStr">
        <is>
          <t>link</t>
        </is>
      </c>
      <c r="M101" s="5" t="inlineStr"/>
      <c r="N101" s="5" t="inlineStr"/>
      <c r="O101" s="5" t="inlineStr"/>
      <c r="P101" s="5" t="inlineStr"/>
      <c r="Q101" s="5" t="inlineStr"/>
      <c r="R101" s="5" t="inlineStr">
        <is>
          <t>2 English, DOI or PubMed link</t>
        </is>
      </c>
      <c r="S101" s="5" t="inlineStr"/>
      <c r="T101" s="5" t="inlineStr">
        <is>
          <t>WS0071.pdf</t>
        </is>
      </c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</row>
    <row r="102">
      <c r="A102" s="5" t="n">
        <v>101</v>
      </c>
      <c r="B102" s="5" t="inlineStr">
        <is>
          <t>WS1293</t>
        </is>
      </c>
      <c r="C102" s="5" t="inlineStr">
        <is>
          <t>2025</t>
        </is>
      </c>
      <c r="D102" s="5" t="inlineStr">
        <is>
          <t>English</t>
        </is>
      </c>
      <c r="E102" s="5" t="inlineStr">
        <is>
          <t>JOUR</t>
        </is>
      </c>
      <c r="F102" s="5" t="inlineStr">
        <is>
          <t>Amine</t>
        </is>
      </c>
      <c r="G102" s="5" t="inlineStr">
        <is>
          <t>Journal of Pediatric Surgery Case Reports</t>
        </is>
      </c>
      <c r="H102" s="5" t="inlineStr">
        <is>
          <t>120</t>
        </is>
      </c>
      <c r="I102" s="6" t="inlineStr">
        <is>
          <t>Wandering spleen and intestinal malrotation in a 14-year-old female: a case report</t>
        </is>
      </c>
      <c r="J102" s="5" t="inlineStr">
        <is>
          <t>10.1016/j.epsc.2025.103046</t>
        </is>
      </c>
      <c r="K102" s="7" t="inlineStr">
        <is>
          <t>link</t>
        </is>
      </c>
      <c r="L102" s="5" t="inlineStr"/>
      <c r="M102" s="5" t="inlineStr"/>
      <c r="N102" s="5" t="inlineStr"/>
      <c r="O102" s="5" t="inlineStr"/>
      <c r="P102" s="5" t="inlineStr"/>
      <c r="Q102" s="7" t="inlineStr">
        <is>
          <t>link</t>
        </is>
      </c>
      <c r="R102" s="5" t="inlineStr">
        <is>
          <t>2 English, DOI or PubMed link</t>
        </is>
      </c>
      <c r="S102" s="5" t="inlineStr"/>
      <c r="T102" s="5" t="inlineStr">
        <is>
          <t>WS1293.pdf</t>
        </is>
      </c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</row>
    <row r="103">
      <c r="A103" s="5" t="n">
        <v>102</v>
      </c>
      <c r="B103" s="5" t="inlineStr">
        <is>
          <t>WS1303</t>
        </is>
      </c>
      <c r="C103" s="5" t="inlineStr">
        <is>
          <t>2025</t>
        </is>
      </c>
      <c r="D103" s="5" t="inlineStr">
        <is>
          <t>English</t>
        </is>
      </c>
      <c r="E103" s="5" t="inlineStr">
        <is>
          <t>JOUR</t>
        </is>
      </c>
      <c r="F103" s="5" t="inlineStr">
        <is>
          <t>Mantawil</t>
        </is>
      </c>
      <c r="G103" s="5" t="inlineStr">
        <is>
          <t>INTERNATIONAL JOURNAL OF HEPATOBILIARY AND PANCREATIC DISEASES</t>
        </is>
      </c>
      <c r="H103" s="5" t="inlineStr">
        <is>
          <t>15(2)</t>
        </is>
      </c>
      <c r="I103" s="6" t="inlineStr">
        <is>
          <t>Splenic torsion with partial colonic obstruction caused by a wandering spleen in a teenager: A case report</t>
        </is>
      </c>
      <c r="J103" s="5" t="inlineStr">
        <is>
          <t>10.5348/100108z04am2025ra</t>
        </is>
      </c>
      <c r="K103" s="7" t="inlineStr">
        <is>
          <t>link</t>
        </is>
      </c>
      <c r="L103" s="5" t="inlineStr"/>
      <c r="M103" s="5" t="inlineStr"/>
      <c r="N103" s="5" t="inlineStr"/>
      <c r="O103" s="5" t="inlineStr"/>
      <c r="P103" s="5" t="inlineStr"/>
      <c r="Q103" s="5" t="inlineStr"/>
      <c r="R103" s="5" t="inlineStr">
        <is>
          <t>2 English, DOI or PubMed link</t>
        </is>
      </c>
      <c r="S103" s="5" t="inlineStr"/>
      <c r="T103" s="5" t="inlineStr">
        <is>
          <t>WS1303.pdf</t>
        </is>
      </c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</row>
    <row r="104">
      <c r="A104" s="5" t="n">
        <v>103</v>
      </c>
      <c r="B104" s="5" t="inlineStr">
        <is>
          <t>WS1367</t>
        </is>
      </c>
      <c r="C104" s="5" t="inlineStr">
        <is>
          <t>2025</t>
        </is>
      </c>
      <c r="D104" s="5" t="inlineStr">
        <is>
          <t>English</t>
        </is>
      </c>
      <c r="E104" s="5" t="inlineStr">
        <is>
          <t>JOUR</t>
        </is>
      </c>
      <c r="F104" s="5" t="inlineStr">
        <is>
          <t>Inggriani</t>
        </is>
      </c>
      <c r="G104" s="5" t="inlineStr">
        <is>
          <t>Egyptian Journal of Radiology and Nuclear Medicine</t>
        </is>
      </c>
      <c r="H104" s="5" t="inlineStr">
        <is>
          <t>56(1)</t>
        </is>
      </c>
      <c r="I104" s="6" t="inlineStr">
        <is>
          <t>Beyond the usual: three unique cases of wandering spleen in Indonesia</t>
        </is>
      </c>
      <c r="J104" s="5" t="inlineStr">
        <is>
          <t>10.1186/s43055-025-01488-z</t>
        </is>
      </c>
      <c r="K104" s="7" t="inlineStr">
        <is>
          <t>link</t>
        </is>
      </c>
      <c r="L104" s="5" t="inlineStr"/>
      <c r="M104" s="5" t="inlineStr"/>
      <c r="N104" s="5" t="inlineStr"/>
      <c r="O104" s="5" t="inlineStr"/>
      <c r="P104" s="5" t="inlineStr"/>
      <c r="Q104" s="7" t="inlineStr">
        <is>
          <t>link</t>
        </is>
      </c>
      <c r="R104" s="5" t="inlineStr">
        <is>
          <t>2 English, DOI or PubMed link</t>
        </is>
      </c>
      <c r="S104" s="5" t="inlineStr">
        <is>
          <t>Y</t>
        </is>
      </c>
      <c r="T104" s="5" t="inlineStr">
        <is>
          <t>WS1367.pdf</t>
        </is>
      </c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</row>
    <row r="105">
      <c r="A105" s="5" t="n">
        <v>104</v>
      </c>
      <c r="B105" s="5" t="inlineStr">
        <is>
          <t>WS1431</t>
        </is>
      </c>
      <c r="C105" s="5" t="inlineStr">
        <is>
          <t>2025</t>
        </is>
      </c>
      <c r="D105" s="5" t="inlineStr">
        <is>
          <t>English</t>
        </is>
      </c>
      <c r="E105" s="5" t="inlineStr">
        <is>
          <t>JOUR</t>
        </is>
      </c>
      <c r="F105" s="5" t="inlineStr">
        <is>
          <t>Gripp</t>
        </is>
      </c>
      <c r="G105" s="5" t="inlineStr">
        <is>
          <t>CASE REPORTS IN PATHOLOGY</t>
        </is>
      </c>
      <c r="H105" s="5" t="inlineStr">
        <is>
          <t>2025(1)</t>
        </is>
      </c>
      <c r="I105" s="6" t="inlineStr">
        <is>
          <t>"Sneaky Spleen": Three Cases of Ectopic Splenic Tissue Mimicking Neoplasia</t>
        </is>
      </c>
      <c r="J105" s="5" t="inlineStr">
        <is>
          <t>10.1155/crip/6644516</t>
        </is>
      </c>
      <c r="K105" s="7" t="inlineStr">
        <is>
          <t>link</t>
        </is>
      </c>
      <c r="L105" s="5" t="inlineStr"/>
      <c r="M105" s="5" t="inlineStr"/>
      <c r="N105" s="5" t="inlineStr"/>
      <c r="O105" s="5" t="inlineStr"/>
      <c r="P105" s="5" t="inlineStr"/>
      <c r="Q105" s="5" t="inlineStr"/>
      <c r="R105" s="5" t="inlineStr">
        <is>
          <t>2 English, DOI or PubMed link</t>
        </is>
      </c>
      <c r="S105" s="5" t="inlineStr"/>
      <c r="T105" s="5" t="inlineStr">
        <is>
          <t>WS1431.pdf</t>
        </is>
      </c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</row>
    <row r="106">
      <c r="A106" s="5" t="n">
        <v>105</v>
      </c>
      <c r="B106" s="5" t="inlineStr">
        <is>
          <t>WS1589</t>
        </is>
      </c>
      <c r="C106" s="5" t="inlineStr">
        <is>
          <t>2025</t>
        </is>
      </c>
      <c r="D106" s="5" t="inlineStr">
        <is>
          <t>English</t>
        </is>
      </c>
      <c r="E106" s="5" t="inlineStr">
        <is>
          <t>JOUR</t>
        </is>
      </c>
      <c r="F106" s="5" t="inlineStr">
        <is>
          <t>Ogоrоdnikоva</t>
        </is>
      </c>
      <c r="G106" s="5" t="inlineStr">
        <is>
          <t>Medical News of North Caucasus</t>
        </is>
      </c>
      <c r="H106" s="5" t="inlineStr">
        <is>
          <t>20(2):173-175</t>
        </is>
      </c>
      <c r="I106" s="6" t="inlineStr">
        <is>
          <t>CLINICAL CASE OF COMBINATION OF ACUTE APPENDICITIS WITH SPLEEN TORSION IN A CHILD</t>
        </is>
      </c>
      <c r="J106" s="5" t="inlineStr">
        <is>
          <t>10.14300/mnnc.2025.20040</t>
        </is>
      </c>
      <c r="K106" s="7" t="inlineStr">
        <is>
          <t>link</t>
        </is>
      </c>
      <c r="L106" s="5" t="inlineStr"/>
      <c r="M106" s="5" t="inlineStr"/>
      <c r="N106" s="5" t="inlineStr"/>
      <c r="O106" s="5" t="inlineStr"/>
      <c r="P106" s="5" t="inlineStr"/>
      <c r="Q106" s="7" t="inlineStr">
        <is>
          <t>link</t>
        </is>
      </c>
      <c r="R106" s="5" t="inlineStr">
        <is>
          <t>2 English, DOI or PubMed link</t>
        </is>
      </c>
      <c r="S106" s="5" t="inlineStr"/>
      <c r="T106" s="5" t="inlineStr">
        <is>
          <t>WS1589.pdf</t>
        </is>
      </c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</row>
    <row r="107">
      <c r="A107" s="5" t="n">
        <v>106</v>
      </c>
      <c r="B107" s="5" t="inlineStr">
        <is>
          <t>WS0100</t>
        </is>
      </c>
      <c r="C107" s="5" t="inlineStr">
        <is>
          <t>2024</t>
        </is>
      </c>
      <c r="D107" s="5" t="inlineStr">
        <is>
          <t>English</t>
        </is>
      </c>
      <c r="E107" s="5" t="inlineStr">
        <is>
          <t>JOUR</t>
        </is>
      </c>
      <c r="F107" s="5" t="inlineStr">
        <is>
          <t>Poirier</t>
        </is>
      </c>
      <c r="G107" s="5" t="inlineStr">
        <is>
          <t>Journal of visceral surgery</t>
        </is>
      </c>
      <c r="H107" s="5" t="inlineStr">
        <is>
          <t>161(6):402-403</t>
        </is>
      </c>
      <c r="I107" s="6" t="inlineStr">
        <is>
          <t>Wandering spleen: Diagnosis and treatment.</t>
        </is>
      </c>
      <c r="J107" s="5" t="inlineStr">
        <is>
          <t>10.1016/j.jviscsurg.2024.05.005</t>
        </is>
      </c>
      <c r="K107" s="7" t="inlineStr">
        <is>
          <t>link</t>
        </is>
      </c>
      <c r="L107" s="7" t="inlineStr">
        <is>
          <t>link</t>
        </is>
      </c>
      <c r="M107" s="5" t="inlineStr"/>
      <c r="N107" s="5" t="inlineStr"/>
      <c r="O107" s="5" t="inlineStr"/>
      <c r="P107" s="5" t="inlineStr"/>
      <c r="Q107" s="5" t="inlineStr"/>
      <c r="R107" s="5" t="inlineStr">
        <is>
          <t>2 English, DOI or PubMed link</t>
        </is>
      </c>
      <c r="S107" s="5" t="inlineStr"/>
      <c r="T107" s="5" t="inlineStr">
        <is>
          <t>WS0100.pdf</t>
        </is>
      </c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</row>
    <row r="108">
      <c r="A108" s="5" t="n">
        <v>107</v>
      </c>
      <c r="B108" s="5" t="inlineStr">
        <is>
          <t>WS1311</t>
        </is>
      </c>
      <c r="C108" s="5" t="inlineStr">
        <is>
          <t>2024</t>
        </is>
      </c>
      <c r="D108" s="5" t="inlineStr">
        <is>
          <t>English</t>
        </is>
      </c>
      <c r="E108" s="5" t="inlineStr">
        <is>
          <t>JOUR</t>
        </is>
      </c>
      <c r="F108" s="5" t="inlineStr">
        <is>
          <t>Rahimi</t>
        </is>
      </c>
      <c r="G108" s="5" t="inlineStr">
        <is>
          <t>Journal of Pediatric Surgery Case Reports</t>
        </is>
      </c>
      <c r="H108" s="5" t="inlineStr">
        <is>
          <t>103</t>
        </is>
      </c>
      <c r="I108" s="6" t="inlineStr">
        <is>
          <t>Splenic infarction following recurrent torsion of a wandering spleen: A case report</t>
        </is>
      </c>
      <c r="J108" s="5" t="inlineStr">
        <is>
          <t>10.1016/j.epsc.2024.102793</t>
        </is>
      </c>
      <c r="K108" s="7" t="inlineStr">
        <is>
          <t>link</t>
        </is>
      </c>
      <c r="L108" s="5" t="inlineStr"/>
      <c r="M108" s="5" t="inlineStr"/>
      <c r="N108" s="5" t="inlineStr"/>
      <c r="O108" s="5" t="inlineStr"/>
      <c r="P108" s="5" t="inlineStr"/>
      <c r="Q108" s="7" t="inlineStr">
        <is>
          <t>link</t>
        </is>
      </c>
      <c r="R108" s="5" t="inlineStr">
        <is>
          <t>2 English, DOI or PubMed link</t>
        </is>
      </c>
      <c r="S108" s="5" t="inlineStr"/>
      <c r="T108" s="5" t="inlineStr">
        <is>
          <t>WS1311.pdf</t>
        </is>
      </c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</row>
    <row r="109">
      <c r="A109" s="5" t="n">
        <v>108</v>
      </c>
      <c r="B109" s="5" t="inlineStr">
        <is>
          <t>WS1339</t>
        </is>
      </c>
      <c r="C109" s="5" t="inlineStr">
        <is>
          <t>2024</t>
        </is>
      </c>
      <c r="D109" s="5" t="inlineStr">
        <is>
          <t>English</t>
        </is>
      </c>
      <c r="E109" s="5" t="inlineStr">
        <is>
          <t>JOUR</t>
        </is>
      </c>
      <c r="F109" s="5" t="inlineStr">
        <is>
          <t>Annesi</t>
        </is>
      </c>
      <c r="G109" s="5" t="inlineStr">
        <is>
          <t>Journal of Pediatric Surgery Case Reports</t>
        </is>
      </c>
      <c r="H109" s="5" t="inlineStr">
        <is>
          <t>107</t>
        </is>
      </c>
      <c r="I109" s="6" t="inlineStr">
        <is>
          <t>Wandering spleen resulting in gastric volvulus in a child with vanishing gastroschisis: A case report</t>
        </is>
      </c>
      <c r="J109" s="5" t="inlineStr">
        <is>
          <t>10.1016/j.epsc.2024.102840</t>
        </is>
      </c>
      <c r="K109" s="7" t="inlineStr">
        <is>
          <t>link</t>
        </is>
      </c>
      <c r="L109" s="5" t="inlineStr"/>
      <c r="M109" s="5" t="inlineStr"/>
      <c r="N109" s="5" t="inlineStr"/>
      <c r="O109" s="5" t="inlineStr"/>
      <c r="P109" s="5" t="inlineStr"/>
      <c r="Q109" s="7" t="inlineStr">
        <is>
          <t>link</t>
        </is>
      </c>
      <c r="R109" s="5" t="inlineStr">
        <is>
          <t>2 English, DOI or PubMed link</t>
        </is>
      </c>
      <c r="S109" s="5" t="inlineStr">
        <is>
          <t>Y</t>
        </is>
      </c>
      <c r="T109" s="5" t="inlineStr">
        <is>
          <t>WS1339.pdf</t>
        </is>
      </c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</row>
    <row r="110">
      <c r="A110" s="5" t="n">
        <v>109</v>
      </c>
      <c r="B110" s="5" t="inlineStr">
        <is>
          <t>WS1388</t>
        </is>
      </c>
      <c r="C110" s="5" t="inlineStr">
        <is>
          <t>2024</t>
        </is>
      </c>
      <c r="D110" s="5" t="inlineStr">
        <is>
          <t>English</t>
        </is>
      </c>
      <c r="E110" s="5" t="inlineStr">
        <is>
          <t>JOUR</t>
        </is>
      </c>
      <c r="F110" s="5" t="inlineStr">
        <is>
          <t>Sommer</t>
        </is>
      </c>
      <c r="G110" s="5" t="inlineStr">
        <is>
          <t>Journal of Pediatric Surgery Case Reports</t>
        </is>
      </c>
      <c r="H110" s="5" t="inlineStr">
        <is>
          <t>110</t>
        </is>
      </c>
      <c r="I110" s="6" t="inlineStr">
        <is>
          <t>Recurrent splenic volvulus after splenopexy in an 11-year-old child: A case report</t>
        </is>
      </c>
      <c r="J110" s="5" t="inlineStr">
        <is>
          <t>10.1016/j.epsc.2024.102877</t>
        </is>
      </c>
      <c r="K110" s="7" t="inlineStr">
        <is>
          <t>link</t>
        </is>
      </c>
      <c r="L110" s="5" t="inlineStr"/>
      <c r="M110" s="5" t="inlineStr"/>
      <c r="N110" s="5" t="inlineStr"/>
      <c r="O110" s="5" t="inlineStr"/>
      <c r="P110" s="5" t="inlineStr"/>
      <c r="Q110" s="7" t="inlineStr">
        <is>
          <t>link</t>
        </is>
      </c>
      <c r="R110" s="5" t="inlineStr">
        <is>
          <t>2 English, DOI or PubMed link</t>
        </is>
      </c>
      <c r="S110" s="5" t="inlineStr">
        <is>
          <t>Y</t>
        </is>
      </c>
      <c r="T110" s="5" t="inlineStr">
        <is>
          <t>WS1388.pdf</t>
        </is>
      </c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</row>
    <row r="111">
      <c r="A111" s="5" t="n">
        <v>110</v>
      </c>
      <c r="B111" s="5" t="inlineStr">
        <is>
          <t>WS1432</t>
        </is>
      </c>
      <c r="C111" s="5" t="inlineStr">
        <is>
          <t>2024</t>
        </is>
      </c>
      <c r="D111" s="5" t="inlineStr">
        <is>
          <t>English</t>
        </is>
      </c>
      <c r="E111" s="5" t="inlineStr">
        <is>
          <t>JOUR</t>
        </is>
      </c>
      <c r="F111" s="5" t="inlineStr">
        <is>
          <t>Jacob</t>
        </is>
      </c>
      <c r="G111" s="5" t="inlineStr">
        <is>
          <t>JOURNAL OF THE SCIENTIFIC SOCIETY</t>
        </is>
      </c>
      <c r="H111" s="5" t="inlineStr">
        <is>
          <t>51(3):484-486</t>
        </is>
      </c>
      <c r="I111" s="6" t="inlineStr">
        <is>
          <t>Dual Heterotropic Tissue Associated with a Type IV A Choledochal Cyst: A Rare Case Report</t>
        </is>
      </c>
      <c r="J111" s="5" t="inlineStr">
        <is>
          <t>10.4103/jss.jss_109_24</t>
        </is>
      </c>
      <c r="K111" s="7" t="inlineStr">
        <is>
          <t>link</t>
        </is>
      </c>
      <c r="L111" s="5" t="inlineStr"/>
      <c r="M111" s="5" t="inlineStr"/>
      <c r="N111" s="5" t="inlineStr"/>
      <c r="O111" s="5" t="inlineStr"/>
      <c r="P111" s="5" t="inlineStr"/>
      <c r="Q111" s="5" t="inlineStr"/>
      <c r="R111" s="5" t="inlineStr">
        <is>
          <t>2 English, DOI or PubMed link</t>
        </is>
      </c>
      <c r="S111" s="5" t="inlineStr"/>
      <c r="T111" s="5" t="inlineStr">
        <is>
          <t>WS1432.pdf</t>
        </is>
      </c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</row>
    <row r="112">
      <c r="A112" s="5" t="n">
        <v>111</v>
      </c>
      <c r="B112" s="5" t="inlineStr">
        <is>
          <t>WS1602</t>
        </is>
      </c>
      <c r="C112" s="5" t="inlineStr">
        <is>
          <t>2024</t>
        </is>
      </c>
      <c r="D112" s="5" t="inlineStr">
        <is>
          <t>English</t>
        </is>
      </c>
      <c r="E112" s="5" t="inlineStr">
        <is>
          <t>JOUR</t>
        </is>
      </c>
      <c r="F112" s="5" t="inlineStr">
        <is>
          <t>Johan</t>
        </is>
      </c>
      <c r="G112" s="5" t="inlineStr">
        <is>
          <t>Gulhane Medical Journal</t>
        </is>
      </c>
      <c r="H112" s="5" t="inlineStr">
        <is>
          <t>66(2):104-107</t>
        </is>
      </c>
      <c r="I112" s="6" t="inlineStr">
        <is>
          <t>Massively enlarged wandering spleen with ruptured epidermoid cyst</t>
        </is>
      </c>
      <c r="J112" s="5" t="inlineStr">
        <is>
          <t>10.4274/gulhane.galenos.2023.72677</t>
        </is>
      </c>
      <c r="K112" s="7" t="inlineStr">
        <is>
          <t>link</t>
        </is>
      </c>
      <c r="L112" s="5" t="inlineStr"/>
      <c r="M112" s="5" t="inlineStr"/>
      <c r="N112" s="5" t="inlineStr"/>
      <c r="O112" s="5" t="inlineStr"/>
      <c r="P112" s="5" t="inlineStr"/>
      <c r="Q112" s="7" t="inlineStr">
        <is>
          <t>link</t>
        </is>
      </c>
      <c r="R112" s="5" t="inlineStr">
        <is>
          <t>2 English, DOI or PubMed link</t>
        </is>
      </c>
      <c r="S112" s="5" t="inlineStr"/>
      <c r="T112" s="5" t="inlineStr">
        <is>
          <t>WS1602.pdf</t>
        </is>
      </c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</row>
    <row r="113">
      <c r="A113" s="5" t="n">
        <v>112</v>
      </c>
      <c r="B113" s="5" t="inlineStr">
        <is>
          <t>WS0132</t>
        </is>
      </c>
      <c r="C113" s="5" t="inlineStr">
        <is>
          <t>2023</t>
        </is>
      </c>
      <c r="D113" s="5" t="inlineStr">
        <is>
          <t>English</t>
        </is>
      </c>
      <c r="E113" s="5" t="inlineStr">
        <is>
          <t>JOUR</t>
        </is>
      </c>
      <c r="F113" s="5" t="inlineStr">
        <is>
          <t>Wu</t>
        </is>
      </c>
      <c r="G113" s="5" t="inlineStr">
        <is>
          <t>The Journal of emergency medicine</t>
        </is>
      </c>
      <c r="H113" s="5" t="inlineStr">
        <is>
          <t>65(4):e330-e334</t>
        </is>
      </c>
      <c r="I113" s="6" t="inlineStr">
        <is>
          <t>IMAGING MANIFESTATIONS OF WANDERING SPLEEN WITH TORSION.</t>
        </is>
      </c>
      <c r="J113" s="5" t="inlineStr">
        <is>
          <t>10.1016/j.jemermed.2023.06.003</t>
        </is>
      </c>
      <c r="K113" s="7" t="inlineStr">
        <is>
          <t>link</t>
        </is>
      </c>
      <c r="L113" s="7" t="inlineStr">
        <is>
          <t>link</t>
        </is>
      </c>
      <c r="M113" s="5" t="inlineStr"/>
      <c r="N113" s="5" t="inlineStr"/>
      <c r="O113" s="5" t="inlineStr"/>
      <c r="P113" s="5" t="inlineStr"/>
      <c r="Q113" s="5" t="inlineStr"/>
      <c r="R113" s="5" t="inlineStr">
        <is>
          <t>2 English, DOI or PubMed link</t>
        </is>
      </c>
      <c r="S113" s="5" t="inlineStr"/>
      <c r="T113" s="5" t="inlineStr">
        <is>
          <t>WS0132.pdf</t>
        </is>
      </c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</row>
    <row r="114">
      <c r="A114" s="5" t="n">
        <v>113</v>
      </c>
      <c r="B114" s="5" t="inlineStr">
        <is>
          <t>WS0148</t>
        </is>
      </c>
      <c r="C114" s="5" t="inlineStr">
        <is>
          <t>2023</t>
        </is>
      </c>
      <c r="D114" s="5" t="inlineStr">
        <is>
          <t>English</t>
        </is>
      </c>
      <c r="E114" s="5" t="inlineStr">
        <is>
          <t>JOUR</t>
        </is>
      </c>
      <c r="F114" s="5" t="inlineStr">
        <is>
          <t>Caruso</t>
        </is>
      </c>
      <c r="G114" s="5" t="inlineStr">
        <is>
          <t>Abdominal radiology (New York)</t>
        </is>
      </c>
      <c r="H114" s="5" t="inlineStr">
        <is>
          <t>48(5):1854-1861</t>
        </is>
      </c>
      <c r="I114" s="6" t="inlineStr">
        <is>
          <t>Wandering liver, spleen, and kidney: what the radiologist needs to know.</t>
        </is>
      </c>
      <c r="J114" s="5" t="inlineStr">
        <is>
          <t>10.1007/s00261-022-03789-7</t>
        </is>
      </c>
      <c r="K114" s="7" t="inlineStr">
        <is>
          <t>link</t>
        </is>
      </c>
      <c r="L114" s="7" t="inlineStr">
        <is>
          <t>link</t>
        </is>
      </c>
      <c r="M114" s="5" t="inlineStr"/>
      <c r="N114" s="5" t="inlineStr"/>
      <c r="O114" s="5" t="inlineStr"/>
      <c r="P114" s="5" t="inlineStr"/>
      <c r="Q114" s="5" t="inlineStr"/>
      <c r="R114" s="5" t="inlineStr">
        <is>
          <t>2 English, DOI or PubMed link</t>
        </is>
      </c>
      <c r="S114" s="5" t="inlineStr"/>
      <c r="T114" s="5" t="inlineStr">
        <is>
          <t>WS0148.pdf</t>
        </is>
      </c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</row>
    <row r="115">
      <c r="A115" s="5" t="n">
        <v>114</v>
      </c>
      <c r="B115" s="5" t="inlineStr">
        <is>
          <t>WS0179</t>
        </is>
      </c>
      <c r="C115" s="5" t="inlineStr">
        <is>
          <t>2023</t>
        </is>
      </c>
      <c r="D115" s="5" t="inlineStr">
        <is>
          <t>English</t>
        </is>
      </c>
      <c r="E115" s="5" t="inlineStr">
        <is>
          <t>JOUR</t>
        </is>
      </c>
      <c r="F115" s="5" t="inlineStr">
        <is>
          <t>Miyamura</t>
        </is>
      </c>
      <c r="G115" s="5" t="inlineStr">
        <is>
          <t>Cardiology in the young</t>
        </is>
      </c>
      <c r="H115" s="5" t="inlineStr">
        <is>
          <t>33(6):862-863</t>
        </is>
      </c>
      <c r="I115" s="6" t="inlineStr">
        <is>
          <t>Torsion of wandering spleen after Fontan operation in a patient with situs inversus: a rare complication.</t>
        </is>
      </c>
      <c r="J115" s="5" t="inlineStr">
        <is>
          <t>10.1017/s1047951122001755</t>
        </is>
      </c>
      <c r="K115" s="7" t="inlineStr">
        <is>
          <t>link</t>
        </is>
      </c>
      <c r="L115" s="7" t="inlineStr">
        <is>
          <t>link</t>
        </is>
      </c>
      <c r="M115" s="5" t="inlineStr"/>
      <c r="N115" s="5" t="inlineStr"/>
      <c r="O115" s="5" t="inlineStr"/>
      <c r="P115" s="5" t="inlineStr"/>
      <c r="Q115" s="5" t="inlineStr"/>
      <c r="R115" s="5" t="inlineStr">
        <is>
          <t>2 English, DOI or PubMed link</t>
        </is>
      </c>
      <c r="S115" s="5" t="inlineStr"/>
      <c r="T115" s="5" t="inlineStr">
        <is>
          <t>WS0179.pdf</t>
        </is>
      </c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</row>
    <row r="116">
      <c r="A116" s="5" t="n">
        <v>115</v>
      </c>
      <c r="B116" s="5" t="inlineStr">
        <is>
          <t>WS1368</t>
        </is>
      </c>
      <c r="C116" s="5" t="inlineStr">
        <is>
          <t>2023</t>
        </is>
      </c>
      <c r="D116" s="5" t="inlineStr">
        <is>
          <t>English</t>
        </is>
      </c>
      <c r="E116" s="5" t="inlineStr">
        <is>
          <t>JOUR</t>
        </is>
      </c>
      <c r="F116" s="5" t="inlineStr">
        <is>
          <t>Dillberger</t>
        </is>
      </c>
      <c r="G116" s="5" t="inlineStr">
        <is>
          <t>Veterinary Record Case Reports</t>
        </is>
      </c>
      <c r="H116" s="5" t="inlineStr">
        <is>
          <t>11(2)</t>
        </is>
      </c>
      <c r="I116" s="6" t="inlineStr">
        <is>
          <t>Wandering, twisted spleen in a deerhound</t>
        </is>
      </c>
      <c r="J116" s="5" t="inlineStr">
        <is>
          <t>10.1002/vrc2.564</t>
        </is>
      </c>
      <c r="K116" s="7" t="inlineStr">
        <is>
          <t>link</t>
        </is>
      </c>
      <c r="L116" s="5" t="inlineStr"/>
      <c r="M116" s="5" t="inlineStr"/>
      <c r="N116" s="5" t="inlineStr"/>
      <c r="O116" s="5" t="inlineStr"/>
      <c r="P116" s="5" t="inlineStr"/>
      <c r="Q116" s="7" t="inlineStr">
        <is>
          <t>link</t>
        </is>
      </c>
      <c r="R116" s="5" t="inlineStr">
        <is>
          <t>2 English, DOI or PubMed link</t>
        </is>
      </c>
      <c r="S116" s="5" t="inlineStr"/>
      <c r="T116" s="5" t="inlineStr">
        <is>
          <t>WS1368.pdf</t>
        </is>
      </c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</row>
    <row r="117">
      <c r="A117" s="5" t="n">
        <v>116</v>
      </c>
      <c r="B117" s="5" t="inlineStr">
        <is>
          <t>WS1537</t>
        </is>
      </c>
      <c r="C117" s="5" t="inlineStr">
        <is>
          <t>2023</t>
        </is>
      </c>
      <c r="D117" s="5" t="inlineStr">
        <is>
          <t>English</t>
        </is>
      </c>
      <c r="E117" s="5" t="inlineStr">
        <is>
          <t>JOUR</t>
        </is>
      </c>
      <c r="F117" s="5" t="inlineStr">
        <is>
          <t>Butt</t>
        </is>
      </c>
      <c r="G117" s="5" t="inlineStr">
        <is>
          <t>Global Pediatrics</t>
        </is>
      </c>
      <c r="H117" s="5" t="inlineStr">
        <is>
          <t>6</t>
        </is>
      </c>
      <c r="I117" s="6" t="inlineStr">
        <is>
          <t>Surgical crossroads: Unravelling mesenteroaxial volvulus and diaphragmatic eventration</t>
        </is>
      </c>
      <c r="J117" s="5" t="inlineStr">
        <is>
          <t>10.1016/j.gpeds.2023.100090</t>
        </is>
      </c>
      <c r="K117" s="7" t="inlineStr">
        <is>
          <t>link</t>
        </is>
      </c>
      <c r="L117" s="5" t="inlineStr"/>
      <c r="M117" s="5" t="inlineStr"/>
      <c r="N117" s="5" t="inlineStr"/>
      <c r="O117" s="5" t="inlineStr"/>
      <c r="P117" s="5" t="inlineStr"/>
      <c r="Q117" s="7" t="inlineStr">
        <is>
          <t>link</t>
        </is>
      </c>
      <c r="R117" s="5" t="inlineStr">
        <is>
          <t>2 English, DOI or PubMed link</t>
        </is>
      </c>
      <c r="S117" s="5" t="inlineStr"/>
      <c r="T117" s="5" t="inlineStr">
        <is>
          <t>WS1537.pdf</t>
        </is>
      </c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</row>
    <row r="118">
      <c r="A118" s="5" t="n">
        <v>117</v>
      </c>
      <c r="B118" s="5" t="inlineStr">
        <is>
          <t>WS1555</t>
        </is>
      </c>
      <c r="C118" s="5" t="inlineStr">
        <is>
          <t>2023</t>
        </is>
      </c>
      <c r="D118" s="5" t="inlineStr">
        <is>
          <t>English</t>
        </is>
      </c>
      <c r="E118" s="5" t="inlineStr">
        <is>
          <t>CHAP</t>
        </is>
      </c>
      <c r="F118" s="5" t="inlineStr">
        <is>
          <t>Peng</t>
        </is>
      </c>
      <c r="G118" s="5" t="inlineStr">
        <is>
          <t>Natural Orifice Specimen Extraction Surgery</t>
        </is>
      </c>
      <c r="H118" s="5" t="inlineStr">
        <is>
          <t>501-506</t>
        </is>
      </c>
      <c r="I118" s="6" t="inlineStr">
        <is>
          <t>Laparoscopic Splenectomy with Transvaginal Specimen Extraction</t>
        </is>
      </c>
      <c r="J118" s="5" t="inlineStr">
        <is>
          <t>10.1007/978-981-99-2750-0_35</t>
        </is>
      </c>
      <c r="K118" s="7" t="inlineStr">
        <is>
          <t>link</t>
        </is>
      </c>
      <c r="L118" s="5" t="inlineStr"/>
      <c r="M118" s="5" t="inlineStr"/>
      <c r="N118" s="5" t="inlineStr"/>
      <c r="O118" s="5" t="inlineStr"/>
      <c r="P118" s="5" t="inlineStr"/>
      <c r="Q118" s="7" t="inlineStr">
        <is>
          <t>link</t>
        </is>
      </c>
      <c r="R118" s="5" t="inlineStr">
        <is>
          <t>2 English, DOI or PubMed link</t>
        </is>
      </c>
      <c r="S118" s="5" t="inlineStr"/>
      <c r="T118" s="5" t="inlineStr">
        <is>
          <t>WS1555.pdf</t>
        </is>
      </c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</row>
    <row r="119">
      <c r="A119" s="5" t="n">
        <v>118</v>
      </c>
      <c r="B119" s="5" t="inlineStr">
        <is>
          <t>WS0186</t>
        </is>
      </c>
      <c r="C119" s="5" t="inlineStr">
        <is>
          <t>2022</t>
        </is>
      </c>
      <c r="D119" s="5" t="inlineStr">
        <is>
          <t>English</t>
        </is>
      </c>
      <c r="E119" s="5" t="inlineStr">
        <is>
          <t>JOUR</t>
        </is>
      </c>
      <c r="F119" s="5" t="inlineStr">
        <is>
          <t>Nakagawa</t>
        </is>
      </c>
      <c r="G119" s="5" t="inlineStr">
        <is>
          <t>Pediatric surgery international</t>
        </is>
      </c>
      <c r="H119" s="5" t="inlineStr">
        <is>
          <t>38(6):875-881</t>
        </is>
      </c>
      <c r="I119" s="6" t="inlineStr">
        <is>
          <t>Patients with gastric volvulus recurrence have high incidence of wandering spleen requiring laparoscopic gastropexy and splenopexy.</t>
        </is>
      </c>
      <c r="J119" s="5" t="inlineStr">
        <is>
          <t>10.1007/s00383-022-05125-y</t>
        </is>
      </c>
      <c r="K119" s="7" t="inlineStr">
        <is>
          <t>link</t>
        </is>
      </c>
      <c r="L119" s="7" t="inlineStr">
        <is>
          <t>link</t>
        </is>
      </c>
      <c r="M119" s="5" t="inlineStr"/>
      <c r="N119" s="5" t="inlineStr"/>
      <c r="O119" s="5" t="inlineStr"/>
      <c r="P119" s="5" t="inlineStr"/>
      <c r="Q119" s="5" t="inlineStr"/>
      <c r="R119" s="5" t="inlineStr">
        <is>
          <t>2 English, DOI or PubMed link</t>
        </is>
      </c>
      <c r="S119" s="5" t="inlineStr"/>
      <c r="T119" s="5" t="inlineStr">
        <is>
          <t>WS0186.pdf</t>
        </is>
      </c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</row>
    <row r="120">
      <c r="A120" s="5" t="n">
        <v>119</v>
      </c>
      <c r="B120" s="5" t="inlineStr">
        <is>
          <t>WS1340</t>
        </is>
      </c>
      <c r="C120" s="5" t="inlineStr">
        <is>
          <t>2022</t>
        </is>
      </c>
      <c r="D120" s="5" t="inlineStr">
        <is>
          <t>English</t>
        </is>
      </c>
      <c r="E120" s="5" t="inlineStr">
        <is>
          <t>JOUR</t>
        </is>
      </c>
      <c r="F120" s="5" t="inlineStr">
        <is>
          <t>Mehrnahad</t>
        </is>
      </c>
      <c r="G120" s="5" t="inlineStr">
        <is>
          <t>Trauma Monthly</t>
        </is>
      </c>
      <c r="H120" s="5" t="inlineStr">
        <is>
          <t>27(4):513-516</t>
        </is>
      </c>
      <c r="I120" s="6" t="inlineStr">
        <is>
          <t>Assessment of Two Cases with Wandering Spleen</t>
        </is>
      </c>
      <c r="J120" s="5" t="inlineStr">
        <is>
          <t>10.30491/tm.2022.351616.1497</t>
        </is>
      </c>
      <c r="K120" s="7" t="inlineStr">
        <is>
          <t>link</t>
        </is>
      </c>
      <c r="L120" s="5" t="inlineStr"/>
      <c r="M120" s="5" t="inlineStr"/>
      <c r="N120" s="5" t="inlineStr"/>
      <c r="O120" s="5" t="inlineStr"/>
      <c r="P120" s="5" t="inlineStr"/>
      <c r="Q120" s="7" t="inlineStr">
        <is>
          <t>link</t>
        </is>
      </c>
      <c r="R120" s="5" t="inlineStr">
        <is>
          <t>2 English, DOI or PubMed link</t>
        </is>
      </c>
      <c r="S120" s="5" t="inlineStr"/>
      <c r="T120" s="5" t="inlineStr">
        <is>
          <t>WS1340.pdf</t>
        </is>
      </c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</row>
    <row r="121">
      <c r="A121" s="5" t="n">
        <v>120</v>
      </c>
      <c r="B121" s="5" t="inlineStr">
        <is>
          <t>WS1477</t>
        </is>
      </c>
      <c r="C121" s="5" t="inlineStr">
        <is>
          <t>2022</t>
        </is>
      </c>
      <c r="D121" s="5" t="inlineStr">
        <is>
          <t>English</t>
        </is>
      </c>
      <c r="E121" s="5" t="inlineStr">
        <is>
          <t>CHAP</t>
        </is>
      </c>
      <c r="F121" s="5" t="inlineStr">
        <is>
          <t>Lessin</t>
        </is>
      </c>
      <c r="G121" s="5" t="inlineStr">
        <is>
          <t>Pediatric Surgery: Diagnosis and Treatment</t>
        </is>
      </c>
      <c r="H121" s="5" t="inlineStr">
        <is>
          <t>639-652</t>
        </is>
      </c>
      <c r="I121" s="6" t="inlineStr">
        <is>
          <t>Non-malignant splenic disorders</t>
        </is>
      </c>
      <c r="J121" s="5" t="inlineStr">
        <is>
          <t>10.1007/978-3-030-96542-6_57</t>
        </is>
      </c>
      <c r="K121" s="7" t="inlineStr">
        <is>
          <t>link</t>
        </is>
      </c>
      <c r="L121" s="5" t="inlineStr"/>
      <c r="M121" s="5" t="inlineStr"/>
      <c r="N121" s="5" t="inlineStr"/>
      <c r="O121" s="5" t="inlineStr"/>
      <c r="P121" s="5" t="inlineStr"/>
      <c r="Q121" s="7" t="inlineStr">
        <is>
          <t>link</t>
        </is>
      </c>
      <c r="R121" s="5" t="inlineStr">
        <is>
          <t>2 English, DOI or PubMed link</t>
        </is>
      </c>
      <c r="S121" s="5" t="inlineStr"/>
      <c r="T121" s="5" t="inlineStr">
        <is>
          <t>WS1477.pdf</t>
        </is>
      </c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</row>
    <row r="122">
      <c r="A122" s="5" t="n">
        <v>121</v>
      </c>
      <c r="B122" s="5" t="inlineStr">
        <is>
          <t>WS1552</t>
        </is>
      </c>
      <c r="C122" s="5" t="inlineStr">
        <is>
          <t>2022</t>
        </is>
      </c>
      <c r="D122" s="5" t="inlineStr">
        <is>
          <t>English</t>
        </is>
      </c>
      <c r="E122" s="5" t="inlineStr">
        <is>
          <t>CHAP</t>
        </is>
      </c>
      <c r="F122" s="5" t="inlineStr">
        <is>
          <t>Tivers</t>
        </is>
      </c>
      <c r="G122" s="5" t="inlineStr">
        <is>
          <t>Small Animal Surgical Emergencies, Second Edition</t>
        </is>
      </c>
      <c r="H122" s="5" t="inlineStr">
        <is>
          <t>93-107</t>
        </is>
      </c>
      <c r="I122" s="6" t="inlineStr">
        <is>
          <t>Gastric Dilatation and Volvulus</t>
        </is>
      </c>
      <c r="J122" s="5" t="inlineStr">
        <is>
          <t>10.1002/9781118487181.ch8</t>
        </is>
      </c>
      <c r="K122" s="7" t="inlineStr">
        <is>
          <t>link</t>
        </is>
      </c>
      <c r="L122" s="5" t="inlineStr"/>
      <c r="M122" s="5" t="inlineStr"/>
      <c r="N122" s="5" t="inlineStr"/>
      <c r="O122" s="5" t="inlineStr"/>
      <c r="P122" s="5" t="inlineStr"/>
      <c r="Q122" s="7" t="inlineStr">
        <is>
          <t>link</t>
        </is>
      </c>
      <c r="R122" s="5" t="inlineStr">
        <is>
          <t>2 English, DOI or PubMed link</t>
        </is>
      </c>
      <c r="S122" s="5" t="inlineStr"/>
      <c r="T122" s="5" t="inlineStr">
        <is>
          <t>WS1552.pdf</t>
        </is>
      </c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</row>
    <row r="123">
      <c r="A123" s="5" t="n">
        <v>122</v>
      </c>
      <c r="B123" s="5" t="inlineStr">
        <is>
          <t>WS0228</t>
        </is>
      </c>
      <c r="C123" s="5" t="inlineStr">
        <is>
          <t>2021</t>
        </is>
      </c>
      <c r="D123" s="5" t="inlineStr">
        <is>
          <t>English</t>
        </is>
      </c>
      <c r="E123" s="5" t="inlineStr">
        <is>
          <t>JOUR</t>
        </is>
      </c>
      <c r="F123" s="5" t="inlineStr">
        <is>
          <t>Ganarin</t>
        </is>
      </c>
      <c r="G123" s="5" t="inlineStr">
        <is>
          <t>Journal of laparoendoscopic &amp; advanced surgical techniques. Part A</t>
        </is>
      </c>
      <c r="H123" s="5" t="inlineStr">
        <is>
          <t>31(4):468-477</t>
        </is>
      </c>
      <c r="I123" s="6" t="inlineStr">
        <is>
          <t>Surgical Approach of Wandering Spleen in Infants and Children: A Systematic Review.</t>
        </is>
      </c>
      <c r="J123" s="5" t="inlineStr">
        <is>
          <t>10.1089/lap.2020.0759</t>
        </is>
      </c>
      <c r="K123" s="7" t="inlineStr">
        <is>
          <t>link</t>
        </is>
      </c>
      <c r="L123" s="7" t="inlineStr">
        <is>
          <t>link</t>
        </is>
      </c>
      <c r="M123" s="5" t="inlineStr"/>
      <c r="N123" s="5" t="inlineStr"/>
      <c r="O123" s="5" t="inlineStr"/>
      <c r="P123" s="5" t="inlineStr"/>
      <c r="Q123" s="5" t="inlineStr"/>
      <c r="R123" s="5" t="inlineStr">
        <is>
          <t>2 English, DOI or PubMed link</t>
        </is>
      </c>
      <c r="S123" s="5" t="inlineStr"/>
      <c r="T123" s="5" t="inlineStr">
        <is>
          <t>WS0228.pdf</t>
        </is>
      </c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</row>
    <row r="124">
      <c r="A124" s="5" t="n">
        <v>123</v>
      </c>
      <c r="B124" s="5" t="inlineStr">
        <is>
          <t>WS0229</t>
        </is>
      </c>
      <c r="C124" s="5" t="inlineStr">
        <is>
          <t>2021</t>
        </is>
      </c>
      <c r="D124" s="5" t="inlineStr">
        <is>
          <t>English</t>
        </is>
      </c>
      <c r="E124" s="5" t="inlineStr">
        <is>
          <t>JOUR</t>
        </is>
      </c>
      <c r="F124" s="5" t="inlineStr">
        <is>
          <t>Thomas</t>
        </is>
      </c>
      <c r="G124" s="5" t="inlineStr">
        <is>
          <t>Emergency radiology</t>
        </is>
      </c>
      <c r="H124" s="5" t="inlineStr">
        <is>
          <t>28(2):431-435</t>
        </is>
      </c>
      <c r="I124" s="6" t="inlineStr">
        <is>
          <t>The likely association between wandering spleen and absent left kidney.</t>
        </is>
      </c>
      <c r="J124" s="5" t="inlineStr">
        <is>
          <t>10.1007/s10140-020-01895-x</t>
        </is>
      </c>
      <c r="K124" s="7" t="inlineStr">
        <is>
          <t>link</t>
        </is>
      </c>
      <c r="L124" s="7" t="inlineStr">
        <is>
          <t>link</t>
        </is>
      </c>
      <c r="M124" s="5" t="inlineStr"/>
      <c r="N124" s="5" t="inlineStr"/>
      <c r="O124" s="5" t="inlineStr"/>
      <c r="P124" s="5" t="inlineStr"/>
      <c r="Q124" s="5" t="inlineStr"/>
      <c r="R124" s="5" t="inlineStr">
        <is>
          <t>2 English, DOI or PubMed link</t>
        </is>
      </c>
      <c r="S124" s="5" t="inlineStr"/>
      <c r="T124" s="5" t="inlineStr">
        <is>
          <t>WS0229.pdf</t>
        </is>
      </c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</row>
    <row r="125">
      <c r="A125" s="5" t="n">
        <v>124</v>
      </c>
      <c r="B125" s="5" t="inlineStr">
        <is>
          <t>WS0237</t>
        </is>
      </c>
      <c r="C125" s="5" t="inlineStr">
        <is>
          <t>2021</t>
        </is>
      </c>
      <c r="D125" s="5" t="inlineStr">
        <is>
          <t>English</t>
        </is>
      </c>
      <c r="E125" s="5" t="inlineStr">
        <is>
          <t>JOUR</t>
        </is>
      </c>
      <c r="F125" s="5" t="inlineStr">
        <is>
          <t>Umeda</t>
        </is>
      </c>
      <c r="G125" s="5" t="inlineStr">
        <is>
          <t>Asian journal of endoscopic surgery</t>
        </is>
      </c>
      <c r="H125" s="5" t="inlineStr">
        <is>
          <t>14(3):644-647</t>
        </is>
      </c>
      <c r="I125" s="6" t="inlineStr">
        <is>
          <t>Laparoscopic retroperitoneal splenopexy for wandering spleen: A novel technique using a three-incision retroperitoneal pouch.</t>
        </is>
      </c>
      <c r="J125" s="5" t="inlineStr">
        <is>
          <t>10.1111/ases.12894</t>
        </is>
      </c>
      <c r="K125" s="7" t="inlineStr">
        <is>
          <t>link</t>
        </is>
      </c>
      <c r="L125" s="7" t="inlineStr">
        <is>
          <t>link</t>
        </is>
      </c>
      <c r="M125" s="5" t="inlineStr"/>
      <c r="N125" s="5" t="inlineStr"/>
      <c r="O125" s="5" t="inlineStr"/>
      <c r="P125" s="5" t="inlineStr"/>
      <c r="Q125" s="5" t="inlineStr"/>
      <c r="R125" s="5" t="inlineStr">
        <is>
          <t>2 English, DOI or PubMed link</t>
        </is>
      </c>
      <c r="S125" s="5" t="inlineStr"/>
      <c r="T125" s="5" t="inlineStr">
        <is>
          <t>WS0237.pdf</t>
        </is>
      </c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</row>
    <row r="126">
      <c r="A126" s="5" t="n">
        <v>125</v>
      </c>
      <c r="B126" s="5" t="inlineStr">
        <is>
          <t>WS1267</t>
        </is>
      </c>
      <c r="C126" s="5" t="inlineStr">
        <is>
          <t>2021</t>
        </is>
      </c>
      <c r="D126" s="5" t="inlineStr">
        <is>
          <t>English</t>
        </is>
      </c>
      <c r="E126" s="5" t="inlineStr">
        <is>
          <t>JOUR</t>
        </is>
      </c>
      <c r="F126" s="5" t="inlineStr">
        <is>
          <t>Aaqib</t>
        </is>
      </c>
      <c r="G126" s="5" t="inlineStr">
        <is>
          <t>Journal of Pediatric Surgery Case Reports</t>
        </is>
      </c>
      <c r="H126" s="5" t="inlineStr">
        <is>
          <t>65</t>
        </is>
      </c>
      <c r="I126" s="6" t="inlineStr">
        <is>
          <t>Wandering spleen with torsion of splenic vein and gastric varicies</t>
        </is>
      </c>
      <c r="J126" s="5" t="inlineStr">
        <is>
          <t>10.1016/j.epsc.2020.101756</t>
        </is>
      </c>
      <c r="K126" s="7" t="inlineStr">
        <is>
          <t>link</t>
        </is>
      </c>
      <c r="L126" s="5" t="inlineStr"/>
      <c r="M126" s="5" t="inlineStr"/>
      <c r="N126" s="5" t="inlineStr"/>
      <c r="O126" s="5" t="inlineStr"/>
      <c r="P126" s="5" t="inlineStr"/>
      <c r="Q126" s="7" t="inlineStr">
        <is>
          <t>link</t>
        </is>
      </c>
      <c r="R126" s="5" t="inlineStr">
        <is>
          <t>2 English, DOI or PubMed link</t>
        </is>
      </c>
      <c r="S126" s="5" t="inlineStr"/>
      <c r="T126" s="5" t="inlineStr">
        <is>
          <t>WS1267.pdf</t>
        </is>
      </c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</row>
    <row r="127">
      <c r="A127" s="5" t="n">
        <v>126</v>
      </c>
      <c r="B127" s="5" t="inlineStr">
        <is>
          <t>WS1289</t>
        </is>
      </c>
      <c r="C127" s="5" t="inlineStr">
        <is>
          <t>2021</t>
        </is>
      </c>
      <c r="D127" s="5" t="inlineStr">
        <is>
          <t>English</t>
        </is>
      </c>
      <c r="E127" s="5" t="inlineStr">
        <is>
          <t>JOUR</t>
        </is>
      </c>
      <c r="F127" s="5" t="inlineStr">
        <is>
          <t>AlSaleh</t>
        </is>
      </c>
      <c r="G127" s="5" t="inlineStr">
        <is>
          <t>Journal of Pediatric Surgery Case Reports</t>
        </is>
      </c>
      <c r="H127" s="5" t="inlineStr">
        <is>
          <t>64</t>
        </is>
      </c>
      <c r="I127" s="6" t="inlineStr">
        <is>
          <t>Splenic infarction: Torsion of a wandering spleen in a child</t>
        </is>
      </c>
      <c r="J127" s="5" t="inlineStr">
        <is>
          <t>10.1016/j.epsc.2020.101702</t>
        </is>
      </c>
      <c r="K127" s="7" t="inlineStr">
        <is>
          <t>link</t>
        </is>
      </c>
      <c r="L127" s="5" t="inlineStr"/>
      <c r="M127" s="5" t="inlineStr"/>
      <c r="N127" s="5" t="inlineStr"/>
      <c r="O127" s="5" t="inlineStr"/>
      <c r="P127" s="5" t="inlineStr"/>
      <c r="Q127" s="7" t="inlineStr">
        <is>
          <t>link</t>
        </is>
      </c>
      <c r="R127" s="5" t="inlineStr">
        <is>
          <t>2 English, DOI or PubMed link</t>
        </is>
      </c>
      <c r="S127" s="5" t="inlineStr"/>
      <c r="T127" s="5" t="inlineStr">
        <is>
          <t>WS1289.pdf</t>
        </is>
      </c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</row>
    <row r="128">
      <c r="A128" s="5" t="n">
        <v>127</v>
      </c>
      <c r="B128" s="5" t="inlineStr">
        <is>
          <t>WS1338</t>
        </is>
      </c>
      <c r="C128" s="5" t="inlineStr">
        <is>
          <t>2021</t>
        </is>
      </c>
      <c r="D128" s="5" t="inlineStr">
        <is>
          <t>English</t>
        </is>
      </c>
      <c r="E128" s="5" t="inlineStr">
        <is>
          <t>JOUR</t>
        </is>
      </c>
      <c r="F128" s="5" t="inlineStr">
        <is>
          <t>Ilgar</t>
        </is>
      </c>
      <c r="G128" s="5" t="inlineStr">
        <is>
          <t>JOURNAL OF EMERGENCY MEDICINE CASE REPORTS</t>
        </is>
      </c>
      <c r="H128" s="5" t="inlineStr">
        <is>
          <t>12(1):4-6</t>
        </is>
      </c>
      <c r="I128" s="6" t="inlineStr">
        <is>
          <t>An Unexpected Acute Abdomen Case: Torsion of a Wandering Spleen Treated with Splenopexy</t>
        </is>
      </c>
      <c r="J128" s="5" t="inlineStr">
        <is>
          <t>10.33706/jemcr.811390</t>
        </is>
      </c>
      <c r="K128" s="7" t="inlineStr">
        <is>
          <t>link</t>
        </is>
      </c>
      <c r="L128" s="5" t="inlineStr"/>
      <c r="M128" s="5" t="inlineStr"/>
      <c r="N128" s="5" t="inlineStr"/>
      <c r="O128" s="5" t="inlineStr"/>
      <c r="P128" s="5" t="inlineStr"/>
      <c r="Q128" s="5" t="inlineStr"/>
      <c r="R128" s="5" t="inlineStr">
        <is>
          <t>2 English, DOI or PubMed link</t>
        </is>
      </c>
      <c r="S128" s="5" t="inlineStr"/>
      <c r="T128" s="5" t="inlineStr">
        <is>
          <t>WS1338.pdf</t>
        </is>
      </c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</row>
    <row r="129">
      <c r="A129" s="5" t="n">
        <v>128</v>
      </c>
      <c r="B129" s="5" t="inlineStr">
        <is>
          <t>WS1361</t>
        </is>
      </c>
      <c r="C129" s="5" t="inlineStr">
        <is>
          <t>2021</t>
        </is>
      </c>
      <c r="D129" s="5" t="inlineStr">
        <is>
          <t>English</t>
        </is>
      </c>
      <c r="E129" s="5" t="inlineStr">
        <is>
          <t>JOUR</t>
        </is>
      </c>
      <c r="F129" s="5" t="inlineStr">
        <is>
          <t>Ioannis</t>
        </is>
      </c>
      <c r="G129" s="5" t="inlineStr">
        <is>
          <t>Journal of Pediatric Surgery Case Reports</t>
        </is>
      </c>
      <c r="H129" s="5" t="inlineStr">
        <is>
          <t>71</t>
        </is>
      </c>
      <c r="I129" s="6" t="inlineStr">
        <is>
          <t>Torsion of wandering spleen, splenectomy and autotransplantation of splenic slices</t>
        </is>
      </c>
      <c r="J129" s="5" t="inlineStr">
        <is>
          <t>10.1016/j.epsc.2021.101848</t>
        </is>
      </c>
      <c r="K129" s="7" t="inlineStr">
        <is>
          <t>link</t>
        </is>
      </c>
      <c r="L129" s="5" t="inlineStr"/>
      <c r="M129" s="5" t="inlineStr"/>
      <c r="N129" s="5" t="inlineStr"/>
      <c r="O129" s="5" t="inlineStr"/>
      <c r="P129" s="5" t="inlineStr"/>
      <c r="Q129" s="7" t="inlineStr">
        <is>
          <t>link</t>
        </is>
      </c>
      <c r="R129" s="5" t="inlineStr">
        <is>
          <t>2 English, DOI or PubMed link</t>
        </is>
      </c>
      <c r="S129" s="5" t="inlineStr"/>
      <c r="T129" s="5" t="inlineStr">
        <is>
          <t>WS1361.pdf</t>
        </is>
      </c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</row>
    <row r="130">
      <c r="A130" s="5" t="n">
        <v>129</v>
      </c>
      <c r="B130" s="5" t="inlineStr">
        <is>
          <t>WS1419</t>
        </is>
      </c>
      <c r="C130" s="5" t="inlineStr">
        <is>
          <t>2021</t>
        </is>
      </c>
      <c r="D130" s="5" t="inlineStr">
        <is>
          <t>English</t>
        </is>
      </c>
      <c r="E130" s="5" t="inlineStr">
        <is>
          <t>JOUR</t>
        </is>
      </c>
      <c r="F130" s="5" t="inlineStr">
        <is>
          <t>Mladenovic</t>
        </is>
      </c>
      <c r="G130" s="5" t="inlineStr">
        <is>
          <t>Indian Journal of Surgery</t>
        </is>
      </c>
      <c r="H130" s="5" t="inlineStr">
        <is>
          <t>83(1):362-363</t>
        </is>
      </c>
      <c r="I130" s="6" t="inlineStr">
        <is>
          <t>Acute Gastric Volvulus in Eight-Year-Old Male</t>
        </is>
      </c>
      <c r="J130" s="5" t="inlineStr">
        <is>
          <t>10.1007/s12262-020-02308-6</t>
        </is>
      </c>
      <c r="K130" s="7" t="inlineStr">
        <is>
          <t>link</t>
        </is>
      </c>
      <c r="L130" s="5" t="inlineStr"/>
      <c r="M130" s="5" t="inlineStr"/>
      <c r="N130" s="5" t="inlineStr"/>
      <c r="O130" s="5" t="inlineStr"/>
      <c r="P130" s="5" t="inlineStr"/>
      <c r="Q130" s="7" t="inlineStr">
        <is>
          <t>link</t>
        </is>
      </c>
      <c r="R130" s="5" t="inlineStr">
        <is>
          <t>2 English, DOI or PubMed link</t>
        </is>
      </c>
      <c r="S130" s="5" t="inlineStr"/>
      <c r="T130" s="5" t="inlineStr">
        <is>
          <t>WS1419.pdf</t>
        </is>
      </c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</row>
    <row r="131">
      <c r="A131" s="5" t="n">
        <v>130</v>
      </c>
      <c r="B131" s="5" t="inlineStr">
        <is>
          <t>WS1614</t>
        </is>
      </c>
      <c r="C131" s="5" t="inlineStr">
        <is>
          <t>2021</t>
        </is>
      </c>
      <c r="D131" s="5" t="inlineStr">
        <is>
          <t>English</t>
        </is>
      </c>
      <c r="E131" s="5" t="inlineStr">
        <is>
          <t>JOUR</t>
        </is>
      </c>
      <c r="F131" s="5" t="inlineStr">
        <is>
          <t>Markovic</t>
        </is>
      </c>
      <c r="G131" s="5" t="inlineStr">
        <is>
          <t>Serbian Journal of Experimental and Clinical Research</t>
        </is>
      </c>
      <c r="H131" s="5" t="inlineStr">
        <is>
          <t>22(3):271-275</t>
        </is>
      </c>
      <c r="I131" s="6" t="inlineStr">
        <is>
          <t>Wandering spleen-a possible cause of adrenal ”mass“-case report</t>
        </is>
      </c>
      <c r="J131" s="5" t="inlineStr">
        <is>
          <t>10.2478/sjecr-2019-0004</t>
        </is>
      </c>
      <c r="K131" s="7" t="inlineStr">
        <is>
          <t>link</t>
        </is>
      </c>
      <c r="L131" s="5" t="inlineStr"/>
      <c r="M131" s="5" t="inlineStr"/>
      <c r="N131" s="5" t="inlineStr"/>
      <c r="O131" s="5" t="inlineStr"/>
      <c r="P131" s="5" t="inlineStr"/>
      <c r="Q131" s="7" t="inlineStr">
        <is>
          <t>link</t>
        </is>
      </c>
      <c r="R131" s="5" t="inlineStr">
        <is>
          <t>2 English, DOI or PubMed link</t>
        </is>
      </c>
      <c r="S131" s="5" t="inlineStr"/>
      <c r="T131" s="5" t="inlineStr">
        <is>
          <t>WS1614.pdf</t>
        </is>
      </c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</row>
    <row r="132">
      <c r="A132" s="5" t="n">
        <v>131</v>
      </c>
      <c r="B132" s="5" t="inlineStr">
        <is>
          <t>WS0257</t>
        </is>
      </c>
      <c r="C132" s="5" t="inlineStr">
        <is>
          <t>2020</t>
        </is>
      </c>
      <c r="D132" s="5" t="inlineStr">
        <is>
          <t>English</t>
        </is>
      </c>
      <c r="E132" s="5" t="inlineStr">
        <is>
          <t>JOUR</t>
        </is>
      </c>
      <c r="F132" s="5" t="inlineStr">
        <is>
          <t>Parada Blazquez</t>
        </is>
      </c>
      <c r="G132" s="5" t="inlineStr">
        <is>
          <t>Emergency radiology</t>
        </is>
      </c>
      <c r="H132" s="5" t="inlineStr">
        <is>
          <t>27(5):555-560</t>
        </is>
      </c>
      <c r="I132" s="6" t="inlineStr">
        <is>
          <t>Torsion of wandering spleen: radiological findings.</t>
        </is>
      </c>
      <c r="J132" s="5" t="inlineStr">
        <is>
          <t>10.1007/s10140-020-01786-1</t>
        </is>
      </c>
      <c r="K132" s="7" t="inlineStr">
        <is>
          <t>link</t>
        </is>
      </c>
      <c r="L132" s="7" t="inlineStr">
        <is>
          <t>link</t>
        </is>
      </c>
      <c r="M132" s="5" t="inlineStr"/>
      <c r="N132" s="5" t="inlineStr"/>
      <c r="O132" s="5" t="inlineStr"/>
      <c r="P132" s="5" t="inlineStr"/>
      <c r="Q132" s="5" t="inlineStr"/>
      <c r="R132" s="5" t="inlineStr">
        <is>
          <t>2 English, DOI or PubMed link</t>
        </is>
      </c>
      <c r="S132" s="5" t="inlineStr"/>
      <c r="T132" s="5" t="inlineStr">
        <is>
          <t>WS0257.pdf</t>
        </is>
      </c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</row>
    <row r="133">
      <c r="A133" s="5" t="n">
        <v>132</v>
      </c>
      <c r="B133" s="5" t="inlineStr">
        <is>
          <t>WS0268</t>
        </is>
      </c>
      <c r="C133" s="5" t="inlineStr">
        <is>
          <t>2020</t>
        </is>
      </c>
      <c r="D133" s="5" t="inlineStr">
        <is>
          <t>English</t>
        </is>
      </c>
      <c r="E133" s="5" t="inlineStr">
        <is>
          <t>JOUR</t>
        </is>
      </c>
      <c r="F133" s="5" t="inlineStr">
        <is>
          <t>Cetinoglu</t>
        </is>
      </c>
      <c r="G133" s="5" t="inlineStr">
        <is>
          <t>Current medical imaging reviews</t>
        </is>
      </c>
      <c r="H133" s="5" t="inlineStr">
        <is>
          <t>16(1):88-93</t>
        </is>
      </c>
      <c r="I133" s="6" t="inlineStr">
        <is>
          <t>Torsion of Wandering Spleen: Importance of Splenic Density and Liver-to- Spleen Attenuation Ratio on CT.</t>
        </is>
      </c>
      <c r="J133" s="5" t="inlineStr">
        <is>
          <t>10.2174/1573405614666181009142322</t>
        </is>
      </c>
      <c r="K133" s="7" t="inlineStr">
        <is>
          <t>link</t>
        </is>
      </c>
      <c r="L133" s="7" t="inlineStr">
        <is>
          <t>link</t>
        </is>
      </c>
      <c r="M133" s="5" t="inlineStr"/>
      <c r="N133" s="5" t="inlineStr"/>
      <c r="O133" s="5" t="inlineStr"/>
      <c r="P133" s="5" t="inlineStr"/>
      <c r="Q133" s="5" t="inlineStr"/>
      <c r="R133" s="5" t="inlineStr">
        <is>
          <t>2 English, DOI or PubMed link</t>
        </is>
      </c>
      <c r="S133" s="5" t="inlineStr"/>
      <c r="T133" s="5" t="inlineStr">
        <is>
          <t>WS0268.pdf</t>
        </is>
      </c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</row>
    <row r="134">
      <c r="A134" s="5" t="n">
        <v>133</v>
      </c>
      <c r="B134" s="5" t="inlineStr">
        <is>
          <t>WS1439</t>
        </is>
      </c>
      <c r="C134" s="5" t="inlineStr">
        <is>
          <t>2020</t>
        </is>
      </c>
      <c r="D134" s="5" t="inlineStr">
        <is>
          <t>English</t>
        </is>
      </c>
      <c r="E134" s="5" t="inlineStr">
        <is>
          <t>JOUR</t>
        </is>
      </c>
      <c r="F134" s="5" t="inlineStr">
        <is>
          <t>Gómez-Ramos</t>
        </is>
      </c>
      <c r="G134" s="5" t="inlineStr">
        <is>
          <t>Pediatric Emergency Care</t>
        </is>
      </c>
      <c r="H134" s="5" t="inlineStr">
        <is>
          <t>36(12):E737-E741</t>
        </is>
      </c>
      <c r="I134" s="6" t="inlineStr">
        <is>
          <t>Adolescent with Spontaneous Splenic Rupture as a Cause of Hemoperitoneum in the Emergency Department: Case Report and Literature Review</t>
        </is>
      </c>
      <c r="J134" s="5" t="inlineStr">
        <is>
          <t>10.1097/pec.0000000000001520</t>
        </is>
      </c>
      <c r="K134" s="7" t="inlineStr">
        <is>
          <t>link</t>
        </is>
      </c>
      <c r="L134" s="5" t="inlineStr"/>
      <c r="M134" s="5" t="inlineStr"/>
      <c r="N134" s="5" t="inlineStr"/>
      <c r="O134" s="5" t="inlineStr"/>
      <c r="P134" s="5" t="inlineStr"/>
      <c r="Q134" s="7" t="inlineStr">
        <is>
          <t>link</t>
        </is>
      </c>
      <c r="R134" s="5" t="inlineStr">
        <is>
          <t>2 English, DOI or PubMed link</t>
        </is>
      </c>
      <c r="S134" s="5" t="inlineStr"/>
      <c r="T134" s="5" t="inlineStr">
        <is>
          <t>WS1439.pdf</t>
        </is>
      </c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</row>
    <row r="135">
      <c r="A135" s="5" t="n">
        <v>134</v>
      </c>
      <c r="B135" s="5" t="inlineStr">
        <is>
          <t>WS1587</t>
        </is>
      </c>
      <c r="C135" s="5" t="inlineStr">
        <is>
          <t>2020</t>
        </is>
      </c>
      <c r="D135" s="5" t="inlineStr">
        <is>
          <t>English</t>
        </is>
      </c>
      <c r="E135" s="5" t="inlineStr">
        <is>
          <t>JOUR</t>
        </is>
      </c>
      <c r="F135" s="5" t="inlineStr">
        <is>
          <t>Bhutani</t>
        </is>
      </c>
      <c r="G135" s="5" t="inlineStr">
        <is>
          <t>Journal of Pediatric Surgery Case Reports</t>
        </is>
      </c>
      <c r="H135" s="5" t="inlineStr">
        <is>
          <t>59</t>
        </is>
      </c>
      <c r="I135" s="6" t="inlineStr">
        <is>
          <t>Splenogonadal fusion</t>
        </is>
      </c>
      <c r="J135" s="5" t="inlineStr">
        <is>
          <t>10.1016/j.epsc.2020.101514</t>
        </is>
      </c>
      <c r="K135" s="7" t="inlineStr">
        <is>
          <t>link</t>
        </is>
      </c>
      <c r="L135" s="5" t="inlineStr"/>
      <c r="M135" s="5" t="inlineStr"/>
      <c r="N135" s="5" t="inlineStr"/>
      <c r="O135" s="5" t="inlineStr"/>
      <c r="P135" s="5" t="inlineStr"/>
      <c r="Q135" s="7" t="inlineStr">
        <is>
          <t>link</t>
        </is>
      </c>
      <c r="R135" s="5" t="inlineStr">
        <is>
          <t>2 English, DOI or PubMed link</t>
        </is>
      </c>
      <c r="S135" s="5" t="inlineStr"/>
      <c r="T135" s="5" t="inlineStr">
        <is>
          <t>WS1587.pdf</t>
        </is>
      </c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</row>
    <row r="136">
      <c r="A136" s="5" t="n">
        <v>135</v>
      </c>
      <c r="B136" s="5" t="inlineStr">
        <is>
          <t>WS0270</t>
        </is>
      </c>
      <c r="C136" s="5" t="inlineStr">
        <is>
          <t>2019</t>
        </is>
      </c>
      <c r="D136" s="5" t="inlineStr">
        <is>
          <t>English</t>
        </is>
      </c>
      <c r="E136" s="5" t="inlineStr">
        <is>
          <t>JOUR</t>
        </is>
      </c>
      <c r="F136" s="5" t="inlineStr">
        <is>
          <t>Frybova</t>
        </is>
      </c>
      <c r="G136" s="5" t="inlineStr">
        <is>
          <t>Rozhledy v chirurgii : mesicnik Ceskoslovenske chirurgicke spolecnosti</t>
        </is>
      </c>
      <c r="H136" s="5" t="inlineStr">
        <is>
          <t>98(12):509-512</t>
        </is>
      </c>
      <c r="I136" s="6" t="inlineStr">
        <is>
          <t>Extraperitoneal pocket splenopexy is a suitable solution for wandering spleen in children and adolescents - case report.</t>
        </is>
      </c>
      <c r="J136" s="5" t="inlineStr">
        <is>
          <t>10.33699/pis.2019.98.12.509-512</t>
        </is>
      </c>
      <c r="K136" s="7" t="inlineStr">
        <is>
          <t>link</t>
        </is>
      </c>
      <c r="L136" s="7" t="inlineStr">
        <is>
          <t>link</t>
        </is>
      </c>
      <c r="M136" s="5" t="inlineStr"/>
      <c r="N136" s="5" t="inlineStr"/>
      <c r="O136" s="5" t="inlineStr"/>
      <c r="P136" s="5" t="inlineStr"/>
      <c r="Q136" s="5" t="inlineStr"/>
      <c r="R136" s="5" t="inlineStr">
        <is>
          <t>2 English, DOI or PubMed link</t>
        </is>
      </c>
      <c r="S136" s="5" t="inlineStr"/>
      <c r="T136" s="5" t="inlineStr">
        <is>
          <t>WS0270.pdf</t>
        </is>
      </c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</row>
    <row r="137">
      <c r="A137" s="5" t="n">
        <v>136</v>
      </c>
      <c r="B137" s="5" t="inlineStr">
        <is>
          <t>WS0272</t>
        </is>
      </c>
      <c r="C137" s="5" t="inlineStr">
        <is>
          <t>2019</t>
        </is>
      </c>
      <c r="D137" s="5" t="inlineStr">
        <is>
          <t>English</t>
        </is>
      </c>
      <c r="E137" s="5" t="inlineStr">
        <is>
          <t>JOUR</t>
        </is>
      </c>
      <c r="F137" s="5" t="inlineStr">
        <is>
          <t>Lim</t>
        </is>
      </c>
      <c r="G137" s="5" t="inlineStr">
        <is>
          <t>South Dakota medicine : the journal of the South Dakota State Medical Association</t>
        </is>
      </c>
      <c r="H137" s="5" t="inlineStr">
        <is>
          <t>72(10):459-463</t>
        </is>
      </c>
      <c r="I137" s="6" t="inlineStr">
        <is>
          <t>Wandering Spleen in a 1-Year-Old Girl: An Enigmatic Journey to Find the Hiding Necrotic Spleen.</t>
        </is>
      </c>
      <c r="J137" s="5" t="inlineStr"/>
      <c r="K137" s="5" t="inlineStr"/>
      <c r="L137" s="7" t="inlineStr">
        <is>
          <t>link</t>
        </is>
      </c>
      <c r="M137" s="5" t="inlineStr"/>
      <c r="N137" s="5" t="inlineStr"/>
      <c r="O137" s="5" t="inlineStr"/>
      <c r="P137" s="5" t="inlineStr"/>
      <c r="Q137" s="5" t="inlineStr"/>
      <c r="R137" s="5" t="inlineStr">
        <is>
          <t>2 English, DOI or PubMed link</t>
        </is>
      </c>
      <c r="S137" s="5" t="inlineStr"/>
      <c r="T137" s="5" t="inlineStr">
        <is>
          <t>WS0272.pdf</t>
        </is>
      </c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</row>
    <row r="138">
      <c r="A138" s="5" t="n">
        <v>137</v>
      </c>
      <c r="B138" s="5" t="inlineStr">
        <is>
          <t>WS1527</t>
        </is>
      </c>
      <c r="C138" s="5" t="inlineStr">
        <is>
          <t>2019</t>
        </is>
      </c>
      <c r="D138" s="5" t="inlineStr">
        <is>
          <t>English</t>
        </is>
      </c>
      <c r="E138" s="5" t="inlineStr">
        <is>
          <t>JOUR</t>
        </is>
      </c>
      <c r="F138" s="5" t="inlineStr">
        <is>
          <t>Taher</t>
        </is>
      </c>
      <c r="G138" s="5" t="inlineStr">
        <is>
          <t>Journal of Pediatric Surgery Case Reports</t>
        </is>
      </c>
      <c r="H138" s="5" t="inlineStr">
        <is>
          <t>40:13-16</t>
        </is>
      </c>
      <c r="I138" s="6" t="inlineStr">
        <is>
          <t>Torsion of wandering spleen in an infant associated with hamartomatous vascular malformation</t>
        </is>
      </c>
      <c r="J138" s="5" t="inlineStr">
        <is>
          <t>10.1016/j.epsc.2018.10.001</t>
        </is>
      </c>
      <c r="K138" s="7" t="inlineStr">
        <is>
          <t>link</t>
        </is>
      </c>
      <c r="L138" s="5" t="inlineStr"/>
      <c r="M138" s="5" t="inlineStr"/>
      <c r="N138" s="5" t="inlineStr"/>
      <c r="O138" s="5" t="inlineStr"/>
      <c r="P138" s="5" t="inlineStr"/>
      <c r="Q138" s="7" t="inlineStr">
        <is>
          <t>link</t>
        </is>
      </c>
      <c r="R138" s="5" t="inlineStr">
        <is>
          <t>2 English, DOI or PubMed link</t>
        </is>
      </c>
      <c r="S138" s="5" t="inlineStr"/>
      <c r="T138" s="5" t="inlineStr">
        <is>
          <t>WS1527.pdf</t>
        </is>
      </c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</row>
    <row r="139">
      <c r="A139" s="5" t="n">
        <v>138</v>
      </c>
      <c r="B139" s="5" t="inlineStr">
        <is>
          <t>WS1578</t>
        </is>
      </c>
      <c r="C139" s="5" t="inlineStr">
        <is>
          <t>2019</t>
        </is>
      </c>
      <c r="D139" s="5" t="inlineStr">
        <is>
          <t>English</t>
        </is>
      </c>
      <c r="E139" s="5" t="inlineStr">
        <is>
          <t>JOUR</t>
        </is>
      </c>
      <c r="F139" s="5" t="inlineStr">
        <is>
          <t>Bond</t>
        </is>
      </c>
      <c r="G139" s="5" t="inlineStr">
        <is>
          <t>Journal of Pediatric Surgery Case Reports</t>
        </is>
      </c>
      <c r="H139" s="5" t="inlineStr">
        <is>
          <t>48</t>
        </is>
      </c>
      <c r="I139" s="6" t="inlineStr">
        <is>
          <t>Acute presentation of pediatric splenic torsion</t>
        </is>
      </c>
      <c r="J139" s="5" t="inlineStr">
        <is>
          <t>10.1016/j.epsc.2019.101267</t>
        </is>
      </c>
      <c r="K139" s="7" t="inlineStr">
        <is>
          <t>link</t>
        </is>
      </c>
      <c r="L139" s="5" t="inlineStr"/>
      <c r="M139" s="5" t="inlineStr"/>
      <c r="N139" s="5" t="inlineStr"/>
      <c r="O139" s="5" t="inlineStr"/>
      <c r="P139" s="5" t="inlineStr"/>
      <c r="Q139" s="7" t="inlineStr">
        <is>
          <t>link</t>
        </is>
      </c>
      <c r="R139" s="5" t="inlineStr">
        <is>
          <t>2 English, DOI or PubMed link</t>
        </is>
      </c>
      <c r="S139" s="5" t="inlineStr"/>
      <c r="T139" s="5" t="inlineStr">
        <is>
          <t>WS1578.pdf</t>
        </is>
      </c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</row>
    <row r="140">
      <c r="A140" s="5" t="n">
        <v>139</v>
      </c>
      <c r="B140" s="5" t="inlineStr">
        <is>
          <t>WS1592</t>
        </is>
      </c>
      <c r="C140" s="5" t="inlineStr">
        <is>
          <t>2019</t>
        </is>
      </c>
      <c r="D140" s="5" t="inlineStr">
        <is>
          <t>English</t>
        </is>
      </c>
      <c r="E140" s="5" t="inlineStr">
        <is>
          <t>JOUR</t>
        </is>
      </c>
      <c r="F140" s="5" t="inlineStr">
        <is>
          <t>Elhady</t>
        </is>
      </c>
      <c r="G140" s="5" t="inlineStr">
        <is>
          <t>Formosan Journal of Surgery</t>
        </is>
      </c>
      <c r="H140" s="5" t="inlineStr">
        <is>
          <t>52(5):189-192</t>
        </is>
      </c>
      <c r="I140" s="6" t="inlineStr">
        <is>
          <t>Recurrent abdominal pain with thrombocytosis:A presentation of wandering spleen</t>
        </is>
      </c>
      <c r="J140" s="5" t="inlineStr">
        <is>
          <t>10.4103/fjs.fjs_34_19</t>
        </is>
      </c>
      <c r="K140" s="7" t="inlineStr">
        <is>
          <t>link</t>
        </is>
      </c>
      <c r="L140" s="5" t="inlineStr"/>
      <c r="M140" s="5" t="inlineStr"/>
      <c r="N140" s="5" t="inlineStr"/>
      <c r="O140" s="5" t="inlineStr"/>
      <c r="P140" s="5" t="inlineStr"/>
      <c r="Q140" s="7" t="inlineStr">
        <is>
          <t>link</t>
        </is>
      </c>
      <c r="R140" s="5" t="inlineStr">
        <is>
          <t>2 English, DOI or PubMed link</t>
        </is>
      </c>
      <c r="S140" s="5" t="inlineStr"/>
      <c r="T140" s="5" t="inlineStr">
        <is>
          <t>WS1592.pdf</t>
        </is>
      </c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</row>
    <row r="141">
      <c r="A141" s="5" t="n">
        <v>140</v>
      </c>
      <c r="B141" s="5" t="inlineStr">
        <is>
          <t>WS0321</t>
        </is>
      </c>
      <c r="C141" s="5" t="inlineStr">
        <is>
          <t>2018</t>
        </is>
      </c>
      <c r="D141" s="5" t="inlineStr">
        <is>
          <t>English</t>
        </is>
      </c>
      <c r="E141" s="5" t="inlineStr">
        <is>
          <t>JOUR</t>
        </is>
      </c>
      <c r="F141" s="5" t="inlineStr">
        <is>
          <t>Cohen</t>
        </is>
      </c>
      <c r="G141" s="5" t="inlineStr">
        <is>
          <t>ISRAEL MEDICAL ASSOCIATION JOURNAL</t>
        </is>
      </c>
      <c r="H141" s="5" t="inlineStr">
        <is>
          <t>20(6):354-357</t>
        </is>
      </c>
      <c r="I141" s="6" t="inlineStr">
        <is>
          <t>Emergencies in the Treatment of Wandering Spleen</t>
        </is>
      </c>
      <c r="J141" s="5" t="inlineStr">
        <is>
          <t>10.1073/pnas.1719264115</t>
        </is>
      </c>
      <c r="K141" s="7" t="inlineStr">
        <is>
          <t>link</t>
        </is>
      </c>
      <c r="L141" s="7" t="inlineStr">
        <is>
          <t>link</t>
        </is>
      </c>
      <c r="M141" s="5" t="inlineStr"/>
      <c r="N141" s="5" t="inlineStr"/>
      <c r="O141" s="5" t="inlineStr"/>
      <c r="P141" s="5" t="inlineStr"/>
      <c r="Q141" s="5" t="inlineStr"/>
      <c r="R141" s="5" t="inlineStr">
        <is>
          <t>2 English, DOI or PubMed link</t>
        </is>
      </c>
      <c r="S141" s="5" t="inlineStr"/>
      <c r="T141" s="5" t="inlineStr">
        <is>
          <t>WS0321.pdf</t>
        </is>
      </c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</row>
    <row r="142">
      <c r="A142" s="5" t="n">
        <v>141</v>
      </c>
      <c r="B142" s="5" t="inlineStr">
        <is>
          <t>WS0329</t>
        </is>
      </c>
      <c r="C142" s="5" t="inlineStr">
        <is>
          <t>2018</t>
        </is>
      </c>
      <c r="D142" s="5" t="inlineStr">
        <is>
          <t>English</t>
        </is>
      </c>
      <c r="E142" s="5" t="inlineStr">
        <is>
          <t>JOUR</t>
        </is>
      </c>
      <c r="F142" s="5" t="inlineStr">
        <is>
          <t>Freund</t>
        </is>
      </c>
      <c r="G142" s="5" t="inlineStr">
        <is>
          <t>Surgical laparoscopy, endoscopy &amp; percutaneous techniques</t>
        </is>
      </c>
      <c r="H142" s="5" t="inlineStr">
        <is>
          <t>28(2):86-89</t>
        </is>
      </c>
      <c r="I142" s="6" t="inlineStr">
        <is>
          <t>Splenectomy in Gaucher Disease: A Call for Minimally Invasive Surgery.</t>
        </is>
      </c>
      <c r="J142" s="5" t="inlineStr">
        <is>
          <t>10.1097/sle.0000000000000518</t>
        </is>
      </c>
      <c r="K142" s="7" t="inlineStr">
        <is>
          <t>link</t>
        </is>
      </c>
      <c r="L142" s="7" t="inlineStr">
        <is>
          <t>link</t>
        </is>
      </c>
      <c r="M142" s="5" t="inlineStr"/>
      <c r="N142" s="5" t="inlineStr"/>
      <c r="O142" s="5" t="inlineStr"/>
      <c r="P142" s="5" t="inlineStr"/>
      <c r="Q142" s="5" t="inlineStr"/>
      <c r="R142" s="5" t="inlineStr">
        <is>
          <t>2 English, DOI or PubMed link</t>
        </is>
      </c>
      <c r="S142" s="5" t="inlineStr"/>
      <c r="T142" s="5" t="inlineStr">
        <is>
          <t>WS0329.pdf</t>
        </is>
      </c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</row>
    <row r="143">
      <c r="A143" s="5" t="n">
        <v>142</v>
      </c>
      <c r="B143" s="5" t="inlineStr">
        <is>
          <t>WS0336</t>
        </is>
      </c>
      <c r="C143" s="5" t="inlineStr">
        <is>
          <t>2018</t>
        </is>
      </c>
      <c r="D143" s="5" t="inlineStr">
        <is>
          <t>English</t>
        </is>
      </c>
      <c r="E143" s="5" t="inlineStr">
        <is>
          <t>JOUR</t>
        </is>
      </c>
      <c r="F143" s="5" t="inlineStr">
        <is>
          <t>Hui Lian</t>
        </is>
      </c>
      <c r="G143" s="5" t="inlineStr">
        <is>
          <t>Folia morphologica</t>
        </is>
      </c>
      <c r="H143" s="5" t="inlineStr">
        <is>
          <t>77(2):400-402</t>
        </is>
      </c>
      <c r="I143" s="6" t="inlineStr">
        <is>
          <t>Wandering spleen: a unique cause of acute abdomen.</t>
        </is>
      </c>
      <c r="J143" s="5" t="inlineStr">
        <is>
          <t>10.5603/fm.a2017.0097</t>
        </is>
      </c>
      <c r="K143" s="7" t="inlineStr">
        <is>
          <t>link</t>
        </is>
      </c>
      <c r="L143" s="7" t="inlineStr">
        <is>
          <t>link</t>
        </is>
      </c>
      <c r="M143" s="5" t="inlineStr"/>
      <c r="N143" s="5" t="inlineStr"/>
      <c r="O143" s="5" t="inlineStr"/>
      <c r="P143" s="5" t="inlineStr"/>
      <c r="Q143" s="5" t="inlineStr"/>
      <c r="R143" s="5" t="inlineStr">
        <is>
          <t>2 English, DOI or PubMed link</t>
        </is>
      </c>
      <c r="S143" s="5" t="inlineStr"/>
      <c r="T143" s="5" t="inlineStr">
        <is>
          <t>WS0336.pdf</t>
        </is>
      </c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</row>
    <row r="144">
      <c r="A144" s="5" t="n">
        <v>143</v>
      </c>
      <c r="B144" s="5" t="inlineStr">
        <is>
          <t>WS0342</t>
        </is>
      </c>
      <c r="C144" s="5" t="inlineStr">
        <is>
          <t>2017</t>
        </is>
      </c>
      <c r="D144" s="5" t="inlineStr">
        <is>
          <t>English</t>
        </is>
      </c>
      <c r="E144" s="5" t="inlineStr">
        <is>
          <t>JOUR</t>
        </is>
      </c>
      <c r="F144" s="5" t="inlineStr">
        <is>
          <t>Morgan</t>
        </is>
      </c>
      <c r="G144" s="5" t="inlineStr">
        <is>
          <t>Surgical endoscopy</t>
        </is>
      </c>
      <c r="H144" s="5" t="inlineStr">
        <is>
          <t>31(12):5427-5428</t>
        </is>
      </c>
      <c r="I144" s="6" t="inlineStr">
        <is>
          <t>Laparoscopic splenopexy for wandering spleen, a video demonstration of technique by encircling the spleen with polyglactin 910 woven mesh.</t>
        </is>
      </c>
      <c r="J144" s="5" t="inlineStr">
        <is>
          <t>10.1007/s00464-017-5630-x</t>
        </is>
      </c>
      <c r="K144" s="7" t="inlineStr">
        <is>
          <t>link</t>
        </is>
      </c>
      <c r="L144" s="7" t="inlineStr">
        <is>
          <t>link</t>
        </is>
      </c>
      <c r="M144" s="5" t="inlineStr"/>
      <c r="N144" s="5" t="inlineStr"/>
      <c r="O144" s="5" t="inlineStr"/>
      <c r="P144" s="5" t="inlineStr"/>
      <c r="Q144" s="5" t="inlineStr"/>
      <c r="R144" s="5" t="inlineStr">
        <is>
          <t>2 English, DOI or PubMed link</t>
        </is>
      </c>
      <c r="S144" s="5" t="inlineStr"/>
      <c r="T144" s="5" t="inlineStr">
        <is>
          <t>WS0342.pdf</t>
        </is>
      </c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</row>
    <row r="145">
      <c r="A145" s="5" t="n">
        <v>144</v>
      </c>
      <c r="B145" s="5" t="inlineStr">
        <is>
          <t>WS0344</t>
        </is>
      </c>
      <c r="C145" s="5" t="inlineStr">
        <is>
          <t>2017</t>
        </is>
      </c>
      <c r="D145" s="5" t="inlineStr">
        <is>
          <t>English</t>
        </is>
      </c>
      <c r="E145" s="5" t="inlineStr">
        <is>
          <t>JOUR</t>
        </is>
      </c>
      <c r="F145" s="5" t="inlineStr">
        <is>
          <t>Gungor</t>
        </is>
      </c>
      <c r="G145" s="5" t="inlineStr">
        <is>
          <t>The Turkish journal of gastroenterology : the official journal of Turkish Society of Gastroenterology</t>
        </is>
      </c>
      <c r="H145" s="5" t="inlineStr">
        <is>
          <t>28(4):303-306</t>
        </is>
      </c>
      <c r="I145" s="6" t="inlineStr">
        <is>
          <t>Torsion of a wandering spleen in an adolescent with Gaucher disease.</t>
        </is>
      </c>
      <c r="J145" s="5" t="inlineStr">
        <is>
          <t>10.5152/tjg.2017.17035</t>
        </is>
      </c>
      <c r="K145" s="7" t="inlineStr">
        <is>
          <t>link</t>
        </is>
      </c>
      <c r="L145" s="7" t="inlineStr">
        <is>
          <t>link</t>
        </is>
      </c>
      <c r="M145" s="5" t="inlineStr"/>
      <c r="N145" s="5" t="inlineStr"/>
      <c r="O145" s="5" t="inlineStr"/>
      <c r="P145" s="5" t="inlineStr"/>
      <c r="Q145" s="5" t="inlineStr"/>
      <c r="R145" s="5" t="inlineStr">
        <is>
          <t>2 English, DOI or PubMed link</t>
        </is>
      </c>
      <c r="S145" s="5" t="inlineStr"/>
      <c r="T145" s="5" t="inlineStr">
        <is>
          <t>WS0344.pdf</t>
        </is>
      </c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</row>
    <row r="146">
      <c r="A146" s="5" t="n">
        <v>145</v>
      </c>
      <c r="B146" s="5" t="inlineStr">
        <is>
          <t>WS0355</t>
        </is>
      </c>
      <c r="C146" s="5" t="inlineStr">
        <is>
          <t>2017</t>
        </is>
      </c>
      <c r="D146" s="5" t="inlineStr">
        <is>
          <t>English</t>
        </is>
      </c>
      <c r="E146" s="5" t="inlineStr">
        <is>
          <t>JOUR</t>
        </is>
      </c>
      <c r="F146" s="5" t="inlineStr">
        <is>
          <t>Yilmaz</t>
        </is>
      </c>
      <c r="G146" s="5" t="inlineStr">
        <is>
          <t>Nigerian journal of clinical practice</t>
        </is>
      </c>
      <c r="H146" s="5" t="inlineStr">
        <is>
          <t>20(3):394-396</t>
        </is>
      </c>
      <c r="I146" s="6" t="inlineStr">
        <is>
          <t>Portal venous thrombosis developing after torsion of a wandering spleen.</t>
        </is>
      </c>
      <c r="J146" s="5" t="inlineStr">
        <is>
          <t>10.4103/1119-3077.201431</t>
        </is>
      </c>
      <c r="K146" s="7" t="inlineStr">
        <is>
          <t>link</t>
        </is>
      </c>
      <c r="L146" s="7" t="inlineStr">
        <is>
          <t>link</t>
        </is>
      </c>
      <c r="M146" s="5" t="inlineStr"/>
      <c r="N146" s="5" t="inlineStr"/>
      <c r="O146" s="5" t="inlineStr"/>
      <c r="P146" s="5" t="inlineStr"/>
      <c r="Q146" s="5" t="inlineStr"/>
      <c r="R146" s="5" t="inlineStr">
        <is>
          <t>2 English, DOI or PubMed link</t>
        </is>
      </c>
      <c r="S146" s="5" t="inlineStr"/>
      <c r="T146" s="5" t="inlineStr">
        <is>
          <t>WS0355.pdf</t>
        </is>
      </c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</row>
    <row r="147">
      <c r="A147" s="5" t="n">
        <v>146</v>
      </c>
      <c r="B147" s="5" t="inlineStr">
        <is>
          <t>WS1507</t>
        </is>
      </c>
      <c r="C147" s="5" t="inlineStr">
        <is>
          <t>2017</t>
        </is>
      </c>
      <c r="D147" s="5" t="inlineStr">
        <is>
          <t>English</t>
        </is>
      </c>
      <c r="E147" s="5" t="inlineStr">
        <is>
          <t>JOUR</t>
        </is>
      </c>
      <c r="F147" s="5" t="inlineStr">
        <is>
          <t>Masui</t>
        </is>
      </c>
      <c r="G147" s="5" t="inlineStr">
        <is>
          <t>Journal of Pediatric Surgery Case Reports</t>
        </is>
      </c>
      <c r="H147" s="5" t="inlineStr">
        <is>
          <t>24:8-11</t>
        </is>
      </c>
      <c r="I147" s="6" t="inlineStr">
        <is>
          <t>Wandering spleen associated with omphalocele in a neonate: An unusual case with non-operative management</t>
        </is>
      </c>
      <c r="J147" s="5" t="inlineStr">
        <is>
          <t>10.1016/j.epsc.2017.06.003</t>
        </is>
      </c>
      <c r="K147" s="7" t="inlineStr">
        <is>
          <t>link</t>
        </is>
      </c>
      <c r="L147" s="5" t="inlineStr"/>
      <c r="M147" s="5" t="inlineStr"/>
      <c r="N147" s="5" t="inlineStr"/>
      <c r="O147" s="5" t="inlineStr"/>
      <c r="P147" s="5" t="inlineStr"/>
      <c r="Q147" s="7" t="inlineStr">
        <is>
          <t>link</t>
        </is>
      </c>
      <c r="R147" s="5" t="inlineStr">
        <is>
          <t>2 English, DOI or PubMed link</t>
        </is>
      </c>
      <c r="S147" s="5" t="inlineStr"/>
      <c r="T147" s="5" t="inlineStr">
        <is>
          <t>WS1507.pdf</t>
        </is>
      </c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</row>
    <row r="148">
      <c r="A148" s="5" t="n">
        <v>147</v>
      </c>
      <c r="B148" s="5" t="inlineStr">
        <is>
          <t>WS1512</t>
        </is>
      </c>
      <c r="C148" s="5" t="inlineStr">
        <is>
          <t>2017</t>
        </is>
      </c>
      <c r="D148" s="5" t="inlineStr">
        <is>
          <t>English</t>
        </is>
      </c>
      <c r="E148" s="5" t="inlineStr">
        <is>
          <t>JOUR</t>
        </is>
      </c>
      <c r="F148" s="5" t="inlineStr">
        <is>
          <t>Flippin</t>
        </is>
      </c>
      <c r="G148" s="5" t="inlineStr">
        <is>
          <t>Journal of Pediatric Surgery Case Reports</t>
        </is>
      </c>
      <c r="H148" s="5" t="inlineStr">
        <is>
          <t>18:13-15</t>
        </is>
      </c>
      <c r="I148" s="6" t="inlineStr">
        <is>
          <t>Splenic torsion presenting as splenic vein thrombosis</t>
        </is>
      </c>
      <c r="J148" s="5" t="inlineStr">
        <is>
          <t>10.1016/j.epsc.2016.04.024</t>
        </is>
      </c>
      <c r="K148" s="7" t="inlineStr">
        <is>
          <t>link</t>
        </is>
      </c>
      <c r="L148" s="5" t="inlineStr"/>
      <c r="M148" s="5" t="inlineStr"/>
      <c r="N148" s="5" t="inlineStr"/>
      <c r="O148" s="5" t="inlineStr"/>
      <c r="P148" s="5" t="inlineStr"/>
      <c r="Q148" s="7" t="inlineStr">
        <is>
          <t>link</t>
        </is>
      </c>
      <c r="R148" s="5" t="inlineStr">
        <is>
          <t>2 English, DOI or PubMed link</t>
        </is>
      </c>
      <c r="S148" s="5" t="inlineStr"/>
      <c r="T148" s="5" t="inlineStr">
        <is>
          <t>WS1512.pdf</t>
        </is>
      </c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</row>
    <row r="149">
      <c r="A149" s="5" t="n">
        <v>148</v>
      </c>
      <c r="B149" s="5" t="inlineStr">
        <is>
          <t>WS1524</t>
        </is>
      </c>
      <c r="C149" s="5" t="inlineStr">
        <is>
          <t>2017</t>
        </is>
      </c>
      <c r="D149" s="5" t="inlineStr">
        <is>
          <t>English</t>
        </is>
      </c>
      <c r="E149" s="5" t="inlineStr">
        <is>
          <t>CHAP</t>
        </is>
      </c>
      <c r="F149" s="5" t="inlineStr">
        <is>
          <t>Elmalik</t>
        </is>
      </c>
      <c r="G149" s="5" t="inlineStr">
        <is>
          <t>Color Atlas of Pediatric Anatomy, Laparoscopy, and Thoracoscopy</t>
        </is>
      </c>
      <c r="H149" s="5" t="inlineStr">
        <is>
          <t>173-181</t>
        </is>
      </c>
      <c r="I149" s="6" t="inlineStr">
        <is>
          <t>Laparoscopic Splenectomy</t>
        </is>
      </c>
      <c r="J149" s="5" t="inlineStr">
        <is>
          <t>10.1007/978-3-662-53085-6_25</t>
        </is>
      </c>
      <c r="K149" s="7" t="inlineStr">
        <is>
          <t>link</t>
        </is>
      </c>
      <c r="L149" s="5" t="inlineStr"/>
      <c r="M149" s="5" t="inlineStr"/>
      <c r="N149" s="5" t="inlineStr"/>
      <c r="O149" s="5" t="inlineStr"/>
      <c r="P149" s="5" t="inlineStr"/>
      <c r="Q149" s="7" t="inlineStr">
        <is>
          <t>link</t>
        </is>
      </c>
      <c r="R149" s="5" t="inlineStr">
        <is>
          <t>2 English, DOI or PubMed link</t>
        </is>
      </c>
      <c r="S149" s="5" t="inlineStr"/>
      <c r="T149" s="5" t="inlineStr">
        <is>
          <t>WS1524.pdf</t>
        </is>
      </c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</row>
    <row r="150">
      <c r="A150" s="5" t="n">
        <v>149</v>
      </c>
      <c r="B150" s="5" t="inlineStr">
        <is>
          <t>WS0357</t>
        </is>
      </c>
      <c r="C150" s="5" t="inlineStr">
        <is>
          <t>2016</t>
        </is>
      </c>
      <c r="D150" s="5" t="inlineStr">
        <is>
          <t>English</t>
        </is>
      </c>
      <c r="E150" s="5" t="inlineStr">
        <is>
          <t>JOUR</t>
        </is>
      </c>
      <c r="F150" s="5" t="inlineStr">
        <is>
          <t>Peretti</t>
        </is>
      </c>
      <c r="G150" s="5" t="inlineStr">
        <is>
          <t>La Pediatria medica e chirurgica : Medical and surgical pediatrics</t>
        </is>
      </c>
      <c r="H150" s="5" t="inlineStr">
        <is>
          <t>38(3):119</t>
        </is>
      </c>
      <c r="I150" s="6" t="inlineStr">
        <is>
          <t>Wandering spleen with a ten-time twisted vascular pedicle.</t>
        </is>
      </c>
      <c r="J150" s="5" t="inlineStr">
        <is>
          <t>10.4081/pmc.2016.119</t>
        </is>
      </c>
      <c r="K150" s="7" t="inlineStr">
        <is>
          <t>link</t>
        </is>
      </c>
      <c r="L150" s="7" t="inlineStr">
        <is>
          <t>link</t>
        </is>
      </c>
      <c r="M150" s="5" t="inlineStr"/>
      <c r="N150" s="5" t="inlineStr"/>
      <c r="O150" s="5" t="inlineStr"/>
      <c r="P150" s="5" t="inlineStr"/>
      <c r="Q150" s="5" t="inlineStr"/>
      <c r="R150" s="5" t="inlineStr">
        <is>
          <t>2 English, DOI or PubMed link</t>
        </is>
      </c>
      <c r="S150" s="5" t="inlineStr"/>
      <c r="T150" s="5" t="inlineStr">
        <is>
          <t>WS0357.pdf</t>
        </is>
      </c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</row>
    <row r="151">
      <c r="A151" s="5" t="n">
        <v>150</v>
      </c>
      <c r="B151" s="5" t="inlineStr">
        <is>
          <t>WS0368</t>
        </is>
      </c>
      <c r="C151" s="5" t="inlineStr">
        <is>
          <t>2016</t>
        </is>
      </c>
      <c r="D151" s="5" t="inlineStr">
        <is>
          <t>English</t>
        </is>
      </c>
      <c r="E151" s="5" t="inlineStr">
        <is>
          <t>JOUR</t>
        </is>
      </c>
      <c r="F151" s="5" t="inlineStr">
        <is>
          <t>Radillo</t>
        </is>
      </c>
      <c r="G151" s="5" t="inlineStr">
        <is>
          <t>Pediatric emergency care</t>
        </is>
      </c>
      <c r="H151" s="5" t="inlineStr">
        <is>
          <t>32(9):619-22</t>
        </is>
      </c>
      <c r="I151" s="6" t="inlineStr">
        <is>
          <t>The Great Pretender: Pediatric Wandering Spleen: Two Case Reports and Review of the Literature.</t>
        </is>
      </c>
      <c r="J151" s="5" t="inlineStr">
        <is>
          <t>10.1097/pec.0000000000000642</t>
        </is>
      </c>
      <c r="K151" s="7" t="inlineStr">
        <is>
          <t>link</t>
        </is>
      </c>
      <c r="L151" s="7" t="inlineStr">
        <is>
          <t>link</t>
        </is>
      </c>
      <c r="M151" s="5" t="inlineStr"/>
      <c r="N151" s="5" t="inlineStr"/>
      <c r="O151" s="5" t="inlineStr"/>
      <c r="P151" s="5" t="inlineStr"/>
      <c r="Q151" s="5" t="inlineStr"/>
      <c r="R151" s="5" t="inlineStr">
        <is>
          <t>2 English, DOI or PubMed link</t>
        </is>
      </c>
      <c r="S151" s="5" t="inlineStr"/>
      <c r="T151" s="5" t="inlineStr">
        <is>
          <t>WS0368.pdf</t>
        </is>
      </c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</row>
    <row r="152">
      <c r="A152" s="5" t="n">
        <v>151</v>
      </c>
      <c r="B152" s="5" t="inlineStr">
        <is>
          <t>WS0381</t>
        </is>
      </c>
      <c r="C152" s="5" t="inlineStr">
        <is>
          <t>2016</t>
        </is>
      </c>
      <c r="D152" s="5" t="inlineStr">
        <is>
          <t>English</t>
        </is>
      </c>
      <c r="E152" s="5" t="inlineStr">
        <is>
          <t>JOUR</t>
        </is>
      </c>
      <c r="F152" s="5" t="inlineStr">
        <is>
          <t>Ahmadi</t>
        </is>
      </c>
      <c r="G152" s="5" t="inlineStr">
        <is>
          <t>Acta medica Iranica</t>
        </is>
      </c>
      <c r="H152" s="5" t="inlineStr">
        <is>
          <t>54(1):72-5</t>
        </is>
      </c>
      <c r="I152" s="6" t="inlineStr">
        <is>
          <t>A Rare Case of Splenic Torsion with Sigmoid Volvulus in a 14-Year-Old Girl.</t>
        </is>
      </c>
      <c r="J152" s="5" t="inlineStr"/>
      <c r="K152" s="5" t="inlineStr"/>
      <c r="L152" s="7" t="inlineStr">
        <is>
          <t>link</t>
        </is>
      </c>
      <c r="M152" s="5" t="inlineStr"/>
      <c r="N152" s="5" t="inlineStr"/>
      <c r="O152" s="5" t="inlineStr"/>
      <c r="P152" s="5" t="inlineStr"/>
      <c r="Q152" s="5" t="inlineStr"/>
      <c r="R152" s="5" t="inlineStr">
        <is>
          <t>2 English, DOI or PubMed link</t>
        </is>
      </c>
      <c r="S152" s="5" t="inlineStr"/>
      <c r="T152" s="5" t="inlineStr">
        <is>
          <t>WS0381.pdf</t>
        </is>
      </c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</row>
    <row r="153">
      <c r="A153" s="5" t="n">
        <v>152</v>
      </c>
      <c r="B153" s="5" t="inlineStr">
        <is>
          <t>WS0392</t>
        </is>
      </c>
      <c r="C153" s="5" t="inlineStr">
        <is>
          <t>2015</t>
        </is>
      </c>
      <c r="D153" s="5" t="inlineStr">
        <is>
          <t>English</t>
        </is>
      </c>
      <c r="E153" s="5" t="inlineStr">
        <is>
          <t>JOUR</t>
        </is>
      </c>
      <c r="F153" s="5" t="inlineStr">
        <is>
          <t>Karaosmanoglu</t>
        </is>
      </c>
      <c r="G153" s="5" t="inlineStr">
        <is>
          <t>Journal of medical ultrasonics (2001)</t>
        </is>
      </c>
      <c r="H153" s="5" t="inlineStr">
        <is>
          <t>42(3):413-6</t>
        </is>
      </c>
      <c r="I153" s="6" t="inlineStr">
        <is>
          <t>Wandering spleen with volvulus of pancreas.</t>
        </is>
      </c>
      <c r="J153" s="5" t="inlineStr">
        <is>
          <t>10.1007/s10396-015-0622-8</t>
        </is>
      </c>
      <c r="K153" s="7" t="inlineStr">
        <is>
          <t>link</t>
        </is>
      </c>
      <c r="L153" s="7" t="inlineStr">
        <is>
          <t>link</t>
        </is>
      </c>
      <c r="M153" s="5" t="inlineStr"/>
      <c r="N153" s="5" t="inlineStr"/>
      <c r="O153" s="5" t="inlineStr"/>
      <c r="P153" s="5" t="inlineStr"/>
      <c r="Q153" s="5" t="inlineStr"/>
      <c r="R153" s="5" t="inlineStr">
        <is>
          <t>2 English, DOI or PubMed link</t>
        </is>
      </c>
      <c r="S153" s="5" t="inlineStr"/>
      <c r="T153" s="5" t="inlineStr">
        <is>
          <t>WS0392.pdf</t>
        </is>
      </c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</row>
    <row r="154">
      <c r="A154" s="5" t="n">
        <v>153</v>
      </c>
      <c r="B154" s="5" t="inlineStr">
        <is>
          <t>WS0399</t>
        </is>
      </c>
      <c r="C154" s="5" t="inlineStr">
        <is>
          <t>2015</t>
        </is>
      </c>
      <c r="D154" s="5" t="inlineStr">
        <is>
          <t>English</t>
        </is>
      </c>
      <c r="E154" s="5" t="inlineStr">
        <is>
          <t>JOUR</t>
        </is>
      </c>
      <c r="F154" s="5" t="inlineStr">
        <is>
          <t>Torri</t>
        </is>
      </c>
      <c r="G154" s="5" t="inlineStr">
        <is>
          <t>Asian journal of endoscopic surgery</t>
        </is>
      </c>
      <c r="H154" s="5" t="inlineStr">
        <is>
          <t>8(3):350-3</t>
        </is>
      </c>
      <c r="I154" s="6" t="inlineStr">
        <is>
          <t>Urgent laparoscopic mesh splenopexy for torsion of wandering spleen and distal pancreas: A case report.</t>
        </is>
      </c>
      <c r="J154" s="5" t="inlineStr">
        <is>
          <t>10.1111/ases.12188</t>
        </is>
      </c>
      <c r="K154" s="7" t="inlineStr">
        <is>
          <t>link</t>
        </is>
      </c>
      <c r="L154" s="7" t="inlineStr">
        <is>
          <t>link</t>
        </is>
      </c>
      <c r="M154" s="5" t="inlineStr"/>
      <c r="N154" s="5" t="inlineStr"/>
      <c r="O154" s="5" t="inlineStr"/>
      <c r="P154" s="5" t="inlineStr"/>
      <c r="Q154" s="5" t="inlineStr"/>
      <c r="R154" s="5" t="inlineStr">
        <is>
          <t>2 English, DOI or PubMed link</t>
        </is>
      </c>
      <c r="S154" s="5" t="inlineStr"/>
      <c r="T154" s="5" t="inlineStr">
        <is>
          <t>WS0399.pdf</t>
        </is>
      </c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</row>
    <row r="155">
      <c r="A155" s="5" t="n">
        <v>154</v>
      </c>
      <c r="B155" s="5" t="inlineStr">
        <is>
          <t>WS1635</t>
        </is>
      </c>
      <c r="C155" s="5" t="inlineStr">
        <is>
          <t>2015</t>
        </is>
      </c>
      <c r="D155" s="5" t="inlineStr">
        <is>
          <t>English</t>
        </is>
      </c>
      <c r="E155" s="5" t="inlineStr">
        <is>
          <t>CHAP</t>
        </is>
      </c>
      <c r="F155" s="5" t="inlineStr">
        <is>
          <t>Franke</t>
        </is>
      </c>
      <c r="G155" s="5" t="inlineStr">
        <is>
          <t>Doppler Sonography in Infancy and Childhood</t>
        </is>
      </c>
      <c r="H155" s="5" t="inlineStr">
        <is>
          <t>379-414</t>
        </is>
      </c>
      <c r="I155" s="6" t="inlineStr">
        <is>
          <t>Doppler sonography of the spleen</t>
        </is>
      </c>
      <c r="J155" s="5" t="inlineStr">
        <is>
          <t>10.1007/978-3-319-03506-2_7</t>
        </is>
      </c>
      <c r="K155" s="7" t="inlineStr">
        <is>
          <t>link</t>
        </is>
      </c>
      <c r="L155" s="5" t="inlineStr"/>
      <c r="M155" s="5" t="inlineStr"/>
      <c r="N155" s="5" t="inlineStr"/>
      <c r="O155" s="5" t="inlineStr"/>
      <c r="P155" s="5" t="inlineStr"/>
      <c r="Q155" s="7" t="inlineStr">
        <is>
          <t>link</t>
        </is>
      </c>
      <c r="R155" s="5" t="inlineStr">
        <is>
          <t>2 English, DOI or PubMed link</t>
        </is>
      </c>
      <c r="S155" s="5" t="inlineStr"/>
      <c r="T155" s="5" t="inlineStr">
        <is>
          <t>WS1635.pdf</t>
        </is>
      </c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</row>
    <row r="156">
      <c r="A156" s="5" t="n">
        <v>155</v>
      </c>
      <c r="B156" s="5" t="inlineStr">
        <is>
          <t>WS0416</t>
        </is>
      </c>
      <c r="C156" s="5" t="inlineStr">
        <is>
          <t>2014</t>
        </is>
      </c>
      <c r="D156" s="5" t="inlineStr">
        <is>
          <t>English</t>
        </is>
      </c>
      <c r="E156" s="5" t="inlineStr">
        <is>
          <t>JOUR</t>
        </is>
      </c>
      <c r="F156" s="5" t="inlineStr">
        <is>
          <t>Riaz ul Haq</t>
        </is>
      </c>
      <c r="G156" s="5" t="inlineStr">
        <is>
          <t>Journal of the College of Physicians and Surgeons--Pakistan : JCPSP</t>
        </is>
      </c>
      <c r="H156" s="5" t="inlineStr">
        <is>
          <t>24 Suppl 3:S245-6</t>
        </is>
      </c>
      <c r="I156" s="6" t="inlineStr">
        <is>
          <t>Torsion of a wandering spleen: an unusual abdominal catastrophe.</t>
        </is>
      </c>
      <c r="J156" s="5" t="inlineStr"/>
      <c r="K156" s="5" t="inlineStr"/>
      <c r="L156" s="7" t="inlineStr">
        <is>
          <t>link</t>
        </is>
      </c>
      <c r="M156" s="5" t="inlineStr"/>
      <c r="N156" s="5" t="inlineStr"/>
      <c r="O156" s="5" t="inlineStr"/>
      <c r="P156" s="5" t="inlineStr"/>
      <c r="Q156" s="5" t="inlineStr"/>
      <c r="R156" s="5" t="inlineStr">
        <is>
          <t>2 English, DOI or PubMed link</t>
        </is>
      </c>
      <c r="S156" s="5" t="inlineStr"/>
      <c r="T156" s="5" t="inlineStr">
        <is>
          <t>WS0416.pdf</t>
        </is>
      </c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</row>
    <row r="157">
      <c r="A157" s="5" t="n">
        <v>156</v>
      </c>
      <c r="B157" s="5" t="inlineStr">
        <is>
          <t>WS0424</t>
        </is>
      </c>
      <c r="C157" s="5" t="inlineStr">
        <is>
          <t>2014</t>
        </is>
      </c>
      <c r="D157" s="5" t="inlineStr">
        <is>
          <t>English</t>
        </is>
      </c>
      <c r="E157" s="5" t="inlineStr">
        <is>
          <t>JOUR</t>
        </is>
      </c>
      <c r="F157" s="5" t="inlineStr">
        <is>
          <t>Olasehinde</t>
        </is>
      </c>
      <c r="G157" s="5" t="inlineStr">
        <is>
          <t>African journal of medicine and medical sciences</t>
        </is>
      </c>
      <c r="H157" s="5" t="inlineStr">
        <is>
          <t>43(1):75-8</t>
        </is>
      </c>
      <c r="I157" s="6" t="inlineStr">
        <is>
          <t>Torsion of wandering spleen, an unusual cause of acute abdomen; a report of two cases.</t>
        </is>
      </c>
      <c r="J157" s="5" t="inlineStr"/>
      <c r="K157" s="5" t="inlineStr"/>
      <c r="L157" s="7" t="inlineStr">
        <is>
          <t>link</t>
        </is>
      </c>
      <c r="M157" s="5" t="inlineStr"/>
      <c r="N157" s="5" t="inlineStr"/>
      <c r="O157" s="5" t="inlineStr"/>
      <c r="P157" s="5" t="inlineStr"/>
      <c r="Q157" s="5" t="inlineStr"/>
      <c r="R157" s="5" t="inlineStr">
        <is>
          <t>2 English, DOI or PubMed link</t>
        </is>
      </c>
      <c r="S157" s="5" t="inlineStr"/>
      <c r="T157" s="5" t="inlineStr">
        <is>
          <t>WS0424.pdf</t>
        </is>
      </c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</row>
    <row r="158">
      <c r="A158" s="5" t="n">
        <v>157</v>
      </c>
      <c r="B158" s="5" t="inlineStr">
        <is>
          <t>WS0426</t>
        </is>
      </c>
      <c r="C158" s="5" t="inlineStr">
        <is>
          <t>2014</t>
        </is>
      </c>
      <c r="D158" s="5" t="inlineStr">
        <is>
          <t>English</t>
        </is>
      </c>
      <c r="E158" s="5" t="inlineStr">
        <is>
          <t>JOUR</t>
        </is>
      </c>
      <c r="F158" s="5" t="inlineStr">
        <is>
          <t>Kaabar</t>
        </is>
      </c>
      <c r="G158" s="5" t="inlineStr">
        <is>
          <t>La Tunisie medicale</t>
        </is>
      </c>
      <c r="H158" s="5" t="inlineStr">
        <is>
          <t>92(4):275-7</t>
        </is>
      </c>
      <c r="I158" s="6" t="inlineStr">
        <is>
          <t>Torsion of a wandering spleen: a case report.</t>
        </is>
      </c>
      <c r="J158" s="5" t="inlineStr"/>
      <c r="K158" s="5" t="inlineStr"/>
      <c r="L158" s="7" t="inlineStr">
        <is>
          <t>link</t>
        </is>
      </c>
      <c r="M158" s="5" t="inlineStr"/>
      <c r="N158" s="5" t="inlineStr"/>
      <c r="O158" s="5" t="inlineStr"/>
      <c r="P158" s="5" t="inlineStr"/>
      <c r="Q158" s="5" t="inlineStr"/>
      <c r="R158" s="5" t="inlineStr">
        <is>
          <t>2 English, DOI or PubMed link</t>
        </is>
      </c>
      <c r="S158" s="5" t="inlineStr"/>
      <c r="T158" s="5" t="inlineStr">
        <is>
          <t>WS0426.pdf</t>
        </is>
      </c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</row>
    <row r="159">
      <c r="A159" s="5" t="n">
        <v>158</v>
      </c>
      <c r="B159" s="5" t="inlineStr">
        <is>
          <t>WS0431</t>
        </is>
      </c>
      <c r="C159" s="5" t="inlineStr">
        <is>
          <t>2014</t>
        </is>
      </c>
      <c r="D159" s="5" t="inlineStr">
        <is>
          <t>English</t>
        </is>
      </c>
      <c r="E159" s="5" t="inlineStr">
        <is>
          <t>JOUR</t>
        </is>
      </c>
      <c r="F159" s="5" t="inlineStr">
        <is>
          <t>Alabousi</t>
        </is>
      </c>
      <c r="G159" s="5" t="inlineStr">
        <is>
          <t>Current problems in diagnostic radiology</t>
        </is>
      </c>
      <c r="H159" s="5" t="inlineStr">
        <is>
          <t>43(5):254-67</t>
        </is>
      </c>
      <c r="I159" s="6" t="inlineStr">
        <is>
          <t>Cross-sectional imaging of nontraumatic emergencies of the spleen.</t>
        </is>
      </c>
      <c r="J159" s="5" t="inlineStr">
        <is>
          <t>10.1067/j.cpradiol.2014.04.002</t>
        </is>
      </c>
      <c r="K159" s="7" t="inlineStr">
        <is>
          <t>link</t>
        </is>
      </c>
      <c r="L159" s="7" t="inlineStr">
        <is>
          <t>link</t>
        </is>
      </c>
      <c r="M159" s="5" t="inlineStr"/>
      <c r="N159" s="5" t="inlineStr"/>
      <c r="O159" s="5" t="inlineStr"/>
      <c r="P159" s="5" t="inlineStr"/>
      <c r="Q159" s="5" t="inlineStr"/>
      <c r="R159" s="5" t="inlineStr">
        <is>
          <t>2 English, DOI or PubMed link</t>
        </is>
      </c>
      <c r="S159" s="5" t="inlineStr"/>
      <c r="T159" s="5" t="inlineStr">
        <is>
          <t>WS0431.pdf</t>
        </is>
      </c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</row>
    <row r="160">
      <c r="A160" s="5" t="n">
        <v>159</v>
      </c>
      <c r="B160" s="5" t="inlineStr">
        <is>
          <t>WS0433</t>
        </is>
      </c>
      <c r="C160" s="5" t="inlineStr">
        <is>
          <t>2014</t>
        </is>
      </c>
      <c r="D160" s="5" t="inlineStr">
        <is>
          <t>English</t>
        </is>
      </c>
      <c r="E160" s="5" t="inlineStr">
        <is>
          <t>JOUR</t>
        </is>
      </c>
      <c r="F160" s="5" t="inlineStr">
        <is>
          <t>Llorens Marina</t>
        </is>
      </c>
      <c r="G160" s="5" t="inlineStr">
        <is>
          <t>Boletin de la Asociacion Medica de Puerto Rico</t>
        </is>
      </c>
      <c r="H160" s="5" t="inlineStr">
        <is>
          <t>106(1):57-9</t>
        </is>
      </c>
      <c r="I160" s="6" t="inlineStr">
        <is>
          <t>Wandering spleen torsion causing acute abdominal pain in a child: case report and review of literature.</t>
        </is>
      </c>
      <c r="J160" s="5" t="inlineStr"/>
      <c r="K160" s="5" t="inlineStr"/>
      <c r="L160" s="7" t="inlineStr">
        <is>
          <t>link</t>
        </is>
      </c>
      <c r="M160" s="5" t="inlineStr"/>
      <c r="N160" s="5" t="inlineStr"/>
      <c r="O160" s="5" t="inlineStr"/>
      <c r="P160" s="5" t="inlineStr"/>
      <c r="Q160" s="5" t="inlineStr"/>
      <c r="R160" s="5" t="inlineStr">
        <is>
          <t>2 English, DOI or PubMed link</t>
        </is>
      </c>
      <c r="S160" s="5" t="inlineStr"/>
      <c r="T160" s="5" t="inlineStr">
        <is>
          <t>WS0433.pdf</t>
        </is>
      </c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</row>
    <row r="161">
      <c r="A161" s="5" t="n">
        <v>160</v>
      </c>
      <c r="B161" s="5" t="inlineStr">
        <is>
          <t>WS0444</t>
        </is>
      </c>
      <c r="C161" s="5" t="inlineStr">
        <is>
          <t>2014</t>
        </is>
      </c>
      <c r="D161" s="5" t="inlineStr">
        <is>
          <t>English</t>
        </is>
      </c>
      <c r="E161" s="5" t="inlineStr">
        <is>
          <t>JOUR</t>
        </is>
      </c>
      <c r="F161" s="5" t="inlineStr">
        <is>
          <t>Tchidjou</t>
        </is>
      </c>
      <c r="G161" s="5" t="inlineStr">
        <is>
          <t>Blood coagulation &amp; fibrinolysis : an international journal in haemostasis and thrombosis</t>
        </is>
      </c>
      <c r="H161" s="5" t="inlineStr">
        <is>
          <t>25(5):530-3</t>
        </is>
      </c>
      <c r="I161" s="6" t="inlineStr">
        <is>
          <t>Wandering spleen: 'presentation in adolescent with high thrombotic risk'.</t>
        </is>
      </c>
      <c r="J161" s="5" t="inlineStr">
        <is>
          <t>10.1097/mbc.0000000000000081</t>
        </is>
      </c>
      <c r="K161" s="7" t="inlineStr">
        <is>
          <t>link</t>
        </is>
      </c>
      <c r="L161" s="7" t="inlineStr">
        <is>
          <t>link</t>
        </is>
      </c>
      <c r="M161" s="5" t="inlineStr"/>
      <c r="N161" s="5" t="inlineStr"/>
      <c r="O161" s="5" t="inlineStr"/>
      <c r="P161" s="5" t="inlineStr"/>
      <c r="Q161" s="5" t="inlineStr"/>
      <c r="R161" s="5" t="inlineStr">
        <is>
          <t>2 English, DOI or PubMed link</t>
        </is>
      </c>
      <c r="S161" s="5" t="inlineStr">
        <is>
          <t>Y</t>
        </is>
      </c>
      <c r="T161" s="5" t="inlineStr">
        <is>
          <t>WS0444.pdf</t>
        </is>
      </c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</row>
    <row r="162">
      <c r="A162" s="5" t="n">
        <v>161</v>
      </c>
      <c r="B162" s="5" t="inlineStr">
        <is>
          <t>WS0449</t>
        </is>
      </c>
      <c r="C162" s="5" t="inlineStr">
        <is>
          <t>2014</t>
        </is>
      </c>
      <c r="D162" s="5" t="inlineStr">
        <is>
          <t>English</t>
        </is>
      </c>
      <c r="E162" s="5" t="inlineStr">
        <is>
          <t>JOUR</t>
        </is>
      </c>
      <c r="F162" s="5" t="inlineStr">
        <is>
          <t>Lombardi</t>
        </is>
      </c>
      <c r="G162" s="5" t="inlineStr">
        <is>
          <t>Pediatric radiology</t>
        </is>
      </c>
      <c r="H162" s="5" t="inlineStr">
        <is>
          <t>44(3):279-88</t>
        </is>
      </c>
      <c r="I162" s="6" t="inlineStr">
        <is>
          <t>Wandering spleen in children: a report of 3 cases and a brief literature review underlining the importance of diagnostic imaging.</t>
        </is>
      </c>
      <c r="J162" s="5" t="inlineStr">
        <is>
          <t>10.1007/s00247-013-2851-6</t>
        </is>
      </c>
      <c r="K162" s="7" t="inlineStr">
        <is>
          <t>link</t>
        </is>
      </c>
      <c r="L162" s="7" t="inlineStr">
        <is>
          <t>link</t>
        </is>
      </c>
      <c r="M162" s="5" t="inlineStr"/>
      <c r="N162" s="5" t="inlineStr"/>
      <c r="O162" s="5" t="inlineStr"/>
      <c r="P162" s="5" t="inlineStr"/>
      <c r="Q162" s="5" t="inlineStr"/>
      <c r="R162" s="5" t="inlineStr">
        <is>
          <t>2 English, DOI or PubMed link</t>
        </is>
      </c>
      <c r="S162" s="5" t="inlineStr"/>
      <c r="T162" s="5" t="inlineStr">
        <is>
          <t>WS0449.pdf</t>
        </is>
      </c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</row>
    <row r="163">
      <c r="A163" s="5" t="n">
        <v>162</v>
      </c>
      <c r="B163" s="5" t="inlineStr">
        <is>
          <t>WS0451</t>
        </is>
      </c>
      <c r="C163" s="5" t="inlineStr">
        <is>
          <t>2013</t>
        </is>
      </c>
      <c r="D163" s="5" t="inlineStr">
        <is>
          <t>English</t>
        </is>
      </c>
      <c r="E163" s="5" t="inlineStr">
        <is>
          <t>JOUR</t>
        </is>
      </c>
      <c r="F163" s="5" t="inlineStr">
        <is>
          <t>Cotes</t>
        </is>
      </c>
      <c r="G163" s="5" t="inlineStr">
        <is>
          <t>Pediatric emergency care</t>
        </is>
      </c>
      <c r="H163" s="5" t="inlineStr">
        <is>
          <t>29(9):1009-10</t>
        </is>
      </c>
      <c r="I163" s="6" t="inlineStr">
        <is>
          <t>Left upper quadrant pain: upside down spleen.</t>
        </is>
      </c>
      <c r="J163" s="5" t="inlineStr">
        <is>
          <t>10.1097/pec.0b013e3182a32079</t>
        </is>
      </c>
      <c r="K163" s="7" t="inlineStr">
        <is>
          <t>link</t>
        </is>
      </c>
      <c r="L163" s="7" t="inlineStr">
        <is>
          <t>link</t>
        </is>
      </c>
      <c r="M163" s="5" t="inlineStr"/>
      <c r="N163" s="5" t="inlineStr"/>
      <c r="O163" s="5" t="inlineStr"/>
      <c r="P163" s="5" t="inlineStr"/>
      <c r="Q163" s="5" t="inlineStr"/>
      <c r="R163" s="5" t="inlineStr">
        <is>
          <t>2 English, DOI or PubMed link</t>
        </is>
      </c>
      <c r="S163" s="5" t="inlineStr"/>
      <c r="T163" s="5" t="inlineStr">
        <is>
          <t>WS0451.pdf</t>
        </is>
      </c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</row>
    <row r="164">
      <c r="A164" s="5" t="n">
        <v>163</v>
      </c>
      <c r="B164" s="5" t="inlineStr">
        <is>
          <t>WS0461</t>
        </is>
      </c>
      <c r="C164" s="5" t="inlineStr">
        <is>
          <t>2013</t>
        </is>
      </c>
      <c r="D164" s="5" t="inlineStr">
        <is>
          <t>English</t>
        </is>
      </c>
      <c r="E164" s="5" t="inlineStr">
        <is>
          <t>JOUR</t>
        </is>
      </c>
      <c r="F164" s="5" t="inlineStr">
        <is>
          <t>Oegema</t>
        </is>
      </c>
      <c r="G164" s="5" t="inlineStr">
        <is>
          <t>American journal of medical genetics. Part A</t>
        </is>
      </c>
      <c r="H164" s="5" t="inlineStr">
        <is>
          <t>161A(9):2376-84</t>
        </is>
      </c>
      <c r="I164" s="6" t="inlineStr">
        <is>
          <t>Novel no-stop FLNA mutation causes multi-organ involvement in males.</t>
        </is>
      </c>
      <c r="J164" s="5" t="inlineStr">
        <is>
          <t>10.1002/ajmg.a.36109</t>
        </is>
      </c>
      <c r="K164" s="7" t="inlineStr">
        <is>
          <t>link</t>
        </is>
      </c>
      <c r="L164" s="7" t="inlineStr">
        <is>
          <t>link</t>
        </is>
      </c>
      <c r="M164" s="5" t="inlineStr"/>
      <c r="N164" s="5" t="inlineStr"/>
      <c r="O164" s="5" t="inlineStr"/>
      <c r="P164" s="5" t="inlineStr"/>
      <c r="Q164" s="5" t="inlineStr"/>
      <c r="R164" s="5" t="inlineStr">
        <is>
          <t>2 English, DOI or PubMed link</t>
        </is>
      </c>
      <c r="S164" s="5" t="inlineStr"/>
      <c r="T164" s="5" t="inlineStr">
        <is>
          <t>WS0461.pdf</t>
        </is>
      </c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</row>
    <row r="165">
      <c r="A165" s="5" t="n">
        <v>164</v>
      </c>
      <c r="B165" s="5" t="inlineStr">
        <is>
          <t>WS0474</t>
        </is>
      </c>
      <c r="C165" s="5" t="inlineStr">
        <is>
          <t>2013</t>
        </is>
      </c>
      <c r="D165" s="5" t="inlineStr">
        <is>
          <t>English</t>
        </is>
      </c>
      <c r="E165" s="5" t="inlineStr">
        <is>
          <t>JOUR</t>
        </is>
      </c>
      <c r="F165" s="5" t="inlineStr">
        <is>
          <t>Mehta</t>
        </is>
      </c>
      <c r="G165" s="5" t="inlineStr">
        <is>
          <t>Journal of pediatric surgery</t>
        </is>
      </c>
      <c r="H165" s="5" t="inlineStr">
        <is>
          <t>48(3):e29-31</t>
        </is>
      </c>
      <c r="I165" s="6" t="inlineStr">
        <is>
          <t>Splenic torsion after congenital diaphragmatic hernia repair: case report and review of the literature.</t>
        </is>
      </c>
      <c r="J165" s="5" t="inlineStr">
        <is>
          <t>10.1016/j.jpedsurg.2013.01.003</t>
        </is>
      </c>
      <c r="K165" s="7" t="inlineStr">
        <is>
          <t>link</t>
        </is>
      </c>
      <c r="L165" s="7" t="inlineStr">
        <is>
          <t>link</t>
        </is>
      </c>
      <c r="M165" s="5" t="inlineStr"/>
      <c r="N165" s="5" t="inlineStr"/>
      <c r="O165" s="5" t="inlineStr"/>
      <c r="P165" s="5" t="inlineStr"/>
      <c r="Q165" s="5" t="inlineStr"/>
      <c r="R165" s="5" t="inlineStr">
        <is>
          <t>2 English, DOI or PubMed link</t>
        </is>
      </c>
      <c r="S165" s="5" t="inlineStr"/>
      <c r="T165" s="5" t="inlineStr">
        <is>
          <t>WS0474.pdf</t>
        </is>
      </c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</row>
    <row r="166">
      <c r="A166" s="5" t="n">
        <v>165</v>
      </c>
      <c r="B166" s="5" t="inlineStr">
        <is>
          <t>WS0475</t>
        </is>
      </c>
      <c r="C166" s="5" t="inlineStr">
        <is>
          <t>2013</t>
        </is>
      </c>
      <c r="D166" s="5" t="inlineStr">
        <is>
          <t>English</t>
        </is>
      </c>
      <c r="E166" s="5" t="inlineStr">
        <is>
          <t>JOUR</t>
        </is>
      </c>
      <c r="F166" s="5" t="inlineStr">
        <is>
          <t>Zarroug</t>
        </is>
      </c>
      <c r="G166" s="5" t="inlineStr">
        <is>
          <t>Journal of pediatric surgery</t>
        </is>
      </c>
      <c r="H166" s="5" t="inlineStr">
        <is>
          <t>48(3):e1-4</t>
        </is>
      </c>
      <c r="I166" s="6" t="inlineStr">
        <is>
          <t>Wandering spleen as a cause of mesenteric and portal varices: a new etiology?</t>
        </is>
      </c>
      <c r="J166" s="5" t="inlineStr">
        <is>
          <t>10.1016/j.jpedsurg.2012.12.042</t>
        </is>
      </c>
      <c r="K166" s="7" t="inlineStr">
        <is>
          <t>link</t>
        </is>
      </c>
      <c r="L166" s="7" t="inlineStr">
        <is>
          <t>link</t>
        </is>
      </c>
      <c r="M166" s="5" t="inlineStr"/>
      <c r="N166" s="5" t="inlineStr"/>
      <c r="O166" s="5" t="inlineStr"/>
      <c r="P166" s="5" t="inlineStr"/>
      <c r="Q166" s="5" t="inlineStr"/>
      <c r="R166" s="5" t="inlineStr">
        <is>
          <t>2 English, DOI or PubMed link</t>
        </is>
      </c>
      <c r="S166" s="5" t="inlineStr"/>
      <c r="T166" s="5" t="inlineStr">
        <is>
          <t>WS0475.pdf</t>
        </is>
      </c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</row>
    <row r="167">
      <c r="A167" s="5" t="n">
        <v>166</v>
      </c>
      <c r="B167" s="5" t="inlineStr">
        <is>
          <t>WS0498</t>
        </is>
      </c>
      <c r="C167" s="5" t="inlineStr">
        <is>
          <t>2013</t>
        </is>
      </c>
      <c r="D167" s="5" t="inlineStr">
        <is>
          <t>English</t>
        </is>
      </c>
      <c r="E167" s="5" t="inlineStr">
        <is>
          <t>JOUR</t>
        </is>
      </c>
      <c r="F167" s="5" t="inlineStr">
        <is>
          <t>Priyadarshi</t>
        </is>
      </c>
      <c r="G167" s="5" t="inlineStr">
        <is>
          <t>Abdominal imaging</t>
        </is>
      </c>
      <c r="H167" s="5" t="inlineStr">
        <is>
          <t>38(4):835-8</t>
        </is>
      </c>
      <c r="I167" s="6" t="inlineStr">
        <is>
          <t>Torsion in wandering spleen: CT demonstration of whirl sign.</t>
        </is>
      </c>
      <c r="J167" s="5" t="inlineStr">
        <is>
          <t>10.1007/s00261-012-9944-9</t>
        </is>
      </c>
      <c r="K167" s="7" t="inlineStr">
        <is>
          <t>link</t>
        </is>
      </c>
      <c r="L167" s="7" t="inlineStr">
        <is>
          <t>link</t>
        </is>
      </c>
      <c r="M167" s="5" t="inlineStr"/>
      <c r="N167" s="5" t="inlineStr"/>
      <c r="O167" s="5" t="inlineStr"/>
      <c r="P167" s="5" t="inlineStr"/>
      <c r="Q167" s="5" t="inlineStr"/>
      <c r="R167" s="5" t="inlineStr">
        <is>
          <t>2 English, DOI or PubMed link</t>
        </is>
      </c>
      <c r="S167" s="5" t="inlineStr"/>
      <c r="T167" s="5" t="inlineStr">
        <is>
          <t>WS0498.pdf</t>
        </is>
      </c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</row>
    <row r="168">
      <c r="A168" s="5" t="n">
        <v>167</v>
      </c>
      <c r="B168" s="5" t="inlineStr">
        <is>
          <t>WS1639</t>
        </is>
      </c>
      <c r="C168" s="5" t="inlineStr">
        <is>
          <t>2013</t>
        </is>
      </c>
      <c r="D168" s="5" t="inlineStr">
        <is>
          <t>English</t>
        </is>
      </c>
      <c r="E168" s="5" t="inlineStr">
        <is>
          <t>JOUR</t>
        </is>
      </c>
      <c r="F168" s="5" t="inlineStr">
        <is>
          <t>Ndour</t>
        </is>
      </c>
      <c r="G168" s="5" t="inlineStr">
        <is>
          <t>Journal of Pediatric Surgery Case Reports</t>
        </is>
      </c>
      <c r="H168" s="5" t="inlineStr">
        <is>
          <t>1(10):337-339</t>
        </is>
      </c>
      <c r="I168" s="6" t="inlineStr">
        <is>
          <t>Acute gastric volvulus and wandering spleen: A rare association</t>
        </is>
      </c>
      <c r="J168" s="5" t="inlineStr">
        <is>
          <t>10.1016/j.epsc.2013.03.019</t>
        </is>
      </c>
      <c r="K168" s="7" t="inlineStr">
        <is>
          <t>link</t>
        </is>
      </c>
      <c r="L168" s="5" t="inlineStr"/>
      <c r="M168" s="5" t="inlineStr"/>
      <c r="N168" s="5" t="inlineStr"/>
      <c r="O168" s="5" t="inlineStr"/>
      <c r="P168" s="5" t="inlineStr"/>
      <c r="Q168" s="7" t="inlineStr">
        <is>
          <t>link</t>
        </is>
      </c>
      <c r="R168" s="5" t="inlineStr">
        <is>
          <t>2 English, DOI or PubMed link</t>
        </is>
      </c>
      <c r="S168" s="5" t="inlineStr"/>
      <c r="T168" s="5" t="inlineStr">
        <is>
          <t>WS1639.pdf</t>
        </is>
      </c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</row>
    <row r="169">
      <c r="A169" s="5" t="n">
        <v>168</v>
      </c>
      <c r="B169" s="5" t="inlineStr">
        <is>
          <t>WS1649</t>
        </is>
      </c>
      <c r="C169" s="5" t="inlineStr">
        <is>
          <t>2013</t>
        </is>
      </c>
      <c r="D169" s="5" t="inlineStr">
        <is>
          <t>English</t>
        </is>
      </c>
      <c r="E169" s="5" t="inlineStr">
        <is>
          <t>JOUR</t>
        </is>
      </c>
      <c r="F169" s="5" t="inlineStr">
        <is>
          <t>Samarasinghe</t>
        </is>
      </c>
      <c r="G169" s="5" t="inlineStr">
        <is>
          <t>Journal of Pediatric Surgery Case Reports</t>
        </is>
      </c>
      <c r="H169" s="5" t="inlineStr">
        <is>
          <t>1(6):129-131</t>
        </is>
      </c>
      <c r="I169" s="6" t="inlineStr">
        <is>
          <t>Wandering spleen and splenic torsion associated with upper respiratory tract infection</t>
        </is>
      </c>
      <c r="J169" s="5" t="inlineStr">
        <is>
          <t>10.1016/j.epsc.2013.05.006</t>
        </is>
      </c>
      <c r="K169" s="7" t="inlineStr">
        <is>
          <t>link</t>
        </is>
      </c>
      <c r="L169" s="5" t="inlineStr"/>
      <c r="M169" s="5" t="inlineStr"/>
      <c r="N169" s="5" t="inlineStr"/>
      <c r="O169" s="5" t="inlineStr"/>
      <c r="P169" s="5" t="inlineStr"/>
      <c r="Q169" s="7" t="inlineStr">
        <is>
          <t>link</t>
        </is>
      </c>
      <c r="R169" s="5" t="inlineStr">
        <is>
          <t>2 English, DOI or PubMed link</t>
        </is>
      </c>
      <c r="S169" s="5" t="inlineStr"/>
      <c r="T169" s="5" t="inlineStr">
        <is>
          <t>WS1649.pdf</t>
        </is>
      </c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</row>
    <row r="170">
      <c r="A170" s="5" t="n">
        <v>169</v>
      </c>
      <c r="B170" s="5" t="inlineStr">
        <is>
          <t>WS1681</t>
        </is>
      </c>
      <c r="C170" s="5" t="inlineStr">
        <is>
          <t>2013</t>
        </is>
      </c>
      <c r="D170" s="5" t="inlineStr">
        <is>
          <t>English</t>
        </is>
      </c>
      <c r="E170" s="5" t="inlineStr">
        <is>
          <t>JOUR</t>
        </is>
      </c>
      <c r="F170" s="5" t="inlineStr">
        <is>
          <t>Jones</t>
        </is>
      </c>
      <c r="G170" s="5" t="inlineStr">
        <is>
          <t>Journal of Diagnostic Medical Sonography</t>
        </is>
      </c>
      <c r="H170" s="5" t="inlineStr">
        <is>
          <t>29(3):130-132</t>
        </is>
      </c>
      <c r="I170" s="6" t="inlineStr">
        <is>
          <t>The case of the wandering spleen</t>
        </is>
      </c>
      <c r="J170" s="5" t="inlineStr">
        <is>
          <t>10.1177/8756479312472392</t>
        </is>
      </c>
      <c r="K170" s="7" t="inlineStr">
        <is>
          <t>link</t>
        </is>
      </c>
      <c r="L170" s="5" t="inlineStr"/>
      <c r="M170" s="5" t="inlineStr"/>
      <c r="N170" s="5" t="inlineStr"/>
      <c r="O170" s="5" t="inlineStr"/>
      <c r="P170" s="5" t="inlineStr"/>
      <c r="Q170" s="7" t="inlineStr">
        <is>
          <t>link</t>
        </is>
      </c>
      <c r="R170" s="5" t="inlineStr">
        <is>
          <t>2 English, DOI or PubMed link</t>
        </is>
      </c>
      <c r="S170" s="5" t="inlineStr"/>
      <c r="T170" s="5" t="inlineStr">
        <is>
          <t>WS1681.pdf</t>
        </is>
      </c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</row>
    <row r="171">
      <c r="A171" s="5" t="n">
        <v>170</v>
      </c>
      <c r="B171" s="5" t="inlineStr">
        <is>
          <t>WS1702</t>
        </is>
      </c>
      <c r="C171" s="5" t="inlineStr">
        <is>
          <t>2013</t>
        </is>
      </c>
      <c r="D171" s="5" t="inlineStr">
        <is>
          <t>English</t>
        </is>
      </c>
      <c r="E171" s="5" t="inlineStr">
        <is>
          <t>CHAP</t>
        </is>
      </c>
      <c r="F171" s="5" t="inlineStr">
        <is>
          <t>Lisciandro</t>
        </is>
      </c>
      <c r="G171" s="5" t="inlineStr">
        <is>
          <t>Focused Ultrasound Techniques for the Small Animal Practitioner</t>
        </is>
      </c>
      <c r="H171" s="5" t="inlineStr">
        <is>
          <t>65-79</t>
        </is>
      </c>
      <c r="I171" s="6" t="inlineStr">
        <is>
          <t>Focused or coast3-spleen</t>
        </is>
      </c>
      <c r="J171" s="5" t="inlineStr">
        <is>
          <t>10.1002/9781118760772.ch4</t>
        </is>
      </c>
      <c r="K171" s="7" t="inlineStr">
        <is>
          <t>link</t>
        </is>
      </c>
      <c r="L171" s="5" t="inlineStr"/>
      <c r="M171" s="5" t="inlineStr"/>
      <c r="N171" s="5" t="inlineStr"/>
      <c r="O171" s="5" t="inlineStr"/>
      <c r="P171" s="5" t="inlineStr"/>
      <c r="Q171" s="7" t="inlineStr">
        <is>
          <t>link</t>
        </is>
      </c>
      <c r="R171" s="5" t="inlineStr">
        <is>
          <t>2 English, DOI or PubMed link</t>
        </is>
      </c>
      <c r="S171" s="5" t="inlineStr"/>
      <c r="T171" s="5" t="inlineStr">
        <is>
          <t>WS1702.pdf</t>
        </is>
      </c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</row>
    <row r="172">
      <c r="A172" s="5" t="n">
        <v>171</v>
      </c>
      <c r="B172" s="5" t="inlineStr">
        <is>
          <t>WS0488</t>
        </is>
      </c>
      <c r="C172" s="5" t="inlineStr">
        <is>
          <t>2012</t>
        </is>
      </c>
      <c r="D172" s="5" t="inlineStr">
        <is>
          <t>English</t>
        </is>
      </c>
      <c r="E172" s="5" t="inlineStr">
        <is>
          <t>JOUR</t>
        </is>
      </c>
      <c r="F172" s="5" t="inlineStr">
        <is>
          <t>Tanaka</t>
        </is>
      </c>
      <c r="G172" s="5" t="inlineStr">
        <is>
          <t>Cellular immunology</t>
        </is>
      </c>
      <c r="H172" s="5" t="inlineStr">
        <is>
          <t>279(2):145-50</t>
        </is>
      </c>
      <c r="I172" s="6" t="inlineStr">
        <is>
          <t>Characterization of PrP(Sc) transmission from immune cells to neuronal cells.</t>
        </is>
      </c>
      <c r="J172" s="5" t="inlineStr">
        <is>
          <t>10.1016/j.cellimm.2012.11.007</t>
        </is>
      </c>
      <c r="K172" s="7" t="inlineStr">
        <is>
          <t>link</t>
        </is>
      </c>
      <c r="L172" s="7" t="inlineStr">
        <is>
          <t>link</t>
        </is>
      </c>
      <c r="M172" s="5" t="inlineStr"/>
      <c r="N172" s="5" t="inlineStr"/>
      <c r="O172" s="5" t="inlineStr"/>
      <c r="P172" s="5" t="inlineStr"/>
      <c r="Q172" s="5" t="inlineStr"/>
      <c r="R172" s="5" t="inlineStr">
        <is>
          <t>2 English, DOI or PubMed link</t>
        </is>
      </c>
      <c r="S172" s="5" t="inlineStr"/>
      <c r="T172" s="5" t="inlineStr">
        <is>
          <t>WS0488.pdf</t>
        </is>
      </c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</row>
    <row r="173">
      <c r="A173" s="5" t="n">
        <v>172</v>
      </c>
      <c r="B173" s="5" t="inlineStr">
        <is>
          <t>WS0493</t>
        </is>
      </c>
      <c r="C173" s="5" t="inlineStr">
        <is>
          <t>2012</t>
        </is>
      </c>
      <c r="D173" s="5" t="inlineStr">
        <is>
          <t>English</t>
        </is>
      </c>
      <c r="E173" s="5" t="inlineStr">
        <is>
          <t>JOUR</t>
        </is>
      </c>
      <c r="F173" s="5" t="inlineStr">
        <is>
          <t>Cecchetto</t>
        </is>
      </c>
      <c r="G173" s="5" t="inlineStr">
        <is>
          <t>La Pediatria medica e chirurgica : Medical and surgical pediatrics</t>
        </is>
      </c>
      <c r="H173" s="5" t="inlineStr">
        <is>
          <t>34(3):146-7</t>
        </is>
      </c>
      <c r="I173" s="6" t="inlineStr">
        <is>
          <t>Acute splenic torsion in children: which is the best treatment? A case report.</t>
        </is>
      </c>
      <c r="J173" s="5" t="inlineStr">
        <is>
          <t>10.4081/pmc.2012.81</t>
        </is>
      </c>
      <c r="K173" s="7" t="inlineStr">
        <is>
          <t>link</t>
        </is>
      </c>
      <c r="L173" s="7" t="inlineStr">
        <is>
          <t>link</t>
        </is>
      </c>
      <c r="M173" s="5" t="inlineStr"/>
      <c r="N173" s="5" t="inlineStr"/>
      <c r="O173" s="5" t="inlineStr"/>
      <c r="P173" s="5" t="inlineStr"/>
      <c r="Q173" s="5" t="inlineStr"/>
      <c r="R173" s="5" t="inlineStr">
        <is>
          <t>2 English, DOI or PubMed link</t>
        </is>
      </c>
      <c r="S173" s="5" t="inlineStr"/>
      <c r="T173" s="5" t="inlineStr">
        <is>
          <t>WS0493.pdf</t>
        </is>
      </c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</row>
    <row r="174">
      <c r="A174" s="5" t="n">
        <v>173</v>
      </c>
      <c r="B174" s="5" t="inlineStr">
        <is>
          <t>WS0514</t>
        </is>
      </c>
      <c r="C174" s="5" t="inlineStr">
        <is>
          <t>2012</t>
        </is>
      </c>
      <c r="D174" s="5" t="inlineStr">
        <is>
          <t>English</t>
        </is>
      </c>
      <c r="E174" s="5" t="inlineStr">
        <is>
          <t>JOUR</t>
        </is>
      </c>
      <c r="F174" s="5" t="inlineStr">
        <is>
          <t>Ayaz</t>
        </is>
      </c>
      <c r="G174" s="5" t="inlineStr">
        <is>
          <t>Medical ultrasonography</t>
        </is>
      </c>
      <c r="H174" s="5" t="inlineStr">
        <is>
          <t>14(1):64-6</t>
        </is>
      </c>
      <c r="I174" s="6" t="inlineStr">
        <is>
          <t>Wandering spleen in a child with symptoms of acute abdomen: ultrasonographic diagnosis. Case report.</t>
        </is>
      </c>
      <c r="J174" s="5" t="inlineStr"/>
      <c r="K174" s="5" t="inlineStr"/>
      <c r="L174" s="7" t="inlineStr">
        <is>
          <t>link</t>
        </is>
      </c>
      <c r="M174" s="5" t="inlineStr"/>
      <c r="N174" s="5" t="inlineStr"/>
      <c r="O174" s="5" t="inlineStr"/>
      <c r="P174" s="5" t="inlineStr"/>
      <c r="Q174" s="5" t="inlineStr"/>
      <c r="R174" s="5" t="inlineStr">
        <is>
          <t>2 English, DOI or PubMed link</t>
        </is>
      </c>
      <c r="S174" s="5" t="inlineStr"/>
      <c r="T174" s="5" t="inlineStr">
        <is>
          <t>WS0514.pdf</t>
        </is>
      </c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</row>
    <row r="175">
      <c r="A175" s="5" t="n">
        <v>174</v>
      </c>
      <c r="B175" s="5" t="inlineStr">
        <is>
          <t>WS0517</t>
        </is>
      </c>
      <c r="C175" s="5" t="inlineStr">
        <is>
          <t>2012</t>
        </is>
      </c>
      <c r="D175" s="5" t="inlineStr">
        <is>
          <t>English</t>
        </is>
      </c>
      <c r="E175" s="5" t="inlineStr">
        <is>
          <t>JOUR</t>
        </is>
      </c>
      <c r="F175" s="5" t="inlineStr">
        <is>
          <t>Chen</t>
        </is>
      </c>
      <c r="G175" s="5" t="inlineStr">
        <is>
          <t>Journal of ultrasound in medicine : official journal of the American Institute of Ultrasound in Medicine</t>
        </is>
      </c>
      <c r="H175" s="5" t="inlineStr">
        <is>
          <t>31(3):483-7</t>
        </is>
      </c>
      <c r="I175" s="6" t="inlineStr">
        <is>
          <t>Sonographic diagnosis of a subclinical wandering spleen: role of the decubitus position.</t>
        </is>
      </c>
      <c r="J175" s="5" t="inlineStr">
        <is>
          <t>10.7863/jum.2012.31.3.483</t>
        </is>
      </c>
      <c r="K175" s="7" t="inlineStr">
        <is>
          <t>link</t>
        </is>
      </c>
      <c r="L175" s="7" t="inlineStr">
        <is>
          <t>link</t>
        </is>
      </c>
      <c r="M175" s="5" t="inlineStr"/>
      <c r="N175" s="5" t="inlineStr"/>
      <c r="O175" s="5" t="inlineStr"/>
      <c r="P175" s="5" t="inlineStr"/>
      <c r="Q175" s="5" t="inlineStr"/>
      <c r="R175" s="5" t="inlineStr">
        <is>
          <t>2 English, DOI or PubMed link</t>
        </is>
      </c>
      <c r="S175" s="5" t="inlineStr"/>
      <c r="T175" s="5" t="inlineStr">
        <is>
          <t>WS0517.pdf</t>
        </is>
      </c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</row>
    <row r="176">
      <c r="A176" s="5" t="n">
        <v>175</v>
      </c>
      <c r="B176" s="5" t="inlineStr">
        <is>
          <t>WS0527</t>
        </is>
      </c>
      <c r="C176" s="5" t="inlineStr">
        <is>
          <t>2011</t>
        </is>
      </c>
      <c r="D176" s="5" t="inlineStr">
        <is>
          <t>English</t>
        </is>
      </c>
      <c r="E176" s="5" t="inlineStr">
        <is>
          <t>JOUR</t>
        </is>
      </c>
      <c r="F176" s="5" t="inlineStr">
        <is>
          <t>Garrett</t>
        </is>
      </c>
      <c r="G176" s="5" t="inlineStr">
        <is>
          <t>Journal of laparoendoscopic &amp; advanced surgical techniques. Part A</t>
        </is>
      </c>
      <c r="H176" s="5" t="inlineStr">
        <is>
          <t>21(10):965-7</t>
        </is>
      </c>
      <c r="I176" s="6" t="inlineStr">
        <is>
          <t>Single-incision laparoscopic approach to management of splenic pathology in children: an early experience.</t>
        </is>
      </c>
      <c r="J176" s="5" t="inlineStr">
        <is>
          <t>10.1089/lap.2011.0148</t>
        </is>
      </c>
      <c r="K176" s="7" t="inlineStr">
        <is>
          <t>link</t>
        </is>
      </c>
      <c r="L176" s="7" t="inlineStr">
        <is>
          <t>link</t>
        </is>
      </c>
      <c r="M176" s="5" t="inlineStr"/>
      <c r="N176" s="5" t="inlineStr"/>
      <c r="O176" s="5" t="inlineStr"/>
      <c r="P176" s="5" t="inlineStr"/>
      <c r="Q176" s="5" t="inlineStr"/>
      <c r="R176" s="5" t="inlineStr">
        <is>
          <t>2 English, DOI or PubMed link</t>
        </is>
      </c>
      <c r="S176" s="5" t="inlineStr"/>
      <c r="T176" s="5" t="inlineStr">
        <is>
          <t>WS0527.pdf</t>
        </is>
      </c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</row>
    <row r="177">
      <c r="A177" s="5" t="n">
        <v>176</v>
      </c>
      <c r="B177" s="5" t="inlineStr">
        <is>
          <t>WS0529</t>
        </is>
      </c>
      <c r="C177" s="5" t="inlineStr">
        <is>
          <t>2011</t>
        </is>
      </c>
      <c r="D177" s="5" t="inlineStr">
        <is>
          <t>English</t>
        </is>
      </c>
      <c r="E177" s="5" t="inlineStr">
        <is>
          <t>JOUR</t>
        </is>
      </c>
      <c r="F177" s="5" t="inlineStr">
        <is>
          <t>Chu</t>
        </is>
      </c>
      <c r="G177" s="5" t="inlineStr">
        <is>
          <t>Acta radiologica (Stockholm, Sweden : 1987)</t>
        </is>
      </c>
      <c r="H177" s="5" t="inlineStr">
        <is>
          <t>52(8):911-3</t>
        </is>
      </c>
      <c r="I177" s="6" t="inlineStr">
        <is>
          <t>Wandering spleen with torsion and complete infarction.</t>
        </is>
      </c>
      <c r="J177" s="5" t="inlineStr">
        <is>
          <t>10.1258/ar.2011.100504</t>
        </is>
      </c>
      <c r="K177" s="7" t="inlineStr">
        <is>
          <t>link</t>
        </is>
      </c>
      <c r="L177" s="7" t="inlineStr">
        <is>
          <t>link</t>
        </is>
      </c>
      <c r="M177" s="5" t="inlineStr"/>
      <c r="N177" s="5" t="inlineStr"/>
      <c r="O177" s="5" t="inlineStr"/>
      <c r="P177" s="5" t="inlineStr"/>
      <c r="Q177" s="5" t="inlineStr"/>
      <c r="R177" s="5" t="inlineStr">
        <is>
          <t>2 English, DOI or PubMed link</t>
        </is>
      </c>
      <c r="S177" s="5" t="inlineStr"/>
      <c r="T177" s="5" t="inlineStr">
        <is>
          <t>WS0529.pdf</t>
        </is>
      </c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</row>
    <row r="178">
      <c r="A178" s="5" t="n">
        <v>177</v>
      </c>
      <c r="B178" s="5" t="inlineStr">
        <is>
          <t>WS0537</t>
        </is>
      </c>
      <c r="C178" s="5" t="inlineStr">
        <is>
          <t>2011</t>
        </is>
      </c>
      <c r="D178" s="5" t="inlineStr">
        <is>
          <t>English</t>
        </is>
      </c>
      <c r="E178" s="5" t="inlineStr">
        <is>
          <t>JOUR</t>
        </is>
      </c>
      <c r="F178" s="5" t="inlineStr">
        <is>
          <t>Magno</t>
        </is>
      </c>
      <c r="G178" s="5" t="inlineStr">
        <is>
          <t>Journal of laparoendoscopic &amp; advanced surgical techniques. Part A</t>
        </is>
      </c>
      <c r="H178" s="5" t="inlineStr">
        <is>
          <t>21(5):467-70</t>
        </is>
      </c>
      <c r="I178" s="6" t="inlineStr">
        <is>
          <t>An unusual case of acute pancreatitis and gastric outlet obstruction associated with wandering spleen treated by laparoscopic splenopexy.</t>
        </is>
      </c>
      <c r="J178" s="5" t="inlineStr">
        <is>
          <t>10.1089/lap.2010.0417</t>
        </is>
      </c>
      <c r="K178" s="7" t="inlineStr">
        <is>
          <t>link</t>
        </is>
      </c>
      <c r="L178" s="7" t="inlineStr">
        <is>
          <t>link</t>
        </is>
      </c>
      <c r="M178" s="5" t="inlineStr"/>
      <c r="N178" s="5" t="inlineStr"/>
      <c r="O178" s="5" t="inlineStr"/>
      <c r="P178" s="5" t="inlineStr"/>
      <c r="Q178" s="5" t="inlineStr"/>
      <c r="R178" s="5" t="inlineStr">
        <is>
          <t>2 English, DOI or PubMed link</t>
        </is>
      </c>
      <c r="S178" s="5" t="inlineStr"/>
      <c r="T178" s="5" t="inlineStr">
        <is>
          <t>WS0537.pdf</t>
        </is>
      </c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</row>
    <row r="179">
      <c r="A179" s="5" t="n">
        <v>178</v>
      </c>
      <c r="B179" s="5" t="inlineStr">
        <is>
          <t>WS1669</t>
        </is>
      </c>
      <c r="C179" s="5" t="inlineStr">
        <is>
          <t>2011</t>
        </is>
      </c>
      <c r="D179" s="5" t="inlineStr">
        <is>
          <t>English</t>
        </is>
      </c>
      <c r="E179" s="5" t="inlineStr">
        <is>
          <t>CHAP</t>
        </is>
      </c>
      <c r="F179" s="5" t="inlineStr">
        <is>
          <t>De Bree</t>
        </is>
      </c>
      <c r="G179" s="5" t="inlineStr">
        <is>
          <t>The Spleen</t>
        </is>
      </c>
      <c r="H179" s="5" t="inlineStr">
        <is>
          <t>153-178</t>
        </is>
      </c>
      <c r="I179" s="6" t="inlineStr">
        <is>
          <t>Benign vascular, cystic and solid diseases of the spleen</t>
        </is>
      </c>
      <c r="J179" s="5" t="inlineStr">
        <is>
          <t>10.2174/978160805273811101010153</t>
        </is>
      </c>
      <c r="K179" s="7" t="inlineStr">
        <is>
          <t>link</t>
        </is>
      </c>
      <c r="L179" s="5" t="inlineStr"/>
      <c r="M179" s="5" t="inlineStr"/>
      <c r="N179" s="5" t="inlineStr"/>
      <c r="O179" s="5" t="inlineStr"/>
      <c r="P179" s="5" t="inlineStr"/>
      <c r="Q179" s="7" t="inlineStr">
        <is>
          <t>link</t>
        </is>
      </c>
      <c r="R179" s="5" t="inlineStr">
        <is>
          <t>2 English, DOI or PubMed link</t>
        </is>
      </c>
      <c r="S179" s="5" t="inlineStr"/>
      <c r="T179" s="5" t="inlineStr">
        <is>
          <t>WS1669.pdf</t>
        </is>
      </c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</row>
    <row r="180">
      <c r="A180" s="5" t="n">
        <v>179</v>
      </c>
      <c r="B180" s="5" t="inlineStr">
        <is>
          <t>WS0542</t>
        </is>
      </c>
      <c r="C180" s="5" t="inlineStr">
        <is>
          <t>2010</t>
        </is>
      </c>
      <c r="D180" s="5" t="inlineStr">
        <is>
          <t>English</t>
        </is>
      </c>
      <c r="E180" s="5" t="inlineStr">
        <is>
          <t>JOUR</t>
        </is>
      </c>
      <c r="F180" s="5" t="inlineStr">
        <is>
          <t>Montenovo</t>
        </is>
      </c>
      <c r="G180" s="5" t="inlineStr">
        <is>
          <t>Surgical laparoscopy, endoscopy &amp; percutaneous techniques</t>
        </is>
      </c>
      <c r="H180" s="5" t="inlineStr">
        <is>
          <t>20(5):e182-4</t>
        </is>
      </c>
      <c r="I180" s="6" t="inlineStr">
        <is>
          <t>Laparoscopic splenopexy for wandering spleen: case report and review of the literature.</t>
        </is>
      </c>
      <c r="J180" s="5" t="inlineStr">
        <is>
          <t>10.1097/sle.0b013e3181f69ce2</t>
        </is>
      </c>
      <c r="K180" s="7" t="inlineStr">
        <is>
          <t>link</t>
        </is>
      </c>
      <c r="L180" s="7" t="inlineStr">
        <is>
          <t>link</t>
        </is>
      </c>
      <c r="M180" s="5" t="inlineStr"/>
      <c r="N180" s="5" t="inlineStr"/>
      <c r="O180" s="5" t="inlineStr"/>
      <c r="P180" s="5" t="inlineStr"/>
      <c r="Q180" s="5" t="inlineStr"/>
      <c r="R180" s="5" t="inlineStr">
        <is>
          <t>2 English, DOI or PubMed link</t>
        </is>
      </c>
      <c r="S180" s="5" t="inlineStr"/>
      <c r="T180" s="5" t="inlineStr">
        <is>
          <t>WS0542.pdf</t>
        </is>
      </c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</row>
    <row r="181">
      <c r="A181" s="5" t="n">
        <v>180</v>
      </c>
      <c r="B181" s="5" t="inlineStr">
        <is>
          <t>WS0544</t>
        </is>
      </c>
      <c r="C181" s="5" t="inlineStr">
        <is>
          <t>2010</t>
        </is>
      </c>
      <c r="D181" s="5" t="inlineStr">
        <is>
          <t>English</t>
        </is>
      </c>
      <c r="E181" s="5" t="inlineStr">
        <is>
          <t>JOUR</t>
        </is>
      </c>
      <c r="F181" s="5" t="inlineStr">
        <is>
          <t>Carmona</t>
        </is>
      </c>
      <c r="G181" s="5" t="inlineStr">
        <is>
          <t>Boletin de la Asociacion Medica de Puerto Rico</t>
        </is>
      </c>
      <c r="H181" s="5" t="inlineStr">
        <is>
          <t>102(2):47-9</t>
        </is>
      </c>
      <c r="I181" s="6" t="inlineStr">
        <is>
          <t>Laparoscopic splenectomy for infarcted splenoptosis in a child: a case report.</t>
        </is>
      </c>
      <c r="J181" s="5" t="inlineStr"/>
      <c r="K181" s="5" t="inlineStr"/>
      <c r="L181" s="7" t="inlineStr">
        <is>
          <t>link</t>
        </is>
      </c>
      <c r="M181" s="5" t="inlineStr"/>
      <c r="N181" s="5" t="inlineStr"/>
      <c r="O181" s="5" t="inlineStr"/>
      <c r="P181" s="5" t="inlineStr"/>
      <c r="Q181" s="5" t="inlineStr"/>
      <c r="R181" s="5" t="inlineStr">
        <is>
          <t>2 English, DOI or PubMed link</t>
        </is>
      </c>
      <c r="S181" s="5" t="inlineStr"/>
      <c r="T181" s="5" t="inlineStr">
        <is>
          <t>WS0544.pdf</t>
        </is>
      </c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</row>
    <row r="182">
      <c r="A182" s="5" t="n">
        <v>181</v>
      </c>
      <c r="B182" s="5" t="inlineStr">
        <is>
          <t>WS0550</t>
        </is>
      </c>
      <c r="C182" s="5" t="inlineStr">
        <is>
          <t>2010</t>
        </is>
      </c>
      <c r="D182" s="5" t="inlineStr">
        <is>
          <t>English</t>
        </is>
      </c>
      <c r="E182" s="5" t="inlineStr">
        <is>
          <t>JOUR</t>
        </is>
      </c>
      <c r="F182" s="5" t="inlineStr">
        <is>
          <t>Fiquet-Francois</t>
        </is>
      </c>
      <c r="G182" s="5" t="inlineStr">
        <is>
          <t>Journal of pediatric surgery</t>
        </is>
      </c>
      <c r="H182" s="5" t="inlineStr">
        <is>
          <t>45(7):1519-24</t>
        </is>
      </c>
      <c r="I182" s="6" t="inlineStr">
        <is>
          <t>Wandering spleen in children: multicenter retrospective study.</t>
        </is>
      </c>
      <c r="J182" s="5" t="inlineStr">
        <is>
          <t>10.1016/j.jpedsurg.2010.03.003</t>
        </is>
      </c>
      <c r="K182" s="7" t="inlineStr">
        <is>
          <t>link</t>
        </is>
      </c>
      <c r="L182" s="7" t="inlineStr">
        <is>
          <t>link</t>
        </is>
      </c>
      <c r="M182" s="5" t="inlineStr"/>
      <c r="N182" s="5" t="inlineStr"/>
      <c r="O182" s="5" t="inlineStr"/>
      <c r="P182" s="5" t="inlineStr"/>
      <c r="Q182" s="5" t="inlineStr"/>
      <c r="R182" s="5" t="inlineStr">
        <is>
          <t>2 English, DOI or PubMed link</t>
        </is>
      </c>
      <c r="S182" s="5" t="inlineStr"/>
      <c r="T182" s="5" t="inlineStr">
        <is>
          <t>WS0550.pdf</t>
        </is>
      </c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</row>
    <row r="183">
      <c r="A183" s="5" t="n">
        <v>182</v>
      </c>
      <c r="B183" s="5" t="inlineStr">
        <is>
          <t>WS0551</t>
        </is>
      </c>
      <c r="C183" s="5" t="inlineStr">
        <is>
          <t>2010</t>
        </is>
      </c>
      <c r="D183" s="5" t="inlineStr">
        <is>
          <t>English</t>
        </is>
      </c>
      <c r="E183" s="5" t="inlineStr">
        <is>
          <t>JOUR</t>
        </is>
      </c>
      <c r="F183" s="5" t="inlineStr">
        <is>
          <t>Arleo</t>
        </is>
      </c>
      <c r="G183" s="5" t="inlineStr">
        <is>
          <t>Clinical imaging</t>
        </is>
      </c>
      <c r="H183" s="5" t="inlineStr">
        <is>
          <t>34(4):302-5</t>
        </is>
      </c>
      <c r="I183" s="6" t="inlineStr">
        <is>
          <t>Multimodality imaging of a neonatal wandering spleen.</t>
        </is>
      </c>
      <c r="J183" s="5" t="inlineStr">
        <is>
          <t>10.1016/j.clinimag.2009.09.001</t>
        </is>
      </c>
      <c r="K183" s="7" t="inlineStr">
        <is>
          <t>link</t>
        </is>
      </c>
      <c r="L183" s="7" t="inlineStr">
        <is>
          <t>link</t>
        </is>
      </c>
      <c r="M183" s="5" t="inlineStr"/>
      <c r="N183" s="5" t="inlineStr"/>
      <c r="O183" s="5" t="inlineStr"/>
      <c r="P183" s="5" t="inlineStr"/>
      <c r="Q183" s="5" t="inlineStr"/>
      <c r="R183" s="5" t="inlineStr">
        <is>
          <t>2 English, DOI or PubMed link</t>
        </is>
      </c>
      <c r="S183" s="5" t="inlineStr"/>
      <c r="T183" s="5" t="inlineStr">
        <is>
          <t>WS0551.pdf</t>
        </is>
      </c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</row>
    <row r="184">
      <c r="A184" s="5" t="n">
        <v>183</v>
      </c>
      <c r="B184" s="5" t="inlineStr">
        <is>
          <t>WS0552</t>
        </is>
      </c>
      <c r="C184" s="5" t="inlineStr">
        <is>
          <t>2010</t>
        </is>
      </c>
      <c r="D184" s="5" t="inlineStr">
        <is>
          <t>English</t>
        </is>
      </c>
      <c r="E184" s="5" t="inlineStr">
        <is>
          <t>JOUR</t>
        </is>
      </c>
      <c r="F184" s="5" t="inlineStr">
        <is>
          <t>Okazaki</t>
        </is>
      </c>
      <c r="G184" s="5" t="inlineStr">
        <is>
          <t>Pediatric surgery international</t>
        </is>
      </c>
      <c r="H184" s="5" t="inlineStr">
        <is>
          <t>26(10):1053-5</t>
        </is>
      </c>
      <c r="I184" s="6" t="inlineStr">
        <is>
          <t>Laparoscopic splenopexy and gastropexy for wandering spleen associated with gastric volvulus.</t>
        </is>
      </c>
      <c r="J184" s="5" t="inlineStr">
        <is>
          <t>10.1007/s00383-010-2657-7</t>
        </is>
      </c>
      <c r="K184" s="7" t="inlineStr">
        <is>
          <t>link</t>
        </is>
      </c>
      <c r="L184" s="7" t="inlineStr">
        <is>
          <t>link</t>
        </is>
      </c>
      <c r="M184" s="5" t="inlineStr"/>
      <c r="N184" s="5" t="inlineStr"/>
      <c r="O184" s="5" t="inlineStr"/>
      <c r="P184" s="5" t="inlineStr"/>
      <c r="Q184" s="5" t="inlineStr"/>
      <c r="R184" s="5" t="inlineStr">
        <is>
          <t>2 English, DOI or PubMed link</t>
        </is>
      </c>
      <c r="S184" s="5" t="inlineStr"/>
      <c r="T184" s="5" t="inlineStr">
        <is>
          <t>WS0552.pdf</t>
        </is>
      </c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</row>
    <row r="185">
      <c r="A185" s="5" t="n">
        <v>184</v>
      </c>
      <c r="B185" s="5" t="inlineStr">
        <is>
          <t>WS0553</t>
        </is>
      </c>
      <c r="C185" s="5" t="inlineStr">
        <is>
          <t>2010</t>
        </is>
      </c>
      <c r="D185" s="5" t="inlineStr">
        <is>
          <t>English</t>
        </is>
      </c>
      <c r="E185" s="5" t="inlineStr">
        <is>
          <t>JOUR</t>
        </is>
      </c>
      <c r="F185" s="5" t="inlineStr">
        <is>
          <t>Sanchez</t>
        </is>
      </c>
      <c r="G185" s="5" t="inlineStr">
        <is>
          <t>Pediatric radiology</t>
        </is>
      </c>
      <c r="H185" s="5" t="inlineStr">
        <is>
          <t>40 Suppl 1(SUPPL.1):S89-91</t>
        </is>
      </c>
      <c r="I185" s="6" t="inlineStr">
        <is>
          <t>Wandering spleen causing gastric outlet obstruction and pancreatitis.</t>
        </is>
      </c>
      <c r="J185" s="5" t="inlineStr">
        <is>
          <t>10.1007/s00247-010-1756-x</t>
        </is>
      </c>
      <c r="K185" s="7" t="inlineStr">
        <is>
          <t>link</t>
        </is>
      </c>
      <c r="L185" s="7" t="inlineStr">
        <is>
          <t>link</t>
        </is>
      </c>
      <c r="M185" s="5" t="inlineStr"/>
      <c r="N185" s="5" t="inlineStr"/>
      <c r="O185" s="5" t="inlineStr"/>
      <c r="P185" s="5" t="inlineStr"/>
      <c r="Q185" s="5" t="inlineStr"/>
      <c r="R185" s="5" t="inlineStr">
        <is>
          <t>2 English, DOI or PubMed link</t>
        </is>
      </c>
      <c r="S185" s="5" t="inlineStr"/>
      <c r="T185" s="5" t="inlineStr">
        <is>
          <t>WS0553.pdf</t>
        </is>
      </c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</row>
    <row r="186">
      <c r="A186" s="5" t="n">
        <v>185</v>
      </c>
      <c r="B186" s="5" t="inlineStr">
        <is>
          <t>WS1406</t>
        </is>
      </c>
      <c r="C186" s="5" t="inlineStr">
        <is>
          <t>2010</t>
        </is>
      </c>
      <c r="D186" s="5" t="inlineStr">
        <is>
          <t>English</t>
        </is>
      </c>
      <c r="E186" s="5" t="inlineStr">
        <is>
          <t>JOUR</t>
        </is>
      </c>
      <c r="F186" s="5" t="inlineStr">
        <is>
          <t>Ward</t>
        </is>
      </c>
      <c r="G186" s="5" t="inlineStr">
        <is>
          <t>JBR-BTR</t>
        </is>
      </c>
      <c r="H186" s="5" t="inlineStr">
        <is>
          <t>93(1):7-9</t>
        </is>
      </c>
      <c r="I186" s="6" t="inlineStr">
        <is>
          <t>UNUSUAL LONG TERM COMPLICATIONS OF A SPLENIC CYST</t>
        </is>
      </c>
      <c r="J186" s="5" t="inlineStr">
        <is>
          <t>10.5334/jbr-btr.27</t>
        </is>
      </c>
      <c r="K186" s="7" t="inlineStr">
        <is>
          <t>link</t>
        </is>
      </c>
      <c r="L186" s="5" t="inlineStr"/>
      <c r="M186" s="5" t="inlineStr"/>
      <c r="N186" s="5" t="inlineStr"/>
      <c r="O186" s="5" t="inlineStr"/>
      <c r="P186" s="5" t="inlineStr"/>
      <c r="Q186" s="5" t="inlineStr"/>
      <c r="R186" s="5" t="inlineStr">
        <is>
          <t>2 English, DOI or PubMed link</t>
        </is>
      </c>
      <c r="S186" s="5" t="inlineStr"/>
      <c r="T186" s="5" t="inlineStr">
        <is>
          <t>WS1406.pdf</t>
        </is>
      </c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</row>
    <row r="187">
      <c r="A187" s="5" t="n">
        <v>186</v>
      </c>
      <c r="B187" s="5" t="inlineStr">
        <is>
          <t>WS1685</t>
        </is>
      </c>
      <c r="C187" s="5" t="inlineStr">
        <is>
          <t>2010</t>
        </is>
      </c>
      <c r="D187" s="5" t="inlineStr">
        <is>
          <t>English</t>
        </is>
      </c>
      <c r="E187" s="5" t="inlineStr">
        <is>
          <t>JOUR</t>
        </is>
      </c>
      <c r="F187" s="5" t="inlineStr">
        <is>
          <t>Ugwu</t>
        </is>
      </c>
      <c r="G187" s="5" t="inlineStr">
        <is>
          <t>South African Family Practice</t>
        </is>
      </c>
      <c r="H187" s="5" t="inlineStr">
        <is>
          <t>52(1):42-43</t>
        </is>
      </c>
      <c r="I187" s="6" t="inlineStr">
        <is>
          <t>A wandering spleen: A common presentation of an uncommon anomaly</t>
        </is>
      </c>
      <c r="J187" s="5" t="inlineStr">
        <is>
          <t>10.1080/20786204.2010.10873930</t>
        </is>
      </c>
      <c r="K187" s="7" t="inlineStr">
        <is>
          <t>link</t>
        </is>
      </c>
      <c r="L187" s="5" t="inlineStr"/>
      <c r="M187" s="5" t="inlineStr"/>
      <c r="N187" s="5" t="inlineStr"/>
      <c r="O187" s="5" t="inlineStr"/>
      <c r="P187" s="5" t="inlineStr"/>
      <c r="Q187" s="7" t="inlineStr">
        <is>
          <t>link</t>
        </is>
      </c>
      <c r="R187" s="5" t="inlineStr">
        <is>
          <t>2 English, DOI or PubMed link</t>
        </is>
      </c>
      <c r="S187" s="5" t="inlineStr"/>
      <c r="T187" s="5" t="inlineStr">
        <is>
          <t>WS1685.pdf</t>
        </is>
      </c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</row>
    <row r="188">
      <c r="A188" s="5" t="n">
        <v>187</v>
      </c>
      <c r="B188" s="5" t="inlineStr">
        <is>
          <t>WS0566</t>
        </is>
      </c>
      <c r="C188" s="5" t="inlineStr">
        <is>
          <t>2009</t>
        </is>
      </c>
      <c r="D188" s="5" t="inlineStr">
        <is>
          <t>English</t>
        </is>
      </c>
      <c r="E188" s="5" t="inlineStr">
        <is>
          <t>JOUR</t>
        </is>
      </c>
      <c r="F188" s="5" t="inlineStr">
        <is>
          <t>Darius</t>
        </is>
      </c>
      <c r="G188" s="5" t="inlineStr">
        <is>
          <t>Acta chirurgica Belgica</t>
        </is>
      </c>
      <c r="H188" s="5" t="inlineStr">
        <is>
          <t>109(3):419-20</t>
        </is>
      </c>
      <c r="I188" s="6" t="inlineStr">
        <is>
          <t>A true ectopic, locally vascularized spleen: a very rare anomaly.</t>
        </is>
      </c>
      <c r="J188" s="5" t="inlineStr">
        <is>
          <t>10.1080/00015458.2009.11680453</t>
        </is>
      </c>
      <c r="K188" s="7" t="inlineStr">
        <is>
          <t>link</t>
        </is>
      </c>
      <c r="L188" s="7" t="inlineStr">
        <is>
          <t>link</t>
        </is>
      </c>
      <c r="M188" s="5" t="inlineStr"/>
      <c r="N188" s="5" t="inlineStr"/>
      <c r="O188" s="5" t="inlineStr"/>
      <c r="P188" s="5" t="inlineStr"/>
      <c r="Q188" s="5" t="inlineStr"/>
      <c r="R188" s="5" t="inlineStr">
        <is>
          <t>2 English, DOI or PubMed link</t>
        </is>
      </c>
      <c r="S188" s="5" t="inlineStr"/>
      <c r="T188" s="5" t="inlineStr">
        <is>
          <t>WS0566.pdf</t>
        </is>
      </c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</row>
    <row r="189">
      <c r="A189" s="5" t="n">
        <v>188</v>
      </c>
      <c r="B189" s="5" t="inlineStr">
        <is>
          <t>WS0571</t>
        </is>
      </c>
      <c r="C189" s="5" t="inlineStr">
        <is>
          <t>2009</t>
        </is>
      </c>
      <c r="D189" s="5" t="inlineStr">
        <is>
          <t>English</t>
        </is>
      </c>
      <c r="E189" s="5" t="inlineStr">
        <is>
          <t>JOUR</t>
        </is>
      </c>
      <c r="F189" s="5" t="inlineStr">
        <is>
          <t>Lien</t>
        </is>
      </c>
      <c r="G189" s="5" t="inlineStr">
        <is>
          <t>Pediatrics and neonatology</t>
        </is>
      </c>
      <c r="H189" s="5" t="inlineStr">
        <is>
          <t>50(4):177-80</t>
        </is>
      </c>
      <c r="I189" s="6" t="inlineStr">
        <is>
          <t>Acute torsion of wandering spleen: report of one case.</t>
        </is>
      </c>
      <c r="J189" s="5" t="inlineStr">
        <is>
          <t>10.1016/s1875-9572(09)60059-0</t>
        </is>
      </c>
      <c r="K189" s="7" t="inlineStr">
        <is>
          <t>link</t>
        </is>
      </c>
      <c r="L189" s="7" t="inlineStr">
        <is>
          <t>link</t>
        </is>
      </c>
      <c r="M189" s="5" t="inlineStr"/>
      <c r="N189" s="5" t="inlineStr"/>
      <c r="O189" s="5" t="inlineStr"/>
      <c r="P189" s="5" t="inlineStr"/>
      <c r="Q189" s="5" t="inlineStr"/>
      <c r="R189" s="5" t="inlineStr">
        <is>
          <t>2 English, DOI or PubMed link</t>
        </is>
      </c>
      <c r="S189" s="5" t="inlineStr"/>
      <c r="T189" s="5" t="inlineStr">
        <is>
          <t>WS0571.pdf</t>
        </is>
      </c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</row>
    <row r="190">
      <c r="A190" s="5" t="n">
        <v>189</v>
      </c>
      <c r="B190" s="5" t="inlineStr">
        <is>
          <t>WS0575</t>
        </is>
      </c>
      <c r="C190" s="5" t="inlineStr">
        <is>
          <t>2009</t>
        </is>
      </c>
      <c r="D190" s="5" t="inlineStr">
        <is>
          <t>English</t>
        </is>
      </c>
      <c r="E190" s="5" t="inlineStr">
        <is>
          <t>JOUR</t>
        </is>
      </c>
      <c r="F190" s="5" t="inlineStr">
        <is>
          <t>Karabulut</t>
        </is>
      </c>
      <c r="G190" s="5" t="inlineStr">
        <is>
          <t>World journal of pediatrics : WJP</t>
        </is>
      </c>
      <c r="H190" s="5" t="inlineStr">
        <is>
          <t>5(3):226-8</t>
        </is>
      </c>
      <c r="I190" s="6" t="inlineStr">
        <is>
          <t>Delayed presentation of congenital diaphragmatic hernia with intrathoracic gastric volvulus.</t>
        </is>
      </c>
      <c r="J190" s="5" t="inlineStr">
        <is>
          <t>10.1007/s12519-009-0043-0</t>
        </is>
      </c>
      <c r="K190" s="7" t="inlineStr">
        <is>
          <t>link</t>
        </is>
      </c>
      <c r="L190" s="7" t="inlineStr">
        <is>
          <t>link</t>
        </is>
      </c>
      <c r="M190" s="5" t="inlineStr"/>
      <c r="N190" s="5" t="inlineStr"/>
      <c r="O190" s="5" t="inlineStr"/>
      <c r="P190" s="5" t="inlineStr"/>
      <c r="Q190" s="5" t="inlineStr"/>
      <c r="R190" s="5" t="inlineStr">
        <is>
          <t>2 English, DOI or PubMed link</t>
        </is>
      </c>
      <c r="S190" s="5" t="inlineStr"/>
      <c r="T190" s="5" t="inlineStr">
        <is>
          <t>WS0575.pdf</t>
        </is>
      </c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</row>
    <row r="191">
      <c r="A191" s="5" t="n">
        <v>190</v>
      </c>
      <c r="B191" s="5" t="inlineStr">
        <is>
          <t>WS0580</t>
        </is>
      </c>
      <c r="C191" s="5" t="inlineStr">
        <is>
          <t>2009</t>
        </is>
      </c>
      <c r="D191" s="5" t="inlineStr">
        <is>
          <t>English</t>
        </is>
      </c>
      <c r="E191" s="5" t="inlineStr">
        <is>
          <t>JOUR</t>
        </is>
      </c>
      <c r="F191" s="5" t="inlineStr">
        <is>
          <t>Di Crosta</t>
        </is>
      </c>
      <c r="G191" s="5" t="inlineStr">
        <is>
          <t>Journal of pediatric surgery</t>
        </is>
      </c>
      <c r="H191" s="5" t="inlineStr">
        <is>
          <t>44(7):1446-9</t>
        </is>
      </c>
      <c r="I191" s="6" t="inlineStr">
        <is>
          <t>Abdominal pain and wandering spleen in young children: the importance of an early diagnosis.</t>
        </is>
      </c>
      <c r="J191" s="5" t="inlineStr">
        <is>
          <t>10.1016/j.jpedsurg.2009.02.062</t>
        </is>
      </c>
      <c r="K191" s="7" t="inlineStr">
        <is>
          <t>link</t>
        </is>
      </c>
      <c r="L191" s="7" t="inlineStr">
        <is>
          <t>link</t>
        </is>
      </c>
      <c r="M191" s="5" t="inlineStr"/>
      <c r="N191" s="5" t="inlineStr"/>
      <c r="O191" s="5" t="inlineStr"/>
      <c r="P191" s="5" t="inlineStr"/>
      <c r="Q191" s="5" t="inlineStr"/>
      <c r="R191" s="5" t="inlineStr">
        <is>
          <t>2 English, DOI or PubMed link</t>
        </is>
      </c>
      <c r="S191" s="5" t="inlineStr"/>
      <c r="T191" s="5" t="inlineStr">
        <is>
          <t>WS0580.pdf</t>
        </is>
      </c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</row>
    <row r="192">
      <c r="A192" s="5" t="n">
        <v>191</v>
      </c>
      <c r="B192" s="5" t="inlineStr">
        <is>
          <t>WS0585</t>
        </is>
      </c>
      <c r="C192" s="5" t="inlineStr">
        <is>
          <t>2009</t>
        </is>
      </c>
      <c r="D192" s="5" t="inlineStr">
        <is>
          <t>English</t>
        </is>
      </c>
      <c r="E192" s="5" t="inlineStr">
        <is>
          <t>JOUR</t>
        </is>
      </c>
      <c r="F192" s="5" t="inlineStr">
        <is>
          <t>Francois-Fiquet</t>
        </is>
      </c>
      <c r="G192" s="5" t="inlineStr">
        <is>
          <t>Journal of laparoendoscopic &amp; advanced surgical techniques. Part A</t>
        </is>
      </c>
      <c r="H192" s="5" t="inlineStr">
        <is>
          <t>19 Suppl 1(SUPPL. 1):S137-9</t>
        </is>
      </c>
      <c r="I192" s="6" t="inlineStr">
        <is>
          <t>Laparoscopic gastropexy for the treatment of gastric volvulus associated with wandering spleen.</t>
        </is>
      </c>
      <c r="J192" s="5" t="inlineStr">
        <is>
          <t>10.1089/lap.2008.0091.supp</t>
        </is>
      </c>
      <c r="K192" s="7" t="inlineStr">
        <is>
          <t>link</t>
        </is>
      </c>
      <c r="L192" s="7" t="inlineStr">
        <is>
          <t>link</t>
        </is>
      </c>
      <c r="M192" s="5" t="inlineStr"/>
      <c r="N192" s="5" t="inlineStr"/>
      <c r="O192" s="5" t="inlineStr"/>
      <c r="P192" s="5" t="inlineStr"/>
      <c r="Q192" s="5" t="inlineStr"/>
      <c r="R192" s="5" t="inlineStr">
        <is>
          <t>2 English, DOI or PubMed link</t>
        </is>
      </c>
      <c r="S192" s="5" t="inlineStr"/>
      <c r="T192" s="5" t="inlineStr">
        <is>
          <t>WS0585.pdf</t>
        </is>
      </c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</row>
    <row r="193">
      <c r="A193" s="5" t="n">
        <v>192</v>
      </c>
      <c r="B193" s="5" t="inlineStr">
        <is>
          <t>WS0588</t>
        </is>
      </c>
      <c r="C193" s="5" t="inlineStr">
        <is>
          <t>2009</t>
        </is>
      </c>
      <c r="D193" s="5" t="inlineStr">
        <is>
          <t>English</t>
        </is>
      </c>
      <c r="E193" s="5" t="inlineStr">
        <is>
          <t>JOUR</t>
        </is>
      </c>
      <c r="F193" s="5" t="inlineStr">
        <is>
          <t>Iqbal</t>
        </is>
      </c>
      <c r="G193" s="5" t="inlineStr">
        <is>
          <t>Journal of the College of Physicians and Surgeons--Pakistan : JCPSP</t>
        </is>
      </c>
      <c r="H193" s="5" t="inlineStr">
        <is>
          <t>19(2):123-4</t>
        </is>
      </c>
      <c r="I193" s="6" t="inlineStr">
        <is>
          <t>Torsion of a wandering spleen presenting as a case of acute abdomen.</t>
        </is>
      </c>
      <c r="J193" s="5" t="inlineStr"/>
      <c r="K193" s="5" t="inlineStr"/>
      <c r="L193" s="7" t="inlineStr">
        <is>
          <t>link</t>
        </is>
      </c>
      <c r="M193" s="5" t="inlineStr"/>
      <c r="N193" s="5" t="inlineStr"/>
      <c r="O193" s="5" t="inlineStr"/>
      <c r="P193" s="5" t="inlineStr"/>
      <c r="Q193" s="5" t="inlineStr"/>
      <c r="R193" s="5" t="inlineStr">
        <is>
          <t>2 English, DOI or PubMed link</t>
        </is>
      </c>
      <c r="S193" s="5" t="inlineStr"/>
      <c r="T193" s="5" t="inlineStr">
        <is>
          <t>WS0588.pdf</t>
        </is>
      </c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</row>
    <row r="194">
      <c r="A194" s="5" t="n">
        <v>193</v>
      </c>
      <c r="B194" s="5" t="inlineStr">
        <is>
          <t>WS1673</t>
        </is>
      </c>
      <c r="C194" s="5" t="inlineStr">
        <is>
          <t>2009</t>
        </is>
      </c>
      <c r="D194" s="5" t="inlineStr">
        <is>
          <t>English</t>
        </is>
      </c>
      <c r="E194" s="5" t="inlineStr">
        <is>
          <t>CHAP</t>
        </is>
      </c>
      <c r="F194" s="5" t="inlineStr">
        <is>
          <t>Palanivelu</t>
        </is>
      </c>
      <c r="G194" s="5" t="inlineStr">
        <is>
          <t>Essentials of Pediatric Endoscopic Surgery</t>
        </is>
      </c>
      <c r="H194" s="5" t="inlineStr">
        <is>
          <t>363-367</t>
        </is>
      </c>
      <c r="I194" s="6" t="inlineStr">
        <is>
          <t>Mesh splenopexy for wandering spleen</t>
        </is>
      </c>
      <c r="J194" s="5" t="inlineStr">
        <is>
          <t>10.1007/978-3-540-78387-9_52</t>
        </is>
      </c>
      <c r="K194" s="7" t="inlineStr">
        <is>
          <t>link</t>
        </is>
      </c>
      <c r="L194" s="5" t="inlineStr"/>
      <c r="M194" s="5" t="inlineStr"/>
      <c r="N194" s="5" t="inlineStr"/>
      <c r="O194" s="5" t="inlineStr"/>
      <c r="P194" s="5" t="inlineStr"/>
      <c r="Q194" s="7" t="inlineStr">
        <is>
          <t>link</t>
        </is>
      </c>
      <c r="R194" s="5" t="inlineStr">
        <is>
          <t>2 English, DOI or PubMed link</t>
        </is>
      </c>
      <c r="S194" s="5" t="inlineStr"/>
      <c r="T194" s="5" t="inlineStr">
        <is>
          <t>WS1673.pdf</t>
        </is>
      </c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</row>
    <row r="195">
      <c r="A195" s="5" t="n">
        <v>194</v>
      </c>
      <c r="B195" s="5" t="inlineStr">
        <is>
          <t>WS0593</t>
        </is>
      </c>
      <c r="C195" s="5" t="inlineStr">
        <is>
          <t>2008</t>
        </is>
      </c>
      <c r="D195" s="5" t="inlineStr">
        <is>
          <t>English</t>
        </is>
      </c>
      <c r="E195" s="5" t="inlineStr">
        <is>
          <t>JOUR</t>
        </is>
      </c>
      <c r="F195" s="5" t="inlineStr">
        <is>
          <t>Cho</t>
        </is>
      </c>
      <c r="G195" s="5" t="inlineStr">
        <is>
          <t>Indian journal of pediatrics</t>
        </is>
      </c>
      <c r="H195" s="5" t="inlineStr">
        <is>
          <t>75(11):1181-2</t>
        </is>
      </c>
      <c r="I195" s="6" t="inlineStr">
        <is>
          <t>Wandering spleen presenting as recurrent abdominal pain in a young female.</t>
        </is>
      </c>
      <c r="J195" s="5" t="inlineStr">
        <is>
          <t>10.1007/s12098-008-0181-8</t>
        </is>
      </c>
      <c r="K195" s="7" t="inlineStr">
        <is>
          <t>link</t>
        </is>
      </c>
      <c r="L195" s="7" t="inlineStr">
        <is>
          <t>link</t>
        </is>
      </c>
      <c r="M195" s="5" t="inlineStr"/>
      <c r="N195" s="5" t="inlineStr"/>
      <c r="O195" s="5" t="inlineStr"/>
      <c r="P195" s="5" t="inlineStr"/>
      <c r="Q195" s="5" t="inlineStr"/>
      <c r="R195" s="5" t="inlineStr">
        <is>
          <t>2 English, DOI or PubMed link</t>
        </is>
      </c>
      <c r="S195" s="5" t="inlineStr"/>
      <c r="T195" s="5" t="inlineStr">
        <is>
          <t>WS0593.pdf</t>
        </is>
      </c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</row>
    <row r="196">
      <c r="A196" s="5" t="n">
        <v>195</v>
      </c>
      <c r="B196" s="5" t="inlineStr">
        <is>
          <t>WS0594</t>
        </is>
      </c>
      <c r="C196" s="5" t="inlineStr">
        <is>
          <t>2008</t>
        </is>
      </c>
      <c r="D196" s="5" t="inlineStr">
        <is>
          <t>English</t>
        </is>
      </c>
      <c r="E196" s="5" t="inlineStr">
        <is>
          <t>JOUR</t>
        </is>
      </c>
      <c r="F196" s="5" t="inlineStr">
        <is>
          <t>Yilmaz</t>
        </is>
      </c>
      <c r="G196" s="5" t="inlineStr">
        <is>
          <t>European surgical research. Europaische chirurgische Forschung. Recherches chirurgicales europeennes</t>
        </is>
      </c>
      <c r="H196" s="5" t="inlineStr">
        <is>
          <t>41(4):331-3</t>
        </is>
      </c>
      <c r="I196" s="6" t="inlineStr">
        <is>
          <t>Unusual association of omphalocele and wandering spleen.</t>
        </is>
      </c>
      <c r="J196" s="5" t="inlineStr">
        <is>
          <t>10.1159/000155899</t>
        </is>
      </c>
      <c r="K196" s="7" t="inlineStr">
        <is>
          <t>link</t>
        </is>
      </c>
      <c r="L196" s="7" t="inlineStr">
        <is>
          <t>link</t>
        </is>
      </c>
      <c r="M196" s="5" t="inlineStr"/>
      <c r="N196" s="5" t="inlineStr"/>
      <c r="O196" s="5" t="inlineStr"/>
      <c r="P196" s="5" t="inlineStr"/>
      <c r="Q196" s="5" t="inlineStr"/>
      <c r="R196" s="5" t="inlineStr">
        <is>
          <t>2 English, DOI or PubMed link</t>
        </is>
      </c>
      <c r="S196" s="5" t="inlineStr"/>
      <c r="T196" s="5" t="inlineStr">
        <is>
          <t>WS0594.pdf</t>
        </is>
      </c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</row>
    <row r="197">
      <c r="A197" s="5" t="n">
        <v>196</v>
      </c>
      <c r="B197" s="5" t="inlineStr">
        <is>
          <t>WS0597</t>
        </is>
      </c>
      <c r="C197" s="5" t="inlineStr">
        <is>
          <t>2008</t>
        </is>
      </c>
      <c r="D197" s="5" t="inlineStr">
        <is>
          <t>English</t>
        </is>
      </c>
      <c r="E197" s="5" t="inlineStr">
        <is>
          <t>JOUR</t>
        </is>
      </c>
      <c r="F197" s="5" t="inlineStr">
        <is>
          <t>Wallace</t>
        </is>
      </c>
      <c r="G197" s="5" t="inlineStr">
        <is>
          <t>Obstetrics and gynecology</t>
        </is>
      </c>
      <c r="H197" s="5" t="inlineStr">
        <is>
          <t>112(2 Pt 2):478-80</t>
        </is>
      </c>
      <c r="I197" s="6" t="inlineStr">
        <is>
          <t>A wandering spleen: unusual cause of a pelvic mass.</t>
        </is>
      </c>
      <c r="J197" s="5" t="inlineStr">
        <is>
          <t>10.1097/aog.0b013e3181809671</t>
        </is>
      </c>
      <c r="K197" s="7" t="inlineStr">
        <is>
          <t>link</t>
        </is>
      </c>
      <c r="L197" s="7" t="inlineStr">
        <is>
          <t>link</t>
        </is>
      </c>
      <c r="M197" s="5" t="inlineStr"/>
      <c r="N197" s="5" t="inlineStr"/>
      <c r="O197" s="5" t="inlineStr"/>
      <c r="P197" s="5" t="inlineStr"/>
      <c r="Q197" s="5" t="inlineStr"/>
      <c r="R197" s="5" t="inlineStr">
        <is>
          <t>2 English, DOI or PubMed link</t>
        </is>
      </c>
      <c r="S197" s="5" t="inlineStr"/>
      <c r="T197" s="5" t="inlineStr">
        <is>
          <t>WS0597.pdf</t>
        </is>
      </c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</row>
    <row r="198">
      <c r="A198" s="5" t="n">
        <v>197</v>
      </c>
      <c r="B198" s="5" t="inlineStr">
        <is>
          <t>WS0601</t>
        </is>
      </c>
      <c r="C198" s="5" t="inlineStr">
        <is>
          <t>2008</t>
        </is>
      </c>
      <c r="D198" s="5" t="inlineStr">
        <is>
          <t>English</t>
        </is>
      </c>
      <c r="E198" s="5" t="inlineStr">
        <is>
          <t>JOUR</t>
        </is>
      </c>
      <c r="F198" s="5" t="inlineStr">
        <is>
          <t>Ben Ely</t>
        </is>
      </c>
      <c r="G198" s="5" t="inlineStr">
        <is>
          <t>Journal of pediatric surgery</t>
        </is>
      </c>
      <c r="H198" s="5" t="inlineStr">
        <is>
          <t>43(5):E23-5</t>
        </is>
      </c>
      <c r="I198" s="6" t="inlineStr">
        <is>
          <t>Familial wandering spleen: a first instance.</t>
        </is>
      </c>
      <c r="J198" s="5" t="inlineStr">
        <is>
          <t>10.1016/j.jpedsurg.2007.12.077</t>
        </is>
      </c>
      <c r="K198" s="7" t="inlineStr">
        <is>
          <t>link</t>
        </is>
      </c>
      <c r="L198" s="7" t="inlineStr">
        <is>
          <t>link</t>
        </is>
      </c>
      <c r="M198" s="5" t="inlineStr"/>
      <c r="N198" s="5" t="inlineStr"/>
      <c r="O198" s="5" t="inlineStr"/>
      <c r="P198" s="5" t="inlineStr"/>
      <c r="Q198" s="5" t="inlineStr"/>
      <c r="R198" s="5" t="inlineStr">
        <is>
          <t>2 English, DOI or PubMed link</t>
        </is>
      </c>
      <c r="S198" s="5" t="inlineStr"/>
      <c r="T198" s="5" t="inlineStr">
        <is>
          <t>WS0601.pdf</t>
        </is>
      </c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</row>
    <row r="199">
      <c r="A199" s="5" t="n">
        <v>198</v>
      </c>
      <c r="B199" s="5" t="inlineStr">
        <is>
          <t>WS0602</t>
        </is>
      </c>
      <c r="C199" s="5" t="inlineStr">
        <is>
          <t>2008</t>
        </is>
      </c>
      <c r="D199" s="5" t="inlineStr">
        <is>
          <t>English</t>
        </is>
      </c>
      <c r="E199" s="5" t="inlineStr">
        <is>
          <t>JOUR</t>
        </is>
      </c>
      <c r="F199" s="5" t="inlineStr">
        <is>
          <t>Sodhi</t>
        </is>
      </c>
      <c r="G199" s="5" t="inlineStr">
        <is>
          <t>The British journal of radiology</t>
        </is>
      </c>
      <c r="H199" s="5" t="inlineStr">
        <is>
          <t>81(965):e145-8</t>
        </is>
      </c>
      <c r="I199" s="6" t="inlineStr">
        <is>
          <t>Marfanoid hypermobility syndrome and skeletal abnormalities in a rare case of torsion of wandering spleen.</t>
        </is>
      </c>
      <c r="J199" s="5" t="inlineStr">
        <is>
          <t>10.1259/bjr/30123041</t>
        </is>
      </c>
      <c r="K199" s="7" t="inlineStr">
        <is>
          <t>link</t>
        </is>
      </c>
      <c r="L199" s="7" t="inlineStr">
        <is>
          <t>link</t>
        </is>
      </c>
      <c r="M199" s="5" t="inlineStr"/>
      <c r="N199" s="5" t="inlineStr"/>
      <c r="O199" s="5" t="inlineStr"/>
      <c r="P199" s="5" t="inlineStr"/>
      <c r="Q199" s="5" t="inlineStr"/>
      <c r="R199" s="5" t="inlineStr">
        <is>
          <t>2 English, DOI or PubMed link</t>
        </is>
      </c>
      <c r="S199" s="5" t="inlineStr"/>
      <c r="T199" s="5" t="inlineStr">
        <is>
          <t>WS0602.pdf</t>
        </is>
      </c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</row>
    <row r="200">
      <c r="A200" s="5" t="n">
        <v>199</v>
      </c>
      <c r="B200" s="5" t="inlineStr">
        <is>
          <t>WS0615</t>
        </is>
      </c>
      <c r="C200" s="5" t="inlineStr">
        <is>
          <t>2007</t>
        </is>
      </c>
      <c r="D200" s="5" t="inlineStr">
        <is>
          <t>English</t>
        </is>
      </c>
      <c r="E200" s="5" t="inlineStr">
        <is>
          <t>JOUR</t>
        </is>
      </c>
      <c r="F200" s="5" t="inlineStr">
        <is>
          <t>Barbaros</t>
        </is>
      </c>
      <c r="G200" s="5" t="inlineStr">
        <is>
          <t>Surgical laparoscopy, endoscopy &amp; percutaneous techniques</t>
        </is>
      </c>
      <c r="H200" s="5" t="inlineStr">
        <is>
          <t>17(5):462-4</t>
        </is>
      </c>
      <c r="I200" s="6" t="inlineStr">
        <is>
          <t>Laparoscopic treatment of a wandering spleen causing partial colonic obstruction: report of a case.</t>
        </is>
      </c>
      <c r="J200" s="5" t="inlineStr">
        <is>
          <t>10.1097/sle.0b013e3180ca9b54</t>
        </is>
      </c>
      <c r="K200" s="7" t="inlineStr">
        <is>
          <t>link</t>
        </is>
      </c>
      <c r="L200" s="7" t="inlineStr">
        <is>
          <t>link</t>
        </is>
      </c>
      <c r="M200" s="5" t="inlineStr"/>
      <c r="N200" s="5" t="inlineStr"/>
      <c r="O200" s="5" t="inlineStr"/>
      <c r="P200" s="5" t="inlineStr"/>
      <c r="Q200" s="5" t="inlineStr"/>
      <c r="R200" s="5" t="inlineStr">
        <is>
          <t>2 English, DOI or PubMed link</t>
        </is>
      </c>
      <c r="S200" s="5" t="inlineStr"/>
      <c r="T200" s="5" t="inlineStr">
        <is>
          <t>WS0615.pdf</t>
        </is>
      </c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</row>
    <row r="201">
      <c r="A201" s="5" t="n">
        <v>200</v>
      </c>
      <c r="B201" s="5" t="inlineStr">
        <is>
          <t>WS0616</t>
        </is>
      </c>
      <c r="C201" s="5" t="inlineStr">
        <is>
          <t>2007</t>
        </is>
      </c>
      <c r="D201" s="5" t="inlineStr">
        <is>
          <t>English</t>
        </is>
      </c>
      <c r="E201" s="5" t="inlineStr">
        <is>
          <t>JOUR</t>
        </is>
      </c>
      <c r="F201" s="5" t="inlineStr">
        <is>
          <t>Rescorla</t>
        </is>
      </c>
      <c r="G201" s="5" t="inlineStr">
        <is>
          <t>Annals of surgery</t>
        </is>
      </c>
      <c r="H201" s="5" t="inlineStr">
        <is>
          <t>246(4):683-7; discussion 687-8</t>
        </is>
      </c>
      <c r="I201" s="6" t="inlineStr">
        <is>
          <t>Laparoscopic splenic procedures in children: experience in 231 children.</t>
        </is>
      </c>
      <c r="J201" s="5" t="inlineStr">
        <is>
          <t>10.1097/sla.0b013e318155abb9</t>
        </is>
      </c>
      <c r="K201" s="7" t="inlineStr">
        <is>
          <t>link</t>
        </is>
      </c>
      <c r="L201" s="7" t="inlineStr">
        <is>
          <t>link</t>
        </is>
      </c>
      <c r="M201" s="5" t="inlineStr"/>
      <c r="N201" s="5" t="inlineStr"/>
      <c r="O201" s="5" t="inlineStr"/>
      <c r="P201" s="5" t="inlineStr"/>
      <c r="Q201" s="5" t="inlineStr"/>
      <c r="R201" s="5" t="inlineStr">
        <is>
          <t>2 English, DOI or PubMed link</t>
        </is>
      </c>
      <c r="S201" s="5" t="inlineStr"/>
      <c r="T201" s="5" t="inlineStr">
        <is>
          <t>WS0616.pdf</t>
        </is>
      </c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</row>
    <row r="202">
      <c r="A202" s="5" t="n">
        <v>201</v>
      </c>
      <c r="B202" s="5" t="inlineStr">
        <is>
          <t>WS0619</t>
        </is>
      </c>
      <c r="C202" s="5" t="inlineStr">
        <is>
          <t>2007</t>
        </is>
      </c>
      <c r="D202" s="5" t="inlineStr">
        <is>
          <t>English</t>
        </is>
      </c>
      <c r="E202" s="5" t="inlineStr">
        <is>
          <t>JOUR</t>
        </is>
      </c>
      <c r="F202" s="5" t="inlineStr">
        <is>
          <t>Falchetti</t>
        </is>
      </c>
      <c r="G202" s="5" t="inlineStr">
        <is>
          <t>Journal of pediatric surgery</t>
        </is>
      </c>
      <c r="H202" s="5" t="inlineStr">
        <is>
          <t>42(8):1457-9</t>
        </is>
      </c>
      <c r="I202" s="6" t="inlineStr">
        <is>
          <t>Splenic cyst in a wandering spleen: laparoscopic treatment with preservation of splenic function.</t>
        </is>
      </c>
      <c r="J202" s="5" t="inlineStr">
        <is>
          <t>10.1016/j.jpedsurg.2007.03.063</t>
        </is>
      </c>
      <c r="K202" s="7" t="inlineStr">
        <is>
          <t>link</t>
        </is>
      </c>
      <c r="L202" s="7" t="inlineStr">
        <is>
          <t>link</t>
        </is>
      </c>
      <c r="M202" s="5" t="inlineStr"/>
      <c r="N202" s="5" t="inlineStr"/>
      <c r="O202" s="5" t="inlineStr"/>
      <c r="P202" s="5" t="inlineStr"/>
      <c r="Q202" s="5" t="inlineStr"/>
      <c r="R202" s="5" t="inlineStr">
        <is>
          <t>2 English, DOI or PubMed link</t>
        </is>
      </c>
      <c r="S202" s="5" t="inlineStr"/>
      <c r="T202" s="5" t="inlineStr">
        <is>
          <t>WS0619.pdf</t>
        </is>
      </c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</row>
    <row r="203">
      <c r="A203" s="5" t="n">
        <v>202</v>
      </c>
      <c r="B203" s="5" t="inlineStr">
        <is>
          <t>WS0623</t>
        </is>
      </c>
      <c r="C203" s="5" t="inlineStr">
        <is>
          <t>2007</t>
        </is>
      </c>
      <c r="D203" s="5" t="inlineStr">
        <is>
          <t>English</t>
        </is>
      </c>
      <c r="E203" s="5" t="inlineStr">
        <is>
          <t>JOUR</t>
        </is>
      </c>
      <c r="F203" s="5" t="inlineStr">
        <is>
          <t>Upadhyaya</t>
        </is>
      </c>
      <c r="G203" s="5" t="inlineStr">
        <is>
          <t>Journal of pediatric surgery</t>
        </is>
      </c>
      <c r="H203" s="5" t="inlineStr">
        <is>
          <t>42(5):E23-7</t>
        </is>
      </c>
      <c r="I203" s="6" t="inlineStr">
        <is>
          <t>Laparoscopic splenopexy and cystectomy for an enlarged wandering spleen and splenic cyst.</t>
        </is>
      </c>
      <c r="J203" s="5" t="inlineStr">
        <is>
          <t>10.1016/j.jpedsurg.2007.03.001</t>
        </is>
      </c>
      <c r="K203" s="7" t="inlineStr">
        <is>
          <t>link</t>
        </is>
      </c>
      <c r="L203" s="7" t="inlineStr">
        <is>
          <t>link</t>
        </is>
      </c>
      <c r="M203" s="5" t="inlineStr"/>
      <c r="N203" s="5" t="inlineStr"/>
      <c r="O203" s="5" t="inlineStr"/>
      <c r="P203" s="5" t="inlineStr"/>
      <c r="Q203" s="5" t="inlineStr"/>
      <c r="R203" s="5" t="inlineStr">
        <is>
          <t>2 English, DOI or PubMed link</t>
        </is>
      </c>
      <c r="S203" s="5" t="inlineStr"/>
      <c r="T203" s="5" t="inlineStr">
        <is>
          <t>WS0623.pdf</t>
        </is>
      </c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</row>
    <row r="204">
      <c r="A204" s="5" t="n">
        <v>203</v>
      </c>
      <c r="B204" s="5" t="inlineStr">
        <is>
          <t>WS0624</t>
        </is>
      </c>
      <c r="C204" s="5" t="inlineStr">
        <is>
          <t>2007</t>
        </is>
      </c>
      <c r="D204" s="5" t="inlineStr">
        <is>
          <t>English</t>
        </is>
      </c>
      <c r="E204" s="5" t="inlineStr">
        <is>
          <t>JOUR</t>
        </is>
      </c>
      <c r="F204" s="5" t="inlineStr">
        <is>
          <t>Lacreuse</t>
        </is>
      </c>
      <c r="G204" s="5" t="inlineStr">
        <is>
          <t>Journal of laparoendoscopic &amp; advanced surgical techniques. Part A</t>
        </is>
      </c>
      <c r="H204" s="5" t="inlineStr">
        <is>
          <t>17(2):255-7</t>
        </is>
      </c>
      <c r="I204" s="6" t="inlineStr">
        <is>
          <t>Laparoscopic splenopexy for a wandering spleen in a child.</t>
        </is>
      </c>
      <c r="J204" s="5" t="inlineStr">
        <is>
          <t>10.1089/lap.2006.0005</t>
        </is>
      </c>
      <c r="K204" s="7" t="inlineStr">
        <is>
          <t>link</t>
        </is>
      </c>
      <c r="L204" s="7" t="inlineStr">
        <is>
          <t>link</t>
        </is>
      </c>
      <c r="M204" s="5" t="inlineStr"/>
      <c r="N204" s="5" t="inlineStr"/>
      <c r="O204" s="5" t="inlineStr"/>
      <c r="P204" s="5" t="inlineStr"/>
      <c r="Q204" s="5" t="inlineStr"/>
      <c r="R204" s="5" t="inlineStr">
        <is>
          <t>2 English, DOI or PubMed link</t>
        </is>
      </c>
      <c r="S204" s="5" t="inlineStr"/>
      <c r="T204" s="5" t="inlineStr">
        <is>
          <t>WS0624.pdf</t>
        </is>
      </c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</row>
    <row r="205">
      <c r="A205" s="5" t="n">
        <v>204</v>
      </c>
      <c r="B205" s="5" t="inlineStr">
        <is>
          <t>WS0630</t>
        </is>
      </c>
      <c r="C205" s="5" t="inlineStr">
        <is>
          <t>2007</t>
        </is>
      </c>
      <c r="D205" s="5" t="inlineStr">
        <is>
          <t>English</t>
        </is>
      </c>
      <c r="E205" s="5" t="inlineStr">
        <is>
          <t>JOUR</t>
        </is>
      </c>
      <c r="F205" s="5" t="inlineStr">
        <is>
          <t>Soleimani</t>
        </is>
      </c>
      <c r="G205" s="5" t="inlineStr">
        <is>
          <t>Surgery today</t>
        </is>
      </c>
      <c r="H205" s="5" t="inlineStr">
        <is>
          <t>37(3):261-9</t>
        </is>
      </c>
      <c r="I205" s="6" t="inlineStr">
        <is>
          <t>Surgical treatment of patients with wandering spleen: report of six cases with a review of the literature.</t>
        </is>
      </c>
      <c r="J205" s="5" t="inlineStr">
        <is>
          <t>10.1007/s00595-006-3389-0</t>
        </is>
      </c>
      <c r="K205" s="7" t="inlineStr">
        <is>
          <t>link</t>
        </is>
      </c>
      <c r="L205" s="7" t="inlineStr">
        <is>
          <t>link</t>
        </is>
      </c>
      <c r="M205" s="5" t="inlineStr"/>
      <c r="N205" s="5" t="inlineStr"/>
      <c r="O205" s="5" t="inlineStr"/>
      <c r="P205" s="5" t="inlineStr"/>
      <c r="Q205" s="5" t="inlineStr"/>
      <c r="R205" s="5" t="inlineStr">
        <is>
          <t>2 English, DOI or PubMed link</t>
        </is>
      </c>
      <c r="S205" s="5" t="inlineStr"/>
      <c r="T205" s="5" t="inlineStr">
        <is>
          <t>WS0630.pdf</t>
        </is>
      </c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</row>
    <row r="206">
      <c r="A206" s="5" t="n">
        <v>205</v>
      </c>
      <c r="B206" s="5" t="inlineStr">
        <is>
          <t>WS0632</t>
        </is>
      </c>
      <c r="C206" s="5" t="inlineStr">
        <is>
          <t>2007</t>
        </is>
      </c>
      <c r="D206" s="5" t="inlineStr">
        <is>
          <t>English</t>
        </is>
      </c>
      <c r="E206" s="5" t="inlineStr">
        <is>
          <t>JOUR</t>
        </is>
      </c>
      <c r="F206" s="5" t="inlineStr">
        <is>
          <t>Kulkarni</t>
        </is>
      </c>
      <c r="G206" s="5" t="inlineStr">
        <is>
          <t>Indian journal of pediatrics</t>
        </is>
      </c>
      <c r="H206" s="5" t="inlineStr">
        <is>
          <t>74(2):202-5</t>
        </is>
      </c>
      <c r="I206" s="6" t="inlineStr">
        <is>
          <t>Eventration of the diaphragm and associations.</t>
        </is>
      </c>
      <c r="J206" s="5" t="inlineStr">
        <is>
          <t>10.1007/s12098-007-0018-x</t>
        </is>
      </c>
      <c r="K206" s="7" t="inlineStr">
        <is>
          <t>link</t>
        </is>
      </c>
      <c r="L206" s="7" t="inlineStr">
        <is>
          <t>link</t>
        </is>
      </c>
      <c r="M206" s="5" t="inlineStr"/>
      <c r="N206" s="5" t="inlineStr"/>
      <c r="O206" s="5" t="inlineStr"/>
      <c r="P206" s="5" t="inlineStr"/>
      <c r="Q206" s="5" t="inlineStr"/>
      <c r="R206" s="5" t="inlineStr">
        <is>
          <t>2 English, DOI or PubMed link</t>
        </is>
      </c>
      <c r="S206" s="5" t="inlineStr"/>
      <c r="T206" s="5" t="inlineStr">
        <is>
          <t>WS0632.pdf</t>
        </is>
      </c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</row>
    <row r="207">
      <c r="A207" s="5" t="n">
        <v>206</v>
      </c>
      <c r="B207" s="5" t="inlineStr">
        <is>
          <t>WS0634</t>
        </is>
      </c>
      <c r="C207" s="5" t="inlineStr">
        <is>
          <t>2007</t>
        </is>
      </c>
      <c r="D207" s="5" t="inlineStr">
        <is>
          <t>English</t>
        </is>
      </c>
      <c r="E207" s="5" t="inlineStr">
        <is>
          <t>JOUR</t>
        </is>
      </c>
      <c r="F207" s="5" t="inlineStr">
        <is>
          <t>Safioleas</t>
        </is>
      </c>
      <c r="G207" s="5" t="inlineStr">
        <is>
          <t>Saudi medical journal</t>
        </is>
      </c>
      <c r="H207" s="5" t="inlineStr">
        <is>
          <t>28(1):135-6</t>
        </is>
      </c>
      <c r="I207" s="6" t="inlineStr">
        <is>
          <t>Wandering spleen with torsion of the pedicle.</t>
        </is>
      </c>
      <c r="J207" s="5" t="inlineStr"/>
      <c r="K207" s="5" t="inlineStr"/>
      <c r="L207" s="7" t="inlineStr">
        <is>
          <t>link</t>
        </is>
      </c>
      <c r="M207" s="5" t="inlineStr"/>
      <c r="N207" s="5" t="inlineStr"/>
      <c r="O207" s="5" t="inlineStr"/>
      <c r="P207" s="5" t="inlineStr"/>
      <c r="Q207" s="5" t="inlineStr"/>
      <c r="R207" s="5" t="inlineStr">
        <is>
          <t>2 English, DOI or PubMed link</t>
        </is>
      </c>
      <c r="S207" s="5" t="inlineStr"/>
      <c r="T207" s="5" t="inlineStr">
        <is>
          <t>WS0634.pdf</t>
        </is>
      </c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</row>
    <row r="208">
      <c r="A208" s="5" t="n">
        <v>207</v>
      </c>
      <c r="B208" s="5" t="inlineStr">
        <is>
          <t>WS1631</t>
        </is>
      </c>
      <c r="C208" s="5" t="inlineStr">
        <is>
          <t>2007</t>
        </is>
      </c>
      <c r="D208" s="5" t="inlineStr">
        <is>
          <t>English</t>
        </is>
      </c>
      <c r="E208" s="5" t="inlineStr">
        <is>
          <t>JOUR</t>
        </is>
      </c>
      <c r="F208" s="5" t="inlineStr">
        <is>
          <t>Rajaram</t>
        </is>
      </c>
      <c r="G208" s="5" t="inlineStr">
        <is>
          <t>Journal of Pelvic Medicine and Surgery</t>
        </is>
      </c>
      <c r="H208" s="5" t="inlineStr">
        <is>
          <t>13(6):375-377</t>
        </is>
      </c>
      <c r="I208" s="6" t="inlineStr">
        <is>
          <t>Wandering pelvic spleen presenting as a gynecologic emergency</t>
        </is>
      </c>
      <c r="J208" s="5" t="inlineStr">
        <is>
          <t>10.1097/spv.0b013e31815a5f7a</t>
        </is>
      </c>
      <c r="K208" s="7" t="inlineStr">
        <is>
          <t>link</t>
        </is>
      </c>
      <c r="L208" s="5" t="inlineStr"/>
      <c r="M208" s="5" t="inlineStr"/>
      <c r="N208" s="5" t="inlineStr"/>
      <c r="O208" s="5" t="inlineStr"/>
      <c r="P208" s="5" t="inlineStr"/>
      <c r="Q208" s="7" t="inlineStr">
        <is>
          <t>link</t>
        </is>
      </c>
      <c r="R208" s="5" t="inlineStr">
        <is>
          <t>2 English, DOI or PubMed link</t>
        </is>
      </c>
      <c r="S208" s="5" t="inlineStr"/>
      <c r="T208" s="5" t="inlineStr">
        <is>
          <t>WS1631.pdf</t>
        </is>
      </c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</row>
    <row r="209">
      <c r="A209" s="5" t="n">
        <v>208</v>
      </c>
      <c r="B209" s="5" t="inlineStr">
        <is>
          <t>WS1704</t>
        </is>
      </c>
      <c r="C209" s="5" t="inlineStr">
        <is>
          <t>2007</t>
        </is>
      </c>
      <c r="D209" s="5" t="inlineStr">
        <is>
          <t>English</t>
        </is>
      </c>
      <c r="E209" s="5" t="inlineStr">
        <is>
          <t>JOUR</t>
        </is>
      </c>
      <c r="F209" s="5" t="inlineStr">
        <is>
          <t>Singla</t>
        </is>
      </c>
      <c r="G209" s="5" t="inlineStr">
        <is>
          <t>Journal of Indian Association of Pediatric Surgeons</t>
        </is>
      </c>
      <c r="H209" s="5" t="inlineStr">
        <is>
          <t>12(1):30-31</t>
        </is>
      </c>
      <c r="I209" s="6" t="inlineStr">
        <is>
          <t>Torsion in a paediatric wandering spleen: Case report and review of literature</t>
        </is>
      </c>
      <c r="J209" s="5" t="inlineStr">
        <is>
          <t>10.4103/0971-9261.31087</t>
        </is>
      </c>
      <c r="K209" s="7" t="inlineStr">
        <is>
          <t>link</t>
        </is>
      </c>
      <c r="L209" s="5" t="inlineStr"/>
      <c r="M209" s="5" t="inlineStr"/>
      <c r="N209" s="5" t="inlineStr"/>
      <c r="O209" s="5" t="inlineStr"/>
      <c r="P209" s="5" t="inlineStr"/>
      <c r="Q209" s="7" t="inlineStr">
        <is>
          <t>link</t>
        </is>
      </c>
      <c r="R209" s="5" t="inlineStr">
        <is>
          <t>2 English, DOI or PubMed link</t>
        </is>
      </c>
      <c r="S209" s="5" t="inlineStr"/>
      <c r="T209" s="5" t="inlineStr">
        <is>
          <t>WS1704.pdf</t>
        </is>
      </c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</row>
    <row r="210">
      <c r="A210" s="5" t="n">
        <v>209</v>
      </c>
      <c r="B210" s="5" t="inlineStr">
        <is>
          <t>WS0638</t>
        </is>
      </c>
      <c r="C210" s="5" t="inlineStr">
        <is>
          <t>2006</t>
        </is>
      </c>
      <c r="D210" s="5" t="inlineStr">
        <is>
          <t>English</t>
        </is>
      </c>
      <c r="E210" s="5" t="inlineStr">
        <is>
          <t>JOUR</t>
        </is>
      </c>
      <c r="F210" s="5" t="inlineStr">
        <is>
          <t>Takayasu</t>
        </is>
      </c>
      <c r="G210" s="5" t="inlineStr">
        <is>
          <t>Surgery today</t>
        </is>
      </c>
      <c r="H210" s="5" t="inlineStr">
        <is>
          <t>36(12):1094-7</t>
        </is>
      </c>
      <c r="I210" s="6" t="inlineStr">
        <is>
          <t>Splenic autotransplantation for a congested and enlarged wandering spleen with torsion: report of a case.</t>
        </is>
      </c>
      <c r="J210" s="5" t="inlineStr">
        <is>
          <t>10.1007/s00595-006-3303-9</t>
        </is>
      </c>
      <c r="K210" s="7" t="inlineStr">
        <is>
          <t>link</t>
        </is>
      </c>
      <c r="L210" s="7" t="inlineStr">
        <is>
          <t>link</t>
        </is>
      </c>
      <c r="M210" s="5" t="inlineStr"/>
      <c r="N210" s="5" t="inlineStr"/>
      <c r="O210" s="5" t="inlineStr"/>
      <c r="P210" s="5" t="inlineStr"/>
      <c r="Q210" s="5" t="inlineStr"/>
      <c r="R210" s="5" t="inlineStr">
        <is>
          <t>2 English, DOI or PubMed link</t>
        </is>
      </c>
      <c r="S210" s="5" t="inlineStr"/>
      <c r="T210" s="5" t="inlineStr">
        <is>
          <t>WS0638.pdf</t>
        </is>
      </c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</row>
    <row r="211">
      <c r="A211" s="5" t="n">
        <v>210</v>
      </c>
      <c r="B211" s="5" t="inlineStr">
        <is>
          <t>WS0642</t>
        </is>
      </c>
      <c r="C211" s="5" t="inlineStr">
        <is>
          <t>2006</t>
        </is>
      </c>
      <c r="D211" s="5" t="inlineStr">
        <is>
          <t>English</t>
        </is>
      </c>
      <c r="E211" s="5" t="inlineStr">
        <is>
          <t>JOUR</t>
        </is>
      </c>
      <c r="F211" s="5" t="inlineStr">
        <is>
          <t>Ben Ely</t>
        </is>
      </c>
      <c r="G211" s="5" t="inlineStr">
        <is>
          <t>Clinical radiology</t>
        </is>
      </c>
      <c r="H211" s="5" t="inlineStr">
        <is>
          <t>61(11):954-8</t>
        </is>
      </c>
      <c r="I211" s="6" t="inlineStr">
        <is>
          <t>The wandering spleen: CT findings and possible pitfalls in diagnosis.</t>
        </is>
      </c>
      <c r="J211" s="5" t="inlineStr">
        <is>
          <t>10.1016/j.crad.2006.06.007</t>
        </is>
      </c>
      <c r="K211" s="7" t="inlineStr">
        <is>
          <t>link</t>
        </is>
      </c>
      <c r="L211" s="7" t="inlineStr">
        <is>
          <t>link</t>
        </is>
      </c>
      <c r="M211" s="5" t="inlineStr"/>
      <c r="N211" s="5" t="inlineStr"/>
      <c r="O211" s="5" t="inlineStr"/>
      <c r="P211" s="5" t="inlineStr"/>
      <c r="Q211" s="5" t="inlineStr"/>
      <c r="R211" s="5" t="inlineStr">
        <is>
          <t>2 English, DOI or PubMed link</t>
        </is>
      </c>
      <c r="S211" s="5" t="inlineStr"/>
      <c r="T211" s="5" t="inlineStr">
        <is>
          <t>WS0642.pdf</t>
        </is>
      </c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</row>
    <row r="212">
      <c r="A212" s="5" t="n">
        <v>211</v>
      </c>
      <c r="B212" s="5" t="inlineStr">
        <is>
          <t>WS0645</t>
        </is>
      </c>
      <c r="C212" s="5" t="inlineStr">
        <is>
          <t>2006</t>
        </is>
      </c>
      <c r="D212" s="5" t="inlineStr">
        <is>
          <t>English</t>
        </is>
      </c>
      <c r="E212" s="5" t="inlineStr">
        <is>
          <t>JOUR</t>
        </is>
      </c>
      <c r="F212" s="5" t="inlineStr">
        <is>
          <t>Fukuzawa</t>
        </is>
      </c>
      <c r="G212" s="5" t="inlineStr">
        <is>
          <t>Pediatric surgery international</t>
        </is>
      </c>
      <c r="H212" s="5" t="inlineStr">
        <is>
          <t>22(11):931-4</t>
        </is>
      </c>
      <c r="I212" s="6" t="inlineStr">
        <is>
          <t>Laparoscopic splenopexy for wandering spleen: extraperitoneal pocket splenopexy.</t>
        </is>
      </c>
      <c r="J212" s="5" t="inlineStr">
        <is>
          <t>10.1007/s00383-006-1760-2</t>
        </is>
      </c>
      <c r="K212" s="7" t="inlineStr">
        <is>
          <t>link</t>
        </is>
      </c>
      <c r="L212" s="7" t="inlineStr">
        <is>
          <t>link</t>
        </is>
      </c>
      <c r="M212" s="5" t="inlineStr"/>
      <c r="N212" s="5" t="inlineStr"/>
      <c r="O212" s="5" t="inlineStr"/>
      <c r="P212" s="5" t="inlineStr"/>
      <c r="Q212" s="5" t="inlineStr"/>
      <c r="R212" s="5" t="inlineStr">
        <is>
          <t>2 English, DOI or PubMed link</t>
        </is>
      </c>
      <c r="S212" s="5" t="inlineStr"/>
      <c r="T212" s="5" t="inlineStr">
        <is>
          <t>WS0645.pdf</t>
        </is>
      </c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</row>
    <row r="213">
      <c r="A213" s="5" t="n">
        <v>212</v>
      </c>
      <c r="B213" s="5" t="inlineStr">
        <is>
          <t>WS0653</t>
        </is>
      </c>
      <c r="C213" s="5" t="inlineStr">
        <is>
          <t>2006</t>
        </is>
      </c>
      <c r="D213" s="5" t="inlineStr">
        <is>
          <t>English</t>
        </is>
      </c>
      <c r="E213" s="5" t="inlineStr">
        <is>
          <t>JOUR</t>
        </is>
      </c>
      <c r="F213" s="5" t="inlineStr">
        <is>
          <t>Kleiner</t>
        </is>
      </c>
      <c r="G213" s="5" t="inlineStr">
        <is>
          <t>Journal of laparoendoscopic &amp; advanced surgical techniques. Part A</t>
        </is>
      </c>
      <c r="H213" s="5" t="inlineStr">
        <is>
          <t>16(3):328-30</t>
        </is>
      </c>
      <c r="I213" s="6" t="inlineStr">
        <is>
          <t>Pediatric wandering spleen successfully treated by laparoscopic splenopexy.</t>
        </is>
      </c>
      <c r="J213" s="5" t="inlineStr">
        <is>
          <t>10.1089/lap.2006.16.328</t>
        </is>
      </c>
      <c r="K213" s="7" t="inlineStr">
        <is>
          <t>link</t>
        </is>
      </c>
      <c r="L213" s="7" t="inlineStr">
        <is>
          <t>link</t>
        </is>
      </c>
      <c r="M213" s="5" t="inlineStr"/>
      <c r="N213" s="5" t="inlineStr"/>
      <c r="O213" s="5" t="inlineStr"/>
      <c r="P213" s="5" t="inlineStr"/>
      <c r="Q213" s="5" t="inlineStr"/>
      <c r="R213" s="5" t="inlineStr">
        <is>
          <t>2 English, DOI or PubMed link</t>
        </is>
      </c>
      <c r="S213" s="5" t="inlineStr"/>
      <c r="T213" s="5" t="inlineStr">
        <is>
          <t>WS0653.pdf</t>
        </is>
      </c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</row>
    <row r="214">
      <c r="A214" s="5" t="n">
        <v>213</v>
      </c>
      <c r="B214" s="5" t="inlineStr">
        <is>
          <t>WS0656</t>
        </is>
      </c>
      <c r="C214" s="5" t="inlineStr">
        <is>
          <t>2006</t>
        </is>
      </c>
      <c r="D214" s="5" t="inlineStr">
        <is>
          <t>English</t>
        </is>
      </c>
      <c r="E214" s="5" t="inlineStr">
        <is>
          <t>JOUR</t>
        </is>
      </c>
      <c r="F214" s="5" t="inlineStr">
        <is>
          <t>Sinha</t>
        </is>
      </c>
      <c r="G214" s="5" t="inlineStr">
        <is>
          <t>Pediatric surgery international</t>
        </is>
      </c>
      <c r="H214" s="5" t="inlineStr">
        <is>
          <t>22(7):605-7</t>
        </is>
      </c>
      <c r="I214" s="6" t="inlineStr">
        <is>
          <t>Splenoptosis complicated by a large splenic cyst: case report and discussion of combined management.</t>
        </is>
      </c>
      <c r="J214" s="5" t="inlineStr">
        <is>
          <t>10.1007/s00383-006-1673-0</t>
        </is>
      </c>
      <c r="K214" s="7" t="inlineStr">
        <is>
          <t>link</t>
        </is>
      </c>
      <c r="L214" s="7" t="inlineStr">
        <is>
          <t>link</t>
        </is>
      </c>
      <c r="M214" s="5" t="inlineStr"/>
      <c r="N214" s="5" t="inlineStr"/>
      <c r="O214" s="5" t="inlineStr"/>
      <c r="P214" s="5" t="inlineStr"/>
      <c r="Q214" s="5" t="inlineStr"/>
      <c r="R214" s="5" t="inlineStr">
        <is>
          <t>2 English, DOI or PubMed link</t>
        </is>
      </c>
      <c r="S214" s="5" t="inlineStr"/>
      <c r="T214" s="5" t="inlineStr">
        <is>
          <t>WS0656.pdf</t>
        </is>
      </c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</row>
    <row r="215">
      <c r="A215" s="5" t="n">
        <v>214</v>
      </c>
      <c r="B215" s="5" t="inlineStr">
        <is>
          <t>WS0658</t>
        </is>
      </c>
      <c r="C215" s="5" t="inlineStr">
        <is>
          <t>2006</t>
        </is>
      </c>
      <c r="D215" s="5" t="inlineStr">
        <is>
          <t>English</t>
        </is>
      </c>
      <c r="E215" s="5" t="inlineStr">
        <is>
          <t>JOUR</t>
        </is>
      </c>
      <c r="F215" s="5" t="inlineStr">
        <is>
          <t>Lopez-Tomassetti Fernandez</t>
        </is>
      </c>
      <c r="G215" s="5" t="inlineStr">
        <is>
          <t>Journal of postgraduate medicine</t>
        </is>
      </c>
      <c r="H215" s="5" t="inlineStr">
        <is>
          <t>52(1):41-2</t>
        </is>
      </c>
      <c r="I215" s="6" t="inlineStr">
        <is>
          <t>An unusual case of hemoperitoneum owing to acute splenic torsion in a child with immunoglobulin deficiency.</t>
        </is>
      </c>
      <c r="J215" s="5" t="inlineStr"/>
      <c r="K215" s="5" t="inlineStr"/>
      <c r="L215" s="7" t="inlineStr">
        <is>
          <t>link</t>
        </is>
      </c>
      <c r="M215" s="5" t="inlineStr"/>
      <c r="N215" s="5" t="inlineStr"/>
      <c r="O215" s="5" t="inlineStr"/>
      <c r="P215" s="5" t="inlineStr"/>
      <c r="Q215" s="5" t="inlineStr"/>
      <c r="R215" s="5" t="inlineStr">
        <is>
          <t>2 English, DOI or PubMed link</t>
        </is>
      </c>
      <c r="S215" s="5" t="inlineStr"/>
      <c r="T215" s="5" t="inlineStr">
        <is>
          <t>WS0658.pdf</t>
        </is>
      </c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</row>
    <row r="216">
      <c r="A216" s="5" t="n">
        <v>215</v>
      </c>
      <c r="B216" s="5" t="inlineStr">
        <is>
          <t>WS0660</t>
        </is>
      </c>
      <c r="C216" s="5" t="inlineStr">
        <is>
          <t>2005</t>
        </is>
      </c>
      <c r="D216" s="5" t="inlineStr">
        <is>
          <t>English</t>
        </is>
      </c>
      <c r="E216" s="5" t="inlineStr">
        <is>
          <t>JOUR</t>
        </is>
      </c>
      <c r="F216" s="5" t="inlineStr">
        <is>
          <t>Thambidorai</t>
        </is>
      </c>
      <c r="G216" s="5" t="inlineStr">
        <is>
          <t>The Medical journal of Malaysia</t>
        </is>
      </c>
      <c r="H216" s="5" t="inlineStr">
        <is>
          <t>60(5):653-4</t>
        </is>
      </c>
      <c r="I216" s="6" t="inlineStr">
        <is>
          <t>Torsion of a wandering spleen with whorled appearance of the splenic hilum in CT scan.</t>
        </is>
      </c>
      <c r="J216" s="5" t="inlineStr"/>
      <c r="K216" s="5" t="inlineStr"/>
      <c r="L216" s="7" t="inlineStr">
        <is>
          <t>link</t>
        </is>
      </c>
      <c r="M216" s="5" t="inlineStr"/>
      <c r="N216" s="5" t="inlineStr"/>
      <c r="O216" s="5" t="inlineStr"/>
      <c r="P216" s="5" t="inlineStr"/>
      <c r="Q216" s="5" t="inlineStr"/>
      <c r="R216" s="5" t="inlineStr">
        <is>
          <t>2 English, DOI or PubMed link</t>
        </is>
      </c>
      <c r="S216" s="5" t="inlineStr"/>
      <c r="T216" s="5" t="inlineStr">
        <is>
          <t>WS0660.pdf</t>
        </is>
      </c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</row>
    <row r="217">
      <c r="A217" s="5" t="n">
        <v>216</v>
      </c>
      <c r="B217" s="5" t="inlineStr">
        <is>
          <t>WS0663</t>
        </is>
      </c>
      <c r="C217" s="5" t="inlineStr">
        <is>
          <t>2005</t>
        </is>
      </c>
      <c r="D217" s="5" t="inlineStr">
        <is>
          <t>English</t>
        </is>
      </c>
      <c r="E217" s="5" t="inlineStr">
        <is>
          <t>JOUR</t>
        </is>
      </c>
      <c r="F217" s="5" t="inlineStr">
        <is>
          <t>Lin</t>
        </is>
      </c>
      <c r="G217" s="5" t="inlineStr">
        <is>
          <t>Journal of the Formosan Medical Association = Taiwan yi zhi</t>
        </is>
      </c>
      <c r="H217" s="5" t="inlineStr">
        <is>
          <t>104(10):755-8</t>
        </is>
      </c>
      <c r="I217" s="6" t="inlineStr">
        <is>
          <t>Wandering spleen with torsion and gastric volvulus.</t>
        </is>
      </c>
      <c r="J217" s="5" t="inlineStr"/>
      <c r="K217" s="5" t="inlineStr"/>
      <c r="L217" s="7" t="inlineStr">
        <is>
          <t>link</t>
        </is>
      </c>
      <c r="M217" s="5" t="inlineStr"/>
      <c r="N217" s="5" t="inlineStr"/>
      <c r="O217" s="5" t="inlineStr"/>
      <c r="P217" s="5" t="inlineStr"/>
      <c r="Q217" s="5" t="inlineStr"/>
      <c r="R217" s="5" t="inlineStr">
        <is>
          <t>2 English, DOI or PubMed link</t>
        </is>
      </c>
      <c r="S217" s="5" t="inlineStr"/>
      <c r="T217" s="5" t="inlineStr">
        <is>
          <t>WS0663.pdf</t>
        </is>
      </c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</row>
    <row r="218">
      <c r="A218" s="5" t="n">
        <v>217</v>
      </c>
      <c r="B218" s="5" t="inlineStr">
        <is>
          <t>WS0664</t>
        </is>
      </c>
      <c r="C218" s="5" t="inlineStr">
        <is>
          <t>2005</t>
        </is>
      </c>
      <c r="D218" s="5" t="inlineStr">
        <is>
          <t>English</t>
        </is>
      </c>
      <c r="E218" s="5" t="inlineStr">
        <is>
          <t>JOUR</t>
        </is>
      </c>
      <c r="F218" s="5" t="inlineStr">
        <is>
          <t>Hedeshian</t>
        </is>
      </c>
      <c r="G218" s="5" t="inlineStr">
        <is>
          <t>Journal of laparoendoscopic &amp; advanced surgical techniques. Part A</t>
        </is>
      </c>
      <c r="H218" s="5" t="inlineStr">
        <is>
          <t>15(6):670-2</t>
        </is>
      </c>
      <c r="I218" s="6" t="inlineStr">
        <is>
          <t>Laparoscopic splenopexy of a pediatric wandering spleen by creation of a retroperitoneal pocket.</t>
        </is>
      </c>
      <c r="J218" s="5" t="inlineStr">
        <is>
          <t>10.1089/lap.2005.15.670</t>
        </is>
      </c>
      <c r="K218" s="7" t="inlineStr">
        <is>
          <t>link</t>
        </is>
      </c>
      <c r="L218" s="7" t="inlineStr">
        <is>
          <t>link</t>
        </is>
      </c>
      <c r="M218" s="5" t="inlineStr"/>
      <c r="N218" s="5" t="inlineStr"/>
      <c r="O218" s="5" t="inlineStr"/>
      <c r="P218" s="5" t="inlineStr"/>
      <c r="Q218" s="5" t="inlineStr"/>
      <c r="R218" s="5" t="inlineStr">
        <is>
          <t>2 English, DOI or PubMed link</t>
        </is>
      </c>
      <c r="S218" s="5" t="inlineStr"/>
      <c r="T218" s="5" t="inlineStr">
        <is>
          <t>WS0664.pdf</t>
        </is>
      </c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</row>
    <row r="219">
      <c r="A219" s="5" t="n">
        <v>218</v>
      </c>
      <c r="B219" s="5" t="inlineStr">
        <is>
          <t>WS0668</t>
        </is>
      </c>
      <c r="C219" s="5" t="inlineStr">
        <is>
          <t>2005</t>
        </is>
      </c>
      <c r="D219" s="5" t="inlineStr">
        <is>
          <t>English</t>
        </is>
      </c>
      <c r="E219" s="5" t="inlineStr">
        <is>
          <t>JOUR</t>
        </is>
      </c>
      <c r="F219" s="5" t="inlineStr">
        <is>
          <t>Karmazyn</t>
        </is>
      </c>
      <c r="G219" s="5" t="inlineStr">
        <is>
          <t>Journal of clinical ultrasound : JCU</t>
        </is>
      </c>
      <c r="H219" s="5" t="inlineStr">
        <is>
          <t>33(9):433-8</t>
        </is>
      </c>
      <c r="I219" s="6" t="inlineStr">
        <is>
          <t>Wandering spleen--the challenge of ultrasound diagnosis: report of 7 cases.</t>
        </is>
      </c>
      <c r="J219" s="5" t="inlineStr">
        <is>
          <t>10.1002/jcu.20165</t>
        </is>
      </c>
      <c r="K219" s="7" t="inlineStr">
        <is>
          <t>link</t>
        </is>
      </c>
      <c r="L219" s="7" t="inlineStr">
        <is>
          <t>link</t>
        </is>
      </c>
      <c r="M219" s="5" t="inlineStr"/>
      <c r="N219" s="5" t="inlineStr"/>
      <c r="O219" s="5" t="inlineStr"/>
      <c r="P219" s="5" t="inlineStr"/>
      <c r="Q219" s="5" t="inlineStr"/>
      <c r="R219" s="5" t="inlineStr">
        <is>
          <t>2 English, DOI or PubMed link</t>
        </is>
      </c>
      <c r="S219" s="5" t="inlineStr"/>
      <c r="T219" s="5" t="inlineStr">
        <is>
          <t>WS0668.pdf</t>
        </is>
      </c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</row>
    <row r="220">
      <c r="A220" s="5" t="n">
        <v>219</v>
      </c>
      <c r="B220" s="5" t="inlineStr">
        <is>
          <t>WS0669</t>
        </is>
      </c>
      <c r="C220" s="5" t="inlineStr">
        <is>
          <t>2005</t>
        </is>
      </c>
      <c r="D220" s="5" t="inlineStr">
        <is>
          <t>English</t>
        </is>
      </c>
      <c r="E220" s="5" t="inlineStr">
        <is>
          <t>JOUR</t>
        </is>
      </c>
      <c r="F220" s="5" t="inlineStr">
        <is>
          <t>Taori</t>
        </is>
      </c>
      <c r="G220" s="5" t="inlineStr">
        <is>
          <t>The British journal of radiology</t>
        </is>
      </c>
      <c r="H220" s="5" t="inlineStr">
        <is>
          <t>78(935):1050-2</t>
        </is>
      </c>
      <c r="I220" s="6" t="inlineStr">
        <is>
          <t>Pseudocyst formation: a rare complication of wandering spleen.</t>
        </is>
      </c>
      <c r="J220" s="5" t="inlineStr">
        <is>
          <t>10.1259/bjr/33073529</t>
        </is>
      </c>
      <c r="K220" s="7" t="inlineStr">
        <is>
          <t>link</t>
        </is>
      </c>
      <c r="L220" s="7" t="inlineStr">
        <is>
          <t>link</t>
        </is>
      </c>
      <c r="M220" s="5" t="inlineStr"/>
      <c r="N220" s="5" t="inlineStr"/>
      <c r="O220" s="5" t="inlineStr"/>
      <c r="P220" s="5" t="inlineStr"/>
      <c r="Q220" s="5" t="inlineStr"/>
      <c r="R220" s="5" t="inlineStr">
        <is>
          <t>2 English, DOI or PubMed link</t>
        </is>
      </c>
      <c r="S220" s="5" t="inlineStr"/>
      <c r="T220" s="5" t="inlineStr">
        <is>
          <t>WS0669.pdf</t>
        </is>
      </c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</row>
    <row r="221">
      <c r="A221" s="5" t="n">
        <v>220</v>
      </c>
      <c r="B221" s="5" t="inlineStr">
        <is>
          <t>WS0678</t>
        </is>
      </c>
      <c r="C221" s="5" t="inlineStr">
        <is>
          <t>2005</t>
        </is>
      </c>
      <c r="D221" s="5" t="inlineStr">
        <is>
          <t>English</t>
        </is>
      </c>
      <c r="E221" s="5" t="inlineStr">
        <is>
          <t>JOUR</t>
        </is>
      </c>
      <c r="F221" s="5" t="inlineStr">
        <is>
          <t>Martinez-Ferro</t>
        </is>
      </c>
      <c r="G221" s="5" t="inlineStr">
        <is>
          <t>Journal of pediatric surgery</t>
        </is>
      </c>
      <c r="H221" s="5" t="inlineStr">
        <is>
          <t>40(5):882-4</t>
        </is>
      </c>
      <c r="I221" s="6" t="inlineStr">
        <is>
          <t>Laparoscopic pocket splenopexy for wandering spleen: a case report.</t>
        </is>
      </c>
      <c r="J221" s="5" t="inlineStr">
        <is>
          <t>10.1016/j.jpedsurg.2005.02.009</t>
        </is>
      </c>
      <c r="K221" s="7" t="inlineStr">
        <is>
          <t>link</t>
        </is>
      </c>
      <c r="L221" s="7" t="inlineStr">
        <is>
          <t>link</t>
        </is>
      </c>
      <c r="M221" s="5" t="inlineStr"/>
      <c r="N221" s="5" t="inlineStr"/>
      <c r="O221" s="5" t="inlineStr"/>
      <c r="P221" s="5" t="inlineStr"/>
      <c r="Q221" s="5" t="inlineStr"/>
      <c r="R221" s="5" t="inlineStr">
        <is>
          <t>2 English, DOI or PubMed link</t>
        </is>
      </c>
      <c r="S221" s="5" t="inlineStr"/>
      <c r="T221" s="5" t="inlineStr">
        <is>
          <t>WS0678.pdf</t>
        </is>
      </c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</row>
    <row r="222">
      <c r="A222" s="5" t="n">
        <v>221</v>
      </c>
      <c r="B222" s="5" t="inlineStr">
        <is>
          <t>WS0681</t>
        </is>
      </c>
      <c r="C222" s="5" t="inlineStr">
        <is>
          <t>2005</t>
        </is>
      </c>
      <c r="D222" s="5" t="inlineStr">
        <is>
          <t>English</t>
        </is>
      </c>
      <c r="E222" s="5" t="inlineStr">
        <is>
          <t>JOUR</t>
        </is>
      </c>
      <c r="F222" s="5" t="inlineStr">
        <is>
          <t>Esposito</t>
        </is>
      </c>
      <c r="G222" s="5" t="inlineStr">
        <is>
          <t>Pediatric surgery international</t>
        </is>
      </c>
      <c r="H222" s="5" t="inlineStr">
        <is>
          <t>21(6):488-90</t>
        </is>
      </c>
      <c r="I222" s="6" t="inlineStr">
        <is>
          <t>Enlarged wandering spleen treated with hemisplenectomy and fixation of the residual spleen.</t>
        </is>
      </c>
      <c r="J222" s="5" t="inlineStr">
        <is>
          <t>10.1007/s00383-005-1403-z</t>
        </is>
      </c>
      <c r="K222" s="7" t="inlineStr">
        <is>
          <t>link</t>
        </is>
      </c>
      <c r="L222" s="7" t="inlineStr">
        <is>
          <t>link</t>
        </is>
      </c>
      <c r="M222" s="5" t="inlineStr"/>
      <c r="N222" s="5" t="inlineStr"/>
      <c r="O222" s="5" t="inlineStr"/>
      <c r="P222" s="5" t="inlineStr"/>
      <c r="Q222" s="5" t="inlineStr"/>
      <c r="R222" s="5" t="inlineStr">
        <is>
          <t>2 English, DOI or PubMed link</t>
        </is>
      </c>
      <c r="S222" s="5" t="inlineStr"/>
      <c r="T222" s="5" t="inlineStr">
        <is>
          <t>WS0681.pdf</t>
        </is>
      </c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</row>
    <row r="223">
      <c r="A223" s="5" t="n">
        <v>222</v>
      </c>
      <c r="B223" s="5" t="inlineStr">
        <is>
          <t>WS0683</t>
        </is>
      </c>
      <c r="C223" s="5" t="inlineStr">
        <is>
          <t>2005</t>
        </is>
      </c>
      <c r="D223" s="5" t="inlineStr">
        <is>
          <t>English</t>
        </is>
      </c>
      <c r="E223" s="5" t="inlineStr">
        <is>
          <t>JOUR</t>
        </is>
      </c>
      <c r="F223" s="5" t="inlineStr">
        <is>
          <t>Schaarschmidt</t>
        </is>
      </c>
      <c r="G223" s="5" t="inlineStr">
        <is>
          <t>Journal of pediatric surgery</t>
        </is>
      </c>
      <c r="H223" s="5" t="inlineStr">
        <is>
          <t>40(3):575-7</t>
        </is>
      </c>
      <c r="I223" s="6" t="inlineStr">
        <is>
          <t>The technique of laparoscopic retroperitoneal splenopexy for symptomatic wandering spleen in childhood.</t>
        </is>
      </c>
      <c r="J223" s="5" t="inlineStr">
        <is>
          <t>10.1016/j.jpedsurg.2004.11.020</t>
        </is>
      </c>
      <c r="K223" s="7" t="inlineStr">
        <is>
          <t>link</t>
        </is>
      </c>
      <c r="L223" s="7" t="inlineStr">
        <is>
          <t>link</t>
        </is>
      </c>
      <c r="M223" s="5" t="inlineStr"/>
      <c r="N223" s="5" t="inlineStr"/>
      <c r="O223" s="5" t="inlineStr"/>
      <c r="P223" s="5" t="inlineStr"/>
      <c r="Q223" s="5" t="inlineStr"/>
      <c r="R223" s="5" t="inlineStr">
        <is>
          <t>2 English, DOI or PubMed link</t>
        </is>
      </c>
      <c r="S223" s="5" t="inlineStr"/>
      <c r="T223" s="5" t="inlineStr">
        <is>
          <t>WS0683.pdf</t>
        </is>
      </c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</row>
    <row r="224">
      <c r="A224" s="5" t="n">
        <v>223</v>
      </c>
      <c r="B224" s="5" t="inlineStr">
        <is>
          <t>WS0686</t>
        </is>
      </c>
      <c r="C224" s="5" t="inlineStr">
        <is>
          <t>2005</t>
        </is>
      </c>
      <c r="D224" s="5" t="inlineStr">
        <is>
          <t>English</t>
        </is>
      </c>
      <c r="E224" s="5" t="inlineStr">
        <is>
          <t>JOUR</t>
        </is>
      </c>
      <c r="F224" s="5" t="inlineStr">
        <is>
          <t>Breisch</t>
        </is>
      </c>
      <c r="G224" s="5" t="inlineStr">
        <is>
          <t>Pediatric and developmental pathology : the official journal of the Society for Pediatric Pathology and the Paediatric Pathology Society</t>
        </is>
      </c>
      <c r="H224" s="5" t="inlineStr">
        <is>
          <t>8(1):132-5</t>
        </is>
      </c>
      <c r="I224" s="6" t="inlineStr">
        <is>
          <t>Autoinfarcted wandering spleen and fatal pneumococcal sepsis in an infant.</t>
        </is>
      </c>
      <c r="J224" s="5" t="inlineStr">
        <is>
          <t>10.1007/s10024-004-7082-2</t>
        </is>
      </c>
      <c r="K224" s="7" t="inlineStr">
        <is>
          <t>link</t>
        </is>
      </c>
      <c r="L224" s="7" t="inlineStr">
        <is>
          <t>link</t>
        </is>
      </c>
      <c r="M224" s="5" t="inlineStr"/>
      <c r="N224" s="5" t="inlineStr"/>
      <c r="O224" s="5" t="inlineStr"/>
      <c r="P224" s="5" t="inlineStr"/>
      <c r="Q224" s="5" t="inlineStr"/>
      <c r="R224" s="5" t="inlineStr">
        <is>
          <t>2 English, DOI or PubMed link</t>
        </is>
      </c>
      <c r="S224" s="5" t="inlineStr"/>
      <c r="T224" s="5" t="inlineStr">
        <is>
          <t>WS0686.pdf</t>
        </is>
      </c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</row>
    <row r="225">
      <c r="A225" s="5" t="n">
        <v>224</v>
      </c>
      <c r="B225" s="5" t="inlineStr">
        <is>
          <t>WS0691</t>
        </is>
      </c>
      <c r="C225" s="5" t="inlineStr">
        <is>
          <t>2004</t>
        </is>
      </c>
      <c r="D225" s="5" t="inlineStr">
        <is>
          <t>English</t>
        </is>
      </c>
      <c r="E225" s="5" t="inlineStr">
        <is>
          <t>JOUR</t>
        </is>
      </c>
      <c r="F225" s="5" t="inlineStr">
        <is>
          <t>Melissas</t>
        </is>
      </c>
      <c r="G225" s="5" t="inlineStr">
        <is>
          <t>Acta chirurgica Belgica</t>
        </is>
      </c>
      <c r="H225" s="5" t="inlineStr">
        <is>
          <t>104(5):559-63</t>
        </is>
      </c>
      <c r="I225" s="6" t="inlineStr">
        <is>
          <t>Experience with benign splenic disease.</t>
        </is>
      </c>
      <c r="J225" s="5" t="inlineStr">
        <is>
          <t>10.1080/00015458.2004.11679614</t>
        </is>
      </c>
      <c r="K225" s="7" t="inlineStr">
        <is>
          <t>link</t>
        </is>
      </c>
      <c r="L225" s="7" t="inlineStr">
        <is>
          <t>link</t>
        </is>
      </c>
      <c r="M225" s="5" t="inlineStr"/>
      <c r="N225" s="5" t="inlineStr"/>
      <c r="O225" s="5" t="inlineStr"/>
      <c r="P225" s="5" t="inlineStr"/>
      <c r="Q225" s="5" t="inlineStr"/>
      <c r="R225" s="5" t="inlineStr">
        <is>
          <t>2 English, DOI or PubMed link</t>
        </is>
      </c>
      <c r="S225" s="5" t="inlineStr"/>
      <c r="T225" s="5" t="inlineStr">
        <is>
          <t>WS0691.pdf</t>
        </is>
      </c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</row>
    <row r="226">
      <c r="A226" s="5" t="n">
        <v>225</v>
      </c>
      <c r="B226" s="5" t="inlineStr">
        <is>
          <t>WS0694</t>
        </is>
      </c>
      <c r="C226" s="5" t="inlineStr">
        <is>
          <t>2004</t>
        </is>
      </c>
      <c r="D226" s="5" t="inlineStr">
        <is>
          <t>English</t>
        </is>
      </c>
      <c r="E226" s="5" t="inlineStr">
        <is>
          <t>JOUR</t>
        </is>
      </c>
      <c r="F226" s="5" t="inlineStr">
        <is>
          <t>Hussain</t>
        </is>
      </c>
      <c r="G226" s="5" t="inlineStr">
        <is>
          <t>Journal of the College of Physicians and Surgeons--Pakistan : JCPSP</t>
        </is>
      </c>
      <c r="H226" s="5" t="inlineStr">
        <is>
          <t>14(8):496-8</t>
        </is>
      </c>
      <c r="I226" s="6" t="inlineStr">
        <is>
          <t>Pelvic spleen with uterovaginal prolapse.</t>
        </is>
      </c>
      <c r="J226" s="5" t="inlineStr"/>
      <c r="K226" s="5" t="inlineStr"/>
      <c r="L226" s="7" t="inlineStr">
        <is>
          <t>link</t>
        </is>
      </c>
      <c r="M226" s="5" t="inlineStr"/>
      <c r="N226" s="5" t="inlineStr"/>
      <c r="O226" s="5" t="inlineStr"/>
      <c r="P226" s="5" t="inlineStr"/>
      <c r="Q226" s="5" t="inlineStr"/>
      <c r="R226" s="5" t="inlineStr">
        <is>
          <t>2 English, DOI or PubMed link</t>
        </is>
      </c>
      <c r="S226" s="5" t="inlineStr"/>
      <c r="T226" s="5" t="inlineStr">
        <is>
          <t>WS0694.pdf</t>
        </is>
      </c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</row>
    <row r="227">
      <c r="A227" s="5" t="n">
        <v>226</v>
      </c>
      <c r="B227" s="5" t="inlineStr">
        <is>
          <t>WS0696</t>
        </is>
      </c>
      <c r="C227" s="5" t="inlineStr">
        <is>
          <t>2004</t>
        </is>
      </c>
      <c r="D227" s="5" t="inlineStr">
        <is>
          <t>English</t>
        </is>
      </c>
      <c r="E227" s="5" t="inlineStr">
        <is>
          <t>JOUR</t>
        </is>
      </c>
      <c r="F227" s="5" t="inlineStr">
        <is>
          <t>Hosgor</t>
        </is>
      </c>
      <c r="G227" s="5" t="inlineStr">
        <is>
          <t>Journal of pediatric surgery</t>
        </is>
      </c>
      <c r="H227" s="5" t="inlineStr">
        <is>
          <t>39(7):1073-6</t>
        </is>
      </c>
      <c r="I227" s="6" t="inlineStr">
        <is>
          <t>Associated malformations in delayed presentation of congenital diaphragmatic hernia.</t>
        </is>
      </c>
      <c r="J227" s="5" t="inlineStr">
        <is>
          <t>10.1016/j.jpedsurg.2004.03.050</t>
        </is>
      </c>
      <c r="K227" s="7" t="inlineStr">
        <is>
          <t>link</t>
        </is>
      </c>
      <c r="L227" s="7" t="inlineStr">
        <is>
          <t>link</t>
        </is>
      </c>
      <c r="M227" s="5" t="inlineStr"/>
      <c r="N227" s="5" t="inlineStr"/>
      <c r="O227" s="5" t="inlineStr"/>
      <c r="P227" s="5" t="inlineStr"/>
      <c r="Q227" s="5" t="inlineStr"/>
      <c r="R227" s="5" t="inlineStr">
        <is>
          <t>2 English, DOI or PubMed link</t>
        </is>
      </c>
      <c r="S227" s="5" t="inlineStr"/>
      <c r="T227" s="5" t="inlineStr">
        <is>
          <t>WS0696.pdf</t>
        </is>
      </c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</row>
    <row r="228">
      <c r="A228" s="5" t="n">
        <v>227</v>
      </c>
      <c r="B228" s="5" t="inlineStr">
        <is>
          <t>WS0697</t>
        </is>
      </c>
      <c r="C228" s="5" t="inlineStr">
        <is>
          <t>2004</t>
        </is>
      </c>
      <c r="D228" s="5" t="inlineStr">
        <is>
          <t>English</t>
        </is>
      </c>
      <c r="E228" s="5" t="inlineStr">
        <is>
          <t>JOUR</t>
        </is>
      </c>
      <c r="F228" s="5" t="inlineStr">
        <is>
          <t>Bakir</t>
        </is>
      </c>
      <c r="G228" s="5" t="inlineStr">
        <is>
          <t>Abdominal imaging</t>
        </is>
      </c>
      <c r="H228" s="5" t="inlineStr">
        <is>
          <t>29(6):707-9</t>
        </is>
      </c>
      <c r="I228" s="6" t="inlineStr">
        <is>
          <t>Acute torsion of a wandering spleen: imaging findings.</t>
        </is>
      </c>
      <c r="J228" s="5" t="inlineStr">
        <is>
          <t>10.1007/s00261-004-0174-7</t>
        </is>
      </c>
      <c r="K228" s="7" t="inlineStr">
        <is>
          <t>link</t>
        </is>
      </c>
      <c r="L228" s="7" t="inlineStr">
        <is>
          <t>link</t>
        </is>
      </c>
      <c r="M228" s="5" t="inlineStr"/>
      <c r="N228" s="5" t="inlineStr"/>
      <c r="O228" s="5" t="inlineStr"/>
      <c r="P228" s="5" t="inlineStr"/>
      <c r="Q228" s="5" t="inlineStr"/>
      <c r="R228" s="5" t="inlineStr">
        <is>
          <t>2 English, DOI or PubMed link</t>
        </is>
      </c>
      <c r="S228" s="5" t="inlineStr"/>
      <c r="T228" s="5" t="inlineStr">
        <is>
          <t>WS0697.pdf</t>
        </is>
      </c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</row>
    <row r="229">
      <c r="A229" s="5" t="n">
        <v>228</v>
      </c>
      <c r="B229" s="5" t="inlineStr">
        <is>
          <t>WS0698</t>
        </is>
      </c>
      <c r="C229" s="5" t="inlineStr">
        <is>
          <t>2004</t>
        </is>
      </c>
      <c r="D229" s="5" t="inlineStr">
        <is>
          <t>English</t>
        </is>
      </c>
      <c r="E229" s="5" t="inlineStr">
        <is>
          <t>JOUR</t>
        </is>
      </c>
      <c r="F229" s="5" t="inlineStr">
        <is>
          <t>Arda</t>
        </is>
      </c>
      <c r="G229" s="5" t="inlineStr">
        <is>
          <t>JBR-BTR : organe de la Societe royale belge de radiologie (SRBR) = orgaan van de Koninklijke Belgische Vereniging voor Radiologie (KBVR)</t>
        </is>
      </c>
      <c r="H229" s="5" t="inlineStr">
        <is>
          <t>87(2):70-2</t>
        </is>
      </c>
      <c r="I229" s="6" t="inlineStr">
        <is>
          <t>Intermittent torsion of a wandering spleen in a child: the role of MRI in diagnosis.</t>
        </is>
      </c>
      <c r="J229" s="5" t="inlineStr"/>
      <c r="K229" s="5" t="inlineStr"/>
      <c r="L229" s="7" t="inlineStr">
        <is>
          <t>link</t>
        </is>
      </c>
      <c r="M229" s="5" t="inlineStr"/>
      <c r="N229" s="5" t="inlineStr"/>
      <c r="O229" s="5" t="inlineStr"/>
      <c r="P229" s="5" t="inlineStr"/>
      <c r="Q229" s="5" t="inlineStr"/>
      <c r="R229" s="5" t="inlineStr">
        <is>
          <t>2 English, DOI or PubMed link</t>
        </is>
      </c>
      <c r="S229" s="5" t="inlineStr"/>
      <c r="T229" s="5" t="inlineStr">
        <is>
          <t>WS0698.pdf</t>
        </is>
      </c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</row>
    <row r="230">
      <c r="A230" s="5" t="n">
        <v>229</v>
      </c>
      <c r="B230" s="5" t="inlineStr">
        <is>
          <t>WS0699</t>
        </is>
      </c>
      <c r="C230" s="5" t="inlineStr">
        <is>
          <t>2004</t>
        </is>
      </c>
      <c r="D230" s="5" t="inlineStr">
        <is>
          <t>English</t>
        </is>
      </c>
      <c r="E230" s="5" t="inlineStr">
        <is>
          <t>JOUR</t>
        </is>
      </c>
      <c r="F230" s="5" t="inlineStr">
        <is>
          <t>Alimoglu</t>
        </is>
      </c>
      <c r="G230" s="5" t="inlineStr">
        <is>
          <t>Acta chirurgica Belgica</t>
        </is>
      </c>
      <c r="H230" s="5" t="inlineStr">
        <is>
          <t>104(2):221-3</t>
        </is>
      </c>
      <c r="I230" s="6" t="inlineStr">
        <is>
          <t>Torsion of a wandering spleen presenting with acute abdomen: a case report.</t>
        </is>
      </c>
      <c r="J230" s="5" t="inlineStr">
        <is>
          <t>10.1080/00015458.2004.11679541</t>
        </is>
      </c>
      <c r="K230" s="7" t="inlineStr">
        <is>
          <t>link</t>
        </is>
      </c>
      <c r="L230" s="7" t="inlineStr">
        <is>
          <t>link</t>
        </is>
      </c>
      <c r="M230" s="5" t="inlineStr"/>
      <c r="N230" s="5" t="inlineStr"/>
      <c r="O230" s="5" t="inlineStr"/>
      <c r="P230" s="5" t="inlineStr"/>
      <c r="Q230" s="5" t="inlineStr"/>
      <c r="R230" s="5" t="inlineStr">
        <is>
          <t>2 English, DOI or PubMed link</t>
        </is>
      </c>
      <c r="S230" s="5" t="inlineStr">
        <is>
          <t>Y</t>
        </is>
      </c>
      <c r="T230" s="5" t="inlineStr">
        <is>
          <t>WS0699.pdf</t>
        </is>
      </c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</row>
    <row r="231">
      <c r="A231" s="5" t="n">
        <v>230</v>
      </c>
      <c r="B231" s="5" t="inlineStr">
        <is>
          <t>WS0701</t>
        </is>
      </c>
      <c r="C231" s="5" t="inlineStr">
        <is>
          <t>2004</t>
        </is>
      </c>
      <c r="D231" s="5" t="inlineStr">
        <is>
          <t>English</t>
        </is>
      </c>
      <c r="E231" s="5" t="inlineStr">
        <is>
          <t>JOUR</t>
        </is>
      </c>
      <c r="F231" s="5" t="inlineStr">
        <is>
          <t>Corcione</t>
        </is>
      </c>
      <c r="G231" s="5" t="inlineStr">
        <is>
          <t>Surgical endoscopy</t>
        </is>
      </c>
      <c r="H231" s="5" t="inlineStr">
        <is>
          <t>18(3):554-6</t>
        </is>
      </c>
      <c r="I231" s="6" t="inlineStr">
        <is>
          <t>Laparoscopic splenectomy for the treatment of wandering spleen.</t>
        </is>
      </c>
      <c r="J231" s="5" t="inlineStr">
        <is>
          <t>10.1007/s00464-003-4254-5</t>
        </is>
      </c>
      <c r="K231" s="7" t="inlineStr">
        <is>
          <t>link</t>
        </is>
      </c>
      <c r="L231" s="7" t="inlineStr">
        <is>
          <t>link</t>
        </is>
      </c>
      <c r="M231" s="5" t="inlineStr"/>
      <c r="N231" s="5" t="inlineStr"/>
      <c r="O231" s="5" t="inlineStr"/>
      <c r="P231" s="5" t="inlineStr"/>
      <c r="Q231" s="5" t="inlineStr"/>
      <c r="R231" s="5" t="inlineStr">
        <is>
          <t>2 English, DOI or PubMed link</t>
        </is>
      </c>
      <c r="S231" s="5" t="inlineStr"/>
      <c r="T231" s="5" t="inlineStr">
        <is>
          <t>WS0701.pdf</t>
        </is>
      </c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</row>
    <row r="232">
      <c r="A232" s="5" t="n">
        <v>231</v>
      </c>
      <c r="B232" s="5" t="inlineStr">
        <is>
          <t>WS0702</t>
        </is>
      </c>
      <c r="C232" s="5" t="inlineStr">
        <is>
          <t>2004</t>
        </is>
      </c>
      <c r="D232" s="5" t="inlineStr">
        <is>
          <t>English</t>
        </is>
      </c>
      <c r="E232" s="5" t="inlineStr">
        <is>
          <t>JOUR</t>
        </is>
      </c>
      <c r="F232" s="5" t="inlineStr">
        <is>
          <t>Qazi</t>
        </is>
      </c>
      <c r="G232" s="5" t="inlineStr">
        <is>
          <t>Pediatric surgery international</t>
        </is>
      </c>
      <c r="H232" s="5" t="inlineStr">
        <is>
          <t>20(11-12):878-80</t>
        </is>
      </c>
      <c r="I232" s="6" t="inlineStr">
        <is>
          <t>Wandering spleen: a rare cause of mesenteroaxial gastric volvulus.</t>
        </is>
      </c>
      <c r="J232" s="5" t="inlineStr">
        <is>
          <t>10.1007/s00383-004-1157-z</t>
        </is>
      </c>
      <c r="K232" s="7" t="inlineStr">
        <is>
          <t>link</t>
        </is>
      </c>
      <c r="L232" s="7" t="inlineStr">
        <is>
          <t>link</t>
        </is>
      </c>
      <c r="M232" s="5" t="inlineStr"/>
      <c r="N232" s="5" t="inlineStr"/>
      <c r="O232" s="5" t="inlineStr"/>
      <c r="P232" s="5" t="inlineStr"/>
      <c r="Q232" s="5" t="inlineStr"/>
      <c r="R232" s="5" t="inlineStr">
        <is>
          <t>2 English, DOI or PubMed link</t>
        </is>
      </c>
      <c r="S232" s="5" t="inlineStr"/>
      <c r="T232" s="5" t="inlineStr">
        <is>
          <t>WS0702.pdf</t>
        </is>
      </c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</row>
    <row r="233">
      <c r="A233" s="5" t="n">
        <v>232</v>
      </c>
      <c r="B233" s="5" t="inlineStr">
        <is>
          <t>WS0703</t>
        </is>
      </c>
      <c r="C233" s="5" t="inlineStr">
        <is>
          <t>2004</t>
        </is>
      </c>
      <c r="D233" s="5" t="inlineStr">
        <is>
          <t>English</t>
        </is>
      </c>
      <c r="E233" s="5" t="inlineStr">
        <is>
          <t>JOUR</t>
        </is>
      </c>
      <c r="F233" s="5" t="inlineStr">
        <is>
          <t>Taori</t>
        </is>
      </c>
      <c r="G233" s="5" t="inlineStr">
        <is>
          <t>Abdominal imaging</t>
        </is>
      </c>
      <c r="H233" s="5" t="inlineStr">
        <is>
          <t>29(4):479-81</t>
        </is>
      </c>
      <c r="I233" s="6" t="inlineStr">
        <is>
          <t>Wandering spleen with torsion of vascular pedicle: early diagnosis with multiplaner reformation technique of multislice spiral CT.</t>
        </is>
      </c>
      <c r="J233" s="5" t="inlineStr">
        <is>
          <t>10.1007/s00261-003-0142-7</t>
        </is>
      </c>
      <c r="K233" s="7" t="inlineStr">
        <is>
          <t>link</t>
        </is>
      </c>
      <c r="L233" s="7" t="inlineStr">
        <is>
          <t>link</t>
        </is>
      </c>
      <c r="M233" s="5" t="inlineStr"/>
      <c r="N233" s="5" t="inlineStr"/>
      <c r="O233" s="5" t="inlineStr"/>
      <c r="P233" s="5" t="inlineStr"/>
      <c r="Q233" s="5" t="inlineStr"/>
      <c r="R233" s="5" t="inlineStr">
        <is>
          <t>2 English, DOI or PubMed link</t>
        </is>
      </c>
      <c r="S233" s="5" t="inlineStr"/>
      <c r="T233" s="5" t="inlineStr">
        <is>
          <t>WS0703.pdf</t>
        </is>
      </c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</row>
    <row r="234">
      <c r="A234" s="5" t="n">
        <v>233</v>
      </c>
      <c r="B234" s="5" t="inlineStr">
        <is>
          <t>WS0706</t>
        </is>
      </c>
      <c r="C234" s="5" t="inlineStr">
        <is>
          <t>2004</t>
        </is>
      </c>
      <c r="D234" s="5" t="inlineStr">
        <is>
          <t>English</t>
        </is>
      </c>
      <c r="E234" s="5" t="inlineStr">
        <is>
          <t>JOUR</t>
        </is>
      </c>
      <c r="F234" s="5" t="inlineStr">
        <is>
          <t>Balliu</t>
        </is>
      </c>
      <c r="G234" s="5" t="inlineStr">
        <is>
          <t>Journal of pediatric surgery</t>
        </is>
      </c>
      <c r="H234" s="5" t="inlineStr">
        <is>
          <t>39(2):240-2</t>
        </is>
      </c>
      <c r="I234" s="6" t="inlineStr">
        <is>
          <t>Splenic haemorrhage in a newborn as the first manifestation of wandering spleen syndrome.</t>
        </is>
      </c>
      <c r="J234" s="5" t="inlineStr">
        <is>
          <t>10.1016/j.jpedsurg.2003.10.025</t>
        </is>
      </c>
      <c r="K234" s="7" t="inlineStr">
        <is>
          <t>link</t>
        </is>
      </c>
      <c r="L234" s="7" t="inlineStr">
        <is>
          <t>link</t>
        </is>
      </c>
      <c r="M234" s="5" t="inlineStr"/>
      <c r="N234" s="5" t="inlineStr"/>
      <c r="O234" s="5" t="inlineStr"/>
      <c r="P234" s="5" t="inlineStr"/>
      <c r="Q234" s="5" t="inlineStr"/>
      <c r="R234" s="5" t="inlineStr">
        <is>
          <t>2 English, DOI or PubMed link</t>
        </is>
      </c>
      <c r="S234" s="5" t="inlineStr"/>
      <c r="T234" s="5" t="inlineStr">
        <is>
          <t>WS0706.pdf</t>
        </is>
      </c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</row>
    <row r="235">
      <c r="A235" s="5" t="n">
        <v>234</v>
      </c>
      <c r="B235" s="5" t="inlineStr">
        <is>
          <t>WS0709</t>
        </is>
      </c>
      <c r="C235" s="5" t="inlineStr">
        <is>
          <t>2004</t>
        </is>
      </c>
      <c r="D235" s="5" t="inlineStr">
        <is>
          <t>English</t>
        </is>
      </c>
      <c r="E235" s="5" t="inlineStr">
        <is>
          <t>JOUR</t>
        </is>
      </c>
      <c r="F235" s="5" t="inlineStr">
        <is>
          <t>Vazquez</t>
        </is>
      </c>
      <c r="G235" s="5" t="inlineStr">
        <is>
          <t>Pediatric surgery international</t>
        </is>
      </c>
      <c r="H235" s="5" t="inlineStr">
        <is>
          <t>20(2):153-4</t>
        </is>
      </c>
      <c r="I235" s="6" t="inlineStr">
        <is>
          <t>Acute torsion of the spleen: diagnosis and management.</t>
        </is>
      </c>
      <c r="J235" s="5" t="inlineStr">
        <is>
          <t>10.1007/s00383-003-1110-6</t>
        </is>
      </c>
      <c r="K235" s="7" t="inlineStr">
        <is>
          <t>link</t>
        </is>
      </c>
      <c r="L235" s="7" t="inlineStr">
        <is>
          <t>link</t>
        </is>
      </c>
      <c r="M235" s="5" t="inlineStr"/>
      <c r="N235" s="5" t="inlineStr"/>
      <c r="O235" s="5" t="inlineStr"/>
      <c r="P235" s="5" t="inlineStr"/>
      <c r="Q235" s="5" t="inlineStr"/>
      <c r="R235" s="5" t="inlineStr">
        <is>
          <t>2 English, DOI or PubMed link</t>
        </is>
      </c>
      <c r="S235" s="5" t="inlineStr">
        <is>
          <t>Y</t>
        </is>
      </c>
      <c r="T235" s="5" t="inlineStr">
        <is>
          <t>WS0709.pdf</t>
        </is>
      </c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</row>
    <row r="236">
      <c r="A236" s="5" t="n">
        <v>235</v>
      </c>
      <c r="B236" s="5" t="inlineStr">
        <is>
          <t>WS0710</t>
        </is>
      </c>
      <c r="C236" s="5" t="inlineStr">
        <is>
          <t>2004</t>
        </is>
      </c>
      <c r="D236" s="5" t="inlineStr">
        <is>
          <t>English</t>
        </is>
      </c>
      <c r="E236" s="5" t="inlineStr">
        <is>
          <t>JOUR</t>
        </is>
      </c>
      <c r="F236" s="5" t="inlineStr">
        <is>
          <t>Al-Mashat</t>
        </is>
      </c>
      <c r="G236" s="5" t="inlineStr">
        <is>
          <t>Saudi medical journal</t>
        </is>
      </c>
      <c r="H236" s="5" t="inlineStr">
        <is>
          <t>25(1):91-4</t>
        </is>
      </c>
      <c r="I236" s="6" t="inlineStr">
        <is>
          <t>Wandering spleen.</t>
        </is>
      </c>
      <c r="J236" s="5" t="inlineStr"/>
      <c r="K236" s="5" t="inlineStr"/>
      <c r="L236" s="7" t="inlineStr">
        <is>
          <t>link</t>
        </is>
      </c>
      <c r="M236" s="5" t="inlineStr"/>
      <c r="N236" s="5" t="inlineStr"/>
      <c r="O236" s="5" t="inlineStr"/>
      <c r="P236" s="5" t="inlineStr"/>
      <c r="Q236" s="5" t="inlineStr"/>
      <c r="R236" s="5" t="inlineStr">
        <is>
          <t>2 English, DOI or PubMed link</t>
        </is>
      </c>
      <c r="S236" s="5" t="inlineStr"/>
      <c r="T236" s="5" t="inlineStr">
        <is>
          <t>WS0710.pdf</t>
        </is>
      </c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</row>
    <row r="237">
      <c r="A237" s="5" t="n">
        <v>236</v>
      </c>
      <c r="B237" s="5" t="inlineStr">
        <is>
          <t>WS0711</t>
        </is>
      </c>
      <c r="C237" s="5" t="inlineStr">
        <is>
          <t>2004</t>
        </is>
      </c>
      <c r="D237" s="5" t="inlineStr">
        <is>
          <t>English</t>
        </is>
      </c>
      <c r="E237" s="5" t="inlineStr">
        <is>
          <t>JOUR</t>
        </is>
      </c>
      <c r="F237" s="5" t="inlineStr">
        <is>
          <t>Edwin</t>
        </is>
      </c>
      <c r="G237" s="5" t="inlineStr">
        <is>
          <t>Surgical endoscopy</t>
        </is>
      </c>
      <c r="H237" s="5" t="inlineStr">
        <is>
          <t>18(3):407-11</t>
        </is>
      </c>
      <c r="I237" s="6" t="inlineStr">
        <is>
          <t>Laparoscopic resection of the pancreas: a feasibility study of the short-term outcome.</t>
        </is>
      </c>
      <c r="J237" s="5" t="inlineStr">
        <is>
          <t>10.1007/s00464-003-9007-y</t>
        </is>
      </c>
      <c r="K237" s="7" t="inlineStr">
        <is>
          <t>link</t>
        </is>
      </c>
      <c r="L237" s="7" t="inlineStr">
        <is>
          <t>link</t>
        </is>
      </c>
      <c r="M237" s="5" t="inlineStr"/>
      <c r="N237" s="5" t="inlineStr"/>
      <c r="O237" s="5" t="inlineStr"/>
      <c r="P237" s="5" t="inlineStr"/>
      <c r="Q237" s="5" t="inlineStr"/>
      <c r="R237" s="5" t="inlineStr">
        <is>
          <t>2 English, DOI or PubMed link</t>
        </is>
      </c>
      <c r="S237" s="5" t="inlineStr"/>
      <c r="T237" s="5" t="inlineStr">
        <is>
          <t>WS0711.pdf</t>
        </is>
      </c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</row>
    <row r="238">
      <c r="A238" s="5" t="n">
        <v>237</v>
      </c>
      <c r="B238" s="5" t="inlineStr">
        <is>
          <t>WS0713</t>
        </is>
      </c>
      <c r="C238" s="5" t="inlineStr">
        <is>
          <t>2004</t>
        </is>
      </c>
      <c r="D238" s="5" t="inlineStr">
        <is>
          <t>English</t>
        </is>
      </c>
      <c r="E238" s="5" t="inlineStr">
        <is>
          <t>JOUR</t>
        </is>
      </c>
      <c r="F238" s="5" t="inlineStr">
        <is>
          <t>Qazi</t>
        </is>
      </c>
      <c r="G238" s="5" t="inlineStr">
        <is>
          <t>Saudi journal of gastroenterology : official journal of the Saudi Gastroenterology Association</t>
        </is>
      </c>
      <c r="H238" s="5" t="inlineStr">
        <is>
          <t>10(1):1-7</t>
        </is>
      </c>
      <c r="I238" s="6" t="inlineStr">
        <is>
          <t>Wandering spleen.</t>
        </is>
      </c>
      <c r="J238" s="5" t="inlineStr"/>
      <c r="K238" s="5" t="inlineStr"/>
      <c r="L238" s="7" t="inlineStr">
        <is>
          <t>link</t>
        </is>
      </c>
      <c r="M238" s="5" t="inlineStr"/>
      <c r="N238" s="5" t="inlineStr"/>
      <c r="O238" s="5" t="inlineStr"/>
      <c r="P238" s="5" t="inlineStr"/>
      <c r="Q238" s="5" t="inlineStr"/>
      <c r="R238" s="5" t="inlineStr">
        <is>
          <t>2 English, DOI or PubMed link</t>
        </is>
      </c>
      <c r="S238" s="5" t="inlineStr"/>
      <c r="T238" s="5" t="inlineStr">
        <is>
          <t>WS0713.pdf</t>
        </is>
      </c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</row>
    <row r="239">
      <c r="A239" s="5" t="n">
        <v>238</v>
      </c>
      <c r="B239" s="5" t="inlineStr">
        <is>
          <t>WS1661</t>
        </is>
      </c>
      <c r="C239" s="5" t="inlineStr">
        <is>
          <t>2004</t>
        </is>
      </c>
      <c r="D239" s="5" t="inlineStr">
        <is>
          <t>English</t>
        </is>
      </c>
      <c r="E239" s="5" t="inlineStr">
        <is>
          <t>JOUR</t>
        </is>
      </c>
      <c r="F239" s="5" t="inlineStr">
        <is>
          <t>Chappidi</t>
        </is>
      </c>
      <c r="G239" s="5" t="inlineStr">
        <is>
          <t>European Journal of Radiology Extra</t>
        </is>
      </c>
      <c r="H239" s="5" t="inlineStr">
        <is>
          <t>52(3):111-113</t>
        </is>
      </c>
      <c r="I239" s="6" t="inlineStr">
        <is>
          <t>Acute mesenteroaxial volvulus associated with congenital diaphragmatic hernia, wandering spleen, and intrathoracic kidney: CT findings</t>
        </is>
      </c>
      <c r="J239" s="5" t="inlineStr">
        <is>
          <t>10.1016/j.ejrex.2004.10.002</t>
        </is>
      </c>
      <c r="K239" s="7" t="inlineStr">
        <is>
          <t>link</t>
        </is>
      </c>
      <c r="L239" s="5" t="inlineStr"/>
      <c r="M239" s="5" t="inlineStr"/>
      <c r="N239" s="5" t="inlineStr"/>
      <c r="O239" s="5" t="inlineStr"/>
      <c r="P239" s="5" t="inlineStr"/>
      <c r="Q239" s="7" t="inlineStr">
        <is>
          <t>link</t>
        </is>
      </c>
      <c r="R239" s="5" t="inlineStr">
        <is>
          <t>2 English, DOI or PubMed link</t>
        </is>
      </c>
      <c r="S239" s="5" t="inlineStr"/>
      <c r="T239" s="5" t="inlineStr">
        <is>
          <t>WS1661.pdf</t>
        </is>
      </c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</row>
    <row r="240">
      <c r="A240" s="5" t="n">
        <v>239</v>
      </c>
      <c r="B240" s="5" t="inlineStr">
        <is>
          <t>WS0704</t>
        </is>
      </c>
      <c r="C240" s="5" t="inlineStr">
        <is>
          <t>2003</t>
        </is>
      </c>
      <c r="D240" s="5" t="inlineStr">
        <is>
          <t>English</t>
        </is>
      </c>
      <c r="E240" s="5" t="inlineStr">
        <is>
          <t>JOUR</t>
        </is>
      </c>
      <c r="F240" s="5" t="inlineStr">
        <is>
          <t>Moran</t>
        </is>
      </c>
      <c r="G240" s="5" t="inlineStr">
        <is>
          <t>Current surgery</t>
        </is>
      </c>
      <c r="H240" s="5" t="inlineStr">
        <is>
          <t>60(3):310-2</t>
        </is>
      </c>
      <c r="I240" s="6" t="inlineStr">
        <is>
          <t>Spontaneous rupture of a wandering spleen: case report and literature review.</t>
        </is>
      </c>
      <c r="J240" s="5" t="inlineStr">
        <is>
          <t>10.1016/s0149-7944(02)00737-7</t>
        </is>
      </c>
      <c r="K240" s="7" t="inlineStr">
        <is>
          <t>link</t>
        </is>
      </c>
      <c r="L240" s="7" t="inlineStr">
        <is>
          <t>link</t>
        </is>
      </c>
      <c r="M240" s="5" t="inlineStr"/>
      <c r="N240" s="5" t="inlineStr"/>
      <c r="O240" s="5" t="inlineStr"/>
      <c r="P240" s="5" t="inlineStr"/>
      <c r="Q240" s="5" t="inlineStr"/>
      <c r="R240" s="5" t="inlineStr">
        <is>
          <t>2 English, DOI or PubMed link</t>
        </is>
      </c>
      <c r="S240" s="5" t="inlineStr"/>
      <c r="T240" s="5" t="inlineStr">
        <is>
          <t>WS0704.pdf</t>
        </is>
      </c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</row>
    <row r="241">
      <c r="A241" s="5" t="n">
        <v>240</v>
      </c>
      <c r="B241" s="5" t="inlineStr">
        <is>
          <t>WS0714</t>
        </is>
      </c>
      <c r="C241" s="5" t="inlineStr">
        <is>
          <t>2003</t>
        </is>
      </c>
      <c r="D241" s="5" t="inlineStr">
        <is>
          <t>English</t>
        </is>
      </c>
      <c r="E241" s="5" t="inlineStr">
        <is>
          <t>JOUR</t>
        </is>
      </c>
      <c r="F241" s="5" t="inlineStr">
        <is>
          <t>Romero</t>
        </is>
      </c>
      <c r="G241" s="5" t="inlineStr">
        <is>
          <t>Pediatric emergency care</t>
        </is>
      </c>
      <c r="H241" s="5" t="inlineStr">
        <is>
          <t>19(6):412-4</t>
        </is>
      </c>
      <c r="I241" s="6" t="inlineStr">
        <is>
          <t>Wandering spleen: a rare cause of abdominal pain.</t>
        </is>
      </c>
      <c r="J241" s="5" t="inlineStr">
        <is>
          <t>10.1097/01.pec.0000101582.65509.cc</t>
        </is>
      </c>
      <c r="K241" s="7" t="inlineStr">
        <is>
          <t>link</t>
        </is>
      </c>
      <c r="L241" s="7" t="inlineStr">
        <is>
          <t>link</t>
        </is>
      </c>
      <c r="M241" s="5" t="inlineStr"/>
      <c r="N241" s="5" t="inlineStr"/>
      <c r="O241" s="5" t="inlineStr"/>
      <c r="P241" s="5" t="inlineStr"/>
      <c r="Q241" s="5" t="inlineStr"/>
      <c r="R241" s="5" t="inlineStr">
        <is>
          <t>2 English, DOI or PubMed link</t>
        </is>
      </c>
      <c r="S241" s="5" t="inlineStr"/>
      <c r="T241" s="5" t="inlineStr">
        <is>
          <t>WS0714.pdf</t>
        </is>
      </c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</row>
    <row r="242">
      <c r="A242" s="5" t="n">
        <v>241</v>
      </c>
      <c r="B242" s="5" t="inlineStr">
        <is>
          <t>WS0718</t>
        </is>
      </c>
      <c r="C242" s="5" t="inlineStr">
        <is>
          <t>2003</t>
        </is>
      </c>
      <c r="D242" s="5" t="inlineStr">
        <is>
          <t>English</t>
        </is>
      </c>
      <c r="E242" s="5" t="inlineStr">
        <is>
          <t>JOUR</t>
        </is>
      </c>
      <c r="F242" s="5" t="inlineStr">
        <is>
          <t>Estevao-Costa</t>
        </is>
      </c>
      <c r="G242" s="5" t="inlineStr">
        <is>
          <t>European journal of pediatric surgery : official journal of Austrian Association of Pediatric Surgery ... [et al] = Zeitschrift fur Kinderchirurgie</t>
        </is>
      </c>
      <c r="H242" s="5" t="inlineStr">
        <is>
          <t>13(5):344-6</t>
        </is>
      </c>
      <c r="I242" s="6" t="inlineStr">
        <is>
          <t>Neonatal splenic necrosis not related to wandering spleen.</t>
        </is>
      </c>
      <c r="J242" s="5" t="inlineStr">
        <is>
          <t>10.1055/s-2003-43579</t>
        </is>
      </c>
      <c r="K242" s="7" t="inlineStr">
        <is>
          <t>link</t>
        </is>
      </c>
      <c r="L242" s="7" t="inlineStr">
        <is>
          <t>link</t>
        </is>
      </c>
      <c r="M242" s="5" t="inlineStr"/>
      <c r="N242" s="5" t="inlineStr"/>
      <c r="O242" s="5" t="inlineStr"/>
      <c r="P242" s="5" t="inlineStr"/>
      <c r="Q242" s="5" t="inlineStr"/>
      <c r="R242" s="5" t="inlineStr">
        <is>
          <t>2 English, DOI or PubMed link</t>
        </is>
      </c>
      <c r="S242" s="5" t="inlineStr"/>
      <c r="T242" s="5" t="inlineStr">
        <is>
          <t>WS0718.pdf</t>
        </is>
      </c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</row>
    <row r="243">
      <c r="A243" s="5" t="n">
        <v>242</v>
      </c>
      <c r="B243" s="5" t="inlineStr">
        <is>
          <t>WS0719</t>
        </is>
      </c>
      <c r="C243" s="5" t="inlineStr">
        <is>
          <t>2003</t>
        </is>
      </c>
      <c r="D243" s="5" t="inlineStr">
        <is>
          <t>English</t>
        </is>
      </c>
      <c r="E243" s="5" t="inlineStr">
        <is>
          <t>JOUR</t>
        </is>
      </c>
      <c r="F243" s="5" t="inlineStr">
        <is>
          <t>Brown</t>
        </is>
      </c>
      <c r="G243" s="5" t="inlineStr">
        <is>
          <t>Journal of pediatric surgery</t>
        </is>
      </c>
      <c r="H243" s="5" t="inlineStr">
        <is>
          <t>38(11):1676-9</t>
        </is>
      </c>
      <c r="I243" s="6" t="inlineStr">
        <is>
          <t>Wandering spleen and its complications in children: a case series and review of the literature.</t>
        </is>
      </c>
      <c r="J243" s="5" t="inlineStr">
        <is>
          <t>10.1016/s0022-3468(03)00582-7</t>
        </is>
      </c>
      <c r="K243" s="7" t="inlineStr">
        <is>
          <t>link</t>
        </is>
      </c>
      <c r="L243" s="7" t="inlineStr">
        <is>
          <t>link</t>
        </is>
      </c>
      <c r="M243" s="5" t="inlineStr"/>
      <c r="N243" s="5" t="inlineStr"/>
      <c r="O243" s="5" t="inlineStr"/>
      <c r="P243" s="5" t="inlineStr"/>
      <c r="Q243" s="5" t="inlineStr"/>
      <c r="R243" s="5" t="inlineStr">
        <is>
          <t>2 English, DOI or PubMed link</t>
        </is>
      </c>
      <c r="S243" s="5" t="inlineStr"/>
      <c r="T243" s="5" t="inlineStr">
        <is>
          <t>WS0719.pdf</t>
        </is>
      </c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</row>
    <row r="244">
      <c r="A244" s="5" t="n">
        <v>243</v>
      </c>
      <c r="B244" s="5" t="inlineStr">
        <is>
          <t>WS0722</t>
        </is>
      </c>
      <c r="C244" s="5" t="inlineStr">
        <is>
          <t>2003</t>
        </is>
      </c>
      <c r="D244" s="5" t="inlineStr">
        <is>
          <t>English</t>
        </is>
      </c>
      <c r="E244" s="5" t="inlineStr">
        <is>
          <t>JOUR</t>
        </is>
      </c>
      <c r="F244" s="5" t="inlineStr">
        <is>
          <t>Sodhi</t>
        </is>
      </c>
      <c r="G244" s="5" t="inlineStr">
        <is>
          <t>The Journal of emergency medicine</t>
        </is>
      </c>
      <c r="H244" s="5" t="inlineStr">
        <is>
          <t>25(2):133-7</t>
        </is>
      </c>
      <c r="I244" s="6" t="inlineStr">
        <is>
          <t>Torsion of a wandering spleen: acute abdominal presentation.</t>
        </is>
      </c>
      <c r="J244" s="5" t="inlineStr">
        <is>
          <t>10.1016/s0736-4679(03)00160-4</t>
        </is>
      </c>
      <c r="K244" s="7" t="inlineStr">
        <is>
          <t>link</t>
        </is>
      </c>
      <c r="L244" s="7" t="inlineStr">
        <is>
          <t>link</t>
        </is>
      </c>
      <c r="M244" s="5" t="inlineStr"/>
      <c r="N244" s="5" t="inlineStr"/>
      <c r="O244" s="5" t="inlineStr"/>
      <c r="P244" s="5" t="inlineStr"/>
      <c r="Q244" s="5" t="inlineStr"/>
      <c r="R244" s="5" t="inlineStr">
        <is>
          <t>2 English, DOI or PubMed link</t>
        </is>
      </c>
      <c r="S244" s="5" t="inlineStr"/>
      <c r="T244" s="5" t="inlineStr">
        <is>
          <t>WS0722.pdf</t>
        </is>
      </c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</row>
    <row r="245">
      <c r="A245" s="5" t="n">
        <v>244</v>
      </c>
      <c r="B245" s="5" t="inlineStr">
        <is>
          <t>WS0724</t>
        </is>
      </c>
      <c r="C245" s="5" t="inlineStr">
        <is>
          <t>2003</t>
        </is>
      </c>
      <c r="D245" s="5" t="inlineStr">
        <is>
          <t>English</t>
        </is>
      </c>
      <c r="E245" s="5" t="inlineStr">
        <is>
          <t>JOUR</t>
        </is>
      </c>
      <c r="F245" s="5" t="inlineStr">
        <is>
          <t>Kessler</t>
        </is>
      </c>
      <c r="G245" s="5" t="inlineStr">
        <is>
          <t>Journal of ultrasound in medicine : official journal of the American Institute of Ultrasound in Medicine</t>
        </is>
      </c>
      <c r="H245" s="5" t="inlineStr">
        <is>
          <t>22(5):527-30</t>
        </is>
      </c>
      <c r="I245" s="6" t="inlineStr">
        <is>
          <t>Mass at the splenic hilum: a clue to torsion of a wandering spleen located in a normal left upper quadrant position.</t>
        </is>
      </c>
      <c r="J245" s="5" t="inlineStr">
        <is>
          <t>10.7863/jum.2003.22.5.527</t>
        </is>
      </c>
      <c r="K245" s="7" t="inlineStr">
        <is>
          <t>link</t>
        </is>
      </c>
      <c r="L245" s="7" t="inlineStr">
        <is>
          <t>link</t>
        </is>
      </c>
      <c r="M245" s="5" t="inlineStr"/>
      <c r="N245" s="5" t="inlineStr"/>
      <c r="O245" s="5" t="inlineStr"/>
      <c r="P245" s="5" t="inlineStr"/>
      <c r="Q245" s="5" t="inlineStr"/>
      <c r="R245" s="5" t="inlineStr">
        <is>
          <t>2 English, DOI or PubMed link</t>
        </is>
      </c>
      <c r="S245" s="5" t="inlineStr"/>
      <c r="T245" s="5" t="inlineStr">
        <is>
          <t>WS0724.pdf</t>
        </is>
      </c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</row>
    <row r="246">
      <c r="A246" s="5" t="n">
        <v>245</v>
      </c>
      <c r="B246" s="5" t="inlineStr">
        <is>
          <t>WS0731</t>
        </is>
      </c>
      <c r="C246" s="5" t="inlineStr">
        <is>
          <t>2003</t>
        </is>
      </c>
      <c r="D246" s="5" t="inlineStr">
        <is>
          <t>English</t>
        </is>
      </c>
      <c r="E246" s="5" t="inlineStr">
        <is>
          <t>JOUR</t>
        </is>
      </c>
      <c r="F246" s="5" t="inlineStr">
        <is>
          <t>Kim</t>
        </is>
      </c>
      <c r="G246" s="5" t="inlineStr">
        <is>
          <t>Journal of pediatric surgery</t>
        </is>
      </c>
      <c r="H246" s="5" t="inlineStr">
        <is>
          <t>38(4):622-3</t>
        </is>
      </c>
      <c r="I246" s="6" t="inlineStr">
        <is>
          <t>Avulsion of wandering spleen after traumatic torsion.</t>
        </is>
      </c>
      <c r="J246" s="5" t="inlineStr">
        <is>
          <t>10.1053/jpsu.2003.50136</t>
        </is>
      </c>
      <c r="K246" s="7" t="inlineStr">
        <is>
          <t>link</t>
        </is>
      </c>
      <c r="L246" s="7" t="inlineStr">
        <is>
          <t>link</t>
        </is>
      </c>
      <c r="M246" s="5" t="inlineStr"/>
      <c r="N246" s="5" t="inlineStr"/>
      <c r="O246" s="5" t="inlineStr"/>
      <c r="P246" s="5" t="inlineStr"/>
      <c r="Q246" s="5" t="inlineStr"/>
      <c r="R246" s="5" t="inlineStr">
        <is>
          <t>2 English, DOI or PubMed link</t>
        </is>
      </c>
      <c r="S246" s="5" t="inlineStr">
        <is>
          <t>Y</t>
        </is>
      </c>
      <c r="T246" s="5" t="inlineStr">
        <is>
          <t>WS0731.pdf</t>
        </is>
      </c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</row>
    <row r="247">
      <c r="A247" s="5" t="n">
        <v>246</v>
      </c>
      <c r="B247" s="5" t="inlineStr">
        <is>
          <t>WS1696</t>
        </is>
      </c>
      <c r="C247" s="5" t="inlineStr">
        <is>
          <t>2003</t>
        </is>
      </c>
      <c r="D247" s="5" t="inlineStr">
        <is>
          <t>English</t>
        </is>
      </c>
      <c r="E247" s="5" t="inlineStr">
        <is>
          <t>CONF</t>
        </is>
      </c>
      <c r="F247" s="5" t="inlineStr">
        <is>
          <t>Kim</t>
        </is>
      </c>
      <c r="G247" s="5" t="inlineStr">
        <is>
          <t>Pediatric Endosurgery and Innovative Techniques</t>
        </is>
      </c>
      <c r="H247" s="5" t="inlineStr">
        <is>
          <t>7(3):237-241</t>
        </is>
      </c>
      <c r="I247" s="6" t="inlineStr">
        <is>
          <t>Laparoscopic splenopexy for the wandering spleen syndrome</t>
        </is>
      </c>
      <c r="J247" s="5" t="inlineStr">
        <is>
          <t>10.1089/109264103322381618</t>
        </is>
      </c>
      <c r="K247" s="7" t="inlineStr">
        <is>
          <t>link</t>
        </is>
      </c>
      <c r="L247" s="5" t="inlineStr"/>
      <c r="M247" s="5" t="inlineStr"/>
      <c r="N247" s="5" t="inlineStr"/>
      <c r="O247" s="5" t="inlineStr"/>
      <c r="P247" s="5" t="inlineStr"/>
      <c r="Q247" s="7" t="inlineStr">
        <is>
          <t>link</t>
        </is>
      </c>
      <c r="R247" s="5" t="inlineStr">
        <is>
          <t>2 English, DOI or PubMed link</t>
        </is>
      </c>
      <c r="S247" s="5" t="inlineStr"/>
      <c r="T247" s="5" t="inlineStr">
        <is>
          <t>WS1696.pdf</t>
        </is>
      </c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</row>
    <row r="248">
      <c r="A248" s="5" t="n">
        <v>247</v>
      </c>
      <c r="B248" s="5" t="inlineStr">
        <is>
          <t>WS0741</t>
        </is>
      </c>
      <c r="C248" s="5" t="inlineStr">
        <is>
          <t>2002</t>
        </is>
      </c>
      <c r="D248" s="5" t="inlineStr">
        <is>
          <t>English</t>
        </is>
      </c>
      <c r="E248" s="5" t="inlineStr">
        <is>
          <t>JOUR</t>
        </is>
      </c>
      <c r="F248" s="5" t="inlineStr">
        <is>
          <t>Steinberg</t>
        </is>
      </c>
      <c r="G248" s="5" t="inlineStr">
        <is>
          <t>Journal of pediatric surgery</t>
        </is>
      </c>
      <c r="H248" s="5" t="inlineStr">
        <is>
          <t>37(10):E30</t>
        </is>
      </c>
      <c r="I248" s="6" t="inlineStr">
        <is>
          <t>Clinical presentation of wandering spleen.</t>
        </is>
      </c>
      <c r="J248" s="5" t="inlineStr">
        <is>
          <t>10.1053/jpsu.2002.35443</t>
        </is>
      </c>
      <c r="K248" s="7" t="inlineStr">
        <is>
          <t>link</t>
        </is>
      </c>
      <c r="L248" s="7" t="inlineStr">
        <is>
          <t>link</t>
        </is>
      </c>
      <c r="M248" s="5" t="inlineStr"/>
      <c r="N248" s="5" t="inlineStr"/>
      <c r="O248" s="5" t="inlineStr"/>
      <c r="P248" s="5" t="inlineStr"/>
      <c r="Q248" s="5" t="inlineStr"/>
      <c r="R248" s="5" t="inlineStr">
        <is>
          <t>2 English, DOI or PubMed link</t>
        </is>
      </c>
      <c r="S248" s="5" t="inlineStr"/>
      <c r="T248" s="5" t="inlineStr">
        <is>
          <t>WS0741.pdf</t>
        </is>
      </c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</row>
    <row r="249">
      <c r="A249" s="5" t="n">
        <v>248</v>
      </c>
      <c r="B249" s="5" t="inlineStr">
        <is>
          <t>WS0742</t>
        </is>
      </c>
      <c r="C249" s="5" t="inlineStr">
        <is>
          <t>2002</t>
        </is>
      </c>
      <c r="D249" s="5" t="inlineStr">
        <is>
          <t>English</t>
        </is>
      </c>
      <c r="E249" s="5" t="inlineStr">
        <is>
          <t>JOUR</t>
        </is>
      </c>
      <c r="F249" s="5" t="inlineStr">
        <is>
          <t>Kanmaz</t>
        </is>
      </c>
      <c r="G249" s="5" t="inlineStr">
        <is>
          <t>Indian journal of pediatrics</t>
        </is>
      </c>
      <c r="H249" s="5" t="inlineStr">
        <is>
          <t>69(8):729-30</t>
        </is>
      </c>
      <c r="I249" s="6" t="inlineStr">
        <is>
          <t>The split notochord syndrome with dorsal enteric fistula.</t>
        </is>
      </c>
      <c r="J249" s="5" t="inlineStr">
        <is>
          <t>10.1007/bf02722716</t>
        </is>
      </c>
      <c r="K249" s="7" t="inlineStr">
        <is>
          <t>link</t>
        </is>
      </c>
      <c r="L249" s="7" t="inlineStr">
        <is>
          <t>link</t>
        </is>
      </c>
      <c r="M249" s="5" t="inlineStr"/>
      <c r="N249" s="5" t="inlineStr"/>
      <c r="O249" s="5" t="inlineStr"/>
      <c r="P249" s="5" t="inlineStr"/>
      <c r="Q249" s="5" t="inlineStr"/>
      <c r="R249" s="5" t="inlineStr">
        <is>
          <t>2 English, DOI or PubMed link</t>
        </is>
      </c>
      <c r="S249" s="5" t="inlineStr"/>
      <c r="T249" s="5" t="inlineStr">
        <is>
          <t>WS0742.pdf</t>
        </is>
      </c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</row>
    <row r="250">
      <c r="A250" s="5" t="n">
        <v>249</v>
      </c>
      <c r="B250" s="5" t="inlineStr">
        <is>
          <t>WS0747</t>
        </is>
      </c>
      <c r="C250" s="5" t="inlineStr">
        <is>
          <t>2002</t>
        </is>
      </c>
      <c r="D250" s="5" t="inlineStr">
        <is>
          <t>English</t>
        </is>
      </c>
      <c r="E250" s="5" t="inlineStr">
        <is>
          <t>JOUR</t>
        </is>
      </c>
      <c r="F250" s="5" t="inlineStr">
        <is>
          <t>Rosin</t>
        </is>
      </c>
      <c r="G250" s="5" t="inlineStr">
        <is>
          <t>Surgical endoscopy</t>
        </is>
      </c>
      <c r="H250" s="5" t="inlineStr">
        <is>
          <t>16(7):1110</t>
        </is>
      </c>
      <c r="I250" s="6" t="inlineStr">
        <is>
          <t>Laparoscopic splenectomy for torsion of wandering spleen associated with celiac axis occlusion.</t>
        </is>
      </c>
      <c r="J250" s="5" t="inlineStr">
        <is>
          <t>10.1007/s00464-001-0078-3</t>
        </is>
      </c>
      <c r="K250" s="7" t="inlineStr">
        <is>
          <t>link</t>
        </is>
      </c>
      <c r="L250" s="7" t="inlineStr">
        <is>
          <t>link</t>
        </is>
      </c>
      <c r="M250" s="5" t="inlineStr"/>
      <c r="N250" s="5" t="inlineStr"/>
      <c r="O250" s="5" t="inlineStr"/>
      <c r="P250" s="5" t="inlineStr"/>
      <c r="Q250" s="5" t="inlineStr"/>
      <c r="R250" s="5" t="inlineStr">
        <is>
          <t>2 English, DOI or PubMed link</t>
        </is>
      </c>
      <c r="S250" s="5" t="inlineStr"/>
      <c r="T250" s="5" t="inlineStr">
        <is>
          <t>WS0747.pdf</t>
        </is>
      </c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</row>
    <row r="251">
      <c r="A251" s="5" t="n">
        <v>250</v>
      </c>
      <c r="B251" s="5" t="inlineStr">
        <is>
          <t>WS0749</t>
        </is>
      </c>
      <c r="C251" s="5" t="inlineStr">
        <is>
          <t>2002</t>
        </is>
      </c>
      <c r="D251" s="5" t="inlineStr">
        <is>
          <t>English</t>
        </is>
      </c>
      <c r="E251" s="5" t="inlineStr">
        <is>
          <t>JOUR</t>
        </is>
      </c>
      <c r="F251" s="5" t="inlineStr">
        <is>
          <t>Satyadas</t>
        </is>
      </c>
      <c r="G251" s="5" t="inlineStr">
        <is>
          <t>Journal of the Royal College of Surgeons of Edinburgh</t>
        </is>
      </c>
      <c r="H251" s="5" t="inlineStr">
        <is>
          <t>47(2):512-4</t>
        </is>
      </c>
      <c r="I251" s="6" t="inlineStr">
        <is>
          <t>Wandering spleen: case report and literature review.</t>
        </is>
      </c>
      <c r="J251" s="5" t="inlineStr"/>
      <c r="K251" s="5" t="inlineStr"/>
      <c r="L251" s="7" t="inlineStr">
        <is>
          <t>link</t>
        </is>
      </c>
      <c r="M251" s="5" t="inlineStr"/>
      <c r="N251" s="5" t="inlineStr"/>
      <c r="O251" s="5" t="inlineStr"/>
      <c r="P251" s="5" t="inlineStr"/>
      <c r="Q251" s="5" t="inlineStr"/>
      <c r="R251" s="5" t="inlineStr">
        <is>
          <t>2 English, DOI or PubMed link</t>
        </is>
      </c>
      <c r="S251" s="5" t="inlineStr"/>
      <c r="T251" s="5" t="inlineStr">
        <is>
          <t>WS0749.pdf</t>
        </is>
      </c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</row>
    <row r="252">
      <c r="A252" s="5" t="n">
        <v>251</v>
      </c>
      <c r="B252" s="5" t="inlineStr">
        <is>
          <t>WS0750</t>
        </is>
      </c>
      <c r="C252" s="5" t="inlineStr">
        <is>
          <t>2002</t>
        </is>
      </c>
      <c r="D252" s="5" t="inlineStr">
        <is>
          <t>English</t>
        </is>
      </c>
      <c r="E252" s="5" t="inlineStr">
        <is>
          <t>JOUR</t>
        </is>
      </c>
      <c r="F252" s="5" t="inlineStr">
        <is>
          <t>Teomete</t>
        </is>
      </c>
      <c r="G252" s="5" t="inlineStr">
        <is>
          <t>Computerized medical imaging and graphics : the official journal of the Computerized Medical Imaging Society</t>
        </is>
      </c>
      <c r="H252" s="5" t="inlineStr">
        <is>
          <t>26(3):177-80</t>
        </is>
      </c>
      <c r="I252" s="6" t="inlineStr">
        <is>
          <t>Ectopic spleen and left-sided vena cava in Beckwith-Wiedemann syndrome.</t>
        </is>
      </c>
      <c r="J252" s="5" t="inlineStr">
        <is>
          <t>10.1016/s0895-6111(01)00037-4</t>
        </is>
      </c>
      <c r="K252" s="7" t="inlineStr">
        <is>
          <t>link</t>
        </is>
      </c>
      <c r="L252" s="7" t="inlineStr">
        <is>
          <t>link</t>
        </is>
      </c>
      <c r="M252" s="5" t="inlineStr"/>
      <c r="N252" s="5" t="inlineStr"/>
      <c r="O252" s="5" t="inlineStr"/>
      <c r="P252" s="5" t="inlineStr"/>
      <c r="Q252" s="5" t="inlineStr"/>
      <c r="R252" s="5" t="inlineStr">
        <is>
          <t>2 English, DOI or PubMed link</t>
        </is>
      </c>
      <c r="S252" s="5" t="inlineStr"/>
      <c r="T252" s="5" t="inlineStr">
        <is>
          <t>WS0750.pdf</t>
        </is>
      </c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</row>
    <row r="253">
      <c r="A253" s="5" t="n">
        <v>252</v>
      </c>
      <c r="B253" s="5" t="inlineStr">
        <is>
          <t>WS0751</t>
        </is>
      </c>
      <c r="C253" s="5" t="inlineStr">
        <is>
          <t>2002</t>
        </is>
      </c>
      <c r="D253" s="5" t="inlineStr">
        <is>
          <t>English</t>
        </is>
      </c>
      <c r="E253" s="5" t="inlineStr">
        <is>
          <t>JOUR</t>
        </is>
      </c>
      <c r="F253" s="5" t="inlineStr">
        <is>
          <t>Hamel</t>
        </is>
      </c>
      <c r="G253" s="5" t="inlineStr">
        <is>
          <t>Acta tropica</t>
        </is>
      </c>
      <c r="H253" s="5" t="inlineStr">
        <is>
          <t>82(1):1-5</t>
        </is>
      </c>
      <c r="I253" s="6" t="inlineStr">
        <is>
          <t>Nonoperative treatment of splenic rupture in malaria tropica: review of literature and case report.</t>
        </is>
      </c>
      <c r="J253" s="5" t="inlineStr">
        <is>
          <t>10.1016/s0001-706x(02)00025-6</t>
        </is>
      </c>
      <c r="K253" s="7" t="inlineStr">
        <is>
          <t>link</t>
        </is>
      </c>
      <c r="L253" s="7" t="inlineStr">
        <is>
          <t>link</t>
        </is>
      </c>
      <c r="M253" s="5" t="inlineStr"/>
      <c r="N253" s="5" t="inlineStr"/>
      <c r="O253" s="5" t="inlineStr"/>
      <c r="P253" s="5" t="inlineStr"/>
      <c r="Q253" s="5" t="inlineStr"/>
      <c r="R253" s="5" t="inlineStr">
        <is>
          <t>2 English, DOI or PubMed link</t>
        </is>
      </c>
      <c r="S253" s="5" t="inlineStr"/>
      <c r="T253" s="5" t="inlineStr">
        <is>
          <t>WS0751.pdf</t>
        </is>
      </c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8" t="n"/>
      <c r="AD253" s="8" t="n"/>
    </row>
    <row r="254">
      <c r="A254" s="5" t="n">
        <v>253</v>
      </c>
      <c r="B254" s="5" t="inlineStr">
        <is>
          <t>WS0756</t>
        </is>
      </c>
      <c r="C254" s="5" t="inlineStr">
        <is>
          <t>2001</t>
        </is>
      </c>
      <c r="D254" s="5" t="inlineStr">
        <is>
          <t>English</t>
        </is>
      </c>
      <c r="E254" s="5" t="inlineStr">
        <is>
          <t>JOUR</t>
        </is>
      </c>
      <c r="F254" s="5" t="inlineStr">
        <is>
          <t>Reisli</t>
        </is>
      </c>
      <c r="G254" s="5" t="inlineStr">
        <is>
          <t>The Turkish journal of pediatrics</t>
        </is>
      </c>
      <c r="H254" s="5" t="inlineStr">
        <is>
          <t>43(3):265-8</t>
        </is>
      </c>
      <c r="I254" s="6" t="inlineStr">
        <is>
          <t>A case of osteopetrosis with pelvic ectopic spleen: an unusual association.</t>
        </is>
      </c>
      <c r="J254" s="5" t="inlineStr"/>
      <c r="K254" s="5" t="inlineStr"/>
      <c r="L254" s="7" t="inlineStr">
        <is>
          <t>link</t>
        </is>
      </c>
      <c r="M254" s="5" t="inlineStr"/>
      <c r="N254" s="5" t="inlineStr"/>
      <c r="O254" s="5" t="inlineStr"/>
      <c r="P254" s="5" t="inlineStr"/>
      <c r="Q254" s="5" t="inlineStr"/>
      <c r="R254" s="5" t="inlineStr">
        <is>
          <t>2 English, DOI or PubMed link</t>
        </is>
      </c>
      <c r="S254" s="5" t="inlineStr"/>
      <c r="T254" s="5" t="inlineStr">
        <is>
          <t>WS0756.pdf</t>
        </is>
      </c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</row>
    <row r="255">
      <c r="A255" s="5" t="n">
        <v>254</v>
      </c>
      <c r="B255" s="5" t="inlineStr">
        <is>
          <t>WS0765</t>
        </is>
      </c>
      <c r="C255" s="5" t="inlineStr">
        <is>
          <t>2001</t>
        </is>
      </c>
      <c r="D255" s="5" t="inlineStr">
        <is>
          <t>English</t>
        </is>
      </c>
      <c r="E255" s="5" t="inlineStr">
        <is>
          <t>JOUR</t>
        </is>
      </c>
      <c r="F255" s="5" t="inlineStr">
        <is>
          <t>Pelizzo</t>
        </is>
      </c>
      <c r="G255" s="5" t="inlineStr">
        <is>
          <t>Abdominal imaging</t>
        </is>
      </c>
      <c r="H255" s="5" t="inlineStr">
        <is>
          <t>26(3):306-8</t>
        </is>
      </c>
      <c r="I255" s="6" t="inlineStr">
        <is>
          <t>Gastric volvulus associated with congenital diaphragmatic hernia, wandering spleen, and intrathoracic left kidney: CT findings.</t>
        </is>
      </c>
      <c r="J255" s="5" t="inlineStr">
        <is>
          <t>10.1007/s002610000171</t>
        </is>
      </c>
      <c r="K255" s="7" t="inlineStr">
        <is>
          <t>link</t>
        </is>
      </c>
      <c r="L255" s="7" t="inlineStr">
        <is>
          <t>link</t>
        </is>
      </c>
      <c r="M255" s="5" t="inlineStr"/>
      <c r="N255" s="5" t="inlineStr"/>
      <c r="O255" s="5" t="inlineStr"/>
      <c r="P255" s="5" t="inlineStr"/>
      <c r="Q255" s="5" t="inlineStr"/>
      <c r="R255" s="5" t="inlineStr">
        <is>
          <t>2 English, DOI or PubMed link</t>
        </is>
      </c>
      <c r="S255" s="5" t="inlineStr"/>
      <c r="T255" s="5" t="inlineStr">
        <is>
          <t>WS0765.pdf</t>
        </is>
      </c>
      <c r="U255" s="8" t="n"/>
      <c r="V255" s="8" t="n"/>
      <c r="W255" s="8" t="n"/>
      <c r="X255" s="8" t="n"/>
      <c r="Y255" s="8" t="n"/>
      <c r="Z255" s="8" t="n"/>
      <c r="AA255" s="8" t="n"/>
      <c r="AB255" s="8" t="n"/>
      <c r="AC255" s="8" t="n"/>
      <c r="AD255" s="8" t="n"/>
    </row>
    <row r="256">
      <c r="A256" s="5" t="n">
        <v>255</v>
      </c>
      <c r="B256" s="5" t="inlineStr">
        <is>
          <t>WS0770</t>
        </is>
      </c>
      <c r="C256" s="5" t="inlineStr">
        <is>
          <t>2001</t>
        </is>
      </c>
      <c r="D256" s="5" t="inlineStr">
        <is>
          <t>English</t>
        </is>
      </c>
      <c r="E256" s="5" t="inlineStr">
        <is>
          <t>JOUR</t>
        </is>
      </c>
      <c r="F256" s="5" t="inlineStr">
        <is>
          <t>Kao</t>
        </is>
      </c>
      <c r="G256" s="5" t="inlineStr">
        <is>
          <t>Pediatric radiology</t>
        </is>
      </c>
      <c r="H256" s="5" t="inlineStr">
        <is>
          <t>31(4):283-5</t>
        </is>
      </c>
      <c r="I256" s="6" t="inlineStr">
        <is>
          <t>99mTc-sulphur-colloid and heat-denatured 99mTc-labelled red cell scans demonstrating a giant intrapelvic spleen in a girl after splenectomy.</t>
        </is>
      </c>
      <c r="J256" s="5" t="inlineStr">
        <is>
          <t>10.1007/s002470000413</t>
        </is>
      </c>
      <c r="K256" s="7" t="inlineStr">
        <is>
          <t>link</t>
        </is>
      </c>
      <c r="L256" s="7" t="inlineStr">
        <is>
          <t>link</t>
        </is>
      </c>
      <c r="M256" s="5" t="inlineStr"/>
      <c r="N256" s="5" t="inlineStr"/>
      <c r="O256" s="5" t="inlineStr"/>
      <c r="P256" s="5" t="inlineStr"/>
      <c r="Q256" s="5" t="inlineStr"/>
      <c r="R256" s="5" t="inlineStr">
        <is>
          <t>2 English, DOI or PubMed link</t>
        </is>
      </c>
      <c r="S256" s="5" t="inlineStr"/>
      <c r="T256" s="5" t="inlineStr">
        <is>
          <t>WS0770.pdf</t>
        </is>
      </c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</row>
    <row r="257">
      <c r="A257" s="5" t="n">
        <v>256</v>
      </c>
      <c r="B257" s="5" t="inlineStr">
        <is>
          <t>WS0771</t>
        </is>
      </c>
      <c r="C257" s="5" t="inlineStr">
        <is>
          <t>2001</t>
        </is>
      </c>
      <c r="D257" s="5" t="inlineStr">
        <is>
          <t>English</t>
        </is>
      </c>
      <c r="E257" s="5" t="inlineStr">
        <is>
          <t>JOUR</t>
        </is>
      </c>
      <c r="F257" s="5" t="inlineStr">
        <is>
          <t>Ratan</t>
        </is>
      </c>
      <c r="G257" s="5" t="inlineStr">
        <is>
          <t>Surgery today</t>
        </is>
      </c>
      <c r="H257" s="5" t="inlineStr">
        <is>
          <t>31(2):184-6</t>
        </is>
      </c>
      <c r="I257" s="6" t="inlineStr">
        <is>
          <t>Left diaphragmatic eventration with a suprapubic spleen: report of a case.</t>
        </is>
      </c>
      <c r="J257" s="5" t="inlineStr">
        <is>
          <t>10.1007/s005950170209</t>
        </is>
      </c>
      <c r="K257" s="7" t="inlineStr">
        <is>
          <t>link</t>
        </is>
      </c>
      <c r="L257" s="7" t="inlineStr">
        <is>
          <t>link</t>
        </is>
      </c>
      <c r="M257" s="5" t="inlineStr"/>
      <c r="N257" s="5" t="inlineStr"/>
      <c r="O257" s="5" t="inlineStr"/>
      <c r="P257" s="5" t="inlineStr"/>
      <c r="Q257" s="5" t="inlineStr"/>
      <c r="R257" s="5" t="inlineStr">
        <is>
          <t>2 English, DOI or PubMed link</t>
        </is>
      </c>
      <c r="S257" s="5" t="inlineStr"/>
      <c r="T257" s="5" t="inlineStr">
        <is>
          <t>WS0771.pdf</t>
        </is>
      </c>
      <c r="U257" s="8" t="n"/>
      <c r="V257" s="8" t="n"/>
      <c r="W257" s="8" t="n"/>
      <c r="X257" s="8" t="n"/>
      <c r="Y257" s="8" t="n"/>
      <c r="Z257" s="8" t="n"/>
      <c r="AA257" s="8" t="n"/>
      <c r="AB257" s="8" t="n"/>
      <c r="AC257" s="8" t="n"/>
      <c r="AD257" s="8" t="n"/>
    </row>
    <row r="258">
      <c r="A258" s="5" t="n">
        <v>257</v>
      </c>
      <c r="B258" s="5" t="inlineStr">
        <is>
          <t>WS1634</t>
        </is>
      </c>
      <c r="C258" s="5" t="inlineStr">
        <is>
          <t>2001</t>
        </is>
      </c>
      <c r="D258" s="5" t="inlineStr">
        <is>
          <t>English</t>
        </is>
      </c>
      <c r="E258" s="5" t="inlineStr">
        <is>
          <t>JOUR</t>
        </is>
      </c>
      <c r="F258" s="5" t="inlineStr">
        <is>
          <t>Bernstine</t>
        </is>
      </c>
      <c r="G258" s="5" t="inlineStr">
        <is>
          <t>Clinical Nuclear Medicine</t>
        </is>
      </c>
      <c r="H258" s="5" t="inlineStr">
        <is>
          <t>26(2):147-148</t>
        </is>
      </c>
      <c r="I258" s="6" t="inlineStr">
        <is>
          <t>Misleading thoracic Ga-67 uptake caused by splenic displacement</t>
        </is>
      </c>
      <c r="J258" s="5" t="inlineStr">
        <is>
          <t>10.1097/00003072-200102000-00012</t>
        </is>
      </c>
      <c r="K258" s="7" t="inlineStr">
        <is>
          <t>link</t>
        </is>
      </c>
      <c r="L258" s="5" t="inlineStr"/>
      <c r="M258" s="5" t="inlineStr"/>
      <c r="N258" s="5" t="inlineStr"/>
      <c r="O258" s="5" t="inlineStr"/>
      <c r="P258" s="5" t="inlineStr"/>
      <c r="Q258" s="7" t="inlineStr">
        <is>
          <t>link</t>
        </is>
      </c>
      <c r="R258" s="5" t="inlineStr">
        <is>
          <t>2 English, DOI or PubMed link</t>
        </is>
      </c>
      <c r="S258" s="5" t="inlineStr"/>
      <c r="T258" s="5" t="inlineStr">
        <is>
          <t>WS1634.pdf</t>
        </is>
      </c>
      <c r="U258" s="8" t="n"/>
      <c r="V258" s="8" t="n"/>
      <c r="W258" s="8" t="n"/>
      <c r="X258" s="8" t="n"/>
      <c r="Y258" s="8" t="n"/>
      <c r="Z258" s="8" t="n"/>
      <c r="AA258" s="8" t="n"/>
      <c r="AB258" s="8" t="n"/>
      <c r="AC258" s="8" t="n"/>
      <c r="AD258" s="8" t="n"/>
    </row>
    <row r="259">
      <c r="A259" s="5" t="n">
        <v>258</v>
      </c>
      <c r="B259" s="5" t="inlineStr">
        <is>
          <t>WS0757</t>
        </is>
      </c>
      <c r="C259" s="5" t="inlineStr">
        <is>
          <t>2000</t>
        </is>
      </c>
      <c r="D259" s="5" t="inlineStr">
        <is>
          <t>English</t>
        </is>
      </c>
      <c r="E259" s="5" t="inlineStr">
        <is>
          <t>JOUR</t>
        </is>
      </c>
      <c r="F259" s="5" t="inlineStr">
        <is>
          <t>Andley</t>
        </is>
      </c>
      <c r="G259" s="5" t="inlineStr">
        <is>
          <t>International surgery</t>
        </is>
      </c>
      <c r="H259" s="5" t="inlineStr">
        <is>
          <t>85(4):322-4</t>
        </is>
      </c>
      <c r="I259" s="6" t="inlineStr">
        <is>
          <t>Internal herniation of wandering spleen--a rare cause of recurrent abdominal pain.</t>
        </is>
      </c>
      <c r="J259" s="5" t="inlineStr"/>
      <c r="K259" s="5" t="inlineStr"/>
      <c r="L259" s="7" t="inlineStr">
        <is>
          <t>link</t>
        </is>
      </c>
      <c r="M259" s="5" t="inlineStr"/>
      <c r="N259" s="5" t="inlineStr"/>
      <c r="O259" s="5" t="inlineStr"/>
      <c r="P259" s="5" t="inlineStr"/>
      <c r="Q259" s="5" t="inlineStr"/>
      <c r="R259" s="5" t="inlineStr">
        <is>
          <t>2 English, DOI or PubMed link</t>
        </is>
      </c>
      <c r="S259" s="5" t="inlineStr"/>
      <c r="T259" s="5" t="inlineStr">
        <is>
          <t>WS0757.pdf</t>
        </is>
      </c>
      <c r="U259" s="8" t="n"/>
      <c r="V259" s="8" t="n"/>
      <c r="W259" s="8" t="n"/>
      <c r="X259" s="8" t="n"/>
      <c r="Y259" s="8" t="n"/>
      <c r="Z259" s="8" t="n"/>
      <c r="AA259" s="8" t="n"/>
      <c r="AB259" s="8" t="n"/>
      <c r="AC259" s="8" t="n"/>
      <c r="AD259" s="8" t="n"/>
    </row>
    <row r="260">
      <c r="A260" s="5" t="n">
        <v>259</v>
      </c>
      <c r="B260" s="5" t="inlineStr">
        <is>
          <t>WS0778</t>
        </is>
      </c>
      <c r="C260" s="5" t="inlineStr">
        <is>
          <t>2000</t>
        </is>
      </c>
      <c r="D260" s="5" t="inlineStr">
        <is>
          <t>English</t>
        </is>
      </c>
      <c r="E260" s="5" t="inlineStr">
        <is>
          <t>JOUR</t>
        </is>
      </c>
      <c r="F260" s="5" t="inlineStr">
        <is>
          <t>Emir</t>
        </is>
      </c>
      <c r="G260" s="5" t="inlineStr">
        <is>
          <t>Pediatric surgery international</t>
        </is>
      </c>
      <c r="H260" s="5" t="inlineStr">
        <is>
          <t>16(8):602-3</t>
        </is>
      </c>
      <c r="I260" s="6" t="inlineStr">
        <is>
          <t>A case of wandering spleen causing urinary symptoms after correction of a posterolateral diaphragmatic hernia.</t>
        </is>
      </c>
      <c r="J260" s="5" t="inlineStr">
        <is>
          <t>10.1007/s003830000353</t>
        </is>
      </c>
      <c r="K260" s="7" t="inlineStr">
        <is>
          <t>link</t>
        </is>
      </c>
      <c r="L260" s="7" t="inlineStr">
        <is>
          <t>link</t>
        </is>
      </c>
      <c r="M260" s="5" t="inlineStr"/>
      <c r="N260" s="5" t="inlineStr"/>
      <c r="O260" s="5" t="inlineStr"/>
      <c r="P260" s="5" t="inlineStr"/>
      <c r="Q260" s="5" t="inlineStr"/>
      <c r="R260" s="5" t="inlineStr">
        <is>
          <t>2 English, DOI or PubMed link</t>
        </is>
      </c>
      <c r="S260" s="5" t="inlineStr"/>
      <c r="T260" s="5" t="inlineStr">
        <is>
          <t>WS0778.pdf</t>
        </is>
      </c>
      <c r="U260" s="8" t="n"/>
      <c r="V260" s="8" t="n"/>
      <c r="W260" s="8" t="n"/>
      <c r="X260" s="8" t="n"/>
      <c r="Y260" s="8" t="n"/>
      <c r="Z260" s="8" t="n"/>
      <c r="AA260" s="8" t="n"/>
      <c r="AB260" s="8" t="n"/>
      <c r="AC260" s="8" t="n"/>
      <c r="AD260" s="8" t="n"/>
    </row>
    <row r="261">
      <c r="A261" s="5" t="n">
        <v>260</v>
      </c>
      <c r="B261" s="5" t="inlineStr">
        <is>
          <t>WS0780</t>
        </is>
      </c>
      <c r="C261" s="5" t="inlineStr">
        <is>
          <t>2000</t>
        </is>
      </c>
      <c r="D261" s="5" t="inlineStr">
        <is>
          <t>English</t>
        </is>
      </c>
      <c r="E261" s="5" t="inlineStr">
        <is>
          <t>JOUR</t>
        </is>
      </c>
      <c r="F261" s="5" t="inlineStr">
        <is>
          <t>Nawaz</t>
        </is>
      </c>
      <c r="G261" s="5" t="inlineStr">
        <is>
          <t>Journal of pediatric surgery</t>
        </is>
      </c>
      <c r="H261" s="5" t="inlineStr">
        <is>
          <t>35(10):1508-10</t>
        </is>
      </c>
      <c r="I261" s="6" t="inlineStr">
        <is>
          <t>Intrauterine torsion of a wandering spleen presenting as an abdominal cystic swelling.</t>
        </is>
      </c>
      <c r="J261" s="5" t="inlineStr">
        <is>
          <t>10.1053/jpsu.2000.16427</t>
        </is>
      </c>
      <c r="K261" s="7" t="inlineStr">
        <is>
          <t>link</t>
        </is>
      </c>
      <c r="L261" s="7" t="inlineStr">
        <is>
          <t>link</t>
        </is>
      </c>
      <c r="M261" s="5" t="inlineStr"/>
      <c r="N261" s="5" t="inlineStr"/>
      <c r="O261" s="5" t="inlineStr"/>
      <c r="P261" s="5" t="inlineStr"/>
      <c r="Q261" s="5" t="inlineStr"/>
      <c r="R261" s="5" t="inlineStr">
        <is>
          <t>2 English, DOI or PubMed link</t>
        </is>
      </c>
      <c r="S261" s="5" t="inlineStr">
        <is>
          <t>Y</t>
        </is>
      </c>
      <c r="T261" s="5" t="inlineStr">
        <is>
          <t>WS0780.pdf</t>
        </is>
      </c>
      <c r="U261" s="8" t="n"/>
      <c r="V261" s="8" t="n"/>
      <c r="W261" s="8" t="n"/>
      <c r="X261" s="8" t="n"/>
      <c r="Y261" s="8" t="n"/>
      <c r="Z261" s="8" t="n"/>
      <c r="AA261" s="8" t="n"/>
      <c r="AB261" s="8" t="n"/>
      <c r="AC261" s="8" t="n"/>
      <c r="AD261" s="8" t="n"/>
    </row>
    <row r="262">
      <c r="A262" s="5" t="n">
        <v>261</v>
      </c>
      <c r="B262" s="5" t="inlineStr">
        <is>
          <t>WS0786</t>
        </is>
      </c>
      <c r="C262" s="5" t="inlineStr">
        <is>
          <t>2000</t>
        </is>
      </c>
      <c r="D262" s="5" t="inlineStr">
        <is>
          <t>English</t>
        </is>
      </c>
      <c r="E262" s="5" t="inlineStr">
        <is>
          <t>JOUR</t>
        </is>
      </c>
      <c r="F262" s="5" t="inlineStr">
        <is>
          <t>Danaci</t>
        </is>
      </c>
      <c r="G262" s="5" t="inlineStr">
        <is>
          <t>Journal of clinical ultrasound : JCU</t>
        </is>
      </c>
      <c r="H262" s="5" t="inlineStr">
        <is>
          <t>28(5):246-8</t>
        </is>
      </c>
      <c r="I262" s="6" t="inlineStr">
        <is>
          <t>Power Doppler sonographic diagnosis of torsion in a wandering spleen.</t>
        </is>
      </c>
      <c r="J262" s="5" t="inlineStr">
        <is>
          <t>10.1002/(sici)1097-0096(200006)28:5&lt;246::aid-jcu6&gt;3.0.co;2-#</t>
        </is>
      </c>
      <c r="K262" s="7" t="inlineStr">
        <is>
          <t>link</t>
        </is>
      </c>
      <c r="L262" s="7" t="inlineStr">
        <is>
          <t>link</t>
        </is>
      </c>
      <c r="M262" s="5" t="inlineStr"/>
      <c r="N262" s="5" t="inlineStr"/>
      <c r="O262" s="5" t="inlineStr"/>
      <c r="P262" s="5" t="inlineStr"/>
      <c r="Q262" s="5" t="inlineStr"/>
      <c r="R262" s="5" t="inlineStr">
        <is>
          <t>2 English, DOI or PubMed link</t>
        </is>
      </c>
      <c r="S262" s="5" t="inlineStr"/>
      <c r="T262" s="5" t="inlineStr">
        <is>
          <t>WS0786.pdf</t>
        </is>
      </c>
      <c r="U262" s="8" t="n"/>
      <c r="V262" s="8" t="n"/>
      <c r="W262" s="8" t="n"/>
      <c r="X262" s="8" t="n"/>
      <c r="Y262" s="8" t="n"/>
      <c r="Z262" s="8" t="n"/>
      <c r="AA262" s="8" t="n"/>
      <c r="AB262" s="8" t="n"/>
      <c r="AC262" s="8" t="n"/>
      <c r="AD262" s="8" t="n"/>
    </row>
    <row r="263">
      <c r="A263" s="5" t="n">
        <v>262</v>
      </c>
      <c r="B263" s="5" t="inlineStr">
        <is>
          <t>WS0789</t>
        </is>
      </c>
      <c r="C263" s="5" t="inlineStr">
        <is>
          <t>2000</t>
        </is>
      </c>
      <c r="D263" s="5" t="inlineStr">
        <is>
          <t>English</t>
        </is>
      </c>
      <c r="E263" s="5" t="inlineStr">
        <is>
          <t>JOUR</t>
        </is>
      </c>
      <c r="F263" s="5" t="inlineStr">
        <is>
          <t>Spector</t>
        </is>
      </c>
      <c r="G263" s="5" t="inlineStr">
        <is>
          <t>Journal of pediatric surgery</t>
        </is>
      </c>
      <c r="H263" s="5" t="inlineStr">
        <is>
          <t>35(4):641-2</t>
        </is>
      </c>
      <c r="I263" s="6" t="inlineStr">
        <is>
          <t>Gastric volvulus associated with wandering spleen in a child.</t>
        </is>
      </c>
      <c r="J263" s="5" t="inlineStr">
        <is>
          <t>10.1053/jpsu.2000.0350641</t>
        </is>
      </c>
      <c r="K263" s="7" t="inlineStr">
        <is>
          <t>link</t>
        </is>
      </c>
      <c r="L263" s="7" t="inlineStr">
        <is>
          <t>link</t>
        </is>
      </c>
      <c r="M263" s="5" t="inlineStr"/>
      <c r="N263" s="5" t="inlineStr"/>
      <c r="O263" s="5" t="inlineStr"/>
      <c r="P263" s="5" t="inlineStr"/>
      <c r="Q263" s="5" t="inlineStr"/>
      <c r="R263" s="5" t="inlineStr">
        <is>
          <t>2 English, DOI or PubMed link</t>
        </is>
      </c>
      <c r="S263" s="5" t="inlineStr"/>
      <c r="T263" s="5" t="inlineStr">
        <is>
          <t>WS0789.pdf</t>
        </is>
      </c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8" t="n"/>
    </row>
    <row r="264">
      <c r="A264" s="5" t="n">
        <v>263</v>
      </c>
      <c r="B264" s="5" t="inlineStr">
        <is>
          <t>WS2312</t>
        </is>
      </c>
      <c r="C264" s="5" t="inlineStr">
        <is>
          <t>2026</t>
        </is>
      </c>
      <c r="D264" s="5" t="inlineStr">
        <is>
          <t>Chinese</t>
        </is>
      </c>
      <c r="E264" s="5" t="inlineStr">
        <is>
          <t>JOUR</t>
        </is>
      </c>
      <c r="F264" s="5" t="inlineStr">
        <is>
          <t>董伊迪</t>
        </is>
      </c>
      <c r="G264" s="5" t="inlineStr">
        <is>
          <t>基层医学论坛（新加坡学术出版社）</t>
        </is>
      </c>
      <c r="H264" s="5" t="inlineStr">
        <is>
          <t>8(1)</t>
        </is>
      </c>
      <c r="I264" s="6" t="inlineStr">
        <is>
          <t>伴有脾动脉钙化的异位脾扭转 1 例</t>
        </is>
      </c>
      <c r="J264" s="5" t="inlineStr">
        <is>
          <t>10.12373/jcyxlt.2026.01.23766</t>
        </is>
      </c>
      <c r="K264" s="7" t="inlineStr">
        <is>
          <t>link</t>
        </is>
      </c>
      <c r="L264" s="5" t="inlineStr"/>
      <c r="M264" s="5" t="inlineStr"/>
      <c r="N264" s="5" t="inlineStr"/>
      <c r="O264" s="5" t="inlineStr"/>
      <c r="P264" s="7" t="inlineStr">
        <is>
          <t>link</t>
        </is>
      </c>
      <c r="Q264" s="5" t="inlineStr"/>
      <c r="R264" s="5" t="inlineStr">
        <is>
          <t>3 Chinese</t>
        </is>
      </c>
      <c r="S264" s="5" t="inlineStr"/>
      <c r="T264" s="5" t="inlineStr">
        <is>
          <t>WS2312.pdf</t>
        </is>
      </c>
      <c r="U264" s="8" t="n"/>
      <c r="V264" s="8" t="n"/>
      <c r="W264" s="8" t="n"/>
      <c r="X264" s="8" t="n"/>
      <c r="Y264" s="8" t="n"/>
      <c r="Z264" s="8" t="n"/>
      <c r="AA264" s="8" t="n"/>
      <c r="AB264" s="8" t="n"/>
      <c r="AC264" s="8" t="n"/>
      <c r="AD264" s="8" t="n"/>
    </row>
    <row r="265">
      <c r="A265" s="5" t="n">
        <v>264</v>
      </c>
      <c r="B265" s="5" t="inlineStr">
        <is>
          <t>WS0049</t>
        </is>
      </c>
      <c r="C265" s="5" t="inlineStr">
        <is>
          <t>2025</t>
        </is>
      </c>
      <c r="D265" s="5" t="inlineStr">
        <is>
          <t>Chinese</t>
        </is>
      </c>
      <c r="E265" s="5" t="inlineStr">
        <is>
          <t>JOUR</t>
        </is>
      </c>
      <c r="F265" s="5" t="inlineStr">
        <is>
          <t>Zhao</t>
        </is>
      </c>
      <c r="G265" s="5" t="inlineStr">
        <is>
          <t>Zhonghua yi xue za zhi</t>
        </is>
      </c>
      <c r="H265" s="5" t="inlineStr">
        <is>
          <t>105(29):2507-2510</t>
        </is>
      </c>
      <c r="I265" s="6" t="inlineStr">
        <is>
          <t>[Ultrasonic manifestations of splenic torsion in children].</t>
        </is>
      </c>
      <c r="J265" s="5" t="inlineStr">
        <is>
          <t>10.3760/cma.j.cn112137-20250227-00466</t>
        </is>
      </c>
      <c r="K265" s="7" t="inlineStr">
        <is>
          <t>link</t>
        </is>
      </c>
      <c r="L265" s="7" t="inlineStr">
        <is>
          <t>link</t>
        </is>
      </c>
      <c r="M265" s="5" t="inlineStr"/>
      <c r="N265" s="5" t="inlineStr"/>
      <c r="O265" s="7" t="inlineStr">
        <is>
          <t>link</t>
        </is>
      </c>
      <c r="P265" s="7" t="inlineStr">
        <is>
          <t>link</t>
        </is>
      </c>
      <c r="Q265" s="5" t="inlineStr"/>
      <c r="R265" s="5" t="inlineStr">
        <is>
          <t>3 Chinese</t>
        </is>
      </c>
      <c r="S265" s="5" t="inlineStr">
        <is>
          <t>Y</t>
        </is>
      </c>
      <c r="T265" s="5" t="inlineStr">
        <is>
          <t>WS0049.pdf</t>
        </is>
      </c>
      <c r="U265" s="8" t="n"/>
      <c r="V265" s="8" t="n"/>
      <c r="W265" s="8" t="n"/>
      <c r="X265" s="8" t="n"/>
      <c r="Y265" s="8" t="n"/>
      <c r="Z265" s="8" t="n"/>
      <c r="AA265" s="8" t="n"/>
      <c r="AB265" s="8" t="n"/>
      <c r="AC265" s="8" t="n"/>
      <c r="AD265" s="8" t="n"/>
    </row>
    <row r="266">
      <c r="A266" s="5" t="n">
        <v>265</v>
      </c>
      <c r="B266" s="5" t="inlineStr">
        <is>
          <t>WS1848</t>
        </is>
      </c>
      <c r="C266" s="5" t="inlineStr">
        <is>
          <t>2025</t>
        </is>
      </c>
      <c r="D266" s="5" t="inlineStr">
        <is>
          <t>Chinese</t>
        </is>
      </c>
      <c r="E266" s="5" t="inlineStr">
        <is>
          <t>JOUR</t>
        </is>
      </c>
      <c r="F266" s="5" t="inlineStr">
        <is>
          <t>张卓</t>
        </is>
      </c>
      <c r="G266" s="5" t="inlineStr">
        <is>
          <t>腹腔镜外科杂志</t>
        </is>
      </c>
      <c r="H266" s="5" t="inlineStr">
        <is>
          <t>30(9):719-720</t>
        </is>
      </c>
      <c r="I266" s="6" t="inlineStr">
        <is>
          <t>脾异位于阴囊的先天性腹股沟疝伴隐睾1例报告</t>
        </is>
      </c>
      <c r="J266" s="5" t="inlineStr">
        <is>
          <t>10.13499/j.cnki.fqjwkzz.2025.09.719</t>
        </is>
      </c>
      <c r="K266" s="7" t="inlineStr">
        <is>
          <t>link</t>
        </is>
      </c>
      <c r="L266" s="5" t="inlineStr"/>
      <c r="M266" s="5" t="inlineStr"/>
      <c r="N266" s="5" t="inlineStr"/>
      <c r="O266" s="7" t="inlineStr">
        <is>
          <t>link</t>
        </is>
      </c>
      <c r="P266" s="7" t="inlineStr">
        <is>
          <t>link</t>
        </is>
      </c>
      <c r="Q266" s="5" t="inlineStr"/>
      <c r="R266" s="5" t="inlineStr">
        <is>
          <t>3 Chinese</t>
        </is>
      </c>
      <c r="S266" s="5" t="inlineStr"/>
      <c r="T266" s="5" t="inlineStr">
        <is>
          <t>WS1848.pdf</t>
        </is>
      </c>
      <c r="U266" s="8" t="n"/>
      <c r="V266" s="8" t="n"/>
      <c r="W266" s="8" t="n"/>
      <c r="X266" s="8" t="n"/>
      <c r="Y266" s="8" t="n"/>
      <c r="Z266" s="8" t="n"/>
      <c r="AA266" s="8" t="n"/>
      <c r="AB266" s="8" t="n"/>
      <c r="AC266" s="8" t="n"/>
      <c r="AD266" s="8" t="n"/>
    </row>
    <row r="267">
      <c r="A267" s="5" t="n">
        <v>266</v>
      </c>
      <c r="B267" s="5" t="inlineStr">
        <is>
          <t>WS1856</t>
        </is>
      </c>
      <c r="C267" s="5" t="inlineStr">
        <is>
          <t>2024</t>
        </is>
      </c>
      <c r="D267" s="5" t="inlineStr">
        <is>
          <t>Chinese</t>
        </is>
      </c>
      <c r="E267" s="5" t="inlineStr">
        <is>
          <t>JOUR</t>
        </is>
      </c>
      <c r="F267" s="5" t="inlineStr">
        <is>
          <t>张晨翔</t>
        </is>
      </c>
      <c r="G267" s="5" t="inlineStr">
        <is>
          <t>中国乡村医药</t>
        </is>
      </c>
      <c r="H267" s="5" t="inlineStr">
        <is>
          <t>31(22):50-52</t>
        </is>
      </c>
      <c r="I267" s="6" t="inlineStr">
        <is>
          <t>以急腹症表现的儿童游走脾伴脾功能亢进1例</t>
        </is>
      </c>
      <c r="J267" s="5" t="inlineStr">
        <is>
          <t>10.19542/j.cnki.1006-5180.2311-140</t>
        </is>
      </c>
      <c r="K267" s="7" t="inlineStr">
        <is>
          <t>link</t>
        </is>
      </c>
      <c r="L267" s="5" t="inlineStr"/>
      <c r="M267" s="5" t="inlineStr"/>
      <c r="N267" s="5" t="inlineStr"/>
      <c r="O267" s="7" t="inlineStr">
        <is>
          <t>link</t>
        </is>
      </c>
      <c r="P267" s="7" t="inlineStr">
        <is>
          <t>link</t>
        </is>
      </c>
      <c r="Q267" s="5" t="inlineStr"/>
      <c r="R267" s="5" t="inlineStr">
        <is>
          <t>3 Chinese</t>
        </is>
      </c>
      <c r="S267" s="5" t="inlineStr"/>
      <c r="T267" s="5" t="inlineStr">
        <is>
          <t>WS1856.pdf</t>
        </is>
      </c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</row>
    <row r="268">
      <c r="A268" s="5" t="n">
        <v>267</v>
      </c>
      <c r="B268" s="5" t="inlineStr">
        <is>
          <t>WS1859</t>
        </is>
      </c>
      <c r="C268" s="5" t="inlineStr">
        <is>
          <t>2024</t>
        </is>
      </c>
      <c r="D268" s="5" t="inlineStr">
        <is>
          <t>Chinese</t>
        </is>
      </c>
      <c r="E268" s="5" t="inlineStr">
        <is>
          <t>JOUR</t>
        </is>
      </c>
      <c r="F268" s="5" t="inlineStr">
        <is>
          <t>李拴玲</t>
        </is>
      </c>
      <c r="G268" s="5" t="inlineStr">
        <is>
          <t>发育医学电子杂志</t>
        </is>
      </c>
      <c r="H268" s="5" t="inlineStr">
        <is>
          <t>12(5):369-373</t>
        </is>
      </c>
      <c r="I268" s="6" t="inlineStr">
        <is>
          <t>儿童脾扭转诊治的单中心回顾性研究</t>
        </is>
      </c>
      <c r="J268" s="5" t="inlineStr">
        <is>
          <t>10.3969/j.issn.2095-5340.2024.05.008</t>
        </is>
      </c>
      <c r="K268" s="7" t="inlineStr">
        <is>
          <t>link</t>
        </is>
      </c>
      <c r="L268" s="5" t="inlineStr"/>
      <c r="M268" s="5" t="inlineStr"/>
      <c r="N268" s="5" t="inlineStr"/>
      <c r="O268" s="7" t="inlineStr">
        <is>
          <t>link</t>
        </is>
      </c>
      <c r="P268" s="7" t="inlineStr">
        <is>
          <t>link</t>
        </is>
      </c>
      <c r="Q268" s="5" t="inlineStr"/>
      <c r="R268" s="5" t="inlineStr">
        <is>
          <t>3 Chinese</t>
        </is>
      </c>
      <c r="S268" s="5" t="inlineStr">
        <is>
          <t>Y</t>
        </is>
      </c>
      <c r="T268" s="5" t="inlineStr">
        <is>
          <t>WS1859.pdf</t>
        </is>
      </c>
      <c r="U268" s="8" t="n"/>
      <c r="V268" s="8" t="n"/>
      <c r="W268" s="8" t="n"/>
      <c r="X268" s="8" t="n"/>
      <c r="Y268" s="8" t="n"/>
      <c r="Z268" s="8" t="n"/>
      <c r="AA268" s="8" t="n"/>
      <c r="AB268" s="8" t="n"/>
      <c r="AC268" s="8" t="n"/>
      <c r="AD268" s="8" t="n"/>
    </row>
    <row r="269">
      <c r="A269" s="5" t="n">
        <v>268</v>
      </c>
      <c r="B269" s="5" t="inlineStr">
        <is>
          <t>WS1860</t>
        </is>
      </c>
      <c r="C269" s="5" t="inlineStr">
        <is>
          <t>2024</t>
        </is>
      </c>
      <c r="D269" s="5" t="inlineStr">
        <is>
          <t>Chinese</t>
        </is>
      </c>
      <c r="E269" s="5" t="inlineStr">
        <is>
          <t>JOUR</t>
        </is>
      </c>
      <c r="F269" s="5" t="inlineStr">
        <is>
          <t>黄小燕</t>
        </is>
      </c>
      <c r="G269" s="5" t="inlineStr">
        <is>
          <t>肝胆胰外科杂志</t>
        </is>
      </c>
      <c r="H269" s="5" t="inlineStr">
        <is>
          <t>36(6):378-380</t>
        </is>
      </c>
      <c r="I269" s="6" t="inlineStr">
        <is>
          <t>儿童游离脾伴脾蒂及胰尾扭转一例</t>
        </is>
      </c>
      <c r="J269" s="5" t="inlineStr">
        <is>
          <t>10.11952/j.issn.1007-1954.2024.06.011</t>
        </is>
      </c>
      <c r="K269" s="7" t="inlineStr">
        <is>
          <t>link</t>
        </is>
      </c>
      <c r="L269" s="5" t="inlineStr"/>
      <c r="M269" s="5" t="inlineStr"/>
      <c r="N269" s="5" t="inlineStr"/>
      <c r="O269" s="7" t="inlineStr">
        <is>
          <t>link</t>
        </is>
      </c>
      <c r="P269" s="7" t="inlineStr">
        <is>
          <t>link</t>
        </is>
      </c>
      <c r="Q269" s="5" t="inlineStr"/>
      <c r="R269" s="5" t="inlineStr">
        <is>
          <t>3 Chinese</t>
        </is>
      </c>
      <c r="S269" s="5" t="inlineStr"/>
      <c r="T269" s="5" t="inlineStr">
        <is>
          <t>WS1860.pdf</t>
        </is>
      </c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  <c r="AD269" s="8" t="n"/>
    </row>
    <row r="270">
      <c r="A270" s="5" t="n">
        <v>269</v>
      </c>
      <c r="B270" s="5" t="inlineStr">
        <is>
          <t>WS1513</t>
        </is>
      </c>
      <c r="C270" s="5" t="inlineStr">
        <is>
          <t>2023</t>
        </is>
      </c>
      <c r="D270" s="5" t="inlineStr">
        <is>
          <t>Chinese</t>
        </is>
      </c>
      <c r="E270" s="5" t="inlineStr">
        <is>
          <t>JOUR</t>
        </is>
      </c>
      <c r="F270" s="5" t="inlineStr">
        <is>
          <t>李立帜</t>
        </is>
      </c>
      <c r="G270" s="5" t="inlineStr">
        <is>
          <t>临床小儿外科杂志</t>
        </is>
      </c>
      <c r="H270" s="5" t="inlineStr">
        <is>
          <t>22(2):185-187</t>
        </is>
      </c>
      <c r="I270" s="6" t="inlineStr">
        <is>
          <t>小儿脾韧带缺如并原位脾扭转1例并文献复习</t>
        </is>
      </c>
      <c r="J270" s="5" t="inlineStr">
        <is>
          <t>10.3760/cma.j.cn101785—202205024—016</t>
        </is>
      </c>
      <c r="K270" s="7" t="inlineStr">
        <is>
          <t>link</t>
        </is>
      </c>
      <c r="L270" s="5" t="inlineStr"/>
      <c r="M270" s="5" t="inlineStr"/>
      <c r="N270" s="5" t="inlineStr"/>
      <c r="O270" s="7" t="inlineStr">
        <is>
          <t>link</t>
        </is>
      </c>
      <c r="P270" s="7" t="inlineStr">
        <is>
          <t>link</t>
        </is>
      </c>
      <c r="Q270" s="5" t="inlineStr"/>
      <c r="R270" s="5" t="inlineStr">
        <is>
          <t>3 Chinese</t>
        </is>
      </c>
      <c r="S270" s="5" t="inlineStr"/>
      <c r="T270" s="5" t="inlineStr">
        <is>
          <t>WS1513.pdf</t>
        </is>
      </c>
      <c r="U270" s="8" t="n"/>
      <c r="V270" s="8" t="n"/>
      <c r="W270" s="8" t="n"/>
      <c r="X270" s="8" t="n"/>
      <c r="Y270" s="8" t="n"/>
      <c r="Z270" s="8" t="n"/>
      <c r="AA270" s="8" t="n"/>
      <c r="AB270" s="8" t="n"/>
      <c r="AC270" s="8" t="n"/>
      <c r="AD270" s="8" t="n"/>
    </row>
    <row r="271">
      <c r="A271" s="5" t="n">
        <v>270</v>
      </c>
      <c r="B271" s="5" t="inlineStr">
        <is>
          <t>WS1569</t>
        </is>
      </c>
      <c r="C271" s="5" t="inlineStr">
        <is>
          <t>2023</t>
        </is>
      </c>
      <c r="D271" s="5" t="inlineStr">
        <is>
          <t>Chinese</t>
        </is>
      </c>
      <c r="E271" s="5" t="inlineStr">
        <is>
          <t>JOUR</t>
        </is>
      </c>
      <c r="F271" s="5" t="inlineStr">
        <is>
          <t>熊晓晴</t>
        </is>
      </c>
      <c r="G271" s="5" t="inlineStr">
        <is>
          <t>中国医学影像技术</t>
        </is>
      </c>
      <c r="H271" s="5" t="inlineStr">
        <is>
          <t>39(11):1720</t>
        </is>
      </c>
      <c r="I271" s="6" t="inlineStr">
        <is>
          <t>单纯脾蒂扭转1例</t>
        </is>
      </c>
      <c r="J271" s="5" t="inlineStr">
        <is>
          <t>10.13929/j.issn.1003-3289.2023.11.028</t>
        </is>
      </c>
      <c r="K271" s="7" t="inlineStr">
        <is>
          <t>link</t>
        </is>
      </c>
      <c r="L271" s="5" t="inlineStr"/>
      <c r="M271" s="5" t="inlineStr"/>
      <c r="N271" s="5" t="inlineStr"/>
      <c r="O271" s="7" t="inlineStr">
        <is>
          <t>link</t>
        </is>
      </c>
      <c r="P271" s="7" t="inlineStr">
        <is>
          <t>link</t>
        </is>
      </c>
      <c r="Q271" s="5" t="inlineStr"/>
      <c r="R271" s="5" t="inlineStr">
        <is>
          <t>3 Chinese</t>
        </is>
      </c>
      <c r="S271" s="5" t="inlineStr"/>
      <c r="T271" s="5" t="inlineStr">
        <is>
          <t>WS1569.pdf</t>
        </is>
      </c>
      <c r="U271" s="8" t="n"/>
      <c r="V271" s="8" t="n"/>
      <c r="W271" s="8" t="n"/>
      <c r="X271" s="8" t="n"/>
      <c r="Y271" s="8" t="n"/>
      <c r="Z271" s="8" t="n"/>
      <c r="AA271" s="8" t="n"/>
      <c r="AB271" s="8" t="n"/>
      <c r="AC271" s="8" t="n"/>
      <c r="AD271" s="8" t="n"/>
    </row>
    <row r="272">
      <c r="A272" s="5" t="n">
        <v>271</v>
      </c>
      <c r="B272" s="5" t="inlineStr">
        <is>
          <t>WS1866</t>
        </is>
      </c>
      <c r="C272" s="5" t="inlineStr">
        <is>
          <t>2023</t>
        </is>
      </c>
      <c r="D272" s="5" t="inlineStr">
        <is>
          <t>Chinese</t>
        </is>
      </c>
      <c r="E272" s="5" t="inlineStr">
        <is>
          <t>JOUR</t>
        </is>
      </c>
      <c r="F272" s="5" t="inlineStr">
        <is>
          <t>李耀辉</t>
        </is>
      </c>
      <c r="G272" s="5" t="inlineStr">
        <is>
          <t>CT理论与应用研究</t>
        </is>
      </c>
      <c r="H272" s="5" t="inlineStr">
        <is>
          <t>32(6):799-805</t>
        </is>
      </c>
      <c r="I272" s="6" t="inlineStr">
        <is>
          <t>CT诊断脾扭转伴胰尾扭转临床案例分析</t>
        </is>
      </c>
      <c r="J272" s="5" t="inlineStr">
        <is>
          <t>10.15953/j.ctta.2023.018</t>
        </is>
      </c>
      <c r="K272" s="7" t="inlineStr">
        <is>
          <t>link</t>
        </is>
      </c>
      <c r="L272" s="5" t="inlineStr"/>
      <c r="M272" s="5" t="inlineStr"/>
      <c r="N272" s="5" t="inlineStr"/>
      <c r="O272" s="7" t="inlineStr">
        <is>
          <t>link</t>
        </is>
      </c>
      <c r="P272" s="7" t="inlineStr">
        <is>
          <t>link</t>
        </is>
      </c>
      <c r="Q272" s="5" t="inlineStr"/>
      <c r="R272" s="5" t="inlineStr">
        <is>
          <t>3 Chinese</t>
        </is>
      </c>
      <c r="S272" s="5" t="inlineStr"/>
      <c r="T272" s="5" t="inlineStr">
        <is>
          <t>WS1866.pdf</t>
        </is>
      </c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  <c r="AD272" s="8" t="n"/>
    </row>
    <row r="273">
      <c r="A273" s="5" t="n">
        <v>272</v>
      </c>
      <c r="B273" s="5" t="inlineStr">
        <is>
          <t>WS1867</t>
        </is>
      </c>
      <c r="C273" s="5" t="inlineStr">
        <is>
          <t>2023</t>
        </is>
      </c>
      <c r="D273" s="5" t="inlineStr">
        <is>
          <t>Chinese</t>
        </is>
      </c>
      <c r="E273" s="5" t="inlineStr">
        <is>
          <t>JOUR</t>
        </is>
      </c>
      <c r="F273" s="5" t="inlineStr">
        <is>
          <t>于斐</t>
        </is>
      </c>
      <c r="G273" s="5" t="inlineStr">
        <is>
          <t>腹腔镜外科杂志</t>
        </is>
      </c>
      <c r="H273" s="5" t="inlineStr">
        <is>
          <t>28(10):799-800</t>
        </is>
      </c>
      <c r="I273" s="6" t="inlineStr">
        <is>
          <t>游走脾伴蒂扭转1例</t>
        </is>
      </c>
      <c r="J273" s="5" t="inlineStr">
        <is>
          <t>10.13499/j.cnki.fqjwkzz.2023.10.799</t>
        </is>
      </c>
      <c r="K273" s="7" t="inlineStr">
        <is>
          <t>link</t>
        </is>
      </c>
      <c r="L273" s="5" t="inlineStr"/>
      <c r="M273" s="5" t="inlineStr"/>
      <c r="N273" s="5" t="inlineStr"/>
      <c r="O273" s="7" t="inlineStr">
        <is>
          <t>link</t>
        </is>
      </c>
      <c r="P273" s="7" t="inlineStr">
        <is>
          <t>link</t>
        </is>
      </c>
      <c r="Q273" s="5" t="inlineStr"/>
      <c r="R273" s="5" t="inlineStr">
        <is>
          <t>3 Chinese</t>
        </is>
      </c>
      <c r="S273" s="5" t="inlineStr"/>
      <c r="T273" s="5" t="inlineStr">
        <is>
          <t>WS1867.pdf</t>
        </is>
      </c>
      <c r="U273" s="8" t="n"/>
      <c r="V273" s="8" t="n"/>
      <c r="W273" s="8" t="n"/>
      <c r="X273" s="8" t="n"/>
      <c r="Y273" s="8" t="n"/>
      <c r="Z273" s="8" t="n"/>
      <c r="AA273" s="8" t="n"/>
      <c r="AB273" s="8" t="n"/>
      <c r="AC273" s="8" t="n"/>
      <c r="AD273" s="8" t="n"/>
    </row>
    <row r="274">
      <c r="A274" s="5" t="n">
        <v>273</v>
      </c>
      <c r="B274" s="5" t="inlineStr">
        <is>
          <t>WS1868</t>
        </is>
      </c>
      <c r="C274" s="5" t="inlineStr">
        <is>
          <t>2023</t>
        </is>
      </c>
      <c r="D274" s="5" t="inlineStr">
        <is>
          <t>Chinese</t>
        </is>
      </c>
      <c r="E274" s="5" t="inlineStr">
        <is>
          <t>JOUR</t>
        </is>
      </c>
      <c r="F274" s="5" t="inlineStr">
        <is>
          <t>张金山</t>
        </is>
      </c>
      <c r="G274" s="5" t="inlineStr">
        <is>
          <t>中华普通外科杂志</t>
        </is>
      </c>
      <c r="H274" s="5" t="inlineStr">
        <is>
          <t>38(9):695-696</t>
        </is>
      </c>
      <c r="I274" s="6" t="inlineStr">
        <is>
          <t>“十字”切口型腹膜囊袋脾固定术治疗先天性游走脾伴扭转</t>
        </is>
      </c>
      <c r="J274" s="5" t="inlineStr">
        <is>
          <t>10.3760/cma.j.cn113855-20230217-00066</t>
        </is>
      </c>
      <c r="K274" s="7" t="inlineStr">
        <is>
          <t>link</t>
        </is>
      </c>
      <c r="L274" s="5" t="inlineStr"/>
      <c r="M274" s="5" t="inlineStr"/>
      <c r="N274" s="5" t="inlineStr"/>
      <c r="O274" s="7" t="inlineStr">
        <is>
          <t>link</t>
        </is>
      </c>
      <c r="P274" s="7" t="inlineStr">
        <is>
          <t>link</t>
        </is>
      </c>
      <c r="Q274" s="5" t="inlineStr"/>
      <c r="R274" s="5" t="inlineStr">
        <is>
          <t>3 Chinese</t>
        </is>
      </c>
      <c r="S274" s="5" t="inlineStr"/>
      <c r="T274" s="5" t="inlineStr">
        <is>
          <t>WS1868.pdf</t>
        </is>
      </c>
      <c r="U274" s="8" t="n"/>
      <c r="V274" s="8" t="n"/>
      <c r="W274" s="8" t="n"/>
      <c r="X274" s="8" t="n"/>
      <c r="Y274" s="8" t="n"/>
      <c r="Z274" s="8" t="n"/>
      <c r="AA274" s="8" t="n"/>
      <c r="AB274" s="8" t="n"/>
      <c r="AC274" s="8" t="n"/>
      <c r="AD274" s="8" t="n"/>
    </row>
    <row r="275">
      <c r="A275" s="5" t="n">
        <v>274</v>
      </c>
      <c r="B275" s="5" t="inlineStr">
        <is>
          <t>WS1869</t>
        </is>
      </c>
      <c r="C275" s="5" t="inlineStr">
        <is>
          <t>2023</t>
        </is>
      </c>
      <c r="D275" s="5" t="inlineStr">
        <is>
          <t>Chinese</t>
        </is>
      </c>
      <c r="E275" s="5" t="inlineStr">
        <is>
          <t>JOUR</t>
        </is>
      </c>
      <c r="F275" s="5" t="inlineStr">
        <is>
          <t>王秋菊</t>
        </is>
      </c>
      <c r="G275" s="5" t="inlineStr">
        <is>
          <t>中国现代普通外科进展</t>
        </is>
      </c>
      <c r="H275" s="5" t="inlineStr">
        <is>
          <t>26(9):737</t>
        </is>
      </c>
      <c r="I275" s="6" t="inlineStr">
        <is>
          <t>儿童游走脾伴蒂扭转、脾梗死1例</t>
        </is>
      </c>
      <c r="J275" s="5" t="inlineStr">
        <is>
          <t>10.3969/j.issn.1009-9905.2023.09.019</t>
        </is>
      </c>
      <c r="K275" s="7" t="inlineStr">
        <is>
          <t>link</t>
        </is>
      </c>
      <c r="L275" s="5" t="inlineStr"/>
      <c r="M275" s="5" t="inlineStr"/>
      <c r="N275" s="5" t="inlineStr"/>
      <c r="O275" s="7" t="inlineStr">
        <is>
          <t>link</t>
        </is>
      </c>
      <c r="P275" s="7" t="inlineStr">
        <is>
          <t>link</t>
        </is>
      </c>
      <c r="Q275" s="5" t="inlineStr"/>
      <c r="R275" s="5" t="inlineStr">
        <is>
          <t>3 Chinese</t>
        </is>
      </c>
      <c r="S275" s="5" t="inlineStr"/>
      <c r="T275" s="5" t="inlineStr">
        <is>
          <t>WS1869.pdf</t>
        </is>
      </c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</row>
    <row r="276">
      <c r="A276" s="5" t="n">
        <v>275</v>
      </c>
      <c r="B276" s="5" t="inlineStr">
        <is>
          <t>WS2348</t>
        </is>
      </c>
      <c r="C276" s="5" t="inlineStr">
        <is>
          <t>2023</t>
        </is>
      </c>
      <c r="D276" s="5" t="inlineStr">
        <is>
          <t>Chinese</t>
        </is>
      </c>
      <c r="E276" s="5" t="inlineStr">
        <is>
          <t>JOUR</t>
        </is>
      </c>
      <c r="F276" s="5" t="inlineStr">
        <is>
          <t>王燕</t>
        </is>
      </c>
      <c r="G276" s="5" t="inlineStr">
        <is>
          <t>临床医学进展</t>
        </is>
      </c>
      <c r="H276" s="5" t="inlineStr">
        <is>
          <t>13(2):2290-2298</t>
        </is>
      </c>
      <c r="I276" s="6" t="inlineStr">
        <is>
          <t>儿童游走脾扭转并破裂出血1例报告并文献复习</t>
        </is>
      </c>
      <c r="J276" s="5" t="inlineStr">
        <is>
          <t>10.12677/acm.2023.132320</t>
        </is>
      </c>
      <c r="K276" s="7" t="inlineStr">
        <is>
          <t>link</t>
        </is>
      </c>
      <c r="L276" s="5" t="inlineStr"/>
      <c r="M276" s="5" t="inlineStr"/>
      <c r="N276" s="5" t="inlineStr"/>
      <c r="O276" s="5" t="inlineStr"/>
      <c r="P276" s="7" t="inlineStr">
        <is>
          <t>link</t>
        </is>
      </c>
      <c r="Q276" s="5" t="inlineStr"/>
      <c r="R276" s="5" t="inlineStr">
        <is>
          <t>3 Chinese</t>
        </is>
      </c>
      <c r="S276" s="5" t="inlineStr"/>
      <c r="T276" s="5" t="inlineStr">
        <is>
          <t>WS2348.pdf</t>
        </is>
      </c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</row>
    <row r="277">
      <c r="A277" s="5" t="n">
        <v>276</v>
      </c>
      <c r="B277" s="5" t="inlineStr">
        <is>
          <t>WS1880</t>
        </is>
      </c>
      <c r="C277" s="5" t="inlineStr">
        <is>
          <t>2022</t>
        </is>
      </c>
      <c r="D277" s="5" t="inlineStr">
        <is>
          <t>Chinese</t>
        </is>
      </c>
      <c r="E277" s="5" t="inlineStr">
        <is>
          <t>JOUR</t>
        </is>
      </c>
      <c r="F277" s="5" t="inlineStr">
        <is>
          <t>杜明华</t>
        </is>
      </c>
      <c r="G277" s="5" t="inlineStr">
        <is>
          <t>武警医学</t>
        </is>
      </c>
      <c r="H277" s="5" t="inlineStr">
        <is>
          <t>33(12):1073-1076</t>
        </is>
      </c>
      <c r="I277" s="6" t="inlineStr">
        <is>
          <t>游走脾急腹症1例</t>
        </is>
      </c>
      <c r="J277" s="5" t="inlineStr">
        <is>
          <t>10.3969/j.issn.1004-3594.2022.12.016</t>
        </is>
      </c>
      <c r="K277" s="7" t="inlineStr">
        <is>
          <t>link</t>
        </is>
      </c>
      <c r="L277" s="5" t="inlineStr"/>
      <c r="M277" s="5" t="inlineStr"/>
      <c r="N277" s="5" t="inlineStr"/>
      <c r="O277" s="7" t="inlineStr">
        <is>
          <t>link</t>
        </is>
      </c>
      <c r="P277" s="7" t="inlineStr">
        <is>
          <t>link</t>
        </is>
      </c>
      <c r="Q277" s="5" t="inlineStr"/>
      <c r="R277" s="5" t="inlineStr">
        <is>
          <t>3 Chinese</t>
        </is>
      </c>
      <c r="S277" s="5" t="inlineStr"/>
      <c r="T277" s="5" t="inlineStr">
        <is>
          <t>WS1880.pdf</t>
        </is>
      </c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</row>
    <row r="278">
      <c r="A278" s="5" t="n">
        <v>277</v>
      </c>
      <c r="B278" s="5" t="inlineStr">
        <is>
          <t>WS1890</t>
        </is>
      </c>
      <c r="C278" s="5" t="inlineStr">
        <is>
          <t>2021</t>
        </is>
      </c>
      <c r="D278" s="5" t="inlineStr">
        <is>
          <t>Chinese</t>
        </is>
      </c>
      <c r="E278" s="5" t="inlineStr">
        <is>
          <t>JOUR</t>
        </is>
      </c>
      <c r="F278" s="5" t="inlineStr">
        <is>
          <t>陈媛</t>
        </is>
      </c>
      <c r="G278" s="5" t="inlineStr">
        <is>
          <t>中国医师进修杂志</t>
        </is>
      </c>
      <c r="H278" s="5" t="inlineStr">
        <is>
          <t>44(6):571-573</t>
        </is>
      </c>
      <c r="I278" s="6" t="inlineStr">
        <is>
          <t>游走脾合并胃扭转、左侧膈疝一例报告并文献复习</t>
        </is>
      </c>
      <c r="J278" s="5" t="inlineStr">
        <is>
          <t>10.3760/cma.j.cn115455-20200318-00314</t>
        </is>
      </c>
      <c r="K278" s="7" t="inlineStr">
        <is>
          <t>link</t>
        </is>
      </c>
      <c r="L278" s="5" t="inlineStr"/>
      <c r="M278" s="5" t="inlineStr"/>
      <c r="N278" s="5" t="inlineStr"/>
      <c r="O278" s="7" t="inlineStr">
        <is>
          <t>link</t>
        </is>
      </c>
      <c r="P278" s="7" t="inlineStr">
        <is>
          <t>link</t>
        </is>
      </c>
      <c r="Q278" s="5" t="inlineStr"/>
      <c r="R278" s="5" t="inlineStr">
        <is>
          <t>3 Chinese</t>
        </is>
      </c>
      <c r="S278" s="5" t="inlineStr"/>
      <c r="T278" s="5" t="inlineStr">
        <is>
          <t>WS1890.pdf</t>
        </is>
      </c>
      <c r="U278" s="8" t="n"/>
      <c r="V278" s="8" t="n"/>
      <c r="W278" s="8" t="n"/>
      <c r="X278" s="8" t="n"/>
      <c r="Y278" s="8" t="n"/>
      <c r="Z278" s="8" t="n"/>
      <c r="AA278" s="8" t="n"/>
      <c r="AB278" s="8" t="n"/>
      <c r="AC278" s="8" t="n"/>
      <c r="AD278" s="8" t="n"/>
    </row>
    <row r="279">
      <c r="A279" s="5" t="n">
        <v>278</v>
      </c>
      <c r="B279" s="5" t="inlineStr">
        <is>
          <t>WS1892</t>
        </is>
      </c>
      <c r="C279" s="5" t="inlineStr">
        <is>
          <t>2021</t>
        </is>
      </c>
      <c r="D279" s="5" t="inlineStr">
        <is>
          <t>Chinese</t>
        </is>
      </c>
      <c r="E279" s="5" t="inlineStr">
        <is>
          <t>JOUR</t>
        </is>
      </c>
      <c r="F279" s="5" t="inlineStr">
        <is>
          <t>杨薇</t>
        </is>
      </c>
      <c r="G279" s="5" t="inlineStr">
        <is>
          <t>临床超声医学杂志</t>
        </is>
      </c>
      <c r="H279" s="5" t="inlineStr">
        <is>
          <t>23(3):239</t>
        </is>
      </c>
      <c r="I279" s="6" t="inlineStr">
        <is>
          <t>超声诊断儿童脾扭转并副脾扭转1例</t>
        </is>
      </c>
      <c r="J279" s="5" t="inlineStr">
        <is>
          <t>10.3969/j.issn.1008-6978.2021.03.028</t>
        </is>
      </c>
      <c r="K279" s="7" t="inlineStr">
        <is>
          <t>link</t>
        </is>
      </c>
      <c r="L279" s="5" t="inlineStr"/>
      <c r="M279" s="5" t="inlineStr"/>
      <c r="N279" s="5" t="inlineStr"/>
      <c r="O279" s="7" t="inlineStr">
        <is>
          <t>link</t>
        </is>
      </c>
      <c r="P279" s="7" t="inlineStr">
        <is>
          <t>link</t>
        </is>
      </c>
      <c r="Q279" s="5" t="inlineStr"/>
      <c r="R279" s="5" t="inlineStr">
        <is>
          <t>3 Chinese</t>
        </is>
      </c>
      <c r="S279" s="5" t="inlineStr"/>
      <c r="T279" s="5" t="inlineStr">
        <is>
          <t>WS1892.pdf</t>
        </is>
      </c>
      <c r="U279" s="8" t="n"/>
      <c r="V279" s="8" t="n"/>
      <c r="W279" s="8" t="n"/>
      <c r="X279" s="8" t="n"/>
      <c r="Y279" s="8" t="n"/>
      <c r="Z279" s="8" t="n"/>
      <c r="AA279" s="8" t="n"/>
      <c r="AB279" s="8" t="n"/>
      <c r="AC279" s="8" t="n"/>
      <c r="AD279" s="8" t="n"/>
    </row>
    <row r="280">
      <c r="A280" s="5" t="n">
        <v>279</v>
      </c>
      <c r="B280" s="5" t="inlineStr">
        <is>
          <t>WS1895</t>
        </is>
      </c>
      <c r="C280" s="5" t="inlineStr">
        <is>
          <t>2021</t>
        </is>
      </c>
      <c r="D280" s="5" t="inlineStr">
        <is>
          <t>Chinese</t>
        </is>
      </c>
      <c r="E280" s="5" t="inlineStr">
        <is>
          <t>JOUR</t>
        </is>
      </c>
      <c r="F280" s="5" t="inlineStr">
        <is>
          <t>余洲</t>
        </is>
      </c>
      <c r="G280" s="5" t="inlineStr">
        <is>
          <t>肝胆胰外科杂志</t>
        </is>
      </c>
      <c r="H280" s="5" t="inlineStr">
        <is>
          <t>33(1):47-49</t>
        </is>
      </c>
      <c r="I280" s="6" t="inlineStr">
        <is>
          <t>游走脾扭转致梗死一例</t>
        </is>
      </c>
      <c r="J280" s="5" t="inlineStr">
        <is>
          <t>10.11952/j.issn.1007-1954.2021.01.011</t>
        </is>
      </c>
      <c r="K280" s="7" t="inlineStr">
        <is>
          <t>link</t>
        </is>
      </c>
      <c r="L280" s="5" t="inlineStr"/>
      <c r="M280" s="5" t="inlineStr"/>
      <c r="N280" s="5" t="inlineStr"/>
      <c r="O280" s="7" t="inlineStr">
        <is>
          <t>link</t>
        </is>
      </c>
      <c r="P280" s="7" t="inlineStr">
        <is>
          <t>link</t>
        </is>
      </c>
      <c r="Q280" s="5" t="inlineStr"/>
      <c r="R280" s="5" t="inlineStr">
        <is>
          <t>3 Chinese</t>
        </is>
      </c>
      <c r="S280" s="5" t="inlineStr"/>
      <c r="T280" s="5" t="inlineStr">
        <is>
          <t>WS1895.pdf</t>
        </is>
      </c>
      <c r="U280" s="8" t="n"/>
      <c r="V280" s="8" t="n"/>
      <c r="W280" s="8" t="n"/>
      <c r="X280" s="8" t="n"/>
      <c r="Y280" s="8" t="n"/>
      <c r="Z280" s="8" t="n"/>
      <c r="AA280" s="8" t="n"/>
      <c r="AB280" s="8" t="n"/>
      <c r="AC280" s="8" t="n"/>
      <c r="AD280" s="8" t="n"/>
    </row>
    <row r="281">
      <c r="A281" s="5" t="n">
        <v>280</v>
      </c>
      <c r="B281" s="5" t="inlineStr">
        <is>
          <t>WS2313</t>
        </is>
      </c>
      <c r="C281" s="5" t="inlineStr">
        <is>
          <t>2021</t>
        </is>
      </c>
      <c r="D281" s="5" t="inlineStr">
        <is>
          <t>Chinese</t>
        </is>
      </c>
      <c r="E281" s="5" t="inlineStr">
        <is>
          <t>JOUR</t>
        </is>
      </c>
      <c r="F281" s="5" t="inlineStr">
        <is>
          <t>李林林</t>
        </is>
      </c>
      <c r="G281" s="5" t="inlineStr">
        <is>
          <t>中国保健营养</t>
        </is>
      </c>
      <c r="H281" s="5" t="inlineStr">
        <is>
          <t>31(24):82</t>
        </is>
      </c>
      <c r="I281" s="6" t="inlineStr">
        <is>
          <t>儿童脾扭转1例</t>
        </is>
      </c>
      <c r="J281" s="5" t="inlineStr"/>
      <c r="K281" s="5" t="inlineStr"/>
      <c r="L281" s="5" t="inlineStr"/>
      <c r="M281" s="5" t="inlineStr"/>
      <c r="N281" s="5" t="inlineStr"/>
      <c r="O281" s="5" t="inlineStr"/>
      <c r="P281" s="7" t="inlineStr">
        <is>
          <t>link</t>
        </is>
      </c>
      <c r="Q281" s="5" t="inlineStr"/>
      <c r="R281" s="5" t="inlineStr">
        <is>
          <t>3 Chinese</t>
        </is>
      </c>
      <c r="S281" s="5" t="inlineStr"/>
      <c r="T281" s="5" t="inlineStr">
        <is>
          <t>WS2313.pdf</t>
        </is>
      </c>
      <c r="U281" s="8" t="n"/>
      <c r="V281" s="8" t="n"/>
      <c r="W281" s="8" t="n"/>
      <c r="X281" s="8" t="n"/>
      <c r="Y281" s="8" t="n"/>
      <c r="Z281" s="8" t="n"/>
      <c r="AA281" s="8" t="n"/>
      <c r="AB281" s="8" t="n"/>
      <c r="AC281" s="8" t="n"/>
      <c r="AD281" s="8" t="n"/>
    </row>
    <row r="282">
      <c r="A282" s="5" t="n">
        <v>281</v>
      </c>
      <c r="B282" s="5" t="inlineStr">
        <is>
          <t>WS1902</t>
        </is>
      </c>
      <c r="C282" s="5" t="inlineStr">
        <is>
          <t>2020</t>
        </is>
      </c>
      <c r="D282" s="5" t="inlineStr">
        <is>
          <t>Chinese</t>
        </is>
      </c>
      <c r="E282" s="5" t="inlineStr">
        <is>
          <t>JOUR</t>
        </is>
      </c>
      <c r="F282" s="5" t="inlineStr">
        <is>
          <t>孙驰</t>
        </is>
      </c>
      <c r="G282" s="5" t="inlineStr">
        <is>
          <t>临床小儿外科杂志</t>
        </is>
      </c>
      <c r="H282" s="5" t="inlineStr">
        <is>
          <t>19(3):278-281</t>
        </is>
      </c>
      <c r="I282" s="6" t="inlineStr">
        <is>
          <t>腹腔镜梗死脾切除、残余脾腹膜后固定术治疗游走脾扭转2例并文献复习</t>
        </is>
      </c>
      <c r="J282" s="5" t="inlineStr">
        <is>
          <t>10.3969/j.issn.1671-6353.2020.03.017</t>
        </is>
      </c>
      <c r="K282" s="7" t="inlineStr">
        <is>
          <t>link</t>
        </is>
      </c>
      <c r="L282" s="5" t="inlineStr"/>
      <c r="M282" s="5" t="inlineStr"/>
      <c r="N282" s="5" t="inlineStr"/>
      <c r="O282" s="7" t="inlineStr">
        <is>
          <t>link</t>
        </is>
      </c>
      <c r="P282" s="7" t="inlineStr">
        <is>
          <t>link</t>
        </is>
      </c>
      <c r="Q282" s="5" t="inlineStr"/>
      <c r="R282" s="5" t="inlineStr">
        <is>
          <t>3 Chinese</t>
        </is>
      </c>
      <c r="S282" s="5" t="inlineStr"/>
      <c r="T282" s="5" t="inlineStr">
        <is>
          <t>WS1902.pdf</t>
        </is>
      </c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  <c r="AD282" s="8" t="n"/>
    </row>
    <row r="283">
      <c r="A283" s="5" t="n">
        <v>282</v>
      </c>
      <c r="B283" s="5" t="inlineStr">
        <is>
          <t>WS1903</t>
        </is>
      </c>
      <c r="C283" s="5" t="inlineStr">
        <is>
          <t>2020</t>
        </is>
      </c>
      <c r="D283" s="5" t="inlineStr">
        <is>
          <t>Chinese</t>
        </is>
      </c>
      <c r="E283" s="5" t="inlineStr">
        <is>
          <t>JOUR</t>
        </is>
      </c>
      <c r="F283" s="5" t="inlineStr">
        <is>
          <t>阮广营</t>
        </is>
      </c>
      <c r="G283" s="5" t="inlineStr">
        <is>
          <t>腹腔镜外科杂志</t>
        </is>
      </c>
      <c r="H283" s="5" t="inlineStr">
        <is>
          <t>25(3):239-240</t>
        </is>
      </c>
      <c r="I283" s="6" t="inlineStr">
        <is>
          <t>腹腔镜切除异位脾扭转1例报告</t>
        </is>
      </c>
      <c r="J283" s="5" t="inlineStr">
        <is>
          <t>10.13499/j.cnki.fqjwkzz.2020.03.239</t>
        </is>
      </c>
      <c r="K283" s="7" t="inlineStr">
        <is>
          <t>link</t>
        </is>
      </c>
      <c r="L283" s="5" t="inlineStr"/>
      <c r="M283" s="5" t="inlineStr"/>
      <c r="N283" s="5" t="inlineStr"/>
      <c r="O283" s="7" t="inlineStr">
        <is>
          <t>link</t>
        </is>
      </c>
      <c r="P283" s="7" t="inlineStr">
        <is>
          <t>link</t>
        </is>
      </c>
      <c r="Q283" s="5" t="inlineStr"/>
      <c r="R283" s="5" t="inlineStr">
        <is>
          <t>3 Chinese</t>
        </is>
      </c>
      <c r="S283" s="5" t="inlineStr"/>
      <c r="T283" s="5" t="inlineStr">
        <is>
          <t>WS1903.pdf</t>
        </is>
      </c>
      <c r="U283" s="8" t="n"/>
      <c r="V283" s="8" t="n"/>
      <c r="W283" s="8" t="n"/>
      <c r="X283" s="8" t="n"/>
      <c r="Y283" s="8" t="n"/>
      <c r="Z283" s="8" t="n"/>
      <c r="AA283" s="8" t="n"/>
      <c r="AB283" s="8" t="n"/>
      <c r="AC283" s="8" t="n"/>
      <c r="AD283" s="8" t="n"/>
    </row>
    <row r="284">
      <c r="A284" s="5" t="n">
        <v>283</v>
      </c>
      <c r="B284" s="5" t="inlineStr">
        <is>
          <t>WS1908</t>
        </is>
      </c>
      <c r="C284" s="5" t="inlineStr">
        <is>
          <t>2019</t>
        </is>
      </c>
      <c r="D284" s="5" t="inlineStr">
        <is>
          <t>Chinese</t>
        </is>
      </c>
      <c r="E284" s="5" t="inlineStr">
        <is>
          <t>JOUR</t>
        </is>
      </c>
      <c r="F284" s="5" t="inlineStr">
        <is>
          <t>孙会想</t>
        </is>
      </c>
      <c r="G284" s="5" t="inlineStr">
        <is>
          <t>世界最新医学信息文摘（连续型电子期刊）</t>
        </is>
      </c>
      <c r="H284" s="5" t="inlineStr">
        <is>
          <t>19(92):328-329</t>
        </is>
      </c>
      <c r="I284" s="6" t="inlineStr">
        <is>
          <t>一例游离脾伴胃扭转的病例汇报</t>
        </is>
      </c>
      <c r="J284" s="5" t="inlineStr">
        <is>
          <t>10.19613/j.cnki.1671-3141.2019.92.217</t>
        </is>
      </c>
      <c r="K284" s="7" t="inlineStr">
        <is>
          <t>link</t>
        </is>
      </c>
      <c r="L284" s="5" t="inlineStr"/>
      <c r="M284" s="5" t="inlineStr"/>
      <c r="N284" s="5" t="inlineStr"/>
      <c r="O284" s="7" t="inlineStr">
        <is>
          <t>link</t>
        </is>
      </c>
      <c r="P284" s="7" t="inlineStr">
        <is>
          <t>link</t>
        </is>
      </c>
      <c r="Q284" s="5" t="inlineStr"/>
      <c r="R284" s="5" t="inlineStr">
        <is>
          <t>3 Chinese</t>
        </is>
      </c>
      <c r="S284" s="5" t="inlineStr">
        <is>
          <t>Y</t>
        </is>
      </c>
      <c r="T284" s="5" t="inlineStr">
        <is>
          <t>WS1908.pdf</t>
        </is>
      </c>
      <c r="U284" s="8" t="n"/>
      <c r="V284" s="8" t="n"/>
      <c r="W284" s="8" t="n"/>
      <c r="X284" s="8" t="n"/>
      <c r="Y284" s="8" t="n"/>
      <c r="Z284" s="8" t="n"/>
      <c r="AA284" s="8" t="n"/>
      <c r="AB284" s="8" t="n"/>
      <c r="AC284" s="8" t="n"/>
      <c r="AD284" s="8" t="n"/>
    </row>
    <row r="285">
      <c r="A285" s="5" t="n">
        <v>284</v>
      </c>
      <c r="B285" s="5" t="inlineStr">
        <is>
          <t>WS1913</t>
        </is>
      </c>
      <c r="C285" s="5" t="inlineStr">
        <is>
          <t>2019</t>
        </is>
      </c>
      <c r="D285" s="5" t="inlineStr">
        <is>
          <t>Chinese</t>
        </is>
      </c>
      <c r="E285" s="5" t="inlineStr">
        <is>
          <t>JOUR</t>
        </is>
      </c>
      <c r="F285" s="5" t="inlineStr">
        <is>
          <t>谢元康</t>
        </is>
      </c>
      <c r="G285" s="5" t="inlineStr">
        <is>
          <t>中国实用外科杂志</t>
        </is>
      </c>
      <c r="H285" s="5" t="inlineStr">
        <is>
          <t>39(9):996-998</t>
        </is>
      </c>
      <c r="I285" s="6" t="inlineStr">
        <is>
          <t>游走脾并蒂扭转、脾梗死1例报告</t>
        </is>
      </c>
      <c r="J285" s="5" t="inlineStr">
        <is>
          <t>10.19538/j.cjps.issn1005-2208.2019.09.28</t>
        </is>
      </c>
      <c r="K285" s="7" t="inlineStr">
        <is>
          <t>link</t>
        </is>
      </c>
      <c r="L285" s="5" t="inlineStr"/>
      <c r="M285" s="5" t="inlineStr"/>
      <c r="N285" s="5" t="inlineStr"/>
      <c r="O285" s="7" t="inlineStr">
        <is>
          <t>link</t>
        </is>
      </c>
      <c r="P285" s="7" t="inlineStr">
        <is>
          <t>link</t>
        </is>
      </c>
      <c r="Q285" s="5" t="inlineStr"/>
      <c r="R285" s="5" t="inlineStr">
        <is>
          <t>3 Chinese</t>
        </is>
      </c>
      <c r="S285" s="5" t="inlineStr"/>
      <c r="T285" s="5" t="inlineStr">
        <is>
          <t>WS1913.pdf</t>
        </is>
      </c>
      <c r="U285" s="8" t="n"/>
      <c r="V285" s="8" t="n"/>
      <c r="W285" s="8" t="n"/>
      <c r="X285" s="8" t="n"/>
      <c r="Y285" s="8" t="n"/>
      <c r="Z285" s="8" t="n"/>
      <c r="AA285" s="8" t="n"/>
      <c r="AB285" s="8" t="n"/>
      <c r="AC285" s="8" t="n"/>
      <c r="AD285" s="8" t="n"/>
    </row>
    <row r="286">
      <c r="A286" s="5" t="n">
        <v>285</v>
      </c>
      <c r="B286" s="5" t="inlineStr">
        <is>
          <t>WS1916</t>
        </is>
      </c>
      <c r="C286" s="5" t="inlineStr">
        <is>
          <t>2019</t>
        </is>
      </c>
      <c r="D286" s="5" t="inlineStr">
        <is>
          <t>Chinese</t>
        </is>
      </c>
      <c r="E286" s="5" t="inlineStr">
        <is>
          <t>JOUR</t>
        </is>
      </c>
      <c r="F286" s="5" t="inlineStr">
        <is>
          <t>张明会</t>
        </is>
      </c>
      <c r="G286" s="5" t="inlineStr">
        <is>
          <t>中华超声影像学杂志</t>
        </is>
      </c>
      <c r="H286" s="5" t="inlineStr">
        <is>
          <t>28(8):725-726</t>
        </is>
      </c>
      <c r="I286" s="6" t="inlineStr">
        <is>
          <t>游走脾发育不良合并腹股沟疝超声表现1例</t>
        </is>
      </c>
      <c r="J286" s="5" t="inlineStr">
        <is>
          <t>10.3760/cma.j.issn.1004‐4477.2019.08.018</t>
        </is>
      </c>
      <c r="K286" s="7" t="inlineStr">
        <is>
          <t>link</t>
        </is>
      </c>
      <c r="L286" s="5" t="inlineStr"/>
      <c r="M286" s="5" t="inlineStr"/>
      <c r="N286" s="5" t="inlineStr"/>
      <c r="O286" s="7" t="inlineStr">
        <is>
          <t>link</t>
        </is>
      </c>
      <c r="P286" s="7" t="inlineStr">
        <is>
          <t>link</t>
        </is>
      </c>
      <c r="Q286" s="5" t="inlineStr"/>
      <c r="R286" s="5" t="inlineStr">
        <is>
          <t>3 Chinese</t>
        </is>
      </c>
      <c r="S286" s="5" t="inlineStr"/>
      <c r="T286" s="5" t="inlineStr">
        <is>
          <t>WS1916.pdf</t>
        </is>
      </c>
      <c r="U286" s="8" t="n"/>
      <c r="V286" s="8" t="n"/>
      <c r="W286" s="8" t="n"/>
      <c r="X286" s="8" t="n"/>
      <c r="Y286" s="8" t="n"/>
      <c r="Z286" s="8" t="n"/>
      <c r="AA286" s="8" t="n"/>
      <c r="AB286" s="8" t="n"/>
      <c r="AC286" s="8" t="n"/>
      <c r="AD286" s="8" t="n"/>
    </row>
    <row r="287">
      <c r="A287" s="5" t="n">
        <v>286</v>
      </c>
      <c r="B287" s="5" t="inlineStr">
        <is>
          <t>WS1565</t>
        </is>
      </c>
      <c r="C287" s="5" t="inlineStr">
        <is>
          <t>2018</t>
        </is>
      </c>
      <c r="D287" s="5" t="inlineStr">
        <is>
          <t>Chinese</t>
        </is>
      </c>
      <c r="E287" s="5" t="inlineStr">
        <is>
          <t>JOUR</t>
        </is>
      </c>
      <c r="F287" s="5" t="inlineStr">
        <is>
          <t>刘敏</t>
        </is>
      </c>
      <c r="G287" s="5" t="inlineStr">
        <is>
          <t>中国医学影像技术</t>
        </is>
      </c>
      <c r="H287" s="5" t="inlineStr">
        <is>
          <t>34(12):1878</t>
        </is>
      </c>
      <c r="I287" s="6" t="inlineStr">
        <is>
          <t>脾扭转1例</t>
        </is>
      </c>
      <c r="J287" s="5" t="inlineStr">
        <is>
          <t>10.13929/j.1003-3289.201803054</t>
        </is>
      </c>
      <c r="K287" s="7" t="inlineStr">
        <is>
          <t>link</t>
        </is>
      </c>
      <c r="L287" s="5" t="inlineStr"/>
      <c r="M287" s="5" t="inlineStr"/>
      <c r="N287" s="5" t="inlineStr"/>
      <c r="O287" s="7" t="inlineStr">
        <is>
          <t>link</t>
        </is>
      </c>
      <c r="P287" s="7" t="inlineStr">
        <is>
          <t>link</t>
        </is>
      </c>
      <c r="Q287" s="5" t="inlineStr"/>
      <c r="R287" s="5" t="inlineStr">
        <is>
          <t>3 Chinese</t>
        </is>
      </c>
      <c r="S287" s="5" t="inlineStr"/>
      <c r="T287" s="5" t="inlineStr">
        <is>
          <t>WS1565.pdf</t>
        </is>
      </c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</row>
    <row r="288">
      <c r="A288" s="5" t="n">
        <v>287</v>
      </c>
      <c r="B288" s="5" t="inlineStr">
        <is>
          <t>WS1925</t>
        </is>
      </c>
      <c r="C288" s="5" t="inlineStr">
        <is>
          <t>2018</t>
        </is>
      </c>
      <c r="D288" s="5" t="inlineStr">
        <is>
          <t>Chinese</t>
        </is>
      </c>
      <c r="E288" s="5" t="inlineStr">
        <is>
          <t>JOUR</t>
        </is>
      </c>
      <c r="F288" s="5" t="inlineStr">
        <is>
          <t>耿宪杰</t>
        </is>
      </c>
      <c r="G288" s="5" t="inlineStr">
        <is>
          <t>中华普通外科杂志</t>
        </is>
      </c>
      <c r="H288" s="5" t="inlineStr">
        <is>
          <t>33(11):971-972</t>
        </is>
      </c>
      <c r="I288" s="6" t="inlineStr">
        <is>
          <t>T型腹膜囊袋固定术治疗游走脾二例</t>
        </is>
      </c>
      <c r="J288" s="5" t="inlineStr">
        <is>
          <t>10.3760/cma.j.issn.1007-631x.2018.11.026</t>
        </is>
      </c>
      <c r="K288" s="7" t="inlineStr">
        <is>
          <t>link</t>
        </is>
      </c>
      <c r="L288" s="5" t="inlineStr"/>
      <c r="M288" s="5" t="inlineStr"/>
      <c r="N288" s="5" t="inlineStr"/>
      <c r="O288" s="7" t="inlineStr">
        <is>
          <t>link</t>
        </is>
      </c>
      <c r="P288" s="7" t="inlineStr">
        <is>
          <t>link</t>
        </is>
      </c>
      <c r="Q288" s="5" t="inlineStr"/>
      <c r="R288" s="5" t="inlineStr">
        <is>
          <t>3 Chinese</t>
        </is>
      </c>
      <c r="S288" s="5" t="inlineStr"/>
      <c r="T288" s="5" t="inlineStr">
        <is>
          <t>WS1925.pdf</t>
        </is>
      </c>
      <c r="U288" s="8" t="n"/>
      <c r="V288" s="8" t="n"/>
      <c r="W288" s="8" t="n"/>
      <c r="X288" s="8" t="n"/>
      <c r="Y288" s="8" t="n"/>
      <c r="Z288" s="8" t="n"/>
      <c r="AA288" s="8" t="n"/>
      <c r="AB288" s="8" t="n"/>
      <c r="AC288" s="8" t="n"/>
      <c r="AD288" s="8" t="n"/>
    </row>
    <row r="289">
      <c r="A289" s="5" t="n">
        <v>288</v>
      </c>
      <c r="B289" s="5" t="inlineStr">
        <is>
          <t>WS1927</t>
        </is>
      </c>
      <c r="C289" s="5" t="inlineStr">
        <is>
          <t>2018</t>
        </is>
      </c>
      <c r="D289" s="5" t="inlineStr">
        <is>
          <t>Chinese</t>
        </is>
      </c>
      <c r="E289" s="5" t="inlineStr">
        <is>
          <t>JOUR</t>
        </is>
      </c>
      <c r="F289" s="5" t="inlineStr">
        <is>
          <t>崔冬青</t>
        </is>
      </c>
      <c r="G289" s="5" t="inlineStr">
        <is>
          <t>中国医师进修杂志</t>
        </is>
      </c>
      <c r="H289" s="5" t="inlineStr">
        <is>
          <t>41(10):932-934</t>
        </is>
      </c>
      <c r="I289" s="6" t="inlineStr">
        <is>
          <t>妊娠合并异位脾一例并文献分析</t>
        </is>
      </c>
      <c r="J289" s="5" t="inlineStr">
        <is>
          <t>10.3760/cma.j.issn.1673-4904.2018.10.017</t>
        </is>
      </c>
      <c r="K289" s="7" t="inlineStr">
        <is>
          <t>link</t>
        </is>
      </c>
      <c r="L289" s="5" t="inlineStr"/>
      <c r="M289" s="5" t="inlineStr"/>
      <c r="N289" s="5" t="inlineStr"/>
      <c r="O289" s="7" t="inlineStr">
        <is>
          <t>link</t>
        </is>
      </c>
      <c r="P289" s="7" t="inlineStr">
        <is>
          <t>link</t>
        </is>
      </c>
      <c r="Q289" s="5" t="inlineStr"/>
      <c r="R289" s="5" t="inlineStr">
        <is>
          <t>3 Chinese</t>
        </is>
      </c>
      <c r="S289" s="5" t="inlineStr"/>
      <c r="T289" s="5" t="inlineStr">
        <is>
          <t>WS1927.pdf</t>
        </is>
      </c>
      <c r="U289" s="8" t="n"/>
      <c r="V289" s="8" t="n"/>
      <c r="W289" s="8" t="n"/>
      <c r="X289" s="8" t="n"/>
      <c r="Y289" s="8" t="n"/>
      <c r="Z289" s="8" t="n"/>
      <c r="AA289" s="8" t="n"/>
      <c r="AB289" s="8" t="n"/>
      <c r="AC289" s="8" t="n"/>
      <c r="AD289" s="8" t="n"/>
    </row>
    <row r="290">
      <c r="A290" s="5" t="n">
        <v>289</v>
      </c>
      <c r="B290" s="5" t="inlineStr">
        <is>
          <t>WS1929</t>
        </is>
      </c>
      <c r="C290" s="5" t="inlineStr">
        <is>
          <t>2018</t>
        </is>
      </c>
      <c r="D290" s="5" t="inlineStr">
        <is>
          <t>Chinese</t>
        </is>
      </c>
      <c r="E290" s="5" t="inlineStr">
        <is>
          <t>JOUR</t>
        </is>
      </c>
      <c r="F290" s="5" t="inlineStr">
        <is>
          <t>杨光华</t>
        </is>
      </c>
      <c r="G290" s="5" t="inlineStr">
        <is>
          <t>腹部外科</t>
        </is>
      </c>
      <c r="H290" s="5" t="inlineStr">
        <is>
          <t>31(4):294</t>
        </is>
      </c>
      <c r="I290" s="6" t="inlineStr">
        <is>
          <t>腹腔镜切除异位脾扭转一例</t>
        </is>
      </c>
      <c r="J290" s="5" t="inlineStr">
        <is>
          <t>10.3969/j.issn.1003-5591.2018.04.018</t>
        </is>
      </c>
      <c r="K290" s="7" t="inlineStr">
        <is>
          <t>link</t>
        </is>
      </c>
      <c r="L290" s="5" t="inlineStr"/>
      <c r="M290" s="5" t="inlineStr"/>
      <c r="N290" s="5" t="inlineStr"/>
      <c r="O290" s="7" t="inlineStr">
        <is>
          <t>link</t>
        </is>
      </c>
      <c r="P290" s="7" t="inlineStr">
        <is>
          <t>link</t>
        </is>
      </c>
      <c r="Q290" s="5" t="inlineStr"/>
      <c r="R290" s="5" t="inlineStr">
        <is>
          <t>3 Chinese</t>
        </is>
      </c>
      <c r="S290" s="5" t="inlineStr"/>
      <c r="T290" s="5" t="inlineStr">
        <is>
          <t>WS1929.pdf</t>
        </is>
      </c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</row>
    <row r="291">
      <c r="A291" s="5" t="n">
        <v>290</v>
      </c>
      <c r="B291" s="5" t="inlineStr">
        <is>
          <t>WS1931</t>
        </is>
      </c>
      <c r="C291" s="5" t="inlineStr">
        <is>
          <t>2018</t>
        </is>
      </c>
      <c r="D291" s="5" t="inlineStr">
        <is>
          <t>Chinese</t>
        </is>
      </c>
      <c r="E291" s="5" t="inlineStr">
        <is>
          <t>JOUR</t>
        </is>
      </c>
      <c r="F291" s="5" t="inlineStr">
        <is>
          <t>魏志星</t>
        </is>
      </c>
      <c r="G291" s="5" t="inlineStr">
        <is>
          <t>基层医学论坛</t>
        </is>
      </c>
      <c r="H291" s="5" t="inlineStr">
        <is>
          <t>22(13):1843-1844</t>
        </is>
      </c>
      <c r="I291" s="6" t="inlineStr">
        <is>
          <t>游走脾并蒂扭转1例</t>
        </is>
      </c>
      <c r="J291" s="5" t="inlineStr">
        <is>
          <t>10.19435/j.1672-1721.2018.13.080</t>
        </is>
      </c>
      <c r="K291" s="7" t="inlineStr">
        <is>
          <t>link</t>
        </is>
      </c>
      <c r="L291" s="5" t="inlineStr"/>
      <c r="M291" s="5" t="inlineStr"/>
      <c r="N291" s="5" t="inlineStr"/>
      <c r="O291" s="7" t="inlineStr">
        <is>
          <t>link</t>
        </is>
      </c>
      <c r="P291" s="7" t="inlineStr">
        <is>
          <t>link</t>
        </is>
      </c>
      <c r="Q291" s="5" t="inlineStr"/>
      <c r="R291" s="5" t="inlineStr">
        <is>
          <t>3 Chinese</t>
        </is>
      </c>
      <c r="S291" s="5" t="inlineStr"/>
      <c r="T291" s="5" t="inlineStr">
        <is>
          <t>WS1931.pdf</t>
        </is>
      </c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  <c r="AD291" s="8" t="n"/>
    </row>
    <row r="292">
      <c r="A292" s="5" t="n">
        <v>291</v>
      </c>
      <c r="B292" s="5" t="inlineStr">
        <is>
          <t>WS1947</t>
        </is>
      </c>
      <c r="C292" s="5" t="inlineStr">
        <is>
          <t>2016</t>
        </is>
      </c>
      <c r="D292" s="5" t="inlineStr">
        <is>
          <t>Chinese</t>
        </is>
      </c>
      <c r="E292" s="5" t="inlineStr">
        <is>
          <t>JOUR</t>
        </is>
      </c>
      <c r="F292" s="5" t="inlineStr">
        <is>
          <t>于成荣</t>
        </is>
      </c>
      <c r="G292" s="5" t="inlineStr">
        <is>
          <t>世界最新医学信息文摘（连续型电子期刊）</t>
        </is>
      </c>
      <c r="H292" s="5" t="inlineStr">
        <is>
          <t>16(89):284</t>
        </is>
      </c>
      <c r="I292" s="6" t="inlineStr">
        <is>
          <t>脾切除术的适应症与护理对策</t>
        </is>
      </c>
      <c r="J292" s="5" t="inlineStr">
        <is>
          <t>10.3969/j.issn.1671-3141.2016.89.260</t>
        </is>
      </c>
      <c r="K292" s="7" t="inlineStr">
        <is>
          <t>link</t>
        </is>
      </c>
      <c r="L292" s="5" t="inlineStr"/>
      <c r="M292" s="5" t="inlineStr"/>
      <c r="N292" s="5" t="inlineStr"/>
      <c r="O292" s="7" t="inlineStr">
        <is>
          <t>link</t>
        </is>
      </c>
      <c r="P292" s="7" t="inlineStr">
        <is>
          <t>link</t>
        </is>
      </c>
      <c r="Q292" s="5" t="inlineStr"/>
      <c r="R292" s="5" t="inlineStr">
        <is>
          <t>3 Chinese</t>
        </is>
      </c>
      <c r="S292" s="5" t="inlineStr"/>
      <c r="T292" s="5" t="inlineStr">
        <is>
          <t>WS1947.pdf</t>
        </is>
      </c>
      <c r="U292" s="8" t="n"/>
      <c r="V292" s="8" t="n"/>
      <c r="W292" s="8" t="n"/>
      <c r="X292" s="8" t="n"/>
      <c r="Y292" s="8" t="n"/>
      <c r="Z292" s="8" t="n"/>
      <c r="AA292" s="8" t="n"/>
      <c r="AB292" s="8" t="n"/>
      <c r="AC292" s="8" t="n"/>
      <c r="AD292" s="8" t="n"/>
    </row>
    <row r="293">
      <c r="A293" s="5" t="n">
        <v>292</v>
      </c>
      <c r="B293" s="5" t="inlineStr">
        <is>
          <t>WS2443</t>
        </is>
      </c>
      <c r="C293" s="5" t="inlineStr">
        <is>
          <t>2016</t>
        </is>
      </c>
      <c r="D293" s="5" t="inlineStr">
        <is>
          <t>Chinese</t>
        </is>
      </c>
      <c r="E293" s="5" t="inlineStr">
        <is>
          <t>JOUR</t>
        </is>
      </c>
      <c r="F293" s="5" t="inlineStr">
        <is>
          <t>王春喜</t>
        </is>
      </c>
      <c r="G293" s="5" t="inlineStr">
        <is>
          <t>中国中西医结合外科杂志</t>
        </is>
      </c>
      <c r="H293" s="5" t="inlineStr">
        <is>
          <t>22(2):168-171</t>
        </is>
      </c>
      <c r="I293" s="6" t="inlineStr">
        <is>
          <t>15例异位脾脏的诊断和外科治疗</t>
        </is>
      </c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>
        <is>
          <t>3 Chinese</t>
        </is>
      </c>
      <c r="S293" s="5" t="inlineStr"/>
      <c r="T293" s="5" t="inlineStr">
        <is>
          <t>WS2443.pdf</t>
        </is>
      </c>
      <c r="U293" s="8" t="n"/>
      <c r="V293" s="8" t="n"/>
      <c r="W293" s="8" t="n"/>
      <c r="X293" s="8" t="n"/>
      <c r="Y293" s="8" t="n"/>
      <c r="Z293" s="8" t="n"/>
      <c r="AA293" s="8" t="n"/>
      <c r="AB293" s="8" t="n"/>
      <c r="AC293" s="8" t="n"/>
      <c r="AD293" s="8" t="n"/>
    </row>
    <row r="294">
      <c r="A294" s="5" t="n">
        <v>293</v>
      </c>
      <c r="B294" s="5" t="inlineStr">
        <is>
          <t>WS1961</t>
        </is>
      </c>
      <c r="C294" s="5" t="inlineStr">
        <is>
          <t>2015</t>
        </is>
      </c>
      <c r="D294" s="5" t="inlineStr">
        <is>
          <t>Chinese</t>
        </is>
      </c>
      <c r="E294" s="5" t="inlineStr">
        <is>
          <t>JOUR</t>
        </is>
      </c>
      <c r="F294" s="5" t="inlineStr">
        <is>
          <t>王春喜</t>
        </is>
      </c>
      <c r="G294" s="5" t="inlineStr">
        <is>
          <t>中国现代手术学杂志</t>
        </is>
      </c>
      <c r="H294" s="5" t="inlineStr">
        <is>
          <t>19(4):246-250</t>
        </is>
      </c>
      <c r="I294" s="6" t="inlineStr">
        <is>
          <t>游走性脾脏并扭转的手术治疗</t>
        </is>
      </c>
      <c r="J294" s="5" t="inlineStr">
        <is>
          <t>10.16260/j.cnki.1009-2188.2015.04.002</t>
        </is>
      </c>
      <c r="K294" s="7" t="inlineStr">
        <is>
          <t>link</t>
        </is>
      </c>
      <c r="L294" s="5" t="inlineStr"/>
      <c r="M294" s="5" t="inlineStr"/>
      <c r="N294" s="5" t="inlineStr"/>
      <c r="O294" s="7" t="inlineStr">
        <is>
          <t>link</t>
        </is>
      </c>
      <c r="P294" s="7" t="inlineStr">
        <is>
          <t>link</t>
        </is>
      </c>
      <c r="Q294" s="5" t="inlineStr"/>
      <c r="R294" s="5" t="inlineStr">
        <is>
          <t>3 Chinese</t>
        </is>
      </c>
      <c r="S294" s="5" t="inlineStr"/>
      <c r="T294" s="5" t="inlineStr">
        <is>
          <t>WS1961.pdf</t>
        </is>
      </c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</row>
    <row r="295">
      <c r="A295" s="5" t="n">
        <v>294</v>
      </c>
      <c r="B295" s="5" t="inlineStr">
        <is>
          <t>WS1972</t>
        </is>
      </c>
      <c r="C295" s="5" t="inlineStr">
        <is>
          <t>2014</t>
        </is>
      </c>
      <c r="D295" s="5" t="inlineStr">
        <is>
          <t>Chinese</t>
        </is>
      </c>
      <c r="E295" s="5" t="inlineStr">
        <is>
          <t>JOUR</t>
        </is>
      </c>
      <c r="F295" s="5" t="inlineStr">
        <is>
          <t>王媛媛</t>
        </is>
      </c>
      <c r="G295" s="5" t="inlineStr">
        <is>
          <t>中国超声医学杂志</t>
        </is>
      </c>
      <c r="H295" s="5" t="inlineStr">
        <is>
          <t>30(9):862</t>
        </is>
      </c>
      <c r="I295" s="6" t="inlineStr">
        <is>
          <t>超声诊断内脏反位伴多脾合并游走脾扭转1例</t>
        </is>
      </c>
      <c r="J295" s="5" t="inlineStr">
        <is>
          <t>10.3969/j.issn.1002-0101.2014.09.035</t>
        </is>
      </c>
      <c r="K295" s="7" t="inlineStr">
        <is>
          <t>link</t>
        </is>
      </c>
      <c r="L295" s="5" t="inlineStr"/>
      <c r="M295" s="5" t="inlineStr"/>
      <c r="N295" s="5" t="inlineStr"/>
      <c r="O295" s="7" t="inlineStr">
        <is>
          <t>link</t>
        </is>
      </c>
      <c r="P295" s="7" t="inlineStr">
        <is>
          <t>link</t>
        </is>
      </c>
      <c r="Q295" s="5" t="inlineStr"/>
      <c r="R295" s="5" t="inlineStr">
        <is>
          <t>3 Chinese</t>
        </is>
      </c>
      <c r="S295" s="5" t="inlineStr"/>
      <c r="T295" s="5" t="inlineStr">
        <is>
          <t>WS1972.pdf</t>
        </is>
      </c>
      <c r="U295" s="8" t="n"/>
      <c r="V295" s="8" t="n"/>
      <c r="W295" s="8" t="n"/>
      <c r="X295" s="8" t="n"/>
      <c r="Y295" s="8" t="n"/>
      <c r="Z295" s="8" t="n"/>
      <c r="AA295" s="8" t="n"/>
      <c r="AB295" s="8" t="n"/>
      <c r="AC295" s="8" t="n"/>
      <c r="AD295" s="8" t="n"/>
    </row>
    <row r="296">
      <c r="A296" s="5" t="n">
        <v>295</v>
      </c>
      <c r="B296" s="5" t="inlineStr">
        <is>
          <t>WS1979</t>
        </is>
      </c>
      <c r="C296" s="5" t="inlineStr">
        <is>
          <t>2014</t>
        </is>
      </c>
      <c r="D296" s="5" t="inlineStr">
        <is>
          <t>Chinese</t>
        </is>
      </c>
      <c r="E296" s="5" t="inlineStr">
        <is>
          <t>CONF</t>
        </is>
      </c>
      <c r="F296" s="5" t="inlineStr">
        <is>
          <t>江茂情</t>
        </is>
      </c>
      <c r="G296" s="5" t="inlineStr"/>
      <c r="H296" s="5" t="inlineStr">
        <is>
          <t>1</t>
        </is>
      </c>
      <c r="I296" s="6" t="inlineStr">
        <is>
          <t>游走脾脏急性完全扭转一例</t>
        </is>
      </c>
      <c r="J296" s="5" t="inlineStr"/>
      <c r="K296" s="5" t="inlineStr"/>
      <c r="L296" s="5" t="inlineStr"/>
      <c r="M296" s="5" t="inlineStr"/>
      <c r="N296" s="5" t="inlineStr"/>
      <c r="O296" s="7" t="inlineStr">
        <is>
          <t>link</t>
        </is>
      </c>
      <c r="P296" s="5" t="inlineStr"/>
      <c r="Q296" s="5" t="inlineStr"/>
      <c r="R296" s="5" t="inlineStr">
        <is>
          <t>3 Chinese</t>
        </is>
      </c>
      <c r="S296" s="5" t="inlineStr"/>
      <c r="T296" s="5" t="inlineStr">
        <is>
          <t>WS1979.pdf</t>
        </is>
      </c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</row>
    <row r="297">
      <c r="A297" s="5" t="n">
        <v>296</v>
      </c>
      <c r="B297" s="5" t="inlineStr">
        <is>
          <t>WS2314</t>
        </is>
      </c>
      <c r="C297" s="5" t="inlineStr">
        <is>
          <t>2014</t>
        </is>
      </c>
      <c r="D297" s="5" t="inlineStr">
        <is>
          <t>Chinese</t>
        </is>
      </c>
      <c r="E297" s="5" t="inlineStr">
        <is>
          <t>JOUR</t>
        </is>
      </c>
      <c r="F297" s="5" t="inlineStr">
        <is>
          <t>张小波</t>
        </is>
      </c>
      <c r="G297" s="5" t="inlineStr">
        <is>
          <t>临床小儿外科杂志</t>
        </is>
      </c>
      <c r="H297" s="5" t="inlineStr">
        <is>
          <t>(4):365-366</t>
        </is>
      </c>
      <c r="I297" s="6" t="inlineStr">
        <is>
          <t>儿童游走脾并蒂扭转、脾坏死1例</t>
        </is>
      </c>
      <c r="J297" s="5" t="inlineStr">
        <is>
          <t>10.3969/j.issn.1671-6353.2014.04.034</t>
        </is>
      </c>
      <c r="K297" s="7" t="inlineStr">
        <is>
          <t>link</t>
        </is>
      </c>
      <c r="L297" s="5" t="inlineStr"/>
      <c r="M297" s="5" t="inlineStr"/>
      <c r="N297" s="5" t="inlineStr"/>
      <c r="O297" s="5" t="inlineStr"/>
      <c r="P297" s="7" t="inlineStr">
        <is>
          <t>link</t>
        </is>
      </c>
      <c r="Q297" s="5" t="inlineStr"/>
      <c r="R297" s="5" t="inlineStr">
        <is>
          <t>3 Chinese</t>
        </is>
      </c>
      <c r="S297" s="5" t="inlineStr">
        <is>
          <t>Y</t>
        </is>
      </c>
      <c r="T297" s="5" t="inlineStr">
        <is>
          <t>WS2314.pdf</t>
        </is>
      </c>
      <c r="U297" s="8" t="n"/>
      <c r="V297" s="8" t="n"/>
      <c r="W297" s="8" t="n"/>
      <c r="X297" s="8" t="n"/>
      <c r="Y297" s="8" t="n"/>
      <c r="Z297" s="8" t="n"/>
      <c r="AA297" s="8" t="n"/>
      <c r="AB297" s="8" t="n"/>
      <c r="AC297" s="8" t="n"/>
      <c r="AD297" s="8" t="n"/>
    </row>
    <row r="298">
      <c r="A298" s="5" t="n">
        <v>297</v>
      </c>
      <c r="B298" s="5" t="inlineStr">
        <is>
          <t>WS2373</t>
        </is>
      </c>
      <c r="C298" s="5" t="inlineStr">
        <is>
          <t>2013</t>
        </is>
      </c>
      <c r="D298" s="5" t="inlineStr">
        <is>
          <t>Chinese</t>
        </is>
      </c>
      <c r="E298" s="5" t="inlineStr">
        <is>
          <t>GEN</t>
        </is>
      </c>
      <c r="F298" s="5" t="inlineStr">
        <is>
          <t>任松林</t>
        </is>
      </c>
      <c r="G298" s="5" t="inlineStr"/>
      <c r="H298" s="5" t="inlineStr">
        <is>
          <t>97-97</t>
        </is>
      </c>
      <c r="I298" s="6" t="inlineStr">
        <is>
          <t>儿童脾切除临床特点分析</t>
        </is>
      </c>
      <c r="J298" s="5" t="inlineStr"/>
      <c r="K298" s="5" t="inlineStr"/>
      <c r="L298" s="5" t="inlineStr"/>
      <c r="M298" s="5" t="inlineStr"/>
      <c r="N298" s="5" t="inlineStr"/>
      <c r="O298" s="5" t="inlineStr"/>
      <c r="P298" s="7" t="inlineStr">
        <is>
          <t>link</t>
        </is>
      </c>
      <c r="Q298" s="5" t="inlineStr"/>
      <c r="R298" s="5" t="inlineStr">
        <is>
          <t>3 Chinese</t>
        </is>
      </c>
      <c r="S298" s="5" t="inlineStr"/>
      <c r="T298" s="5" t="inlineStr">
        <is>
          <t>WS2373.pdf</t>
        </is>
      </c>
      <c r="U298" s="8" t="n"/>
      <c r="V298" s="8" t="n"/>
      <c r="W298" s="8" t="n"/>
      <c r="X298" s="8" t="n"/>
      <c r="Y298" s="8" t="n"/>
      <c r="Z298" s="8" t="n"/>
      <c r="AA298" s="8" t="n"/>
      <c r="AB298" s="8" t="n"/>
      <c r="AC298" s="8" t="n"/>
      <c r="AD298" s="8" t="n"/>
    </row>
    <row r="299">
      <c r="A299" s="5" t="n">
        <v>298</v>
      </c>
      <c r="B299" s="5" t="inlineStr">
        <is>
          <t>WS2001</t>
        </is>
      </c>
      <c r="C299" s="5" t="inlineStr">
        <is>
          <t>2012</t>
        </is>
      </c>
      <c r="D299" s="5" t="inlineStr">
        <is>
          <t>Chinese</t>
        </is>
      </c>
      <c r="E299" s="5" t="inlineStr">
        <is>
          <t>JOUR</t>
        </is>
      </c>
      <c r="F299" s="5" t="inlineStr">
        <is>
          <t>张飞雪</t>
        </is>
      </c>
      <c r="G299" s="5" t="inlineStr">
        <is>
          <t>中华超声影像学杂志</t>
        </is>
      </c>
      <c r="H299" s="5" t="inlineStr">
        <is>
          <t>21(11):968</t>
        </is>
      </c>
      <c r="I299" s="6" t="inlineStr">
        <is>
          <t>超声诊断小儿游走脾并脾扭转、脾梗死1例</t>
        </is>
      </c>
      <c r="J299" s="5" t="inlineStr">
        <is>
          <t>10.3760/cma.j.issn.1004-4477.2012.11.015</t>
        </is>
      </c>
      <c r="K299" s="7" t="inlineStr">
        <is>
          <t>link</t>
        </is>
      </c>
      <c r="L299" s="5" t="inlineStr"/>
      <c r="M299" s="5" t="inlineStr"/>
      <c r="N299" s="5" t="inlineStr"/>
      <c r="O299" s="7" t="inlineStr">
        <is>
          <t>link</t>
        </is>
      </c>
      <c r="P299" s="7" t="inlineStr">
        <is>
          <t>link</t>
        </is>
      </c>
      <c r="Q299" s="5" t="inlineStr"/>
      <c r="R299" s="5" t="inlineStr">
        <is>
          <t>3 Chinese</t>
        </is>
      </c>
      <c r="S299" s="5" t="inlineStr"/>
      <c r="T299" s="5" t="inlineStr">
        <is>
          <t>WS2001.pdf</t>
        </is>
      </c>
      <c r="U299" s="8" t="n"/>
      <c r="V299" s="8" t="n"/>
      <c r="W299" s="8" t="n"/>
      <c r="X299" s="8" t="n"/>
      <c r="Y299" s="8" t="n"/>
      <c r="Z299" s="8" t="n"/>
      <c r="AA299" s="8" t="n"/>
      <c r="AB299" s="8" t="n"/>
      <c r="AC299" s="8" t="n"/>
      <c r="AD299" s="8" t="n"/>
    </row>
    <row r="300">
      <c r="A300" s="5" t="n">
        <v>299</v>
      </c>
      <c r="B300" s="5" t="inlineStr">
        <is>
          <t>WS2003</t>
        </is>
      </c>
      <c r="C300" s="5" t="inlineStr">
        <is>
          <t>2012</t>
        </is>
      </c>
      <c r="D300" s="5" t="inlineStr">
        <is>
          <t>Chinese</t>
        </is>
      </c>
      <c r="E300" s="5" t="inlineStr">
        <is>
          <t>JOUR</t>
        </is>
      </c>
      <c r="F300" s="5" t="inlineStr">
        <is>
          <t>牛振英</t>
        </is>
      </c>
      <c r="G300" s="5" t="inlineStr">
        <is>
          <t>解放军医药杂志</t>
        </is>
      </c>
      <c r="H300" s="5" t="inlineStr">
        <is>
          <t>24(8):76-76</t>
        </is>
      </c>
      <c r="I300" s="6" t="inlineStr">
        <is>
          <t>彩超诊断异位脾一例并文献复习</t>
        </is>
      </c>
      <c r="J300" s="5" t="inlineStr">
        <is>
          <t>10.3969/j.issn.2095-140x.2012.08.026</t>
        </is>
      </c>
      <c r="K300" s="7" t="inlineStr">
        <is>
          <t>link</t>
        </is>
      </c>
      <c r="L300" s="5" t="inlineStr"/>
      <c r="M300" s="5" t="inlineStr"/>
      <c r="N300" s="5" t="inlineStr"/>
      <c r="O300" s="7" t="inlineStr">
        <is>
          <t>link</t>
        </is>
      </c>
      <c r="P300" s="7" t="inlineStr">
        <is>
          <t>link</t>
        </is>
      </c>
      <c r="Q300" s="5" t="inlineStr"/>
      <c r="R300" s="5" t="inlineStr">
        <is>
          <t>3 Chinese</t>
        </is>
      </c>
      <c r="S300" s="5" t="inlineStr"/>
      <c r="T300" s="5" t="inlineStr">
        <is>
          <t>WS2003.pdf</t>
        </is>
      </c>
      <c r="U300" s="8" t="n"/>
      <c r="V300" s="8" t="n"/>
      <c r="W300" s="8" t="n"/>
      <c r="X300" s="8" t="n"/>
      <c r="Y300" s="8" t="n"/>
      <c r="Z300" s="8" t="n"/>
      <c r="AA300" s="8" t="n"/>
      <c r="AB300" s="8" t="n"/>
      <c r="AC300" s="8" t="n"/>
      <c r="AD300" s="8" t="n"/>
    </row>
    <row r="301">
      <c r="A301" s="5" t="n">
        <v>300</v>
      </c>
      <c r="B301" s="5" t="inlineStr">
        <is>
          <t>WS2321</t>
        </is>
      </c>
      <c r="C301" s="5" t="inlineStr">
        <is>
          <t>2012</t>
        </is>
      </c>
      <c r="D301" s="5" t="inlineStr">
        <is>
          <t>Chinese</t>
        </is>
      </c>
      <c r="E301" s="5" t="inlineStr">
        <is>
          <t>GEN</t>
        </is>
      </c>
      <c r="F301" s="5" t="inlineStr">
        <is>
          <t>张小波</t>
        </is>
      </c>
      <c r="G301" s="5" t="inlineStr"/>
      <c r="H301" s="5" t="inlineStr">
        <is>
          <t>368-370</t>
        </is>
      </c>
      <c r="I301" s="6" t="inlineStr">
        <is>
          <t>儿童游走脾并蒂扭转、脾坏死1例诊疗分析</t>
        </is>
      </c>
      <c r="J301" s="5" t="inlineStr"/>
      <c r="K301" s="5" t="inlineStr"/>
      <c r="L301" s="5" t="inlineStr"/>
      <c r="M301" s="5" t="inlineStr"/>
      <c r="N301" s="5" t="inlineStr"/>
      <c r="O301" s="5" t="inlineStr"/>
      <c r="P301" s="7" t="inlineStr">
        <is>
          <t>link</t>
        </is>
      </c>
      <c r="Q301" s="5" t="inlineStr"/>
      <c r="R301" s="5" t="inlineStr">
        <is>
          <t>3 Chinese</t>
        </is>
      </c>
      <c r="S301" s="5" t="inlineStr"/>
      <c r="T301" s="5" t="inlineStr">
        <is>
          <t>WS2321.pdf</t>
        </is>
      </c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  <c r="AD301" s="8" t="n"/>
    </row>
    <row r="302">
      <c r="A302" s="5" t="n">
        <v>301</v>
      </c>
      <c r="B302" s="5" t="inlineStr">
        <is>
          <t>WS2461</t>
        </is>
      </c>
      <c r="C302" s="5" t="inlineStr">
        <is>
          <t>2012</t>
        </is>
      </c>
      <c r="D302" s="5" t="inlineStr">
        <is>
          <t>Chinese</t>
        </is>
      </c>
      <c r="E302" s="5" t="inlineStr">
        <is>
          <t>JOUR</t>
        </is>
      </c>
      <c r="F302" s="5" t="inlineStr">
        <is>
          <t>邱玲琍</t>
        </is>
      </c>
      <c r="G302" s="5" t="inlineStr">
        <is>
          <t>江西医药</t>
        </is>
      </c>
      <c r="H302" s="5" t="inlineStr">
        <is>
          <t>47(11):1035</t>
        </is>
      </c>
      <c r="I302" s="6" t="inlineStr">
        <is>
          <t>腹膜后异位脾脏误诊为“盆腔包块”1例</t>
        </is>
      </c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>
        <is>
          <t>3 Chinese</t>
        </is>
      </c>
      <c r="S302" s="5" t="inlineStr"/>
      <c r="T302" s="5" t="inlineStr">
        <is>
          <t>WS2461.pdf</t>
        </is>
      </c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  <c r="AD302" s="8" t="n"/>
    </row>
    <row r="303">
      <c r="A303" s="5" t="n">
        <v>302</v>
      </c>
      <c r="B303" s="5" t="inlineStr">
        <is>
          <t>WS2011</t>
        </is>
      </c>
      <c r="C303" s="5" t="inlineStr">
        <is>
          <t>2011</t>
        </is>
      </c>
      <c r="D303" s="5" t="inlineStr">
        <is>
          <t>Chinese</t>
        </is>
      </c>
      <c r="E303" s="5" t="inlineStr">
        <is>
          <t>JOUR</t>
        </is>
      </c>
      <c r="F303" s="5" t="inlineStr">
        <is>
          <t>孙驰</t>
        </is>
      </c>
      <c r="G303" s="5" t="inlineStr">
        <is>
          <t>中华小儿外科杂志</t>
        </is>
      </c>
      <c r="H303" s="5" t="inlineStr">
        <is>
          <t>32(7):558</t>
        </is>
      </c>
      <c r="I303" s="6" t="inlineStr">
        <is>
          <t>腹腔镜脾部分切除、残余脾腹膜外固定术治疗游走脾并扭转一例</t>
        </is>
      </c>
      <c r="J303" s="5" t="inlineStr">
        <is>
          <t>10.3760/cma.j.issn.0253-3006.2011.07.026</t>
        </is>
      </c>
      <c r="K303" s="7" t="inlineStr">
        <is>
          <t>link</t>
        </is>
      </c>
      <c r="L303" s="5" t="inlineStr"/>
      <c r="M303" s="5" t="inlineStr"/>
      <c r="N303" s="5" t="inlineStr"/>
      <c r="O303" s="7" t="inlineStr">
        <is>
          <t>link</t>
        </is>
      </c>
      <c r="P303" s="7" t="inlineStr">
        <is>
          <t>link</t>
        </is>
      </c>
      <c r="Q303" s="5" t="inlineStr"/>
      <c r="R303" s="5" t="inlineStr">
        <is>
          <t>3 Chinese</t>
        </is>
      </c>
      <c r="S303" s="5" t="inlineStr"/>
      <c r="T303" s="5" t="inlineStr">
        <is>
          <t>WS2011.pdf</t>
        </is>
      </c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</row>
    <row r="304">
      <c r="A304" s="5" t="n">
        <v>303</v>
      </c>
      <c r="B304" s="5" t="inlineStr">
        <is>
          <t>WS2014</t>
        </is>
      </c>
      <c r="C304" s="5" t="inlineStr">
        <is>
          <t>2011</t>
        </is>
      </c>
      <c r="D304" s="5" t="inlineStr">
        <is>
          <t>Chinese</t>
        </is>
      </c>
      <c r="E304" s="5" t="inlineStr">
        <is>
          <t>JOUR</t>
        </is>
      </c>
      <c r="F304" s="5" t="inlineStr">
        <is>
          <t>石建伟</t>
        </is>
      </c>
      <c r="G304" s="5" t="inlineStr">
        <is>
          <t>临床误诊误治</t>
        </is>
      </c>
      <c r="H304" s="5" t="inlineStr">
        <is>
          <t>24(6):52-53</t>
        </is>
      </c>
      <c r="I304" s="6" t="inlineStr">
        <is>
          <t>游走脾并蒂扭转、脾梗死一例诊治分析</t>
        </is>
      </c>
      <c r="J304" s="5" t="inlineStr">
        <is>
          <t>10.3969/j.issn.1002-3429.2011.06.030</t>
        </is>
      </c>
      <c r="K304" s="7" t="inlineStr">
        <is>
          <t>link</t>
        </is>
      </c>
      <c r="L304" s="5" t="inlineStr"/>
      <c r="M304" s="5" t="inlineStr"/>
      <c r="N304" s="5" t="inlineStr"/>
      <c r="O304" s="7" t="inlineStr">
        <is>
          <t>link</t>
        </is>
      </c>
      <c r="P304" s="7" t="inlineStr">
        <is>
          <t>link</t>
        </is>
      </c>
      <c r="Q304" s="5" t="inlineStr"/>
      <c r="R304" s="5" t="inlineStr">
        <is>
          <t>3 Chinese</t>
        </is>
      </c>
      <c r="S304" s="5" t="inlineStr"/>
      <c r="T304" s="5" t="inlineStr">
        <is>
          <t>WS2014.pdf</t>
        </is>
      </c>
      <c r="U304" s="8" t="n"/>
      <c r="V304" s="8" t="n"/>
      <c r="W304" s="8" t="n"/>
      <c r="X304" s="8" t="n"/>
      <c r="Y304" s="8" t="n"/>
      <c r="Z304" s="8" t="n"/>
      <c r="AA304" s="8" t="n"/>
      <c r="AB304" s="8" t="n"/>
      <c r="AC304" s="8" t="n"/>
      <c r="AD304" s="8" t="n"/>
    </row>
    <row r="305">
      <c r="A305" s="5" t="n">
        <v>304</v>
      </c>
      <c r="B305" s="5" t="inlineStr">
        <is>
          <t>WS2018</t>
        </is>
      </c>
      <c r="C305" s="5" t="inlineStr">
        <is>
          <t>2011</t>
        </is>
      </c>
      <c r="D305" s="5" t="inlineStr">
        <is>
          <t>Chinese</t>
        </is>
      </c>
      <c r="E305" s="5" t="inlineStr">
        <is>
          <t>JOUR</t>
        </is>
      </c>
      <c r="F305" s="5" t="inlineStr">
        <is>
          <t>黄从刚</t>
        </is>
      </c>
      <c r="G305" s="5" t="inlineStr">
        <is>
          <t>放射学实践</t>
        </is>
      </c>
      <c r="H305" s="5" t="inlineStr">
        <is>
          <t>26(4):472-472</t>
        </is>
      </c>
      <c r="I305" s="6" t="inlineStr">
        <is>
          <t>CT诊断儿童游走脾伴脾蒂扭转一例</t>
        </is>
      </c>
      <c r="J305" s="5" t="inlineStr">
        <is>
          <t>10.3969/j.issn.1000-0313.2011.04.041</t>
        </is>
      </c>
      <c r="K305" s="7" t="inlineStr">
        <is>
          <t>link</t>
        </is>
      </c>
      <c r="L305" s="5" t="inlineStr"/>
      <c r="M305" s="5" t="inlineStr"/>
      <c r="N305" s="5" t="inlineStr"/>
      <c r="O305" s="7" t="inlineStr">
        <is>
          <t>link</t>
        </is>
      </c>
      <c r="P305" s="7" t="inlineStr">
        <is>
          <t>link</t>
        </is>
      </c>
      <c r="Q305" s="5" t="inlineStr"/>
      <c r="R305" s="5" t="inlineStr">
        <is>
          <t>3 Chinese</t>
        </is>
      </c>
      <c r="S305" s="5" t="inlineStr"/>
      <c r="T305" s="5" t="inlineStr">
        <is>
          <t>WS2018.pdf</t>
        </is>
      </c>
      <c r="U305" s="8" t="n"/>
      <c r="V305" s="8" t="n"/>
      <c r="W305" s="8" t="n"/>
      <c r="X305" s="8" t="n"/>
      <c r="Y305" s="8" t="n"/>
      <c r="Z305" s="8" t="n"/>
      <c r="AA305" s="8" t="n"/>
      <c r="AB305" s="8" t="n"/>
      <c r="AC305" s="8" t="n"/>
      <c r="AD305" s="8" t="n"/>
    </row>
    <row r="306">
      <c r="A306" s="5" t="n">
        <v>305</v>
      </c>
      <c r="B306" s="5" t="inlineStr">
        <is>
          <t>WS2023</t>
        </is>
      </c>
      <c r="C306" s="5" t="inlineStr">
        <is>
          <t>2010</t>
        </is>
      </c>
      <c r="D306" s="5" t="inlineStr">
        <is>
          <t>Chinese</t>
        </is>
      </c>
      <c r="E306" s="5" t="inlineStr">
        <is>
          <t>JOUR</t>
        </is>
      </c>
      <c r="F306" s="5" t="inlineStr">
        <is>
          <t>李学杰</t>
        </is>
      </c>
      <c r="G306" s="5" t="inlineStr">
        <is>
          <t>中国中医药现代远程教育</t>
        </is>
      </c>
      <c r="H306" s="5" t="inlineStr">
        <is>
          <t>8(22):70-71</t>
        </is>
      </c>
      <c r="I306" s="6" t="inlineStr">
        <is>
          <t>游走脾的诊断和治疗</t>
        </is>
      </c>
      <c r="J306" s="5" t="inlineStr">
        <is>
          <t>10.3969/j.issn.1672-2779.2010.22.059</t>
        </is>
      </c>
      <c r="K306" s="7" t="inlineStr">
        <is>
          <t>link</t>
        </is>
      </c>
      <c r="L306" s="5" t="inlineStr"/>
      <c r="M306" s="5" t="inlineStr"/>
      <c r="N306" s="5" t="inlineStr"/>
      <c r="O306" s="7" t="inlineStr">
        <is>
          <t>link</t>
        </is>
      </c>
      <c r="P306" s="7" t="inlineStr">
        <is>
          <t>link</t>
        </is>
      </c>
      <c r="Q306" s="5" t="inlineStr"/>
      <c r="R306" s="5" t="inlineStr">
        <is>
          <t>3 Chinese</t>
        </is>
      </c>
      <c r="S306" s="5" t="inlineStr"/>
      <c r="T306" s="5" t="inlineStr">
        <is>
          <t>WS2023.pdf</t>
        </is>
      </c>
      <c r="U306" s="8" t="n"/>
      <c r="V306" s="8" t="n"/>
      <c r="W306" s="8" t="n"/>
      <c r="X306" s="8" t="n"/>
      <c r="Y306" s="8" t="n"/>
      <c r="Z306" s="8" t="n"/>
      <c r="AA306" s="8" t="n"/>
      <c r="AB306" s="8" t="n"/>
      <c r="AC306" s="8" t="n"/>
      <c r="AD306" s="8" t="n"/>
    </row>
    <row r="307">
      <c r="A307" s="5" t="n">
        <v>306</v>
      </c>
      <c r="B307" s="5" t="inlineStr">
        <is>
          <t>WS2025</t>
        </is>
      </c>
      <c r="C307" s="5" t="inlineStr">
        <is>
          <t>2010</t>
        </is>
      </c>
      <c r="D307" s="5" t="inlineStr">
        <is>
          <t>Chinese</t>
        </is>
      </c>
      <c r="E307" s="5" t="inlineStr">
        <is>
          <t>JOUR</t>
        </is>
      </c>
      <c r="F307" s="5" t="inlineStr">
        <is>
          <t>范学圣</t>
        </is>
      </c>
      <c r="G307" s="5" t="inlineStr">
        <is>
          <t>中华小儿外科杂志</t>
        </is>
      </c>
      <c r="H307" s="5" t="inlineStr">
        <is>
          <t>(8):585</t>
        </is>
      </c>
      <c r="I307" s="6" t="inlineStr">
        <is>
          <t>游走脾脏一例</t>
        </is>
      </c>
      <c r="J307" s="5" t="inlineStr"/>
      <c r="K307" s="5" t="inlineStr"/>
      <c r="L307" s="5" t="inlineStr"/>
      <c r="M307" s="5" t="inlineStr"/>
      <c r="N307" s="5" t="inlineStr"/>
      <c r="O307" s="7" t="inlineStr">
        <is>
          <t>link</t>
        </is>
      </c>
      <c r="P307" s="5" t="inlineStr"/>
      <c r="Q307" s="5" t="inlineStr"/>
      <c r="R307" s="5" t="inlineStr">
        <is>
          <t>3 Chinese</t>
        </is>
      </c>
      <c r="S307" s="5" t="inlineStr"/>
      <c r="T307" s="5" t="inlineStr">
        <is>
          <t>WS2025.pdf</t>
        </is>
      </c>
      <c r="U307" s="8" t="n"/>
      <c r="V307" s="8" t="n"/>
      <c r="W307" s="8" t="n"/>
      <c r="X307" s="8" t="n"/>
      <c r="Y307" s="8" t="n"/>
      <c r="Z307" s="8" t="n"/>
      <c r="AA307" s="8" t="n"/>
      <c r="AB307" s="8" t="n"/>
      <c r="AC307" s="8" t="n"/>
      <c r="AD307" s="8" t="n"/>
    </row>
    <row r="308">
      <c r="A308" s="5" t="n">
        <v>307</v>
      </c>
      <c r="B308" s="5" t="inlineStr">
        <is>
          <t>WS2031</t>
        </is>
      </c>
      <c r="C308" s="5" t="inlineStr">
        <is>
          <t>2010</t>
        </is>
      </c>
      <c r="D308" s="5" t="inlineStr">
        <is>
          <t>Chinese</t>
        </is>
      </c>
      <c r="E308" s="5" t="inlineStr">
        <is>
          <t>JOUR</t>
        </is>
      </c>
      <c r="F308" s="5" t="inlineStr">
        <is>
          <t>姜传武</t>
        </is>
      </c>
      <c r="G308" s="5" t="inlineStr">
        <is>
          <t>中国中西医结合影像学杂志</t>
        </is>
      </c>
      <c r="H308" s="5" t="inlineStr">
        <is>
          <t>8(1):68-70</t>
        </is>
      </c>
      <c r="I308" s="6" t="inlineStr">
        <is>
          <t>游走脾的诊治进展</t>
        </is>
      </c>
      <c r="J308" s="5" t="inlineStr">
        <is>
          <t>10.3969/j.issn.1672-0512.2010.01.024</t>
        </is>
      </c>
      <c r="K308" s="7" t="inlineStr">
        <is>
          <t>link</t>
        </is>
      </c>
      <c r="L308" s="5" t="inlineStr"/>
      <c r="M308" s="5" t="inlineStr"/>
      <c r="N308" s="5" t="inlineStr"/>
      <c r="O308" s="7" t="inlineStr">
        <is>
          <t>link</t>
        </is>
      </c>
      <c r="P308" s="7" t="inlineStr">
        <is>
          <t>link</t>
        </is>
      </c>
      <c r="Q308" s="5" t="inlineStr"/>
      <c r="R308" s="5" t="inlineStr">
        <is>
          <t>3 Chinese</t>
        </is>
      </c>
      <c r="S308" s="5" t="inlineStr">
        <is>
          <t>Y</t>
        </is>
      </c>
      <c r="T308" s="5" t="inlineStr">
        <is>
          <t>WS2031.pdf</t>
        </is>
      </c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</row>
    <row r="309">
      <c r="A309" s="5" t="n">
        <v>308</v>
      </c>
      <c r="B309" s="5" t="inlineStr">
        <is>
          <t>WS2032</t>
        </is>
      </c>
      <c r="C309" s="5" t="inlineStr">
        <is>
          <t>2010</t>
        </is>
      </c>
      <c r="D309" s="5" t="inlineStr">
        <is>
          <t>Chinese</t>
        </is>
      </c>
      <c r="E309" s="5" t="inlineStr">
        <is>
          <t>JOUR</t>
        </is>
      </c>
      <c r="F309" s="5" t="inlineStr">
        <is>
          <t>胡小花</t>
        </is>
      </c>
      <c r="G309" s="5" t="inlineStr">
        <is>
          <t>中华小儿外科杂志</t>
        </is>
      </c>
      <c r="H309" s="5" t="inlineStr">
        <is>
          <t>31(1):23</t>
        </is>
      </c>
      <c r="I309" s="6" t="inlineStr">
        <is>
          <t>小儿游离脾扭转一例</t>
        </is>
      </c>
      <c r="J309" s="5" t="inlineStr">
        <is>
          <t>10.3760/cma.j.issn.0253-3006.2010.01.026</t>
        </is>
      </c>
      <c r="K309" s="7" t="inlineStr">
        <is>
          <t>link</t>
        </is>
      </c>
      <c r="L309" s="5" t="inlineStr"/>
      <c r="M309" s="5" t="inlineStr"/>
      <c r="N309" s="5" t="inlineStr"/>
      <c r="O309" s="7" t="inlineStr">
        <is>
          <t>link</t>
        </is>
      </c>
      <c r="P309" s="7" t="inlineStr">
        <is>
          <t>link</t>
        </is>
      </c>
      <c r="Q309" s="5" t="inlineStr"/>
      <c r="R309" s="5" t="inlineStr">
        <is>
          <t>3 Chinese</t>
        </is>
      </c>
      <c r="S309" s="5" t="inlineStr"/>
      <c r="T309" s="5" t="inlineStr">
        <is>
          <t>WS2032.pdf</t>
        </is>
      </c>
      <c r="U309" s="8" t="n"/>
      <c r="V309" s="8" t="n"/>
      <c r="W309" s="8" t="n"/>
      <c r="X309" s="8" t="n"/>
      <c r="Y309" s="8" t="n"/>
      <c r="Z309" s="8" t="n"/>
      <c r="AA309" s="8" t="n"/>
      <c r="AB309" s="8" t="n"/>
      <c r="AC309" s="8" t="n"/>
      <c r="AD309" s="8" t="n"/>
    </row>
    <row r="310">
      <c r="A310" s="5" t="n">
        <v>309</v>
      </c>
      <c r="B310" s="5" t="inlineStr">
        <is>
          <t>WS2362</t>
        </is>
      </c>
      <c r="C310" s="5" t="inlineStr">
        <is>
          <t>2010</t>
        </is>
      </c>
      <c r="D310" s="5" t="inlineStr">
        <is>
          <t>Chinese</t>
        </is>
      </c>
      <c r="E310" s="5" t="inlineStr">
        <is>
          <t>JOUR</t>
        </is>
      </c>
      <c r="F310" s="5" t="inlineStr">
        <is>
          <t>姜云三</t>
        </is>
      </c>
      <c r="G310" s="5" t="inlineStr">
        <is>
          <t>中外健康文摘</t>
        </is>
      </c>
      <c r="H310" s="5" t="inlineStr">
        <is>
          <t>7(16):91-92</t>
        </is>
      </c>
      <c r="I310" s="6" t="inlineStr">
        <is>
          <t>21例脾切除手术的临床治疗</t>
        </is>
      </c>
      <c r="J310" s="5" t="inlineStr">
        <is>
          <t>10.3969/j.issn.1672-5085.2010.16.072</t>
        </is>
      </c>
      <c r="K310" s="7" t="inlineStr">
        <is>
          <t>link</t>
        </is>
      </c>
      <c r="L310" s="5" t="inlineStr"/>
      <c r="M310" s="5" t="inlineStr"/>
      <c r="N310" s="5" t="inlineStr"/>
      <c r="O310" s="5" t="inlineStr"/>
      <c r="P310" s="7" t="inlineStr">
        <is>
          <t>link</t>
        </is>
      </c>
      <c r="Q310" s="5" t="inlineStr"/>
      <c r="R310" s="5" t="inlineStr">
        <is>
          <t>3 Chinese</t>
        </is>
      </c>
      <c r="S310" s="5" t="inlineStr"/>
      <c r="T310" s="5" t="inlineStr">
        <is>
          <t>WS2362.pdf</t>
        </is>
      </c>
      <c r="U310" s="8" t="n"/>
      <c r="V310" s="8" t="n"/>
      <c r="W310" s="8" t="n"/>
      <c r="X310" s="8" t="n"/>
      <c r="Y310" s="8" t="n"/>
      <c r="Z310" s="8" t="n"/>
      <c r="AA310" s="8" t="n"/>
      <c r="AB310" s="8" t="n"/>
      <c r="AC310" s="8" t="n"/>
      <c r="AD310" s="8" t="n"/>
    </row>
    <row r="311">
      <c r="A311" s="5" t="n">
        <v>310</v>
      </c>
      <c r="B311" s="5" t="inlineStr">
        <is>
          <t>WS2480</t>
        </is>
      </c>
      <c r="C311" s="5" t="inlineStr">
        <is>
          <t>2010</t>
        </is>
      </c>
      <c r="D311" s="5" t="inlineStr">
        <is>
          <t>Chinese</t>
        </is>
      </c>
      <c r="E311" s="5" t="inlineStr">
        <is>
          <t>JOUR</t>
        </is>
      </c>
      <c r="F311" s="5" t="inlineStr">
        <is>
          <t>范学圣</t>
        </is>
      </c>
      <c r="G311" s="5" t="inlineStr">
        <is>
          <t>中华小儿外科杂志</t>
        </is>
      </c>
      <c r="H311" s="5" t="inlineStr">
        <is>
          <t>(8):585</t>
        </is>
      </c>
      <c r="I311" s="6" t="inlineStr">
        <is>
          <t>游走脾脏1例</t>
        </is>
      </c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>
        <is>
          <t>3 Chinese</t>
        </is>
      </c>
      <c r="S311" s="5" t="inlineStr"/>
      <c r="T311" s="5" t="inlineStr">
        <is>
          <t>WS2480.pdf</t>
        </is>
      </c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</row>
    <row r="312">
      <c r="A312" s="5" t="n">
        <v>311</v>
      </c>
      <c r="B312" s="5" t="inlineStr">
        <is>
          <t>WS2484</t>
        </is>
      </c>
      <c r="C312" s="5" t="inlineStr">
        <is>
          <t>2010</t>
        </is>
      </c>
      <c r="D312" s="5" t="inlineStr">
        <is>
          <t>Chinese</t>
        </is>
      </c>
      <c r="E312" s="5" t="inlineStr">
        <is>
          <t>JOUR</t>
        </is>
      </c>
      <c r="F312" s="5" t="inlineStr">
        <is>
          <t>胡小花</t>
        </is>
      </c>
      <c r="G312" s="5" t="inlineStr">
        <is>
          <t>中华小儿外科杂志</t>
        </is>
      </c>
      <c r="H312" s="5" t="inlineStr">
        <is>
          <t>(1):23</t>
        </is>
      </c>
      <c r="I312" s="6" t="inlineStr">
        <is>
          <t>小儿游离脾扭转1例</t>
        </is>
      </c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>
        <is>
          <t>3 Chinese</t>
        </is>
      </c>
      <c r="S312" s="5" t="inlineStr"/>
      <c r="T312" s="5" t="inlineStr">
        <is>
          <t>WS2484.pdf</t>
        </is>
      </c>
      <c r="U312" s="8" t="n"/>
      <c r="V312" s="8" t="n"/>
      <c r="W312" s="8" t="n"/>
      <c r="X312" s="8" t="n"/>
      <c r="Y312" s="8" t="n"/>
      <c r="Z312" s="8" t="n"/>
      <c r="AA312" s="8" t="n"/>
      <c r="AB312" s="8" t="n"/>
      <c r="AC312" s="8" t="n"/>
      <c r="AD312" s="8" t="n"/>
    </row>
    <row r="313">
      <c r="A313" s="5" t="n">
        <v>312</v>
      </c>
      <c r="B313" s="5" t="inlineStr">
        <is>
          <t>WS2033</t>
        </is>
      </c>
      <c r="C313" s="5" t="inlineStr">
        <is>
          <t>2009</t>
        </is>
      </c>
      <c r="D313" s="5" t="inlineStr">
        <is>
          <t>Chinese</t>
        </is>
      </c>
      <c r="E313" s="5" t="inlineStr">
        <is>
          <t>JOUR</t>
        </is>
      </c>
      <c r="F313" s="5" t="inlineStr">
        <is>
          <t>廖桦</t>
        </is>
      </c>
      <c r="G313" s="5" t="inlineStr">
        <is>
          <t>中国实用医药</t>
        </is>
      </c>
      <c r="H313" s="5" t="inlineStr">
        <is>
          <t>4(36):63-64</t>
        </is>
      </c>
      <c r="I313" s="6" t="inlineStr">
        <is>
          <t>150例脾切除手术回顾性分析</t>
        </is>
      </c>
      <c r="J313" s="5" t="inlineStr">
        <is>
          <t>10.3969/j.issn.1673-7555.2009.36.037</t>
        </is>
      </c>
      <c r="K313" s="7" t="inlineStr">
        <is>
          <t>link</t>
        </is>
      </c>
      <c r="L313" s="5" t="inlineStr"/>
      <c r="M313" s="5" t="inlineStr"/>
      <c r="N313" s="5" t="inlineStr"/>
      <c r="O313" s="7" t="inlineStr">
        <is>
          <t>link</t>
        </is>
      </c>
      <c r="P313" s="7" t="inlineStr">
        <is>
          <t>link</t>
        </is>
      </c>
      <c r="Q313" s="5" t="inlineStr"/>
      <c r="R313" s="5" t="inlineStr">
        <is>
          <t>3 Chinese</t>
        </is>
      </c>
      <c r="S313" s="5" t="inlineStr"/>
      <c r="T313" s="5" t="inlineStr">
        <is>
          <t>WS2033.pdf</t>
        </is>
      </c>
      <c r="U313" s="8" t="n"/>
      <c r="V313" s="8" t="n"/>
      <c r="W313" s="8" t="n"/>
      <c r="X313" s="8" t="n"/>
      <c r="Y313" s="8" t="n"/>
      <c r="Z313" s="8" t="n"/>
      <c r="AA313" s="8" t="n"/>
      <c r="AB313" s="8" t="n"/>
      <c r="AC313" s="8" t="n"/>
      <c r="AD313" s="8" t="n"/>
    </row>
    <row r="314">
      <c r="A314" s="5" t="n">
        <v>313</v>
      </c>
      <c r="B314" s="5" t="inlineStr">
        <is>
          <t>WS2039</t>
        </is>
      </c>
      <c r="C314" s="5" t="inlineStr">
        <is>
          <t>2009</t>
        </is>
      </c>
      <c r="D314" s="5" t="inlineStr">
        <is>
          <t>Chinese</t>
        </is>
      </c>
      <c r="E314" s="5" t="inlineStr">
        <is>
          <t>JOUR</t>
        </is>
      </c>
      <c r="F314" s="5" t="inlineStr">
        <is>
          <t>朱中权</t>
        </is>
      </c>
      <c r="G314" s="5" t="inlineStr">
        <is>
          <t>临床误诊误治</t>
        </is>
      </c>
      <c r="H314" s="5" t="inlineStr">
        <is>
          <t>22(8):95-95,封三</t>
        </is>
      </c>
      <c r="I314" s="6" t="inlineStr">
        <is>
          <t>异位脾一例误诊为后纵隔肿瘤</t>
        </is>
      </c>
      <c r="J314" s="5" t="inlineStr">
        <is>
          <t>10.3969/j.issn.1002-3429.2009.08.076</t>
        </is>
      </c>
      <c r="K314" s="7" t="inlineStr">
        <is>
          <t>link</t>
        </is>
      </c>
      <c r="L314" s="5" t="inlineStr"/>
      <c r="M314" s="5" t="inlineStr"/>
      <c r="N314" s="5" t="inlineStr"/>
      <c r="O314" s="7" t="inlineStr">
        <is>
          <t>link</t>
        </is>
      </c>
      <c r="P314" s="7" t="inlineStr">
        <is>
          <t>link</t>
        </is>
      </c>
      <c r="Q314" s="5" t="inlineStr"/>
      <c r="R314" s="5" t="inlineStr">
        <is>
          <t>3 Chinese</t>
        </is>
      </c>
      <c r="S314" s="5" t="inlineStr"/>
      <c r="T314" s="5" t="inlineStr">
        <is>
          <t>WS2039.pdf</t>
        </is>
      </c>
      <c r="U314" s="8" t="n"/>
      <c r="V314" s="8" t="n"/>
      <c r="W314" s="8" t="n"/>
      <c r="X314" s="8" t="n"/>
      <c r="Y314" s="8" t="n"/>
      <c r="Z314" s="8" t="n"/>
      <c r="AA314" s="8" t="n"/>
      <c r="AB314" s="8" t="n"/>
      <c r="AC314" s="8" t="n"/>
      <c r="AD314" s="8" t="n"/>
    </row>
    <row r="315">
      <c r="A315" s="5" t="n">
        <v>314</v>
      </c>
      <c r="B315" s="5" t="inlineStr">
        <is>
          <t>WS2040</t>
        </is>
      </c>
      <c r="C315" s="5" t="inlineStr">
        <is>
          <t>2009</t>
        </is>
      </c>
      <c r="D315" s="5" t="inlineStr">
        <is>
          <t>Chinese</t>
        </is>
      </c>
      <c r="E315" s="5" t="inlineStr">
        <is>
          <t>JOUR</t>
        </is>
      </c>
      <c r="F315" s="5" t="inlineStr">
        <is>
          <t>姜传武</t>
        </is>
      </c>
      <c r="G315" s="5" t="inlineStr">
        <is>
          <t>中国中西医结合影像学杂志</t>
        </is>
      </c>
      <c r="H315" s="5" t="inlineStr">
        <is>
          <t>7(4):315</t>
        </is>
      </c>
      <c r="I315" s="6" t="inlineStr">
        <is>
          <t>脾扭转的CT诊断1例</t>
        </is>
      </c>
      <c r="J315" s="5" t="inlineStr">
        <is>
          <t>10.3969/j.issn.1672-0512.2009.04.030</t>
        </is>
      </c>
      <c r="K315" s="7" t="inlineStr">
        <is>
          <t>link</t>
        </is>
      </c>
      <c r="L315" s="5" t="inlineStr"/>
      <c r="M315" s="5" t="inlineStr"/>
      <c r="N315" s="5" t="inlineStr"/>
      <c r="O315" s="7" t="inlineStr">
        <is>
          <t>link</t>
        </is>
      </c>
      <c r="P315" s="7" t="inlineStr">
        <is>
          <t>link</t>
        </is>
      </c>
      <c r="Q315" s="5" t="inlineStr"/>
      <c r="R315" s="5" t="inlineStr">
        <is>
          <t>3 Chinese</t>
        </is>
      </c>
      <c r="S315" s="5" t="inlineStr"/>
      <c r="T315" s="5" t="inlineStr">
        <is>
          <t>WS2040.pdf</t>
        </is>
      </c>
      <c r="U315" s="8" t="n"/>
      <c r="V315" s="8" t="n"/>
      <c r="W315" s="8" t="n"/>
      <c r="X315" s="8" t="n"/>
      <c r="Y315" s="8" t="n"/>
      <c r="Z315" s="8" t="n"/>
      <c r="AA315" s="8" t="n"/>
      <c r="AB315" s="8" t="n"/>
      <c r="AC315" s="8" t="n"/>
      <c r="AD315" s="8" t="n"/>
    </row>
    <row r="316">
      <c r="A316" s="5" t="n">
        <v>315</v>
      </c>
      <c r="B316" s="5" t="inlineStr">
        <is>
          <t>WS2041</t>
        </is>
      </c>
      <c r="C316" s="5" t="inlineStr">
        <is>
          <t>2009</t>
        </is>
      </c>
      <c r="D316" s="5" t="inlineStr">
        <is>
          <t>Chinese</t>
        </is>
      </c>
      <c r="E316" s="5" t="inlineStr">
        <is>
          <t>JOUR</t>
        </is>
      </c>
      <c r="F316" s="5" t="inlineStr">
        <is>
          <t>肖立志</t>
        </is>
      </c>
      <c r="G316" s="5" t="inlineStr">
        <is>
          <t>临床放射学杂志</t>
        </is>
      </c>
      <c r="H316" s="5" t="inlineStr">
        <is>
          <t>28(8):1190</t>
        </is>
      </c>
      <c r="I316" s="6" t="inlineStr">
        <is>
          <t>游走脾并脾扭转一例</t>
        </is>
      </c>
      <c r="J316" s="5" t="inlineStr">
        <is>
          <t>10.13437/j.cnki.jcr.2009.08.011</t>
        </is>
      </c>
      <c r="K316" s="7" t="inlineStr">
        <is>
          <t>link</t>
        </is>
      </c>
      <c r="L316" s="5" t="inlineStr"/>
      <c r="M316" s="5" t="inlineStr"/>
      <c r="N316" s="5" t="inlineStr"/>
      <c r="O316" s="7" t="inlineStr">
        <is>
          <t>link</t>
        </is>
      </c>
      <c r="P316" s="7" t="inlineStr">
        <is>
          <t>link</t>
        </is>
      </c>
      <c r="Q316" s="5" t="inlineStr"/>
      <c r="R316" s="5" t="inlineStr">
        <is>
          <t>3 Chinese</t>
        </is>
      </c>
      <c r="S316" s="5" t="inlineStr"/>
      <c r="T316" s="5" t="inlineStr">
        <is>
          <t>WS2041.pdf</t>
        </is>
      </c>
      <c r="U316" s="8" t="n"/>
      <c r="V316" s="8" t="n"/>
      <c r="W316" s="8" t="n"/>
      <c r="X316" s="8" t="n"/>
      <c r="Y316" s="8" t="n"/>
      <c r="Z316" s="8" t="n"/>
      <c r="AA316" s="8" t="n"/>
      <c r="AB316" s="8" t="n"/>
      <c r="AC316" s="8" t="n"/>
      <c r="AD316" s="8" t="n"/>
    </row>
    <row r="317">
      <c r="A317" s="5" t="n">
        <v>316</v>
      </c>
      <c r="B317" s="5" t="inlineStr">
        <is>
          <t>WS2044</t>
        </is>
      </c>
      <c r="C317" s="5" t="inlineStr">
        <is>
          <t>2009</t>
        </is>
      </c>
      <c r="D317" s="5" t="inlineStr">
        <is>
          <t>Chinese</t>
        </is>
      </c>
      <c r="E317" s="5" t="inlineStr">
        <is>
          <t>CONF</t>
        </is>
      </c>
      <c r="F317" s="5" t="inlineStr">
        <is>
          <t>孙莉</t>
        </is>
      </c>
      <c r="G317" s="5" t="inlineStr"/>
      <c r="H317" s="5" t="inlineStr">
        <is>
          <t>3</t>
        </is>
      </c>
      <c r="I317" s="6" t="inlineStr">
        <is>
          <t>一例小儿游离脾扭转行脾切除围手术期的护理</t>
        </is>
      </c>
      <c r="J317" s="5" t="inlineStr"/>
      <c r="K317" s="5" t="inlineStr"/>
      <c r="L317" s="5" t="inlineStr"/>
      <c r="M317" s="5" t="inlineStr"/>
      <c r="N317" s="5" t="inlineStr"/>
      <c r="O317" s="7" t="inlineStr">
        <is>
          <t>link</t>
        </is>
      </c>
      <c r="P317" s="5" t="inlineStr"/>
      <c r="Q317" s="5" t="inlineStr"/>
      <c r="R317" s="5" t="inlineStr">
        <is>
          <t>3 Chinese</t>
        </is>
      </c>
      <c r="S317" s="5" t="inlineStr"/>
      <c r="T317" s="5" t="inlineStr">
        <is>
          <t>WS2044.pdf</t>
        </is>
      </c>
      <c r="U317" s="8" t="n"/>
      <c r="V317" s="8" t="n"/>
      <c r="W317" s="8" t="n"/>
      <c r="X317" s="8" t="n"/>
      <c r="Y317" s="8" t="n"/>
      <c r="Z317" s="8" t="n"/>
      <c r="AA317" s="8" t="n"/>
      <c r="AB317" s="8" t="n"/>
      <c r="AC317" s="8" t="n"/>
      <c r="AD317" s="8" t="n"/>
    </row>
    <row r="318">
      <c r="A318" s="5" t="n">
        <v>317</v>
      </c>
      <c r="B318" s="5" t="inlineStr">
        <is>
          <t>WS2045</t>
        </is>
      </c>
      <c r="C318" s="5" t="inlineStr">
        <is>
          <t>2009</t>
        </is>
      </c>
      <c r="D318" s="5" t="inlineStr">
        <is>
          <t>Chinese</t>
        </is>
      </c>
      <c r="E318" s="5" t="inlineStr">
        <is>
          <t>JOUR</t>
        </is>
      </c>
      <c r="F318" s="5" t="inlineStr">
        <is>
          <t>刘步育</t>
        </is>
      </c>
      <c r="G318" s="5" t="inlineStr">
        <is>
          <t>内蒙古医学杂志</t>
        </is>
      </c>
      <c r="H318" s="5" t="inlineStr">
        <is>
          <t>41(2):254</t>
        </is>
      </c>
      <c r="I318" s="6" t="inlineStr">
        <is>
          <t>彩超诊断游走脾一例报告</t>
        </is>
      </c>
      <c r="J318" s="5" t="inlineStr">
        <is>
          <t>10.3969/j.issn.1004-0951.2009.02.058</t>
        </is>
      </c>
      <c r="K318" s="7" t="inlineStr">
        <is>
          <t>link</t>
        </is>
      </c>
      <c r="L318" s="5" t="inlineStr"/>
      <c r="M318" s="5" t="inlineStr"/>
      <c r="N318" s="5" t="inlineStr"/>
      <c r="O318" s="7" t="inlineStr">
        <is>
          <t>link</t>
        </is>
      </c>
      <c r="P318" s="7" t="inlineStr">
        <is>
          <t>link</t>
        </is>
      </c>
      <c r="Q318" s="5" t="inlineStr"/>
      <c r="R318" s="5" t="inlineStr">
        <is>
          <t>3 Chinese</t>
        </is>
      </c>
      <c r="S318" s="5" t="inlineStr"/>
      <c r="T318" s="5" t="inlineStr">
        <is>
          <t>WS2045.pdf</t>
        </is>
      </c>
      <c r="U318" s="8" t="n"/>
      <c r="V318" s="8" t="n"/>
      <c r="W318" s="8" t="n"/>
      <c r="X318" s="8" t="n"/>
      <c r="Y318" s="8" t="n"/>
      <c r="Z318" s="8" t="n"/>
      <c r="AA318" s="8" t="n"/>
      <c r="AB318" s="8" t="n"/>
      <c r="AC318" s="8" t="n"/>
      <c r="AD318" s="8" t="n"/>
    </row>
    <row r="319">
      <c r="A319" s="5" t="n">
        <v>318</v>
      </c>
      <c r="B319" s="5" t="inlineStr">
        <is>
          <t>WS2046</t>
        </is>
      </c>
      <c r="C319" s="5" t="inlineStr">
        <is>
          <t>2009</t>
        </is>
      </c>
      <c r="D319" s="5" t="inlineStr">
        <is>
          <t>Chinese</t>
        </is>
      </c>
      <c r="E319" s="5" t="inlineStr">
        <is>
          <t>JOUR</t>
        </is>
      </c>
      <c r="F319" s="5" t="inlineStr">
        <is>
          <t>葛勇胜</t>
        </is>
      </c>
      <c r="G319" s="5" t="inlineStr">
        <is>
          <t>中国医师进修杂志</t>
        </is>
      </c>
      <c r="H319" s="5" t="inlineStr">
        <is>
          <t>32(2):70-71</t>
        </is>
      </c>
      <c r="I319" s="6" t="inlineStr">
        <is>
          <t>游走脾扭转</t>
        </is>
      </c>
      <c r="J319" s="5" t="inlineStr">
        <is>
          <t>10.3760/cma.j.issn.1673-4904.2009.02.033</t>
        </is>
      </c>
      <c r="K319" s="7" t="inlineStr">
        <is>
          <t>link</t>
        </is>
      </c>
      <c r="L319" s="5" t="inlineStr"/>
      <c r="M319" s="5" t="inlineStr"/>
      <c r="N319" s="5" t="inlineStr"/>
      <c r="O319" s="7" t="inlineStr">
        <is>
          <t>link</t>
        </is>
      </c>
      <c r="P319" s="7" t="inlineStr">
        <is>
          <t>link</t>
        </is>
      </c>
      <c r="Q319" s="5" t="inlineStr"/>
      <c r="R319" s="5" t="inlineStr">
        <is>
          <t>3 Chinese</t>
        </is>
      </c>
      <c r="S319" s="5" t="inlineStr"/>
      <c r="T319" s="5" t="inlineStr">
        <is>
          <t>WS2046.pdf</t>
        </is>
      </c>
      <c r="U319" s="8" t="n"/>
      <c r="V319" s="8" t="n"/>
      <c r="W319" s="8" t="n"/>
      <c r="X319" s="8" t="n"/>
      <c r="Y319" s="8" t="n"/>
      <c r="Z319" s="8" t="n"/>
      <c r="AA319" s="8" t="n"/>
      <c r="AB319" s="8" t="n"/>
      <c r="AC319" s="8" t="n"/>
      <c r="AD319" s="8" t="n"/>
    </row>
    <row r="320">
      <c r="A320" s="5" t="n">
        <v>319</v>
      </c>
      <c r="B320" s="5" t="inlineStr">
        <is>
          <t>WS2058</t>
        </is>
      </c>
      <c r="C320" s="5" t="inlineStr">
        <is>
          <t>2008</t>
        </is>
      </c>
      <c r="D320" s="5" t="inlineStr">
        <is>
          <t>Chinese</t>
        </is>
      </c>
      <c r="E320" s="5" t="inlineStr">
        <is>
          <t>JOUR</t>
        </is>
      </c>
      <c r="F320" s="5" t="inlineStr">
        <is>
          <t>林桂凤</t>
        </is>
      </c>
      <c r="G320" s="5" t="inlineStr">
        <is>
          <t>中华超声影像学杂志</t>
        </is>
      </c>
      <c r="H320" s="5" t="inlineStr">
        <is>
          <t>17(1):18</t>
        </is>
      </c>
      <c r="I320" s="6" t="inlineStr">
        <is>
          <t>超声诊断游走脾1例</t>
        </is>
      </c>
      <c r="J320" s="5" t="inlineStr">
        <is>
          <t>10.3321/j.issn:1004-4477.2008.01.028</t>
        </is>
      </c>
      <c r="K320" s="7" t="inlineStr">
        <is>
          <t>link</t>
        </is>
      </c>
      <c r="L320" s="5" t="inlineStr"/>
      <c r="M320" s="5" t="inlineStr"/>
      <c r="N320" s="5" t="inlineStr"/>
      <c r="O320" s="7" t="inlineStr">
        <is>
          <t>link</t>
        </is>
      </c>
      <c r="P320" s="7" t="inlineStr">
        <is>
          <t>link</t>
        </is>
      </c>
      <c r="Q320" s="5" t="inlineStr"/>
      <c r="R320" s="5" t="inlineStr">
        <is>
          <t>3 Chinese</t>
        </is>
      </c>
      <c r="S320" s="5" t="inlineStr"/>
      <c r="T320" s="5" t="inlineStr">
        <is>
          <t>WS2058.pdf</t>
        </is>
      </c>
      <c r="U320" s="8" t="n"/>
      <c r="V320" s="8" t="n"/>
      <c r="W320" s="8" t="n"/>
      <c r="X320" s="8" t="n"/>
      <c r="Y320" s="8" t="n"/>
      <c r="Z320" s="8" t="n"/>
      <c r="AA320" s="8" t="n"/>
      <c r="AB320" s="8" t="n"/>
      <c r="AC320" s="8" t="n"/>
      <c r="AD320" s="8" t="n"/>
    </row>
    <row r="321">
      <c r="A321" s="5" t="n">
        <v>320</v>
      </c>
      <c r="B321" s="5" t="inlineStr">
        <is>
          <t>WS2059</t>
        </is>
      </c>
      <c r="C321" s="5" t="inlineStr">
        <is>
          <t>2007</t>
        </is>
      </c>
      <c r="D321" s="5" t="inlineStr">
        <is>
          <t>Chinese</t>
        </is>
      </c>
      <c r="E321" s="5" t="inlineStr">
        <is>
          <t>JOUR</t>
        </is>
      </c>
      <c r="F321" s="5" t="inlineStr">
        <is>
          <t>张征</t>
        </is>
      </c>
      <c r="G321" s="5" t="inlineStr">
        <is>
          <t>中国误诊学杂志</t>
        </is>
      </c>
      <c r="H321" s="5" t="inlineStr">
        <is>
          <t>7(20):4947</t>
        </is>
      </c>
      <c r="I321" s="6" t="inlineStr">
        <is>
          <t>异位脾误诊为盆腔肿物1例</t>
        </is>
      </c>
      <c r="J321" s="5" t="inlineStr"/>
      <c r="K321" s="5" t="inlineStr"/>
      <c r="L321" s="5" t="inlineStr"/>
      <c r="M321" s="5" t="inlineStr"/>
      <c r="N321" s="5" t="inlineStr"/>
      <c r="O321" s="7" t="inlineStr">
        <is>
          <t>link</t>
        </is>
      </c>
      <c r="P321" s="7" t="inlineStr">
        <is>
          <t>link</t>
        </is>
      </c>
      <c r="Q321" s="5" t="inlineStr"/>
      <c r="R321" s="5" t="inlineStr">
        <is>
          <t>3 Chinese</t>
        </is>
      </c>
      <c r="S321" s="5" t="inlineStr"/>
      <c r="T321" s="5" t="inlineStr">
        <is>
          <t>WS2059.pdf</t>
        </is>
      </c>
      <c r="U321" s="8" t="n"/>
      <c r="V321" s="8" t="n"/>
      <c r="W321" s="8" t="n"/>
      <c r="X321" s="8" t="n"/>
      <c r="Y321" s="8" t="n"/>
      <c r="Z321" s="8" t="n"/>
      <c r="AA321" s="8" t="n"/>
      <c r="AB321" s="8" t="n"/>
      <c r="AC321" s="8" t="n"/>
      <c r="AD321" s="8" t="n"/>
    </row>
    <row r="322">
      <c r="A322" s="5" t="n">
        <v>321</v>
      </c>
      <c r="B322" s="5" t="inlineStr">
        <is>
          <t>WS2060</t>
        </is>
      </c>
      <c r="C322" s="5" t="inlineStr">
        <is>
          <t>2007</t>
        </is>
      </c>
      <c r="D322" s="5" t="inlineStr">
        <is>
          <t>Chinese</t>
        </is>
      </c>
      <c r="E322" s="5" t="inlineStr">
        <is>
          <t>JOUR</t>
        </is>
      </c>
      <c r="F322" s="5" t="inlineStr">
        <is>
          <t>陆惠霞</t>
        </is>
      </c>
      <c r="G322" s="5" t="inlineStr">
        <is>
          <t>蛇志</t>
        </is>
      </c>
      <c r="H322" s="5" t="inlineStr">
        <is>
          <t>19(3):231-232</t>
        </is>
      </c>
      <c r="I322" s="6" t="inlineStr">
        <is>
          <t>1例游走脾并蒂扭转、脾梗塞术后并发症的观察及护理</t>
        </is>
      </c>
      <c r="J322" s="5" t="inlineStr">
        <is>
          <t>10.3969/j.issn.1001-5639.2007.03.039</t>
        </is>
      </c>
      <c r="K322" s="7" t="inlineStr">
        <is>
          <t>link</t>
        </is>
      </c>
      <c r="L322" s="5" t="inlineStr"/>
      <c r="M322" s="5" t="inlineStr"/>
      <c r="N322" s="5" t="inlineStr"/>
      <c r="O322" s="7" t="inlineStr">
        <is>
          <t>link</t>
        </is>
      </c>
      <c r="P322" s="7" t="inlineStr">
        <is>
          <t>link</t>
        </is>
      </c>
      <c r="Q322" s="5" t="inlineStr"/>
      <c r="R322" s="5" t="inlineStr">
        <is>
          <t>3 Chinese</t>
        </is>
      </c>
      <c r="S322" s="5" t="inlineStr"/>
      <c r="T322" s="5" t="inlineStr">
        <is>
          <t>WS2060.pdf</t>
        </is>
      </c>
      <c r="U322" s="8" t="n"/>
      <c r="V322" s="8" t="n"/>
      <c r="W322" s="8" t="n"/>
      <c r="X322" s="8" t="n"/>
      <c r="Y322" s="8" t="n"/>
      <c r="Z322" s="8" t="n"/>
      <c r="AA322" s="8" t="n"/>
      <c r="AB322" s="8" t="n"/>
      <c r="AC322" s="8" t="n"/>
      <c r="AD322" s="8" t="n"/>
    </row>
    <row r="323">
      <c r="A323" s="5" t="n">
        <v>322</v>
      </c>
      <c r="B323" s="5" t="inlineStr">
        <is>
          <t>WS2062</t>
        </is>
      </c>
      <c r="C323" s="5" t="inlineStr">
        <is>
          <t>2007</t>
        </is>
      </c>
      <c r="D323" s="5" t="inlineStr">
        <is>
          <t>Chinese</t>
        </is>
      </c>
      <c r="E323" s="5" t="inlineStr">
        <is>
          <t>JOUR</t>
        </is>
      </c>
      <c r="F323" s="5" t="inlineStr">
        <is>
          <t>黄勇</t>
        </is>
      </c>
      <c r="G323" s="5" t="inlineStr">
        <is>
          <t>腹部外科</t>
        </is>
      </c>
      <c r="H323" s="5" t="inlineStr">
        <is>
          <t>20(3):147</t>
        </is>
      </c>
      <c r="I323" s="6" t="inlineStr">
        <is>
          <t>游走脾合并蒂扭转一例报道</t>
        </is>
      </c>
      <c r="J323" s="5" t="inlineStr">
        <is>
          <t>10.3969/j.issn.1003-5591.2007.03.030</t>
        </is>
      </c>
      <c r="K323" s="7" t="inlineStr">
        <is>
          <t>link</t>
        </is>
      </c>
      <c r="L323" s="5" t="inlineStr"/>
      <c r="M323" s="5" t="inlineStr"/>
      <c r="N323" s="5" t="inlineStr"/>
      <c r="O323" s="7" t="inlineStr">
        <is>
          <t>link</t>
        </is>
      </c>
      <c r="P323" s="7" t="inlineStr">
        <is>
          <t>link</t>
        </is>
      </c>
      <c r="Q323" s="5" t="inlineStr"/>
      <c r="R323" s="5" t="inlineStr">
        <is>
          <t>3 Chinese</t>
        </is>
      </c>
      <c r="S323" s="5" t="inlineStr"/>
      <c r="T323" s="5" t="inlineStr">
        <is>
          <t>WS2062.pdf</t>
        </is>
      </c>
      <c r="U323" s="8" t="n"/>
      <c r="V323" s="8" t="n"/>
      <c r="W323" s="8" t="n"/>
      <c r="X323" s="8" t="n"/>
      <c r="Y323" s="8" t="n"/>
      <c r="Z323" s="8" t="n"/>
      <c r="AA323" s="8" t="n"/>
      <c r="AB323" s="8" t="n"/>
      <c r="AC323" s="8" t="n"/>
      <c r="AD323" s="8" t="n"/>
    </row>
    <row r="324">
      <c r="A324" s="5" t="n">
        <v>323</v>
      </c>
      <c r="B324" s="5" t="inlineStr">
        <is>
          <t>WS2076</t>
        </is>
      </c>
      <c r="C324" s="5" t="inlineStr">
        <is>
          <t>2006</t>
        </is>
      </c>
      <c r="D324" s="5" t="inlineStr">
        <is>
          <t>Chinese</t>
        </is>
      </c>
      <c r="E324" s="5" t="inlineStr">
        <is>
          <t>JOUR</t>
        </is>
      </c>
      <c r="F324" s="5" t="inlineStr">
        <is>
          <t>Mcheik J.N.</t>
        </is>
      </c>
      <c r="G324" s="5" t="inlineStr">
        <is>
          <t>世界核心医学期刊文摘(儿科学分册)</t>
        </is>
      </c>
      <c r="H324" s="5" t="inlineStr">
        <is>
          <t>(3):40-41</t>
        </is>
      </c>
      <c r="I324" s="6" t="inlineStr">
        <is>
          <t>儿童脾扭转</t>
        </is>
      </c>
      <c r="J324" s="5" t="inlineStr"/>
      <c r="K324" s="5" t="inlineStr"/>
      <c r="L324" s="5" t="inlineStr"/>
      <c r="M324" s="5" t="inlineStr"/>
      <c r="N324" s="5" t="inlineStr"/>
      <c r="O324" s="7" t="inlineStr">
        <is>
          <t>link</t>
        </is>
      </c>
      <c r="P324" s="7" t="inlineStr">
        <is>
          <t>link</t>
        </is>
      </c>
      <c r="Q324" s="5" t="inlineStr"/>
      <c r="R324" s="5" t="inlineStr">
        <is>
          <t>3 Chinese</t>
        </is>
      </c>
      <c r="S324" s="5" t="inlineStr"/>
      <c r="T324" s="5" t="inlineStr">
        <is>
          <t>WS2076.pdf</t>
        </is>
      </c>
      <c r="U324" s="8" t="n"/>
      <c r="V324" s="8" t="n"/>
      <c r="W324" s="8" t="n"/>
      <c r="X324" s="8" t="n"/>
      <c r="Y324" s="8" t="n"/>
      <c r="Z324" s="8" t="n"/>
      <c r="AA324" s="8" t="n"/>
      <c r="AB324" s="8" t="n"/>
      <c r="AC324" s="8" t="n"/>
      <c r="AD324" s="8" t="n"/>
    </row>
    <row r="325">
      <c r="A325" s="5" t="n">
        <v>324</v>
      </c>
      <c r="B325" s="5" t="inlineStr">
        <is>
          <t>WS2435</t>
        </is>
      </c>
      <c r="C325" s="5" t="inlineStr">
        <is>
          <t>2006</t>
        </is>
      </c>
      <c r="D325" s="5" t="inlineStr">
        <is>
          <t>Chinese</t>
        </is>
      </c>
      <c r="E325" s="5" t="inlineStr">
        <is>
          <t>JOUR</t>
        </is>
      </c>
      <c r="F325" s="5" t="inlineStr">
        <is>
          <t>王跃忠</t>
        </is>
      </c>
      <c r="G325" s="5" t="inlineStr">
        <is>
          <t>中国保健</t>
        </is>
      </c>
      <c r="H325" s="5" t="inlineStr">
        <is>
          <t>14(6X):19</t>
        </is>
      </c>
      <c r="I325" s="6" t="inlineStr">
        <is>
          <t>腹膜后异位脾脏1例</t>
        </is>
      </c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>
        <is>
          <t>3 Chinese</t>
        </is>
      </c>
      <c r="S325" s="5" t="inlineStr"/>
      <c r="T325" s="5" t="inlineStr">
        <is>
          <t>WS2435.pdf</t>
        </is>
      </c>
      <c r="U325" s="8" t="n"/>
      <c r="V325" s="8" t="n"/>
      <c r="W325" s="8" t="n"/>
      <c r="X325" s="8" t="n"/>
      <c r="Y325" s="8" t="n"/>
      <c r="Z325" s="8" t="n"/>
      <c r="AA325" s="8" t="n"/>
      <c r="AB325" s="8" t="n"/>
      <c r="AC325" s="8" t="n"/>
      <c r="AD325" s="8" t="n"/>
    </row>
    <row r="326">
      <c r="A326" s="5" t="n">
        <v>325</v>
      </c>
      <c r="B326" s="5" t="inlineStr">
        <is>
          <t>WS2079</t>
        </is>
      </c>
      <c r="C326" s="5" t="inlineStr">
        <is>
          <t>2005</t>
        </is>
      </c>
      <c r="D326" s="5" t="inlineStr">
        <is>
          <t>Chinese</t>
        </is>
      </c>
      <c r="E326" s="5" t="inlineStr">
        <is>
          <t>JOUR</t>
        </is>
      </c>
      <c r="F326" s="5" t="inlineStr">
        <is>
          <t>唐诗彬</t>
        </is>
      </c>
      <c r="G326" s="5" t="inlineStr">
        <is>
          <t>岭南现代临床外科</t>
        </is>
      </c>
      <c r="H326" s="5" t="inlineStr">
        <is>
          <t>5(4):311-312,315</t>
        </is>
      </c>
      <c r="I326" s="6" t="inlineStr">
        <is>
          <t>可吸收网在保脾手术中的应用进展</t>
        </is>
      </c>
      <c r="J326" s="5" t="inlineStr">
        <is>
          <t>10.3969/j.issn.1009-976x.2005.04.028</t>
        </is>
      </c>
      <c r="K326" s="7" t="inlineStr">
        <is>
          <t>link</t>
        </is>
      </c>
      <c r="L326" s="5" t="inlineStr"/>
      <c r="M326" s="5" t="inlineStr"/>
      <c r="N326" s="5" t="inlineStr"/>
      <c r="O326" s="7" t="inlineStr">
        <is>
          <t>link</t>
        </is>
      </c>
      <c r="P326" s="7" t="inlineStr">
        <is>
          <t>link</t>
        </is>
      </c>
      <c r="Q326" s="5" t="inlineStr"/>
      <c r="R326" s="5" t="inlineStr">
        <is>
          <t>3 Chinese</t>
        </is>
      </c>
      <c r="S326" s="5" t="inlineStr"/>
      <c r="T326" s="5" t="inlineStr">
        <is>
          <t>WS2079.pdf</t>
        </is>
      </c>
      <c r="U326" s="8" t="n"/>
      <c r="V326" s="8" t="n"/>
      <c r="W326" s="8" t="n"/>
      <c r="X326" s="8" t="n"/>
      <c r="Y326" s="8" t="n"/>
      <c r="Z326" s="8" t="n"/>
      <c r="AA326" s="8" t="n"/>
      <c r="AB326" s="8" t="n"/>
      <c r="AC326" s="8" t="n"/>
      <c r="AD326" s="8" t="n"/>
    </row>
    <row r="327">
      <c r="A327" s="5" t="n">
        <v>326</v>
      </c>
      <c r="B327" s="5" t="inlineStr">
        <is>
          <t>WS2082</t>
        </is>
      </c>
      <c r="C327" s="5" t="inlineStr">
        <is>
          <t>2005</t>
        </is>
      </c>
      <c r="D327" s="5" t="inlineStr">
        <is>
          <t>Chinese</t>
        </is>
      </c>
      <c r="E327" s="5" t="inlineStr">
        <is>
          <t>JOUR</t>
        </is>
      </c>
      <c r="F327" s="5" t="inlineStr">
        <is>
          <t>Martnez-FerroM.</t>
        </is>
      </c>
      <c r="G327" s="5" t="inlineStr">
        <is>
          <t>世界核心医学期刊文摘(儿科学分册)</t>
        </is>
      </c>
      <c r="H327" s="5" t="inlineStr">
        <is>
          <t>(11):58</t>
        </is>
      </c>
      <c r="I327" s="6" t="inlineStr">
        <is>
          <t>病例报道:腹腔镜下游离脾的袋状脾固定术</t>
        </is>
      </c>
      <c r="J327" s="5" t="inlineStr"/>
      <c r="K327" s="5" t="inlineStr"/>
      <c r="L327" s="5" t="inlineStr"/>
      <c r="M327" s="5" t="inlineStr"/>
      <c r="N327" s="5" t="inlineStr"/>
      <c r="O327" s="7" t="inlineStr">
        <is>
          <t>link</t>
        </is>
      </c>
      <c r="P327" s="7" t="inlineStr">
        <is>
          <t>link</t>
        </is>
      </c>
      <c r="Q327" s="5" t="inlineStr"/>
      <c r="R327" s="5" t="inlineStr">
        <is>
          <t>3 Chinese</t>
        </is>
      </c>
      <c r="S327" s="5" t="inlineStr"/>
      <c r="T327" s="5" t="inlineStr">
        <is>
          <t>WS2082.pdf</t>
        </is>
      </c>
      <c r="U327" s="8" t="n"/>
      <c r="V327" s="8" t="n"/>
      <c r="W327" s="8" t="n"/>
      <c r="X327" s="8" t="n"/>
      <c r="Y327" s="8" t="n"/>
      <c r="Z327" s="8" t="n"/>
      <c r="AA327" s="8" t="n"/>
      <c r="AB327" s="8" t="n"/>
      <c r="AC327" s="8" t="n"/>
      <c r="AD327" s="8" t="n"/>
    </row>
    <row r="328">
      <c r="A328" s="5" t="n">
        <v>327</v>
      </c>
      <c r="B328" s="5" t="inlineStr">
        <is>
          <t>WS2083</t>
        </is>
      </c>
      <c r="C328" s="5" t="inlineStr">
        <is>
          <t>2005</t>
        </is>
      </c>
      <c r="D328" s="5" t="inlineStr">
        <is>
          <t>Chinese</t>
        </is>
      </c>
      <c r="E328" s="5" t="inlineStr">
        <is>
          <t>JOUR</t>
        </is>
      </c>
      <c r="F328" s="5" t="inlineStr">
        <is>
          <t>冯平勇</t>
        </is>
      </c>
      <c r="G328" s="5" t="inlineStr">
        <is>
          <t>中华放射学杂志</t>
        </is>
      </c>
      <c r="H328" s="5" t="inlineStr">
        <is>
          <t>39(10):1107-1108</t>
        </is>
      </c>
      <c r="I328" s="6" t="inlineStr">
        <is>
          <t>游走脾并脾蒂扭转二例</t>
        </is>
      </c>
      <c r="J328" s="5" t="inlineStr">
        <is>
          <t>10.3760/j.issn:1005-1201.2005.10.025</t>
        </is>
      </c>
      <c r="K328" s="7" t="inlineStr">
        <is>
          <t>link</t>
        </is>
      </c>
      <c r="L328" s="5" t="inlineStr"/>
      <c r="M328" s="5" t="inlineStr"/>
      <c r="N328" s="5" t="inlineStr"/>
      <c r="O328" s="7" t="inlineStr">
        <is>
          <t>link</t>
        </is>
      </c>
      <c r="P328" s="7" t="inlineStr">
        <is>
          <t>link</t>
        </is>
      </c>
      <c r="Q328" s="5" t="inlineStr"/>
      <c r="R328" s="5" t="inlineStr">
        <is>
          <t>3 Chinese</t>
        </is>
      </c>
      <c r="S328" s="5" t="inlineStr"/>
      <c r="T328" s="5" t="inlineStr">
        <is>
          <t>WS2083.pdf</t>
        </is>
      </c>
      <c r="U328" s="8" t="n"/>
      <c r="V328" s="8" t="n"/>
      <c r="W328" s="8" t="n"/>
      <c r="X328" s="8" t="n"/>
      <c r="Y328" s="8" t="n"/>
      <c r="Z328" s="8" t="n"/>
      <c r="AA328" s="8" t="n"/>
      <c r="AB328" s="8" t="n"/>
      <c r="AC328" s="8" t="n"/>
      <c r="AD328" s="8" t="n"/>
    </row>
    <row r="329">
      <c r="A329" s="5" t="n">
        <v>328</v>
      </c>
      <c r="B329" s="5" t="inlineStr">
        <is>
          <t>WS2087</t>
        </is>
      </c>
      <c r="C329" s="5" t="inlineStr">
        <is>
          <t>2005</t>
        </is>
      </c>
      <c r="D329" s="5" t="inlineStr">
        <is>
          <t>Chinese</t>
        </is>
      </c>
      <c r="E329" s="5" t="inlineStr">
        <is>
          <t>JOUR</t>
        </is>
      </c>
      <c r="F329" s="5" t="inlineStr">
        <is>
          <t>Schaarschmidt K.</t>
        </is>
      </c>
      <c r="G329" s="5" t="inlineStr">
        <is>
          <t>世界核心医学期刊文摘(儿科学分册)</t>
        </is>
      </c>
      <c r="H329" s="5" t="inlineStr">
        <is>
          <t>(8):47-48</t>
        </is>
      </c>
      <c r="I329" s="6" t="inlineStr">
        <is>
          <t>腹膜后腹腔镜脾固定术治疗小儿游走脾</t>
        </is>
      </c>
      <c r="J329" s="5" t="inlineStr"/>
      <c r="K329" s="5" t="inlineStr"/>
      <c r="L329" s="5" t="inlineStr"/>
      <c r="M329" s="5" t="inlineStr"/>
      <c r="N329" s="5" t="inlineStr"/>
      <c r="O329" s="7" t="inlineStr">
        <is>
          <t>link</t>
        </is>
      </c>
      <c r="P329" s="7" t="inlineStr">
        <is>
          <t>link</t>
        </is>
      </c>
      <c r="Q329" s="5" t="inlineStr"/>
      <c r="R329" s="5" t="inlineStr">
        <is>
          <t>3 Chinese</t>
        </is>
      </c>
      <c r="S329" s="5" t="inlineStr"/>
      <c r="T329" s="5" t="inlineStr">
        <is>
          <t>WS2087.pdf</t>
        </is>
      </c>
      <c r="U329" s="8" t="n"/>
      <c r="V329" s="8" t="n"/>
      <c r="W329" s="8" t="n"/>
      <c r="X329" s="8" t="n"/>
      <c r="Y329" s="8" t="n"/>
      <c r="Z329" s="8" t="n"/>
      <c r="AA329" s="8" t="n"/>
      <c r="AB329" s="8" t="n"/>
      <c r="AC329" s="8" t="n"/>
      <c r="AD329" s="8" t="n"/>
    </row>
    <row r="330">
      <c r="A330" s="5" t="n">
        <v>329</v>
      </c>
      <c r="B330" s="5" t="inlineStr">
        <is>
          <t>WS2092</t>
        </is>
      </c>
      <c r="C330" s="5" t="inlineStr">
        <is>
          <t>2004</t>
        </is>
      </c>
      <c r="D330" s="5" t="inlineStr">
        <is>
          <t>Chinese</t>
        </is>
      </c>
      <c r="E330" s="5" t="inlineStr">
        <is>
          <t>JOUR</t>
        </is>
      </c>
      <c r="F330" s="5" t="inlineStr">
        <is>
          <t>高峰</t>
        </is>
      </c>
      <c r="G330" s="5" t="inlineStr">
        <is>
          <t>临床超声医学杂志</t>
        </is>
      </c>
      <c r="H330" s="5" t="inlineStr">
        <is>
          <t>6(4):254</t>
        </is>
      </c>
      <c r="I330" s="6" t="inlineStr">
        <is>
          <t>游离脾扭转1例</t>
        </is>
      </c>
      <c r="J330" s="5" t="inlineStr">
        <is>
          <t>10.3969/j.issn.1008-6978.2004.04.038</t>
        </is>
      </c>
      <c r="K330" s="7" t="inlineStr">
        <is>
          <t>link</t>
        </is>
      </c>
      <c r="L330" s="5" t="inlineStr"/>
      <c r="M330" s="5" t="inlineStr"/>
      <c r="N330" s="5" t="inlineStr"/>
      <c r="O330" s="7" t="inlineStr">
        <is>
          <t>link</t>
        </is>
      </c>
      <c r="P330" s="7" t="inlineStr">
        <is>
          <t>link</t>
        </is>
      </c>
      <c r="Q330" s="5" t="inlineStr"/>
      <c r="R330" s="5" t="inlineStr">
        <is>
          <t>3 Chinese</t>
        </is>
      </c>
      <c r="S330" s="5" t="inlineStr"/>
      <c r="T330" s="5" t="inlineStr">
        <is>
          <t>WS2092.pdf</t>
        </is>
      </c>
      <c r="U330" s="8" t="n"/>
      <c r="V330" s="8" t="n"/>
      <c r="W330" s="8" t="n"/>
      <c r="X330" s="8" t="n"/>
      <c r="Y330" s="8" t="n"/>
      <c r="Z330" s="8" t="n"/>
      <c r="AA330" s="8" t="n"/>
      <c r="AB330" s="8" t="n"/>
      <c r="AC330" s="8" t="n"/>
      <c r="AD330" s="8" t="n"/>
    </row>
    <row r="331">
      <c r="A331" s="5" t="n">
        <v>330</v>
      </c>
      <c r="B331" s="5" t="inlineStr">
        <is>
          <t>WS2093</t>
        </is>
      </c>
      <c r="C331" s="5" t="inlineStr">
        <is>
          <t>2004</t>
        </is>
      </c>
      <c r="D331" s="5" t="inlineStr">
        <is>
          <t>Chinese</t>
        </is>
      </c>
      <c r="E331" s="5" t="inlineStr">
        <is>
          <t>JOUR</t>
        </is>
      </c>
      <c r="F331" s="5" t="inlineStr">
        <is>
          <t>于增文</t>
        </is>
      </c>
      <c r="G331" s="5" t="inlineStr">
        <is>
          <t>中华小儿外科杂志</t>
        </is>
      </c>
      <c r="H331" s="5" t="inlineStr">
        <is>
          <t>25(4):317</t>
        </is>
      </c>
      <c r="I331" s="6" t="inlineStr">
        <is>
          <t>腹腔镜下胃固定术治疗小儿胃扭转并游走脾一例</t>
        </is>
      </c>
      <c r="J331" s="5" t="inlineStr">
        <is>
          <t>10.3760/cma.j.issn.0253-3006.2004.04.036</t>
        </is>
      </c>
      <c r="K331" s="7" t="inlineStr">
        <is>
          <t>link</t>
        </is>
      </c>
      <c r="L331" s="5" t="inlineStr"/>
      <c r="M331" s="5" t="inlineStr"/>
      <c r="N331" s="5" t="inlineStr"/>
      <c r="O331" s="7" t="inlineStr">
        <is>
          <t>link</t>
        </is>
      </c>
      <c r="P331" s="7" t="inlineStr">
        <is>
          <t>link</t>
        </is>
      </c>
      <c r="Q331" s="5" t="inlineStr"/>
      <c r="R331" s="5" t="inlineStr">
        <is>
          <t>3 Chinese</t>
        </is>
      </c>
      <c r="S331" s="5" t="inlineStr"/>
      <c r="T331" s="5" t="inlineStr">
        <is>
          <t>WS2093.pdf</t>
        </is>
      </c>
      <c r="U331" s="8" t="n"/>
      <c r="V331" s="8" t="n"/>
      <c r="W331" s="8" t="n"/>
      <c r="X331" s="8" t="n"/>
      <c r="Y331" s="8" t="n"/>
      <c r="Z331" s="8" t="n"/>
      <c r="AA331" s="8" t="n"/>
      <c r="AB331" s="8" t="n"/>
      <c r="AC331" s="8" t="n"/>
      <c r="AD331" s="8" t="n"/>
    </row>
    <row r="332">
      <c r="A332" s="5" t="n">
        <v>331</v>
      </c>
      <c r="B332" s="5" t="inlineStr">
        <is>
          <t>WS2101</t>
        </is>
      </c>
      <c r="C332" s="5" t="inlineStr">
        <is>
          <t>2003</t>
        </is>
      </c>
      <c r="D332" s="5" t="inlineStr">
        <is>
          <t>Chinese</t>
        </is>
      </c>
      <c r="E332" s="5" t="inlineStr">
        <is>
          <t>JOUR</t>
        </is>
      </c>
      <c r="F332" s="5" t="inlineStr">
        <is>
          <t>张秀娟</t>
        </is>
      </c>
      <c r="G332" s="5" t="inlineStr">
        <is>
          <t>实用医技杂志</t>
        </is>
      </c>
      <c r="H332" s="5" t="inlineStr">
        <is>
          <t>10(12):1362-1363</t>
        </is>
      </c>
      <c r="I332" s="6" t="inlineStr">
        <is>
          <t>超声诊断异位脾、脾蒂扭转1例</t>
        </is>
      </c>
      <c r="J332" s="5" t="inlineStr">
        <is>
          <t>10.3969/j.issn.1671-5098.2003.12.027</t>
        </is>
      </c>
      <c r="K332" s="7" t="inlineStr">
        <is>
          <t>link</t>
        </is>
      </c>
      <c r="L332" s="5" t="inlineStr"/>
      <c r="M332" s="5" t="inlineStr"/>
      <c r="N332" s="5" t="inlineStr"/>
      <c r="O332" s="7" t="inlineStr">
        <is>
          <t>link</t>
        </is>
      </c>
      <c r="P332" s="7" t="inlineStr">
        <is>
          <t>link</t>
        </is>
      </c>
      <c r="Q332" s="5" t="inlineStr"/>
      <c r="R332" s="5" t="inlineStr">
        <is>
          <t>3 Chinese</t>
        </is>
      </c>
      <c r="S332" s="5" t="inlineStr"/>
      <c r="T332" s="5" t="inlineStr">
        <is>
          <t>WS2101.pdf</t>
        </is>
      </c>
      <c r="U332" s="8" t="n"/>
      <c r="V332" s="8" t="n"/>
      <c r="W332" s="8" t="n"/>
      <c r="X332" s="8" t="n"/>
      <c r="Y332" s="8" t="n"/>
      <c r="Z332" s="8" t="n"/>
      <c r="AA332" s="8" t="n"/>
      <c r="AB332" s="8" t="n"/>
      <c r="AC332" s="8" t="n"/>
      <c r="AD332" s="8" t="n"/>
    </row>
    <row r="333">
      <c r="A333" s="5" t="n">
        <v>332</v>
      </c>
      <c r="B333" s="5" t="inlineStr">
        <is>
          <t>WS2111</t>
        </is>
      </c>
      <c r="C333" s="5" t="inlineStr">
        <is>
          <t>2003</t>
        </is>
      </c>
      <c r="D333" s="5" t="inlineStr">
        <is>
          <t>Chinese</t>
        </is>
      </c>
      <c r="E333" s="5" t="inlineStr">
        <is>
          <t>JOUR</t>
        </is>
      </c>
      <c r="F333" s="5" t="inlineStr">
        <is>
          <t>卢晓新</t>
        </is>
      </c>
      <c r="G333" s="5" t="inlineStr">
        <is>
          <t>中华超声影像学杂志</t>
        </is>
      </c>
      <c r="H333" s="5" t="inlineStr">
        <is>
          <t>12(2):85</t>
        </is>
      </c>
      <c r="I333" s="6" t="inlineStr">
        <is>
          <t>异位脾扭转合并副脾误诊1例</t>
        </is>
      </c>
      <c r="J333" s="5" t="inlineStr">
        <is>
          <t>10.3760/j.issn:1004-4477.2003.02.027</t>
        </is>
      </c>
      <c r="K333" s="7" t="inlineStr">
        <is>
          <t>link</t>
        </is>
      </c>
      <c r="L333" s="5" t="inlineStr"/>
      <c r="M333" s="5" t="inlineStr"/>
      <c r="N333" s="5" t="inlineStr"/>
      <c r="O333" s="7" t="inlineStr">
        <is>
          <t>link</t>
        </is>
      </c>
      <c r="P333" s="7" t="inlineStr">
        <is>
          <t>link</t>
        </is>
      </c>
      <c r="Q333" s="5" t="inlineStr"/>
      <c r="R333" s="5" t="inlineStr">
        <is>
          <t>3 Chinese</t>
        </is>
      </c>
      <c r="S333" s="5" t="inlineStr"/>
      <c r="T333" s="5" t="inlineStr">
        <is>
          <t>WS2111.pdf</t>
        </is>
      </c>
      <c r="U333" s="8" t="n"/>
      <c r="V333" s="8" t="n"/>
      <c r="W333" s="8" t="n"/>
      <c r="X333" s="8" t="n"/>
      <c r="Y333" s="8" t="n"/>
      <c r="Z333" s="8" t="n"/>
      <c r="AA333" s="8" t="n"/>
      <c r="AB333" s="8" t="n"/>
      <c r="AC333" s="8" t="n"/>
      <c r="AD333" s="8" t="n"/>
    </row>
    <row r="334">
      <c r="A334" s="5" t="n">
        <v>333</v>
      </c>
      <c r="B334" s="5" t="inlineStr">
        <is>
          <t>WS2114</t>
        </is>
      </c>
      <c r="C334" s="5" t="inlineStr">
        <is>
          <t>2002</t>
        </is>
      </c>
      <c r="D334" s="5" t="inlineStr">
        <is>
          <t>Chinese</t>
        </is>
      </c>
      <c r="E334" s="5" t="inlineStr">
        <is>
          <t>JOUR</t>
        </is>
      </c>
      <c r="F334" s="5" t="inlineStr">
        <is>
          <t>杨慧琳</t>
        </is>
      </c>
      <c r="G334" s="5" t="inlineStr">
        <is>
          <t>中原医刊</t>
        </is>
      </c>
      <c r="H334" s="5" t="inlineStr">
        <is>
          <t>29(9):封四</t>
        </is>
      </c>
      <c r="I334" s="6" t="inlineStr">
        <is>
          <t>游离脾扭转误诊为卵巢肿瘤1例</t>
        </is>
      </c>
      <c r="J334" s="5" t="inlineStr">
        <is>
          <t>10.3760/cma.j.issn.1674-4756.2002.09.078</t>
        </is>
      </c>
      <c r="K334" s="7" t="inlineStr">
        <is>
          <t>link</t>
        </is>
      </c>
      <c r="L334" s="5" t="inlineStr"/>
      <c r="M334" s="5" t="inlineStr"/>
      <c r="N334" s="5" t="inlineStr"/>
      <c r="O334" s="7" t="inlineStr">
        <is>
          <t>link</t>
        </is>
      </c>
      <c r="P334" s="7" t="inlineStr">
        <is>
          <t>link</t>
        </is>
      </c>
      <c r="Q334" s="5" t="inlineStr"/>
      <c r="R334" s="5" t="inlineStr">
        <is>
          <t>3 Chinese</t>
        </is>
      </c>
      <c r="S334" s="5" t="inlineStr"/>
      <c r="T334" s="5" t="inlineStr">
        <is>
          <t>WS2114.pdf</t>
        </is>
      </c>
      <c r="U334" s="8" t="n"/>
      <c r="V334" s="8" t="n"/>
      <c r="W334" s="8" t="n"/>
      <c r="X334" s="8" t="n"/>
      <c r="Y334" s="8" t="n"/>
      <c r="Z334" s="8" t="n"/>
      <c r="AA334" s="8" t="n"/>
      <c r="AB334" s="8" t="n"/>
      <c r="AC334" s="8" t="n"/>
      <c r="AD334" s="8" t="n"/>
    </row>
    <row r="335">
      <c r="A335" s="5" t="n">
        <v>334</v>
      </c>
      <c r="B335" s="5" t="inlineStr">
        <is>
          <t>WS2116</t>
        </is>
      </c>
      <c r="C335" s="5" t="inlineStr">
        <is>
          <t>2002</t>
        </is>
      </c>
      <c r="D335" s="5" t="inlineStr">
        <is>
          <t>Chinese</t>
        </is>
      </c>
      <c r="E335" s="5" t="inlineStr">
        <is>
          <t>JOUR</t>
        </is>
      </c>
      <c r="F335" s="5" t="inlineStr">
        <is>
          <t>张守红</t>
        </is>
      </c>
      <c r="G335" s="5" t="inlineStr">
        <is>
          <t>中国超声医学杂志</t>
        </is>
      </c>
      <c r="H335" s="5" t="inlineStr">
        <is>
          <t>18(6):412</t>
        </is>
      </c>
      <c r="I335" s="6" t="inlineStr">
        <is>
          <t>超声诊断游走脾1例</t>
        </is>
      </c>
      <c r="J335" s="5" t="inlineStr">
        <is>
          <t>10.3969/j.issn.1002-0101.2002.06.027</t>
        </is>
      </c>
      <c r="K335" s="7" t="inlineStr">
        <is>
          <t>link</t>
        </is>
      </c>
      <c r="L335" s="5" t="inlineStr"/>
      <c r="M335" s="5" t="inlineStr"/>
      <c r="N335" s="5" t="inlineStr"/>
      <c r="O335" s="7" t="inlineStr">
        <is>
          <t>link</t>
        </is>
      </c>
      <c r="P335" s="7" t="inlineStr">
        <is>
          <t>link</t>
        </is>
      </c>
      <c r="Q335" s="5" t="inlineStr"/>
      <c r="R335" s="5" t="inlineStr">
        <is>
          <t>3 Chinese</t>
        </is>
      </c>
      <c r="S335" s="5" t="inlineStr">
        <is>
          <t>Y</t>
        </is>
      </c>
      <c r="T335" s="5" t="inlineStr">
        <is>
          <t>WS2116.pdf</t>
        </is>
      </c>
      <c r="U335" s="8" t="n"/>
      <c r="V335" s="8" t="n"/>
      <c r="W335" s="8" t="n"/>
      <c r="X335" s="8" t="n"/>
      <c r="Y335" s="8" t="n"/>
      <c r="Z335" s="8" t="n"/>
      <c r="AA335" s="8" t="n"/>
      <c r="AB335" s="8" t="n"/>
      <c r="AC335" s="8" t="n"/>
      <c r="AD335" s="8" t="n"/>
    </row>
    <row r="336">
      <c r="A336" s="5" t="n">
        <v>335</v>
      </c>
      <c r="B336" s="5" t="inlineStr">
        <is>
          <t>WS2117</t>
        </is>
      </c>
      <c r="C336" s="5" t="inlineStr">
        <is>
          <t>2002</t>
        </is>
      </c>
      <c r="D336" s="5" t="inlineStr">
        <is>
          <t>Chinese</t>
        </is>
      </c>
      <c r="E336" s="5" t="inlineStr">
        <is>
          <t>JOUR</t>
        </is>
      </c>
      <c r="F336" s="5" t="inlineStr">
        <is>
          <t>宋迪</t>
        </is>
      </c>
      <c r="G336" s="5" t="inlineStr">
        <is>
          <t>中华放射学杂志</t>
        </is>
      </c>
      <c r="H336" s="5" t="inlineStr">
        <is>
          <t>36(6):502</t>
        </is>
      </c>
      <c r="I336" s="6" t="inlineStr">
        <is>
          <t>盆腔异位脾一例</t>
        </is>
      </c>
      <c r="J336" s="5" t="inlineStr">
        <is>
          <t>10.3760/j.issn:1005-1201.2002.06.026</t>
        </is>
      </c>
      <c r="K336" s="7" t="inlineStr">
        <is>
          <t>link</t>
        </is>
      </c>
      <c r="L336" s="5" t="inlineStr"/>
      <c r="M336" s="5" t="inlineStr"/>
      <c r="N336" s="5" t="inlineStr"/>
      <c r="O336" s="7" t="inlineStr">
        <is>
          <t>link</t>
        </is>
      </c>
      <c r="P336" s="7" t="inlineStr">
        <is>
          <t>link</t>
        </is>
      </c>
      <c r="Q336" s="5" t="inlineStr"/>
      <c r="R336" s="5" t="inlineStr">
        <is>
          <t>3 Chinese</t>
        </is>
      </c>
      <c r="S336" s="5" t="inlineStr"/>
      <c r="T336" s="5" t="inlineStr">
        <is>
          <t>WS2117.pdf</t>
        </is>
      </c>
      <c r="U336" s="8" t="n"/>
      <c r="V336" s="8" t="n"/>
      <c r="W336" s="8" t="n"/>
      <c r="X336" s="8" t="n"/>
      <c r="Y336" s="8" t="n"/>
      <c r="Z336" s="8" t="n"/>
      <c r="AA336" s="8" t="n"/>
      <c r="AB336" s="8" t="n"/>
      <c r="AC336" s="8" t="n"/>
      <c r="AD336" s="8" t="n"/>
    </row>
    <row r="337">
      <c r="A337" s="5" t="n">
        <v>336</v>
      </c>
      <c r="B337" s="5" t="inlineStr">
        <is>
          <t>WS2119</t>
        </is>
      </c>
      <c r="C337" s="5" t="inlineStr">
        <is>
          <t>2002</t>
        </is>
      </c>
      <c r="D337" s="5" t="inlineStr">
        <is>
          <t>Chinese</t>
        </is>
      </c>
      <c r="E337" s="5" t="inlineStr">
        <is>
          <t>JOUR</t>
        </is>
      </c>
      <c r="F337" s="5" t="inlineStr">
        <is>
          <t>赵永红</t>
        </is>
      </c>
      <c r="G337" s="5" t="inlineStr">
        <is>
          <t>承德医学院学报</t>
        </is>
      </c>
      <c r="H337" s="5" t="inlineStr">
        <is>
          <t>19(1):73-74</t>
        </is>
      </c>
      <c r="I337" s="6" t="inlineStr">
        <is>
          <t>脾扭转误诊2例</t>
        </is>
      </c>
      <c r="J337" s="5" t="inlineStr">
        <is>
          <t>10.3969/j.issn.1004-6879.2002.01.055</t>
        </is>
      </c>
      <c r="K337" s="7" t="inlineStr">
        <is>
          <t>link</t>
        </is>
      </c>
      <c r="L337" s="5" t="inlineStr"/>
      <c r="M337" s="5" t="inlineStr"/>
      <c r="N337" s="5" t="inlineStr"/>
      <c r="O337" s="7" t="inlineStr">
        <is>
          <t>link</t>
        </is>
      </c>
      <c r="P337" s="7" t="inlineStr">
        <is>
          <t>link</t>
        </is>
      </c>
      <c r="Q337" s="5" t="inlineStr"/>
      <c r="R337" s="5" t="inlineStr">
        <is>
          <t>3 Chinese</t>
        </is>
      </c>
      <c r="S337" s="5" t="inlineStr"/>
      <c r="T337" s="5" t="inlineStr">
        <is>
          <t>WS2119.pdf</t>
        </is>
      </c>
      <c r="U337" s="8" t="n"/>
      <c r="V337" s="8" t="n"/>
      <c r="W337" s="8" t="n"/>
      <c r="X337" s="8" t="n"/>
      <c r="Y337" s="8" t="n"/>
      <c r="Z337" s="8" t="n"/>
      <c r="AA337" s="8" t="n"/>
      <c r="AB337" s="8" t="n"/>
      <c r="AC337" s="8" t="n"/>
      <c r="AD337" s="8" t="n"/>
    </row>
    <row r="338">
      <c r="A338" s="5" t="n">
        <v>337</v>
      </c>
      <c r="B338" s="5" t="inlineStr">
        <is>
          <t>WS2123</t>
        </is>
      </c>
      <c r="C338" s="5" t="inlineStr">
        <is>
          <t>2001</t>
        </is>
      </c>
      <c r="D338" s="5" t="inlineStr">
        <is>
          <t>Chinese</t>
        </is>
      </c>
      <c r="E338" s="5" t="inlineStr">
        <is>
          <t>JOUR</t>
        </is>
      </c>
      <c r="F338" s="5" t="inlineStr">
        <is>
          <t>陶杰</t>
        </is>
      </c>
      <c r="G338" s="5" t="inlineStr">
        <is>
          <t>西南国防医药</t>
        </is>
      </c>
      <c r="H338" s="5" t="inlineStr">
        <is>
          <t>11(6):424-424</t>
        </is>
      </c>
      <c r="I338" s="6" t="inlineStr">
        <is>
          <t>超声对2例游走脾的诊断分析</t>
        </is>
      </c>
      <c r="J338" s="5" t="inlineStr">
        <is>
          <t>10.3969/j.issn.1004-0188.2001.06.048</t>
        </is>
      </c>
      <c r="K338" s="7" t="inlineStr">
        <is>
          <t>link</t>
        </is>
      </c>
      <c r="L338" s="5" t="inlineStr"/>
      <c r="M338" s="5" t="inlineStr"/>
      <c r="N338" s="5" t="inlineStr"/>
      <c r="O338" s="7" t="inlineStr">
        <is>
          <t>link</t>
        </is>
      </c>
      <c r="P338" s="7" t="inlineStr">
        <is>
          <t>link</t>
        </is>
      </c>
      <c r="Q338" s="5" t="inlineStr"/>
      <c r="R338" s="5" t="inlineStr">
        <is>
          <t>3 Chinese</t>
        </is>
      </c>
      <c r="S338" s="5" t="inlineStr"/>
      <c r="T338" s="5" t="inlineStr">
        <is>
          <t>WS2123.pdf</t>
        </is>
      </c>
      <c r="U338" s="8" t="n"/>
      <c r="V338" s="8" t="n"/>
      <c r="W338" s="8" t="n"/>
      <c r="X338" s="8" t="n"/>
      <c r="Y338" s="8" t="n"/>
      <c r="Z338" s="8" t="n"/>
      <c r="AA338" s="8" t="n"/>
      <c r="AB338" s="8" t="n"/>
      <c r="AC338" s="8" t="n"/>
      <c r="AD338" s="8" t="n"/>
    </row>
    <row r="339">
      <c r="A339" s="5" t="n">
        <v>338</v>
      </c>
      <c r="B339" s="5" t="inlineStr">
        <is>
          <t>WS2125</t>
        </is>
      </c>
      <c r="C339" s="5" t="inlineStr">
        <is>
          <t>2001</t>
        </is>
      </c>
      <c r="D339" s="5" t="inlineStr">
        <is>
          <t>Chinese</t>
        </is>
      </c>
      <c r="E339" s="5" t="inlineStr">
        <is>
          <t>JOUR</t>
        </is>
      </c>
      <c r="F339" s="5" t="inlineStr">
        <is>
          <t>孙刚毅</t>
        </is>
      </c>
      <c r="G339" s="5" t="inlineStr">
        <is>
          <t>潍坊医学院学报</t>
        </is>
      </c>
      <c r="H339" s="5" t="inlineStr">
        <is>
          <t>23(3):239-239</t>
        </is>
      </c>
      <c r="I339" s="6" t="inlineStr">
        <is>
          <t>游走脾误诊为卵巢性腺瘤1例</t>
        </is>
      </c>
      <c r="J339" s="5" t="inlineStr">
        <is>
          <t>10.3969/j.issn.1004-3101.2001.03.076</t>
        </is>
      </c>
      <c r="K339" s="7" t="inlineStr">
        <is>
          <t>link</t>
        </is>
      </c>
      <c r="L339" s="5" t="inlineStr"/>
      <c r="M339" s="5" t="inlineStr"/>
      <c r="N339" s="5" t="inlineStr"/>
      <c r="O339" s="7" t="inlineStr">
        <is>
          <t>link</t>
        </is>
      </c>
      <c r="P339" s="7" t="inlineStr">
        <is>
          <t>link</t>
        </is>
      </c>
      <c r="Q339" s="5" t="inlineStr"/>
      <c r="R339" s="5" t="inlineStr">
        <is>
          <t>3 Chinese</t>
        </is>
      </c>
      <c r="S339" s="5" t="inlineStr"/>
      <c r="T339" s="5" t="inlineStr">
        <is>
          <t>WS2125.pdf</t>
        </is>
      </c>
      <c r="U339" s="8" t="n"/>
      <c r="V339" s="8" t="n"/>
      <c r="W339" s="8" t="n"/>
      <c r="X339" s="8" t="n"/>
      <c r="Y339" s="8" t="n"/>
      <c r="Z339" s="8" t="n"/>
      <c r="AA339" s="8" t="n"/>
      <c r="AB339" s="8" t="n"/>
      <c r="AC339" s="8" t="n"/>
      <c r="AD339" s="8" t="n"/>
    </row>
    <row r="340">
      <c r="A340" s="5" t="n">
        <v>339</v>
      </c>
      <c r="B340" s="5" t="inlineStr">
        <is>
          <t>WS2127</t>
        </is>
      </c>
      <c r="C340" s="5" t="inlineStr">
        <is>
          <t>2001</t>
        </is>
      </c>
      <c r="D340" s="5" t="inlineStr">
        <is>
          <t>Chinese</t>
        </is>
      </c>
      <c r="E340" s="5" t="inlineStr">
        <is>
          <t>JOUR</t>
        </is>
      </c>
      <c r="F340" s="5" t="inlineStr">
        <is>
          <t>庞术科</t>
        </is>
      </c>
      <c r="G340" s="5" t="inlineStr">
        <is>
          <t>中国超声诊断杂志</t>
        </is>
      </c>
      <c r="H340" s="5" t="inlineStr">
        <is>
          <t>2(6):43-44</t>
        </is>
      </c>
      <c r="I340" s="6" t="inlineStr">
        <is>
          <t>B超诊断游走脾蒂扭转脾梗塞1例</t>
        </is>
      </c>
      <c r="J340" s="5" t="inlineStr"/>
      <c r="K340" s="5" t="inlineStr"/>
      <c r="L340" s="5" t="inlineStr"/>
      <c r="M340" s="5" t="inlineStr"/>
      <c r="N340" s="5" t="inlineStr"/>
      <c r="O340" s="7" t="inlineStr">
        <is>
          <t>link</t>
        </is>
      </c>
      <c r="P340" s="7" t="inlineStr">
        <is>
          <t>link</t>
        </is>
      </c>
      <c r="Q340" s="5" t="inlineStr"/>
      <c r="R340" s="5" t="inlineStr">
        <is>
          <t>3 Chinese</t>
        </is>
      </c>
      <c r="S340" s="5" t="inlineStr"/>
      <c r="T340" s="5" t="inlineStr">
        <is>
          <t>WS2127.pdf</t>
        </is>
      </c>
      <c r="U340" s="8" t="n"/>
      <c r="V340" s="8" t="n"/>
      <c r="W340" s="8" t="n"/>
      <c r="X340" s="8" t="n"/>
      <c r="Y340" s="8" t="n"/>
      <c r="Z340" s="8" t="n"/>
      <c r="AA340" s="8" t="n"/>
      <c r="AB340" s="8" t="n"/>
      <c r="AC340" s="8" t="n"/>
      <c r="AD340" s="8" t="n"/>
    </row>
    <row r="341">
      <c r="A341" s="5" t="n">
        <v>340</v>
      </c>
      <c r="B341" s="5" t="inlineStr">
        <is>
          <t>WS2130</t>
        </is>
      </c>
      <c r="C341" s="5" t="inlineStr">
        <is>
          <t>2001</t>
        </is>
      </c>
      <c r="D341" s="5" t="inlineStr">
        <is>
          <t>Chinese</t>
        </is>
      </c>
      <c r="E341" s="5" t="inlineStr">
        <is>
          <t>JOUR</t>
        </is>
      </c>
      <c r="F341" s="5" t="inlineStr">
        <is>
          <t>李霞</t>
        </is>
      </c>
      <c r="G341" s="5" t="inlineStr">
        <is>
          <t>山西临床医药</t>
        </is>
      </c>
      <c r="H341" s="5" t="inlineStr">
        <is>
          <t>10(4):307</t>
        </is>
      </c>
      <c r="I341" s="6" t="inlineStr">
        <is>
          <t>小儿游走脾致脾梗死1例</t>
        </is>
      </c>
      <c r="J341" s="5" t="inlineStr">
        <is>
          <t>10.3969/j.issn.1671-8631.2001.04.049</t>
        </is>
      </c>
      <c r="K341" s="7" t="inlineStr">
        <is>
          <t>link</t>
        </is>
      </c>
      <c r="L341" s="5" t="inlineStr"/>
      <c r="M341" s="5" t="inlineStr"/>
      <c r="N341" s="5" t="inlineStr"/>
      <c r="O341" s="7" t="inlineStr">
        <is>
          <t>link</t>
        </is>
      </c>
      <c r="P341" s="7" t="inlineStr">
        <is>
          <t>link</t>
        </is>
      </c>
      <c r="Q341" s="5" t="inlineStr"/>
      <c r="R341" s="5" t="inlineStr">
        <is>
          <t>3 Chinese</t>
        </is>
      </c>
      <c r="S341" s="5" t="inlineStr"/>
      <c r="T341" s="5" t="inlineStr">
        <is>
          <t>WS2130.pdf</t>
        </is>
      </c>
      <c r="U341" s="8" t="n"/>
      <c r="V341" s="8" t="n"/>
      <c r="W341" s="8" t="n"/>
      <c r="X341" s="8" t="n"/>
      <c r="Y341" s="8" t="n"/>
      <c r="Z341" s="8" t="n"/>
      <c r="AA341" s="8" t="n"/>
      <c r="AB341" s="8" t="n"/>
      <c r="AC341" s="8" t="n"/>
      <c r="AD341" s="8" t="n"/>
    </row>
    <row r="342">
      <c r="A342" s="5" t="n">
        <v>341</v>
      </c>
      <c r="B342" s="5" t="inlineStr">
        <is>
          <t>WS2131</t>
        </is>
      </c>
      <c r="C342" s="5" t="inlineStr">
        <is>
          <t>2001</t>
        </is>
      </c>
      <c r="D342" s="5" t="inlineStr">
        <is>
          <t>Chinese</t>
        </is>
      </c>
      <c r="E342" s="5" t="inlineStr">
        <is>
          <t>JOUR</t>
        </is>
      </c>
      <c r="F342" s="5" t="inlineStr">
        <is>
          <t>陶杰</t>
        </is>
      </c>
      <c r="G342" s="5" t="inlineStr">
        <is>
          <t>成都军区医院学报</t>
        </is>
      </c>
      <c r="H342" s="5" t="inlineStr">
        <is>
          <t>3(2):53</t>
        </is>
      </c>
      <c r="I342" s="6" t="inlineStr">
        <is>
          <t>超声检查对游走脾的诊断分析</t>
        </is>
      </c>
      <c r="J342" s="5" t="inlineStr"/>
      <c r="K342" s="5" t="inlineStr"/>
      <c r="L342" s="5" t="inlineStr"/>
      <c r="M342" s="5" t="inlineStr"/>
      <c r="N342" s="5" t="inlineStr"/>
      <c r="O342" s="7" t="inlineStr">
        <is>
          <t>link</t>
        </is>
      </c>
      <c r="P342" s="7" t="inlineStr">
        <is>
          <t>link</t>
        </is>
      </c>
      <c r="Q342" s="5" t="inlineStr"/>
      <c r="R342" s="5" t="inlineStr">
        <is>
          <t>3 Chinese</t>
        </is>
      </c>
      <c r="S342" s="5" t="inlineStr"/>
      <c r="T342" s="5" t="inlineStr">
        <is>
          <t>WS2131.pdf</t>
        </is>
      </c>
      <c r="U342" s="8" t="n"/>
      <c r="V342" s="8" t="n"/>
      <c r="W342" s="8" t="n"/>
      <c r="X342" s="8" t="n"/>
      <c r="Y342" s="8" t="n"/>
      <c r="Z342" s="8" t="n"/>
      <c r="AA342" s="8" t="n"/>
      <c r="AB342" s="8" t="n"/>
      <c r="AC342" s="8" t="n"/>
      <c r="AD342" s="8" t="n"/>
    </row>
    <row r="343">
      <c r="A343" s="5" t="n">
        <v>342</v>
      </c>
      <c r="B343" s="5" t="inlineStr">
        <is>
          <t>WS2135</t>
        </is>
      </c>
      <c r="C343" s="5" t="inlineStr">
        <is>
          <t>2001</t>
        </is>
      </c>
      <c r="D343" s="5" t="inlineStr">
        <is>
          <t>Chinese</t>
        </is>
      </c>
      <c r="E343" s="5" t="inlineStr">
        <is>
          <t>JOUR</t>
        </is>
      </c>
      <c r="F343" s="5" t="inlineStr">
        <is>
          <t>郑力</t>
        </is>
      </c>
      <c r="G343" s="5" t="inlineStr">
        <is>
          <t>中华超声影像学杂志</t>
        </is>
      </c>
      <c r="H343" s="5" t="inlineStr">
        <is>
          <t>10(2):108</t>
        </is>
      </c>
      <c r="I343" s="6" t="inlineStr">
        <is>
          <t>超声诊断小儿游走脾伴脾蒂扭转2例</t>
        </is>
      </c>
      <c r="J343" s="5" t="inlineStr">
        <is>
          <t>10.3760/j.issn:1004-4477.2001.02.031</t>
        </is>
      </c>
      <c r="K343" s="7" t="inlineStr">
        <is>
          <t>link</t>
        </is>
      </c>
      <c r="L343" s="5" t="inlineStr"/>
      <c r="M343" s="5" t="inlineStr"/>
      <c r="N343" s="5" t="inlineStr"/>
      <c r="O343" s="7" t="inlineStr">
        <is>
          <t>link</t>
        </is>
      </c>
      <c r="P343" s="7" t="inlineStr">
        <is>
          <t>link</t>
        </is>
      </c>
      <c r="Q343" s="5" t="inlineStr"/>
      <c r="R343" s="5" t="inlineStr">
        <is>
          <t>3 Chinese</t>
        </is>
      </c>
      <c r="S343" s="5" t="inlineStr"/>
      <c r="T343" s="5" t="inlineStr">
        <is>
          <t>WS2135.pdf</t>
        </is>
      </c>
      <c r="U343" s="8" t="n"/>
      <c r="V343" s="8" t="n"/>
      <c r="W343" s="8" t="n"/>
      <c r="X343" s="8" t="n"/>
      <c r="Y343" s="8" t="n"/>
      <c r="Z343" s="8" t="n"/>
      <c r="AA343" s="8" t="n"/>
      <c r="AB343" s="8" t="n"/>
      <c r="AC343" s="8" t="n"/>
      <c r="AD343" s="8" t="n"/>
    </row>
    <row r="344">
      <c r="A344" s="5" t="n">
        <v>343</v>
      </c>
      <c r="B344" s="5" t="inlineStr">
        <is>
          <t>WS2342</t>
        </is>
      </c>
      <c r="C344" s="5" t="inlineStr">
        <is>
          <t>2001</t>
        </is>
      </c>
      <c r="D344" s="5" t="inlineStr">
        <is>
          <t>Chinese</t>
        </is>
      </c>
      <c r="E344" s="5" t="inlineStr">
        <is>
          <t>JOUR</t>
        </is>
      </c>
      <c r="F344" s="5" t="inlineStr">
        <is>
          <t>徐创明</t>
        </is>
      </c>
      <c r="G344" s="5" t="inlineStr">
        <is>
          <t>华北煤炭医学院学报</t>
        </is>
      </c>
      <c r="H344" s="5" t="inlineStr">
        <is>
          <t>3(4):441-441</t>
        </is>
      </c>
      <c r="I344" s="6" t="inlineStr">
        <is>
          <t>阑尾炎误诊的辩证分析</t>
        </is>
      </c>
      <c r="J344" s="5" t="inlineStr">
        <is>
          <t>10.3969/j.issn.1008-6633.2001.04.036</t>
        </is>
      </c>
      <c r="K344" s="7" t="inlineStr">
        <is>
          <t>link</t>
        </is>
      </c>
      <c r="L344" s="5" t="inlineStr"/>
      <c r="M344" s="5" t="inlineStr"/>
      <c r="N344" s="5" t="inlineStr"/>
      <c r="O344" s="5" t="inlineStr"/>
      <c r="P344" s="7" t="inlineStr">
        <is>
          <t>link</t>
        </is>
      </c>
      <c r="Q344" s="5" t="inlineStr"/>
      <c r="R344" s="5" t="inlineStr">
        <is>
          <t>3 Chinese</t>
        </is>
      </c>
      <c r="S344" s="5" t="inlineStr"/>
      <c r="T344" s="5" t="inlineStr">
        <is>
          <t>WS2342.pdf</t>
        </is>
      </c>
      <c r="U344" s="8" t="n"/>
      <c r="V344" s="8" t="n"/>
      <c r="W344" s="8" t="n"/>
      <c r="X344" s="8" t="n"/>
      <c r="Y344" s="8" t="n"/>
      <c r="Z344" s="8" t="n"/>
      <c r="AA344" s="8" t="n"/>
      <c r="AB344" s="8" t="n"/>
      <c r="AC344" s="8" t="n"/>
      <c r="AD344" s="8" t="n"/>
    </row>
    <row r="345">
      <c r="A345" s="5" t="n">
        <v>344</v>
      </c>
      <c r="B345" s="5" t="inlineStr">
        <is>
          <t>WS2137</t>
        </is>
      </c>
      <c r="C345" s="5" t="inlineStr">
        <is>
          <t>2000</t>
        </is>
      </c>
      <c r="D345" s="5" t="inlineStr">
        <is>
          <t>Chinese</t>
        </is>
      </c>
      <c r="E345" s="5" t="inlineStr">
        <is>
          <t>JOUR</t>
        </is>
      </c>
      <c r="F345" s="5" t="inlineStr">
        <is>
          <t>李小奎</t>
        </is>
      </c>
      <c r="G345" s="5" t="inlineStr">
        <is>
          <t>中国煤炭工业医学杂志</t>
        </is>
      </c>
      <c r="H345" s="5" t="inlineStr">
        <is>
          <t>3(11):1158</t>
        </is>
      </c>
      <c r="I345" s="6" t="inlineStr">
        <is>
          <t>游走脾并蒂扭转1例报告</t>
        </is>
      </c>
      <c r="J345" s="5" t="inlineStr">
        <is>
          <t>10.3969/j.issn.1007-9564.2000.11.100</t>
        </is>
      </c>
      <c r="K345" s="7" t="inlineStr">
        <is>
          <t>link</t>
        </is>
      </c>
      <c r="L345" s="5" t="inlineStr"/>
      <c r="M345" s="5" t="inlineStr"/>
      <c r="N345" s="5" t="inlineStr"/>
      <c r="O345" s="7" t="inlineStr">
        <is>
          <t>link</t>
        </is>
      </c>
      <c r="P345" s="7" t="inlineStr">
        <is>
          <t>link</t>
        </is>
      </c>
      <c r="Q345" s="5" t="inlineStr"/>
      <c r="R345" s="5" t="inlineStr">
        <is>
          <t>3 Chinese</t>
        </is>
      </c>
      <c r="S345" s="5" t="inlineStr"/>
      <c r="T345" s="5" t="inlineStr">
        <is>
          <t>WS2137.pdf</t>
        </is>
      </c>
      <c r="U345" s="8" t="n"/>
      <c r="V345" s="8" t="n"/>
      <c r="W345" s="8" t="n"/>
      <c r="X345" s="8" t="n"/>
      <c r="Y345" s="8" t="n"/>
      <c r="Z345" s="8" t="n"/>
      <c r="AA345" s="8" t="n"/>
      <c r="AB345" s="8" t="n"/>
      <c r="AC345" s="8" t="n"/>
      <c r="AD345" s="8" t="n"/>
    </row>
    <row r="346">
      <c r="A346" s="5" t="n">
        <v>345</v>
      </c>
      <c r="B346" s="5" t="inlineStr">
        <is>
          <t>WS2138</t>
        </is>
      </c>
      <c r="C346" s="5" t="inlineStr">
        <is>
          <t>2000</t>
        </is>
      </c>
      <c r="D346" s="5" t="inlineStr">
        <is>
          <t>Chinese</t>
        </is>
      </c>
      <c r="E346" s="5" t="inlineStr">
        <is>
          <t>JOUR</t>
        </is>
      </c>
      <c r="F346" s="5" t="inlineStr">
        <is>
          <t>曹龙</t>
        </is>
      </c>
      <c r="G346" s="5" t="inlineStr">
        <is>
          <t>中国普外基础与临床杂志</t>
        </is>
      </c>
      <c r="H346" s="5" t="inlineStr">
        <is>
          <t>7(6):420-420</t>
        </is>
      </c>
      <c r="I346" s="6" t="inlineStr">
        <is>
          <t>游走脾伴脾蒂扭转1例报告</t>
        </is>
      </c>
      <c r="J346" s="5" t="inlineStr">
        <is>
          <t>10.3969/j.issn.1007-9424.2000.06.040</t>
        </is>
      </c>
      <c r="K346" s="7" t="inlineStr">
        <is>
          <t>link</t>
        </is>
      </c>
      <c r="L346" s="5" t="inlineStr"/>
      <c r="M346" s="5" t="inlineStr"/>
      <c r="N346" s="5" t="inlineStr"/>
      <c r="O346" s="7" t="inlineStr">
        <is>
          <t>link</t>
        </is>
      </c>
      <c r="P346" s="7" t="inlineStr">
        <is>
          <t>link</t>
        </is>
      </c>
      <c r="Q346" s="5" t="inlineStr"/>
      <c r="R346" s="5" t="inlineStr">
        <is>
          <t>3 Chinese</t>
        </is>
      </c>
      <c r="S346" s="5" t="inlineStr"/>
      <c r="T346" s="5" t="inlineStr">
        <is>
          <t>WS2138.pdf</t>
        </is>
      </c>
      <c r="U346" s="8" t="n"/>
      <c r="V346" s="8" t="n"/>
      <c r="W346" s="8" t="n"/>
      <c r="X346" s="8" t="n"/>
      <c r="Y346" s="8" t="n"/>
      <c r="Z346" s="8" t="n"/>
      <c r="AA346" s="8" t="n"/>
      <c r="AB346" s="8" t="n"/>
      <c r="AC346" s="8" t="n"/>
      <c r="AD346" s="8" t="n"/>
    </row>
    <row r="347">
      <c r="A347" s="5" t="n">
        <v>346</v>
      </c>
      <c r="B347" s="5" t="inlineStr">
        <is>
          <t>WS2144</t>
        </is>
      </c>
      <c r="C347" s="5" t="inlineStr">
        <is>
          <t>2000</t>
        </is>
      </c>
      <c r="D347" s="5" t="inlineStr">
        <is>
          <t>Chinese</t>
        </is>
      </c>
      <c r="E347" s="5" t="inlineStr">
        <is>
          <t>JOUR</t>
        </is>
      </c>
      <c r="F347" s="5" t="inlineStr"/>
      <c r="G347" s="5" t="inlineStr">
        <is>
          <t>国外科技资料目录.医药卫生</t>
        </is>
      </c>
      <c r="H347" s="5" t="inlineStr">
        <is>
          <t>(1):72-73</t>
        </is>
      </c>
      <c r="I347" s="6" t="inlineStr">
        <is>
          <t>脾脏</t>
        </is>
      </c>
      <c r="J347" s="5" t="inlineStr"/>
      <c r="K347" s="5" t="inlineStr"/>
      <c r="L347" s="5" t="inlineStr"/>
      <c r="M347" s="5" t="inlineStr"/>
      <c r="N347" s="5" t="inlineStr"/>
      <c r="O347" s="7" t="inlineStr">
        <is>
          <t>link</t>
        </is>
      </c>
      <c r="P347" s="7" t="inlineStr">
        <is>
          <t>link</t>
        </is>
      </c>
      <c r="Q347" s="5" t="inlineStr"/>
      <c r="R347" s="5" t="inlineStr">
        <is>
          <t>3 Chinese</t>
        </is>
      </c>
      <c r="S347" s="5" t="inlineStr"/>
      <c r="T347" s="5" t="inlineStr">
        <is>
          <t>WS2144.pdf</t>
        </is>
      </c>
      <c r="U347" s="8" t="n"/>
      <c r="V347" s="8" t="n"/>
      <c r="W347" s="8" t="n"/>
      <c r="X347" s="8" t="n"/>
      <c r="Y347" s="8" t="n"/>
      <c r="Z347" s="8" t="n"/>
      <c r="AA347" s="8" t="n"/>
      <c r="AB347" s="8" t="n"/>
      <c r="AC347" s="8" t="n"/>
      <c r="AD347" s="8" t="n"/>
    </row>
    <row r="348">
      <c r="A348" s="5" t="n">
        <v>347</v>
      </c>
      <c r="B348" s="5" t="inlineStr">
        <is>
          <t>WS1601</t>
        </is>
      </c>
      <c r="C348" s="5" t="inlineStr">
        <is>
          <t>2021</t>
        </is>
      </c>
      <c r="D348" s="5" t="inlineStr">
        <is>
          <t>English</t>
        </is>
      </c>
      <c r="E348" s="5" t="inlineStr">
        <is>
          <t>JOUR</t>
        </is>
      </c>
      <c r="F348" s="5" t="inlineStr">
        <is>
          <t>Kumar</t>
        </is>
      </c>
      <c r="G348" s="5" t="inlineStr">
        <is>
          <t>Journal of the Indian Medical Association</t>
        </is>
      </c>
      <c r="H348" s="5" t="inlineStr">
        <is>
          <t>119(6):44-49</t>
        </is>
      </c>
      <c r="I348" s="6" t="inlineStr">
        <is>
          <t>Vomiting in children: How to identify the surgical masqueraders ?</t>
        </is>
      </c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7" t="inlineStr">
        <is>
          <t>link</t>
        </is>
      </c>
      <c r="R348" s="5" t="inlineStr">
        <is>
          <t>4 English, no DOI and no PubMed link</t>
        </is>
      </c>
      <c r="S348" s="5" t="inlineStr"/>
      <c r="T348" s="5" t="inlineStr">
        <is>
          <t>WS1601.pdf</t>
        </is>
      </c>
      <c r="U348" s="8" t="n"/>
      <c r="V348" s="8" t="n"/>
      <c r="W348" s="8" t="n"/>
      <c r="X348" s="8" t="n"/>
      <c r="Y348" s="8" t="n"/>
      <c r="Z348" s="8" t="n"/>
      <c r="AA348" s="8" t="n"/>
      <c r="AB348" s="8" t="n"/>
      <c r="AC348" s="8" t="n"/>
      <c r="AD348" s="8" t="n"/>
    </row>
    <row r="349">
      <c r="A349" s="5" t="n">
        <v>348</v>
      </c>
      <c r="B349" s="5" t="inlineStr">
        <is>
          <t>WS1550</t>
        </is>
      </c>
      <c r="C349" s="5" t="inlineStr">
        <is>
          <t>2020</t>
        </is>
      </c>
      <c r="D349" s="5" t="inlineStr">
        <is>
          <t>English</t>
        </is>
      </c>
      <c r="E349" s="5" t="inlineStr">
        <is>
          <t>JOUR</t>
        </is>
      </c>
      <c r="F349" s="5" t="inlineStr">
        <is>
          <t>Kebede</t>
        </is>
      </c>
      <c r="G349" s="5" t="inlineStr">
        <is>
          <t>Ethiopian Medical Journal</t>
        </is>
      </c>
      <c r="H349" s="5" t="inlineStr">
        <is>
          <t>58(4):369-372</t>
        </is>
      </c>
      <c r="I349" s="6" t="inlineStr">
        <is>
          <t>WANDERING SPLEEN WITH TORSION: A RARE CAUSE ACUTE ABDOMEN IN CHILDREN</t>
        </is>
      </c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7" t="inlineStr">
        <is>
          <t>link</t>
        </is>
      </c>
      <c r="R349" s="5" t="inlineStr">
        <is>
          <t>4 English, no DOI and no PubMed link</t>
        </is>
      </c>
      <c r="S349" s="5" t="inlineStr"/>
      <c r="T349" s="5" t="inlineStr">
        <is>
          <t>WS1550.pdf</t>
        </is>
      </c>
      <c r="U349" s="8" t="n"/>
      <c r="V349" s="8" t="n"/>
      <c r="W349" s="8" t="n"/>
      <c r="X349" s="8" t="n"/>
      <c r="Y349" s="8" t="n"/>
      <c r="Z349" s="8" t="n"/>
      <c r="AA349" s="8" t="n"/>
      <c r="AB349" s="8" t="n"/>
      <c r="AC349" s="8" t="n"/>
      <c r="AD349" s="8" t="n"/>
    </row>
    <row r="350">
      <c r="A350" s="5" t="n">
        <v>349</v>
      </c>
      <c r="B350" s="5" t="inlineStr">
        <is>
          <t>WS1384</t>
        </is>
      </c>
      <c r="C350" s="5" t="inlineStr">
        <is>
          <t>2018</t>
        </is>
      </c>
      <c r="D350" s="5" t="inlineStr">
        <is>
          <t>English</t>
        </is>
      </c>
      <c r="E350" s="5" t="inlineStr">
        <is>
          <t>JOUR</t>
        </is>
      </c>
      <c r="F350" s="5" t="inlineStr">
        <is>
          <t>Al-Hammad</t>
        </is>
      </c>
      <c r="G350" s="5" t="inlineStr">
        <is>
          <t>Kuwait Medical Journal</t>
        </is>
      </c>
      <c r="H350" s="5" t="inlineStr">
        <is>
          <t>50(4):473-477</t>
        </is>
      </c>
      <c r="I350" s="6" t="inlineStr">
        <is>
          <t>Wandering spleen containing mesothelial cyst: A case report and review of literature</t>
        </is>
      </c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7" t="inlineStr">
        <is>
          <t>link</t>
        </is>
      </c>
      <c r="R350" s="5" t="inlineStr">
        <is>
          <t>4 English, no DOI and no PubMed link</t>
        </is>
      </c>
      <c r="S350" s="5" t="inlineStr"/>
      <c r="T350" s="5" t="inlineStr">
        <is>
          <t>WS1384.pdf</t>
        </is>
      </c>
      <c r="U350" s="8" t="n"/>
      <c r="V350" s="8" t="n"/>
      <c r="W350" s="8" t="n"/>
      <c r="X350" s="8" t="n"/>
      <c r="Y350" s="8" t="n"/>
      <c r="Z350" s="8" t="n"/>
      <c r="AA350" s="8" t="n"/>
      <c r="AB350" s="8" t="n"/>
      <c r="AC350" s="8" t="n"/>
      <c r="AD350" s="8" t="n"/>
    </row>
    <row r="351">
      <c r="A351" s="5" t="n">
        <v>350</v>
      </c>
      <c r="B351" s="5" t="inlineStr">
        <is>
          <t>WS1612</t>
        </is>
      </c>
      <c r="C351" s="5" t="inlineStr">
        <is>
          <t>2018</t>
        </is>
      </c>
      <c r="D351" s="5" t="inlineStr">
        <is>
          <t>English</t>
        </is>
      </c>
      <c r="E351" s="5" t="inlineStr">
        <is>
          <t>JOUR</t>
        </is>
      </c>
      <c r="F351" s="5" t="inlineStr">
        <is>
          <t>Ghahremani</t>
        </is>
      </c>
      <c r="G351" s="5" t="inlineStr">
        <is>
          <t>Iranian Journal of Nuclear Medicine</t>
        </is>
      </c>
      <c r="H351" s="5" t="inlineStr">
        <is>
          <t>26(1):66-67</t>
        </is>
      </c>
      <c r="I351" s="6" t="inlineStr">
        <is>
          <t>A wandering spleen detected by 99mTc-denatured RBC scan</t>
        </is>
      </c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7" t="inlineStr">
        <is>
          <t>link</t>
        </is>
      </c>
      <c r="R351" s="5" t="inlineStr">
        <is>
          <t>4 English, no DOI and no PubMed link</t>
        </is>
      </c>
      <c r="S351" s="5" t="inlineStr"/>
      <c r="T351" s="5" t="inlineStr">
        <is>
          <t>WS1612.pdf</t>
        </is>
      </c>
      <c r="U351" s="8" t="n"/>
      <c r="V351" s="8" t="n"/>
      <c r="W351" s="8" t="n"/>
      <c r="X351" s="8" t="n"/>
      <c r="Y351" s="8" t="n"/>
      <c r="Z351" s="8" t="n"/>
      <c r="AA351" s="8" t="n"/>
      <c r="AB351" s="8" t="n"/>
      <c r="AC351" s="8" t="n"/>
      <c r="AD351" s="8" t="n"/>
    </row>
    <row r="352">
      <c r="A352" s="5" t="n">
        <v>351</v>
      </c>
      <c r="B352" s="5" t="inlineStr">
        <is>
          <t>WS1620</t>
        </is>
      </c>
      <c r="C352" s="5" t="inlineStr">
        <is>
          <t>2018</t>
        </is>
      </c>
      <c r="D352" s="5" t="inlineStr">
        <is>
          <t>English</t>
        </is>
      </c>
      <c r="E352" s="5" t="inlineStr">
        <is>
          <t>JOUR</t>
        </is>
      </c>
      <c r="F352" s="5" t="inlineStr">
        <is>
          <t>Fuňáková</t>
        </is>
      </c>
      <c r="G352" s="5" t="inlineStr">
        <is>
          <t>Lekarsky Obzor</t>
        </is>
      </c>
      <c r="H352" s="5" t="inlineStr">
        <is>
          <t>67(1):42-45</t>
        </is>
      </c>
      <c r="I352" s="6" t="inlineStr">
        <is>
          <t>Wandering spleen presenting as acute abdomen - two cases in a year</t>
        </is>
      </c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7" t="inlineStr">
        <is>
          <t>link</t>
        </is>
      </c>
      <c r="R352" s="5" t="inlineStr">
        <is>
          <t>4 English, no DOI and no PubMed link</t>
        </is>
      </c>
      <c r="S352" s="5" t="inlineStr"/>
      <c r="T352" s="5" t="inlineStr">
        <is>
          <t>WS1620.pdf</t>
        </is>
      </c>
      <c r="U352" s="8" t="n"/>
      <c r="V352" s="8" t="n"/>
      <c r="W352" s="8" t="n"/>
      <c r="X352" s="8" t="n"/>
      <c r="Y352" s="8" t="n"/>
      <c r="Z352" s="8" t="n"/>
      <c r="AA352" s="8" t="n"/>
      <c r="AB352" s="8" t="n"/>
      <c r="AC352" s="8" t="n"/>
      <c r="AD352" s="8" t="n"/>
    </row>
    <row r="353">
      <c r="A353" s="5" t="n">
        <v>352</v>
      </c>
      <c r="B353" s="5" t="inlineStr">
        <is>
          <t>WS1494</t>
        </is>
      </c>
      <c r="C353" s="5" t="inlineStr">
        <is>
          <t>2016</t>
        </is>
      </c>
      <c r="D353" s="5" t="inlineStr">
        <is>
          <t>English</t>
        </is>
      </c>
      <c r="E353" s="5" t="inlineStr">
        <is>
          <t>JOUR</t>
        </is>
      </c>
      <c r="F353" s="5" t="inlineStr">
        <is>
          <t>Tsai</t>
        </is>
      </c>
      <c r="G353" s="5" t="inlineStr">
        <is>
          <t>Chinese Journal of Radiology (Taiwan)</t>
        </is>
      </c>
      <c r="H353" s="5" t="inlineStr">
        <is>
          <t>41(2):53-56</t>
        </is>
      </c>
      <c r="I353" s="6" t="inlineStr">
        <is>
          <t>Wandering spleen in a child with atypical abdominal pain</t>
        </is>
      </c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7" t="inlineStr">
        <is>
          <t>link</t>
        </is>
      </c>
      <c r="R353" s="5" t="inlineStr">
        <is>
          <t>4 English, no DOI and no PubMed link</t>
        </is>
      </c>
      <c r="S353" s="5" t="inlineStr"/>
      <c r="T353" s="5" t="inlineStr">
        <is>
          <t>WS1494.pdf</t>
        </is>
      </c>
      <c r="U353" s="8" t="n"/>
      <c r="V353" s="8" t="n"/>
      <c r="W353" s="8" t="n"/>
      <c r="X353" s="8" t="n"/>
      <c r="Y353" s="8" t="n"/>
      <c r="Z353" s="8" t="n"/>
      <c r="AA353" s="8" t="n"/>
      <c r="AB353" s="8" t="n"/>
      <c r="AC353" s="8" t="n"/>
      <c r="AD353" s="8" t="n"/>
    </row>
    <row r="354">
      <c r="A354" s="5" t="n">
        <v>353</v>
      </c>
      <c r="B354" s="5" t="inlineStr">
        <is>
          <t>WS1705</t>
        </is>
      </c>
      <c r="C354" s="5" t="inlineStr">
        <is>
          <t>2013</t>
        </is>
      </c>
      <c r="D354" s="5" t="inlineStr">
        <is>
          <t>English</t>
        </is>
      </c>
      <c r="E354" s="5" t="inlineStr">
        <is>
          <t>JOUR</t>
        </is>
      </c>
      <c r="F354" s="5" t="inlineStr">
        <is>
          <t>Al Shobaki</t>
        </is>
      </c>
      <c r="G354" s="5" t="inlineStr">
        <is>
          <t>Rawal Medical Journal</t>
        </is>
      </c>
      <c r="H354" s="5" t="inlineStr">
        <is>
          <t>38(3):321-322</t>
        </is>
      </c>
      <c r="I354" s="6" t="inlineStr">
        <is>
          <t>Wandering spleen causing acute abdomen</t>
        </is>
      </c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7" t="inlineStr">
        <is>
          <t>link</t>
        </is>
      </c>
      <c r="R354" s="5" t="inlineStr">
        <is>
          <t>4 English, no DOI and no PubMed link</t>
        </is>
      </c>
      <c r="S354" s="5" t="inlineStr"/>
      <c r="T354" s="5" t="inlineStr">
        <is>
          <t>WS1705.pdf</t>
        </is>
      </c>
      <c r="U354" s="8" t="n"/>
      <c r="V354" s="8" t="n"/>
      <c r="W354" s="8" t="n"/>
      <c r="X354" s="8" t="n"/>
      <c r="Y354" s="8" t="n"/>
      <c r="Z354" s="8" t="n"/>
      <c r="AA354" s="8" t="n"/>
      <c r="AB354" s="8" t="n"/>
      <c r="AC354" s="8" t="n"/>
      <c r="AD354" s="8" t="n"/>
    </row>
    <row r="355">
      <c r="A355" s="5" t="n">
        <v>354</v>
      </c>
      <c r="B355" s="5" t="inlineStr">
        <is>
          <t>WS1706</t>
        </is>
      </c>
      <c r="C355" s="5" t="inlineStr">
        <is>
          <t>2009</t>
        </is>
      </c>
      <c r="D355" s="5" t="inlineStr">
        <is>
          <t>English</t>
        </is>
      </c>
      <c r="E355" s="5" t="inlineStr">
        <is>
          <t>JOUR</t>
        </is>
      </c>
      <c r="F355" s="5" t="inlineStr">
        <is>
          <t>Utpal</t>
        </is>
      </c>
      <c r="G355" s="5" t="inlineStr">
        <is>
          <t>Journal of Chinese Clinical Medicine</t>
        </is>
      </c>
      <c r="H355" s="5" t="inlineStr">
        <is>
          <t>4(5):286-287</t>
        </is>
      </c>
      <c r="I355" s="6" t="inlineStr">
        <is>
          <t>Laparoscopic management of splenic torsion</t>
        </is>
      </c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7" t="inlineStr">
        <is>
          <t>link</t>
        </is>
      </c>
      <c r="R355" s="5" t="inlineStr">
        <is>
          <t>4 English, no DOI and no PubMed link</t>
        </is>
      </c>
      <c r="S355" s="5" t="inlineStr"/>
      <c r="T355" s="5" t="inlineStr">
        <is>
          <t>WS1706.pdf</t>
        </is>
      </c>
      <c r="U355" s="8" t="n"/>
      <c r="V355" s="8" t="n"/>
      <c r="W355" s="8" t="n"/>
      <c r="X355" s="8" t="n"/>
      <c r="Y355" s="8" t="n"/>
      <c r="Z355" s="8" t="n"/>
      <c r="AA355" s="8" t="n"/>
      <c r="AB355" s="8" t="n"/>
      <c r="AC355" s="8" t="n"/>
      <c r="AD355" s="8" t="n"/>
    </row>
    <row r="356">
      <c r="A356" s="5" t="n">
        <v>355</v>
      </c>
      <c r="B356" s="5" t="inlineStr">
        <is>
          <t>WS1329</t>
        </is>
      </c>
      <c r="C356" s="5" t="inlineStr">
        <is>
          <t>2008</t>
        </is>
      </c>
      <c r="D356" s="5" t="inlineStr">
        <is>
          <t>English</t>
        </is>
      </c>
      <c r="E356" s="5" t="inlineStr">
        <is>
          <t>JOUR</t>
        </is>
      </c>
      <c r="F356" s="5" t="inlineStr">
        <is>
          <t>Zandi</t>
        </is>
      </c>
      <c r="G356" s="5" t="inlineStr">
        <is>
          <t>Iranian Journal of Radiology</t>
        </is>
      </c>
      <c r="H356" s="5" t="inlineStr">
        <is>
          <t>5(3):141-144</t>
        </is>
      </c>
      <c r="I356" s="6" t="inlineStr">
        <is>
          <t>Wandering spleen presenting as an asymptomatic pelvic mass: A case report</t>
        </is>
      </c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7" t="inlineStr">
        <is>
          <t>link</t>
        </is>
      </c>
      <c r="R356" s="5" t="inlineStr">
        <is>
          <t>4 English, no DOI and no PubMed link</t>
        </is>
      </c>
      <c r="S356" s="5" t="inlineStr"/>
      <c r="T356" s="5" t="inlineStr">
        <is>
          <t>WS1329.pdf</t>
        </is>
      </c>
      <c r="U356" s="8" t="n"/>
      <c r="V356" s="8" t="n"/>
      <c r="W356" s="8" t="n"/>
      <c r="X356" s="8" t="n"/>
      <c r="Y356" s="8" t="n"/>
      <c r="Z356" s="8" t="n"/>
      <c r="AA356" s="8" t="n"/>
      <c r="AB356" s="8" t="n"/>
      <c r="AC356" s="8" t="n"/>
      <c r="AD356" s="8" t="n"/>
    </row>
    <row r="357">
      <c r="A357" s="5" t="n">
        <v>356</v>
      </c>
      <c r="B357" s="5" t="inlineStr">
        <is>
          <t>WS1645</t>
        </is>
      </c>
      <c r="C357" s="5" t="inlineStr">
        <is>
          <t>2008</t>
        </is>
      </c>
      <c r="D357" s="5" t="inlineStr">
        <is>
          <t>English</t>
        </is>
      </c>
      <c r="E357" s="5" t="inlineStr">
        <is>
          <t>JOUR</t>
        </is>
      </c>
      <c r="F357" s="5" t="inlineStr">
        <is>
          <t>Ugwu</t>
        </is>
      </c>
      <c r="G357" s="5" t="inlineStr">
        <is>
          <t>Online Journal of Health and Allied Sciences</t>
        </is>
      </c>
      <c r="H357" s="5" t="inlineStr">
        <is>
          <t>7(4)</t>
        </is>
      </c>
      <c r="I357" s="6" t="inlineStr">
        <is>
          <t>Wandering spleen: A common presentation of an uncommon anomaly</t>
        </is>
      </c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7" t="inlineStr">
        <is>
          <t>link</t>
        </is>
      </c>
      <c r="R357" s="5" t="inlineStr">
        <is>
          <t>4 English, no DOI and no PubMed link</t>
        </is>
      </c>
      <c r="S357" s="5" t="inlineStr"/>
      <c r="T357" s="5" t="inlineStr">
        <is>
          <t>WS1645.pdf</t>
        </is>
      </c>
      <c r="U357" s="8" t="n"/>
      <c r="V357" s="8" t="n"/>
      <c r="W357" s="8" t="n"/>
      <c r="X357" s="8" t="n"/>
      <c r="Y357" s="8" t="n"/>
      <c r="Z357" s="8" t="n"/>
      <c r="AA357" s="8" t="n"/>
      <c r="AB357" s="8" t="n"/>
      <c r="AC357" s="8" t="n"/>
      <c r="AD357" s="8" t="n"/>
    </row>
    <row r="358">
      <c r="A358" s="5" t="n">
        <v>357</v>
      </c>
      <c r="B358" s="5" t="inlineStr">
        <is>
          <t>WS1666</t>
        </is>
      </c>
      <c r="C358" s="5" t="inlineStr">
        <is>
          <t>2007</t>
        </is>
      </c>
      <c r="D358" s="5" t="inlineStr">
        <is>
          <t>English</t>
        </is>
      </c>
      <c r="E358" s="5" t="inlineStr">
        <is>
          <t>JOUR</t>
        </is>
      </c>
      <c r="F358" s="5" t="inlineStr">
        <is>
          <t>Feroci</t>
        </is>
      </c>
      <c r="G358" s="5" t="inlineStr">
        <is>
          <t>Chirurgia</t>
        </is>
      </c>
      <c r="H358" s="5" t="inlineStr">
        <is>
          <t>20(5):257-259</t>
        </is>
      </c>
      <c r="I358" s="6" t="inlineStr">
        <is>
          <t>The torsion of a wandering pelvic spleen: A case report and review of the literature</t>
        </is>
      </c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7" t="inlineStr">
        <is>
          <t>link</t>
        </is>
      </c>
      <c r="R358" s="5" t="inlineStr">
        <is>
          <t>4 English, no DOI and no PubMed link</t>
        </is>
      </c>
      <c r="S358" s="5" t="inlineStr"/>
      <c r="T358" s="5" t="inlineStr">
        <is>
          <t>WS1666.pdf</t>
        </is>
      </c>
      <c r="U358" s="8" t="n"/>
      <c r="V358" s="8" t="n"/>
      <c r="W358" s="8" t="n"/>
      <c r="X358" s="8" t="n"/>
      <c r="Y358" s="8" t="n"/>
      <c r="Z358" s="8" t="n"/>
      <c r="AA358" s="8" t="n"/>
      <c r="AB358" s="8" t="n"/>
      <c r="AC358" s="8" t="n"/>
      <c r="AD358" s="8" t="n"/>
    </row>
    <row r="359">
      <c r="A359" s="5" t="n">
        <v>358</v>
      </c>
      <c r="B359" s="5" t="inlineStr">
        <is>
          <t>WS1653</t>
        </is>
      </c>
      <c r="C359" s="5" t="inlineStr">
        <is>
          <t>2006</t>
        </is>
      </c>
      <c r="D359" s="5" t="inlineStr">
        <is>
          <t>English</t>
        </is>
      </c>
      <c r="E359" s="5" t="inlineStr">
        <is>
          <t>JOUR</t>
        </is>
      </c>
      <c r="F359" s="5" t="inlineStr">
        <is>
          <t>De Vivo</t>
        </is>
      </c>
      <c r="G359" s="5" t="inlineStr">
        <is>
          <t>Italian Journal of Pediatrics</t>
        </is>
      </c>
      <c r="H359" s="5" t="inlineStr">
        <is>
          <t>32(5):308-311</t>
        </is>
      </c>
      <c r="I359" s="6" t="inlineStr">
        <is>
          <t>Acute torsion of wandering spleen</t>
        </is>
      </c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7" t="inlineStr">
        <is>
          <t>link</t>
        </is>
      </c>
      <c r="R359" s="5" t="inlineStr">
        <is>
          <t>4 English, no DOI and no PubMed link</t>
        </is>
      </c>
      <c r="S359" s="5" t="inlineStr"/>
      <c r="T359" s="5" t="inlineStr">
        <is>
          <t>WS1653.pdf</t>
        </is>
      </c>
      <c r="U359" s="8" t="n"/>
      <c r="V359" s="8" t="n"/>
      <c r="W359" s="8" t="n"/>
      <c r="X359" s="8" t="n"/>
      <c r="Y359" s="8" t="n"/>
      <c r="Z359" s="8" t="n"/>
      <c r="AA359" s="8" t="n"/>
      <c r="AB359" s="8" t="n"/>
      <c r="AC359" s="8" t="n"/>
      <c r="AD359" s="8" t="n"/>
    </row>
    <row r="360">
      <c r="A360" s="5" t="n">
        <v>359</v>
      </c>
      <c r="B360" s="5" t="inlineStr">
        <is>
          <t>WS1628</t>
        </is>
      </c>
      <c r="C360" s="5" t="inlineStr">
        <is>
          <t>2005</t>
        </is>
      </c>
      <c r="D360" s="5" t="inlineStr">
        <is>
          <t>English</t>
        </is>
      </c>
      <c r="E360" s="5" t="inlineStr">
        <is>
          <t>JOUR</t>
        </is>
      </c>
      <c r="F360" s="5" t="inlineStr">
        <is>
          <t>Khan</t>
        </is>
      </c>
      <c r="G360" s="5" t="inlineStr">
        <is>
          <t>JK Practitioner</t>
        </is>
      </c>
      <c r="H360" s="5" t="inlineStr">
        <is>
          <t>12(3):135-136</t>
        </is>
      </c>
      <c r="I360" s="6" t="inlineStr">
        <is>
          <t>Incidental detection of a wandering spleen by Technetium - 99m sulfur colloid imaging in a patient undergoing evaluation for abdominal pain</t>
        </is>
      </c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7" t="inlineStr">
        <is>
          <t>link</t>
        </is>
      </c>
      <c r="R360" s="5" t="inlineStr">
        <is>
          <t>4 English, no DOI and no PubMed link</t>
        </is>
      </c>
      <c r="S360" s="5" t="inlineStr"/>
      <c r="T360" s="5" t="inlineStr">
        <is>
          <t>WS1628.pdf</t>
        </is>
      </c>
      <c r="U360" s="8" t="n"/>
      <c r="V360" s="8" t="n"/>
      <c r="W360" s="8" t="n"/>
      <c r="X360" s="8" t="n"/>
      <c r="Y360" s="8" t="n"/>
      <c r="Z360" s="8" t="n"/>
      <c r="AA360" s="8" t="n"/>
      <c r="AB360" s="8" t="n"/>
      <c r="AC360" s="8" t="n"/>
      <c r="AD360" s="8" t="n"/>
    </row>
    <row r="361">
      <c r="A361" s="5" t="n">
        <v>360</v>
      </c>
      <c r="B361" s="5" t="inlineStr">
        <is>
          <t>WS1684</t>
        </is>
      </c>
      <c r="C361" s="5" t="inlineStr">
        <is>
          <t>2005</t>
        </is>
      </c>
      <c r="D361" s="5" t="inlineStr">
        <is>
          <t>English</t>
        </is>
      </c>
      <c r="E361" s="5" t="inlineStr">
        <is>
          <t>JOUR</t>
        </is>
      </c>
      <c r="F361" s="5" t="inlineStr">
        <is>
          <t>Alawi</t>
        </is>
      </c>
      <c r="G361" s="5" t="inlineStr">
        <is>
          <t>Pakistan Journal of Medical Sciences</t>
        </is>
      </c>
      <c r="H361" s="5" t="inlineStr">
        <is>
          <t>21(4):482-484</t>
        </is>
      </c>
      <c r="I361" s="6" t="inlineStr">
        <is>
          <t>Wandering spleen: A challenging diagnosis</t>
        </is>
      </c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7" t="inlineStr">
        <is>
          <t>link</t>
        </is>
      </c>
      <c r="R361" s="5" t="inlineStr">
        <is>
          <t>4 English, no DOI and no PubMed link</t>
        </is>
      </c>
      <c r="S361" s="5" t="inlineStr"/>
      <c r="T361" s="5" t="inlineStr">
        <is>
          <t>WS1684.pdf</t>
        </is>
      </c>
      <c r="U361" s="8" t="n"/>
      <c r="V361" s="8" t="n"/>
      <c r="W361" s="8" t="n"/>
      <c r="X361" s="8" t="n"/>
      <c r="Y361" s="8" t="n"/>
      <c r="Z361" s="8" t="n"/>
      <c r="AA361" s="8" t="n"/>
      <c r="AB361" s="8" t="n"/>
      <c r="AC361" s="8" t="n"/>
      <c r="AD361" s="8" t="n"/>
    </row>
    <row r="362">
      <c r="A362" s="5" t="n">
        <v>361</v>
      </c>
      <c r="B362" s="5" t="inlineStr">
        <is>
          <t>WS1668</t>
        </is>
      </c>
      <c r="C362" s="5" t="inlineStr">
        <is>
          <t>2002</t>
        </is>
      </c>
      <c r="D362" s="5" t="inlineStr">
        <is>
          <t>English</t>
        </is>
      </c>
      <c r="E362" s="5" t="inlineStr">
        <is>
          <t>JOUR</t>
        </is>
      </c>
      <c r="F362" s="5" t="inlineStr">
        <is>
          <t>Shirani</t>
        </is>
      </c>
      <c r="G362" s="5" t="inlineStr">
        <is>
          <t>Archives of Iranian Medicine</t>
        </is>
      </c>
      <c r="H362" s="5" t="inlineStr">
        <is>
          <t>5(2):124-125</t>
        </is>
      </c>
      <c r="I362" s="6" t="inlineStr">
        <is>
          <t>Torsion of wandering spleen and tail of pancreas</t>
        </is>
      </c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7" t="inlineStr">
        <is>
          <t>link</t>
        </is>
      </c>
      <c r="R362" s="5" t="inlineStr">
        <is>
          <t>4 English, no DOI and no PubMed link</t>
        </is>
      </c>
      <c r="S362" s="5" t="inlineStr"/>
      <c r="T362" s="5" t="inlineStr">
        <is>
          <t>WS1668.pdf</t>
        </is>
      </c>
      <c r="U362" s="8" t="n"/>
      <c r="V362" s="8" t="n"/>
      <c r="W362" s="8" t="n"/>
      <c r="X362" s="8" t="n"/>
      <c r="Y362" s="8" t="n"/>
      <c r="Z362" s="8" t="n"/>
      <c r="AA362" s="8" t="n"/>
      <c r="AB362" s="8" t="n"/>
      <c r="AC362" s="8" t="n"/>
      <c r="AD362" s="8" t="n"/>
    </row>
    <row r="363">
      <c r="A363" s="5" t="n">
        <v>362</v>
      </c>
      <c r="B363" s="5" t="inlineStr">
        <is>
          <t>WS1306</t>
        </is>
      </c>
      <c r="C363" s="5" t="inlineStr">
        <is>
          <t>2000</t>
        </is>
      </c>
      <c r="D363" s="5" t="inlineStr">
        <is>
          <t>English</t>
        </is>
      </c>
      <c r="E363" s="5" t="inlineStr">
        <is>
          <t>JOUR</t>
        </is>
      </c>
      <c r="F363" s="5" t="inlineStr">
        <is>
          <t>Ameh</t>
        </is>
      </c>
      <c r="G363" s="5" t="inlineStr">
        <is>
          <t>East African Medical Journal</t>
        </is>
      </c>
      <c r="H363" s="5" t="inlineStr">
        <is>
          <t>77(12):681-683</t>
        </is>
      </c>
      <c r="I363" s="6" t="inlineStr">
        <is>
          <t>Management of the wandering spleen in childhood: Report of two cases</t>
        </is>
      </c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7" t="inlineStr">
        <is>
          <t>link</t>
        </is>
      </c>
      <c r="R363" s="5" t="inlineStr">
        <is>
          <t>4 English, no DOI and no PubMed link</t>
        </is>
      </c>
      <c r="S363" s="5" t="inlineStr"/>
      <c r="T363" s="5" t="inlineStr">
        <is>
          <t>WS1306.pdf</t>
        </is>
      </c>
      <c r="U363" s="8" t="n"/>
      <c r="V363" s="8" t="n"/>
      <c r="W363" s="8" t="n"/>
      <c r="X363" s="8" t="n"/>
      <c r="Y363" s="8" t="n"/>
      <c r="Z363" s="8" t="n"/>
      <c r="AA363" s="8" t="n"/>
      <c r="AB363" s="8" t="n"/>
      <c r="AC363" s="8" t="n"/>
      <c r="AD363" s="8" t="n"/>
    </row>
  </sheetData>
  <autoFilter ref="A1:AD363"/>
  <dataValidations count="3">
    <dataValidation sqref="W2:W363 AB2:AB363" showDropDown="0" showInputMessage="0" showErrorMessage="0" allowBlank="1" type="list">
      <formula1>"Yes,No"</formula1>
    </dataValidation>
    <dataValidation sqref="X2:X363" showDropDown="0" showInputMessage="0" showErrorMessage="0" allowBlank="1" type="list">
      <formula1>"Publisher or open access,PubMed Central,Library subscription,Interlibrary loan or document delivery,CNKI or Wanfang,Contact author,Other,Not obtained"</formula1>
    </dataValidation>
    <dataValidation sqref="U2:U363 Z2:Z363" showDropDown="0" showInputMessage="0" showErrorMessage="0" allowBlank="1" type="list">
      <formula1>"舒俊,卞红强,彭飞,其他"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N2" r:id="rId3"/>
    <hyperlink xmlns:r="http://schemas.openxmlformats.org/officeDocument/2006/relationships" ref="K3" r:id="rId4"/>
    <hyperlink xmlns:r="http://schemas.openxmlformats.org/officeDocument/2006/relationships" ref="L3" r:id="rId5"/>
    <hyperlink xmlns:r="http://schemas.openxmlformats.org/officeDocument/2006/relationships" ref="N3" r:id="rId6"/>
    <hyperlink xmlns:r="http://schemas.openxmlformats.org/officeDocument/2006/relationships" ref="K4" r:id="rId7"/>
    <hyperlink xmlns:r="http://schemas.openxmlformats.org/officeDocument/2006/relationships" ref="L4" r:id="rId8"/>
    <hyperlink xmlns:r="http://schemas.openxmlformats.org/officeDocument/2006/relationships" ref="N4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N5" r:id="rId12"/>
    <hyperlink xmlns:r="http://schemas.openxmlformats.org/officeDocument/2006/relationships" ref="K6" r:id="rId13"/>
    <hyperlink xmlns:r="http://schemas.openxmlformats.org/officeDocument/2006/relationships" ref="L6" r:id="rId14"/>
    <hyperlink xmlns:r="http://schemas.openxmlformats.org/officeDocument/2006/relationships" ref="N6" r:id="rId15"/>
    <hyperlink xmlns:r="http://schemas.openxmlformats.org/officeDocument/2006/relationships" ref="K7" r:id="rId16"/>
    <hyperlink xmlns:r="http://schemas.openxmlformats.org/officeDocument/2006/relationships" ref="L7" r:id="rId17"/>
    <hyperlink xmlns:r="http://schemas.openxmlformats.org/officeDocument/2006/relationships" ref="N7" r:id="rId18"/>
    <hyperlink xmlns:r="http://schemas.openxmlformats.org/officeDocument/2006/relationships" ref="K8" r:id="rId19"/>
    <hyperlink xmlns:r="http://schemas.openxmlformats.org/officeDocument/2006/relationships" ref="L8" r:id="rId20"/>
    <hyperlink xmlns:r="http://schemas.openxmlformats.org/officeDocument/2006/relationships" ref="N8" r:id="rId21"/>
    <hyperlink xmlns:r="http://schemas.openxmlformats.org/officeDocument/2006/relationships" ref="K9" r:id="rId22"/>
    <hyperlink xmlns:r="http://schemas.openxmlformats.org/officeDocument/2006/relationships" ref="L9" r:id="rId23"/>
    <hyperlink xmlns:r="http://schemas.openxmlformats.org/officeDocument/2006/relationships" ref="N9" r:id="rId24"/>
    <hyperlink xmlns:r="http://schemas.openxmlformats.org/officeDocument/2006/relationships" ref="K10" r:id="rId25"/>
    <hyperlink xmlns:r="http://schemas.openxmlformats.org/officeDocument/2006/relationships" ref="L10" r:id="rId26"/>
    <hyperlink xmlns:r="http://schemas.openxmlformats.org/officeDocument/2006/relationships" ref="N10" r:id="rId27"/>
    <hyperlink xmlns:r="http://schemas.openxmlformats.org/officeDocument/2006/relationships" ref="K11" r:id="rId28"/>
    <hyperlink xmlns:r="http://schemas.openxmlformats.org/officeDocument/2006/relationships" ref="L11" r:id="rId29"/>
    <hyperlink xmlns:r="http://schemas.openxmlformats.org/officeDocument/2006/relationships" ref="N11" r:id="rId30"/>
    <hyperlink xmlns:r="http://schemas.openxmlformats.org/officeDocument/2006/relationships" ref="K12" r:id="rId31"/>
    <hyperlink xmlns:r="http://schemas.openxmlformats.org/officeDocument/2006/relationships" ref="L12" r:id="rId32"/>
    <hyperlink xmlns:r="http://schemas.openxmlformats.org/officeDocument/2006/relationships" ref="N12" r:id="rId33"/>
    <hyperlink xmlns:r="http://schemas.openxmlformats.org/officeDocument/2006/relationships" ref="K13" r:id="rId34"/>
    <hyperlink xmlns:r="http://schemas.openxmlformats.org/officeDocument/2006/relationships" ref="L13" r:id="rId35"/>
    <hyperlink xmlns:r="http://schemas.openxmlformats.org/officeDocument/2006/relationships" ref="N13" r:id="rId36"/>
    <hyperlink xmlns:r="http://schemas.openxmlformats.org/officeDocument/2006/relationships" ref="K14" r:id="rId37"/>
    <hyperlink xmlns:r="http://schemas.openxmlformats.org/officeDocument/2006/relationships" ref="L14" r:id="rId38"/>
    <hyperlink xmlns:r="http://schemas.openxmlformats.org/officeDocument/2006/relationships" ref="N14" r:id="rId39"/>
    <hyperlink xmlns:r="http://schemas.openxmlformats.org/officeDocument/2006/relationships" ref="K15" r:id="rId40"/>
    <hyperlink xmlns:r="http://schemas.openxmlformats.org/officeDocument/2006/relationships" ref="L15" r:id="rId41"/>
    <hyperlink xmlns:r="http://schemas.openxmlformats.org/officeDocument/2006/relationships" ref="N15" r:id="rId42"/>
    <hyperlink xmlns:r="http://schemas.openxmlformats.org/officeDocument/2006/relationships" ref="K16" r:id="rId43"/>
    <hyperlink xmlns:r="http://schemas.openxmlformats.org/officeDocument/2006/relationships" ref="L16" r:id="rId44"/>
    <hyperlink xmlns:r="http://schemas.openxmlformats.org/officeDocument/2006/relationships" ref="N16" r:id="rId45"/>
    <hyperlink xmlns:r="http://schemas.openxmlformats.org/officeDocument/2006/relationships" ref="K17" r:id="rId46"/>
    <hyperlink xmlns:r="http://schemas.openxmlformats.org/officeDocument/2006/relationships" ref="L17" r:id="rId47"/>
    <hyperlink xmlns:r="http://schemas.openxmlformats.org/officeDocument/2006/relationships" ref="N17" r:id="rId48"/>
    <hyperlink xmlns:r="http://schemas.openxmlformats.org/officeDocument/2006/relationships" ref="K18" r:id="rId49"/>
    <hyperlink xmlns:r="http://schemas.openxmlformats.org/officeDocument/2006/relationships" ref="L18" r:id="rId50"/>
    <hyperlink xmlns:r="http://schemas.openxmlformats.org/officeDocument/2006/relationships" ref="N18" r:id="rId51"/>
    <hyperlink xmlns:r="http://schemas.openxmlformats.org/officeDocument/2006/relationships" ref="K19" r:id="rId52"/>
    <hyperlink xmlns:r="http://schemas.openxmlformats.org/officeDocument/2006/relationships" ref="L19" r:id="rId53"/>
    <hyperlink xmlns:r="http://schemas.openxmlformats.org/officeDocument/2006/relationships" ref="N19" r:id="rId54"/>
    <hyperlink xmlns:r="http://schemas.openxmlformats.org/officeDocument/2006/relationships" ref="K20" r:id="rId55"/>
    <hyperlink xmlns:r="http://schemas.openxmlformats.org/officeDocument/2006/relationships" ref="L20" r:id="rId56"/>
    <hyperlink xmlns:r="http://schemas.openxmlformats.org/officeDocument/2006/relationships" ref="N20" r:id="rId57"/>
    <hyperlink xmlns:r="http://schemas.openxmlformats.org/officeDocument/2006/relationships" ref="K21" r:id="rId58"/>
    <hyperlink xmlns:r="http://schemas.openxmlformats.org/officeDocument/2006/relationships" ref="L21" r:id="rId59"/>
    <hyperlink xmlns:r="http://schemas.openxmlformats.org/officeDocument/2006/relationships" ref="N21" r:id="rId60"/>
    <hyperlink xmlns:r="http://schemas.openxmlformats.org/officeDocument/2006/relationships" ref="K22" r:id="rId61"/>
    <hyperlink xmlns:r="http://schemas.openxmlformats.org/officeDocument/2006/relationships" ref="L22" r:id="rId62"/>
    <hyperlink xmlns:r="http://schemas.openxmlformats.org/officeDocument/2006/relationships" ref="N22" r:id="rId63"/>
    <hyperlink xmlns:r="http://schemas.openxmlformats.org/officeDocument/2006/relationships" ref="K23" r:id="rId64"/>
    <hyperlink xmlns:r="http://schemas.openxmlformats.org/officeDocument/2006/relationships" ref="L23" r:id="rId65"/>
    <hyperlink xmlns:r="http://schemas.openxmlformats.org/officeDocument/2006/relationships" ref="N23" r:id="rId66"/>
    <hyperlink xmlns:r="http://schemas.openxmlformats.org/officeDocument/2006/relationships" ref="K24" r:id="rId67"/>
    <hyperlink xmlns:r="http://schemas.openxmlformats.org/officeDocument/2006/relationships" ref="L24" r:id="rId68"/>
    <hyperlink xmlns:r="http://schemas.openxmlformats.org/officeDocument/2006/relationships" ref="N24" r:id="rId69"/>
    <hyperlink xmlns:r="http://schemas.openxmlformats.org/officeDocument/2006/relationships" ref="K25" r:id="rId70"/>
    <hyperlink xmlns:r="http://schemas.openxmlformats.org/officeDocument/2006/relationships" ref="L25" r:id="rId71"/>
    <hyperlink xmlns:r="http://schemas.openxmlformats.org/officeDocument/2006/relationships" ref="N25" r:id="rId72"/>
    <hyperlink xmlns:r="http://schemas.openxmlformats.org/officeDocument/2006/relationships" ref="K26" r:id="rId73"/>
    <hyperlink xmlns:r="http://schemas.openxmlformats.org/officeDocument/2006/relationships" ref="L26" r:id="rId74"/>
    <hyperlink xmlns:r="http://schemas.openxmlformats.org/officeDocument/2006/relationships" ref="N26" r:id="rId75"/>
    <hyperlink xmlns:r="http://schemas.openxmlformats.org/officeDocument/2006/relationships" ref="K27" r:id="rId76"/>
    <hyperlink xmlns:r="http://schemas.openxmlformats.org/officeDocument/2006/relationships" ref="L27" r:id="rId77"/>
    <hyperlink xmlns:r="http://schemas.openxmlformats.org/officeDocument/2006/relationships" ref="N27" r:id="rId78"/>
    <hyperlink xmlns:r="http://schemas.openxmlformats.org/officeDocument/2006/relationships" ref="K28" r:id="rId79"/>
    <hyperlink xmlns:r="http://schemas.openxmlformats.org/officeDocument/2006/relationships" ref="L28" r:id="rId80"/>
    <hyperlink xmlns:r="http://schemas.openxmlformats.org/officeDocument/2006/relationships" ref="N28" r:id="rId81"/>
    <hyperlink xmlns:r="http://schemas.openxmlformats.org/officeDocument/2006/relationships" ref="K29" r:id="rId82"/>
    <hyperlink xmlns:r="http://schemas.openxmlformats.org/officeDocument/2006/relationships" ref="L29" r:id="rId83"/>
    <hyperlink xmlns:r="http://schemas.openxmlformats.org/officeDocument/2006/relationships" ref="N29" r:id="rId84"/>
    <hyperlink xmlns:r="http://schemas.openxmlformats.org/officeDocument/2006/relationships" ref="K30" r:id="rId85"/>
    <hyperlink xmlns:r="http://schemas.openxmlformats.org/officeDocument/2006/relationships" ref="L30" r:id="rId86"/>
    <hyperlink xmlns:r="http://schemas.openxmlformats.org/officeDocument/2006/relationships" ref="N30" r:id="rId87"/>
    <hyperlink xmlns:r="http://schemas.openxmlformats.org/officeDocument/2006/relationships" ref="K31" r:id="rId88"/>
    <hyperlink xmlns:r="http://schemas.openxmlformats.org/officeDocument/2006/relationships" ref="L31" r:id="rId89"/>
    <hyperlink xmlns:r="http://schemas.openxmlformats.org/officeDocument/2006/relationships" ref="N31" r:id="rId90"/>
    <hyperlink xmlns:r="http://schemas.openxmlformats.org/officeDocument/2006/relationships" ref="K32" r:id="rId91"/>
    <hyperlink xmlns:r="http://schemas.openxmlformats.org/officeDocument/2006/relationships" ref="L32" r:id="rId92"/>
    <hyperlink xmlns:r="http://schemas.openxmlformats.org/officeDocument/2006/relationships" ref="N32" r:id="rId93"/>
    <hyperlink xmlns:r="http://schemas.openxmlformats.org/officeDocument/2006/relationships" ref="K33" r:id="rId94"/>
    <hyperlink xmlns:r="http://schemas.openxmlformats.org/officeDocument/2006/relationships" ref="L33" r:id="rId95"/>
    <hyperlink xmlns:r="http://schemas.openxmlformats.org/officeDocument/2006/relationships" ref="N33" r:id="rId96"/>
    <hyperlink xmlns:r="http://schemas.openxmlformats.org/officeDocument/2006/relationships" ref="K34" r:id="rId97"/>
    <hyperlink xmlns:r="http://schemas.openxmlformats.org/officeDocument/2006/relationships" ref="L34" r:id="rId98"/>
    <hyperlink xmlns:r="http://schemas.openxmlformats.org/officeDocument/2006/relationships" ref="N34" r:id="rId99"/>
    <hyperlink xmlns:r="http://schemas.openxmlformats.org/officeDocument/2006/relationships" ref="K35" r:id="rId100"/>
    <hyperlink xmlns:r="http://schemas.openxmlformats.org/officeDocument/2006/relationships" ref="L35" r:id="rId101"/>
    <hyperlink xmlns:r="http://schemas.openxmlformats.org/officeDocument/2006/relationships" ref="N35" r:id="rId102"/>
    <hyperlink xmlns:r="http://schemas.openxmlformats.org/officeDocument/2006/relationships" ref="K36" r:id="rId103"/>
    <hyperlink xmlns:r="http://schemas.openxmlformats.org/officeDocument/2006/relationships" ref="L36" r:id="rId104"/>
    <hyperlink xmlns:r="http://schemas.openxmlformats.org/officeDocument/2006/relationships" ref="N36" r:id="rId105"/>
    <hyperlink xmlns:r="http://schemas.openxmlformats.org/officeDocument/2006/relationships" ref="K37" r:id="rId106"/>
    <hyperlink xmlns:r="http://schemas.openxmlformats.org/officeDocument/2006/relationships" ref="L37" r:id="rId107"/>
    <hyperlink xmlns:r="http://schemas.openxmlformats.org/officeDocument/2006/relationships" ref="N37" r:id="rId108"/>
    <hyperlink xmlns:r="http://schemas.openxmlformats.org/officeDocument/2006/relationships" ref="K38" r:id="rId109"/>
    <hyperlink xmlns:r="http://schemas.openxmlformats.org/officeDocument/2006/relationships" ref="L38" r:id="rId110"/>
    <hyperlink xmlns:r="http://schemas.openxmlformats.org/officeDocument/2006/relationships" ref="N38" r:id="rId111"/>
    <hyperlink xmlns:r="http://schemas.openxmlformats.org/officeDocument/2006/relationships" ref="K39" r:id="rId112"/>
    <hyperlink xmlns:r="http://schemas.openxmlformats.org/officeDocument/2006/relationships" ref="L39" r:id="rId113"/>
    <hyperlink xmlns:r="http://schemas.openxmlformats.org/officeDocument/2006/relationships" ref="N39" r:id="rId114"/>
    <hyperlink xmlns:r="http://schemas.openxmlformats.org/officeDocument/2006/relationships" ref="K40" r:id="rId115"/>
    <hyperlink xmlns:r="http://schemas.openxmlformats.org/officeDocument/2006/relationships" ref="L40" r:id="rId116"/>
    <hyperlink xmlns:r="http://schemas.openxmlformats.org/officeDocument/2006/relationships" ref="N40" r:id="rId117"/>
    <hyperlink xmlns:r="http://schemas.openxmlformats.org/officeDocument/2006/relationships" ref="K41" r:id="rId118"/>
    <hyperlink xmlns:r="http://schemas.openxmlformats.org/officeDocument/2006/relationships" ref="L41" r:id="rId119"/>
    <hyperlink xmlns:r="http://schemas.openxmlformats.org/officeDocument/2006/relationships" ref="N41" r:id="rId120"/>
    <hyperlink xmlns:r="http://schemas.openxmlformats.org/officeDocument/2006/relationships" ref="K42" r:id="rId121"/>
    <hyperlink xmlns:r="http://schemas.openxmlformats.org/officeDocument/2006/relationships" ref="L42" r:id="rId122"/>
    <hyperlink xmlns:r="http://schemas.openxmlformats.org/officeDocument/2006/relationships" ref="N42" r:id="rId123"/>
    <hyperlink xmlns:r="http://schemas.openxmlformats.org/officeDocument/2006/relationships" ref="K43" r:id="rId124"/>
    <hyperlink xmlns:r="http://schemas.openxmlformats.org/officeDocument/2006/relationships" ref="L43" r:id="rId125"/>
    <hyperlink xmlns:r="http://schemas.openxmlformats.org/officeDocument/2006/relationships" ref="N43" r:id="rId126"/>
    <hyperlink xmlns:r="http://schemas.openxmlformats.org/officeDocument/2006/relationships" ref="K44" r:id="rId127"/>
    <hyperlink xmlns:r="http://schemas.openxmlformats.org/officeDocument/2006/relationships" ref="L44" r:id="rId128"/>
    <hyperlink xmlns:r="http://schemas.openxmlformats.org/officeDocument/2006/relationships" ref="N44" r:id="rId129"/>
    <hyperlink xmlns:r="http://schemas.openxmlformats.org/officeDocument/2006/relationships" ref="K45" r:id="rId130"/>
    <hyperlink xmlns:r="http://schemas.openxmlformats.org/officeDocument/2006/relationships" ref="L45" r:id="rId131"/>
    <hyperlink xmlns:r="http://schemas.openxmlformats.org/officeDocument/2006/relationships" ref="N45" r:id="rId132"/>
    <hyperlink xmlns:r="http://schemas.openxmlformats.org/officeDocument/2006/relationships" ref="K46" r:id="rId133"/>
    <hyperlink xmlns:r="http://schemas.openxmlformats.org/officeDocument/2006/relationships" ref="L46" r:id="rId134"/>
    <hyperlink xmlns:r="http://schemas.openxmlformats.org/officeDocument/2006/relationships" ref="N46" r:id="rId135"/>
    <hyperlink xmlns:r="http://schemas.openxmlformats.org/officeDocument/2006/relationships" ref="K47" r:id="rId136"/>
    <hyperlink xmlns:r="http://schemas.openxmlformats.org/officeDocument/2006/relationships" ref="L47" r:id="rId137"/>
    <hyperlink xmlns:r="http://schemas.openxmlformats.org/officeDocument/2006/relationships" ref="N47" r:id="rId138"/>
    <hyperlink xmlns:r="http://schemas.openxmlformats.org/officeDocument/2006/relationships" ref="K48" r:id="rId139"/>
    <hyperlink xmlns:r="http://schemas.openxmlformats.org/officeDocument/2006/relationships" ref="L48" r:id="rId140"/>
    <hyperlink xmlns:r="http://schemas.openxmlformats.org/officeDocument/2006/relationships" ref="N48" r:id="rId141"/>
    <hyperlink xmlns:r="http://schemas.openxmlformats.org/officeDocument/2006/relationships" ref="K49" r:id="rId142"/>
    <hyperlink xmlns:r="http://schemas.openxmlformats.org/officeDocument/2006/relationships" ref="L49" r:id="rId143"/>
    <hyperlink xmlns:r="http://schemas.openxmlformats.org/officeDocument/2006/relationships" ref="N49" r:id="rId144"/>
    <hyperlink xmlns:r="http://schemas.openxmlformats.org/officeDocument/2006/relationships" ref="K50" r:id="rId145"/>
    <hyperlink xmlns:r="http://schemas.openxmlformats.org/officeDocument/2006/relationships" ref="L50" r:id="rId146"/>
    <hyperlink xmlns:r="http://schemas.openxmlformats.org/officeDocument/2006/relationships" ref="N50" r:id="rId147"/>
    <hyperlink xmlns:r="http://schemas.openxmlformats.org/officeDocument/2006/relationships" ref="K51" r:id="rId148"/>
    <hyperlink xmlns:r="http://schemas.openxmlformats.org/officeDocument/2006/relationships" ref="L51" r:id="rId149"/>
    <hyperlink xmlns:r="http://schemas.openxmlformats.org/officeDocument/2006/relationships" ref="N51" r:id="rId150"/>
    <hyperlink xmlns:r="http://schemas.openxmlformats.org/officeDocument/2006/relationships" ref="K52" r:id="rId151"/>
    <hyperlink xmlns:r="http://schemas.openxmlformats.org/officeDocument/2006/relationships" ref="L52" r:id="rId152"/>
    <hyperlink xmlns:r="http://schemas.openxmlformats.org/officeDocument/2006/relationships" ref="N52" r:id="rId153"/>
    <hyperlink xmlns:r="http://schemas.openxmlformats.org/officeDocument/2006/relationships" ref="K53" r:id="rId154"/>
    <hyperlink xmlns:r="http://schemas.openxmlformats.org/officeDocument/2006/relationships" ref="L53" r:id="rId155"/>
    <hyperlink xmlns:r="http://schemas.openxmlformats.org/officeDocument/2006/relationships" ref="N53" r:id="rId156"/>
    <hyperlink xmlns:r="http://schemas.openxmlformats.org/officeDocument/2006/relationships" ref="K54" r:id="rId157"/>
    <hyperlink xmlns:r="http://schemas.openxmlformats.org/officeDocument/2006/relationships" ref="L54" r:id="rId158"/>
    <hyperlink xmlns:r="http://schemas.openxmlformats.org/officeDocument/2006/relationships" ref="N54" r:id="rId159"/>
    <hyperlink xmlns:r="http://schemas.openxmlformats.org/officeDocument/2006/relationships" ref="K55" r:id="rId160"/>
    <hyperlink xmlns:r="http://schemas.openxmlformats.org/officeDocument/2006/relationships" ref="L55" r:id="rId161"/>
    <hyperlink xmlns:r="http://schemas.openxmlformats.org/officeDocument/2006/relationships" ref="N55" r:id="rId162"/>
    <hyperlink xmlns:r="http://schemas.openxmlformats.org/officeDocument/2006/relationships" ref="K56" r:id="rId163"/>
    <hyperlink xmlns:r="http://schemas.openxmlformats.org/officeDocument/2006/relationships" ref="L56" r:id="rId164"/>
    <hyperlink xmlns:r="http://schemas.openxmlformats.org/officeDocument/2006/relationships" ref="N56" r:id="rId165"/>
    <hyperlink xmlns:r="http://schemas.openxmlformats.org/officeDocument/2006/relationships" ref="K57" r:id="rId166"/>
    <hyperlink xmlns:r="http://schemas.openxmlformats.org/officeDocument/2006/relationships" ref="L57" r:id="rId167"/>
    <hyperlink xmlns:r="http://schemas.openxmlformats.org/officeDocument/2006/relationships" ref="N57" r:id="rId168"/>
    <hyperlink xmlns:r="http://schemas.openxmlformats.org/officeDocument/2006/relationships" ref="K58" r:id="rId169"/>
    <hyperlink xmlns:r="http://schemas.openxmlformats.org/officeDocument/2006/relationships" ref="L58" r:id="rId170"/>
    <hyperlink xmlns:r="http://schemas.openxmlformats.org/officeDocument/2006/relationships" ref="N58" r:id="rId171"/>
    <hyperlink xmlns:r="http://schemas.openxmlformats.org/officeDocument/2006/relationships" ref="K59" r:id="rId172"/>
    <hyperlink xmlns:r="http://schemas.openxmlformats.org/officeDocument/2006/relationships" ref="L59" r:id="rId173"/>
    <hyperlink xmlns:r="http://schemas.openxmlformats.org/officeDocument/2006/relationships" ref="N59" r:id="rId174"/>
    <hyperlink xmlns:r="http://schemas.openxmlformats.org/officeDocument/2006/relationships" ref="K60" r:id="rId175"/>
    <hyperlink xmlns:r="http://schemas.openxmlformats.org/officeDocument/2006/relationships" ref="L60" r:id="rId176"/>
    <hyperlink xmlns:r="http://schemas.openxmlformats.org/officeDocument/2006/relationships" ref="N60" r:id="rId177"/>
    <hyperlink xmlns:r="http://schemas.openxmlformats.org/officeDocument/2006/relationships" ref="K61" r:id="rId178"/>
    <hyperlink xmlns:r="http://schemas.openxmlformats.org/officeDocument/2006/relationships" ref="L61" r:id="rId179"/>
    <hyperlink xmlns:r="http://schemas.openxmlformats.org/officeDocument/2006/relationships" ref="N61" r:id="rId180"/>
    <hyperlink xmlns:r="http://schemas.openxmlformats.org/officeDocument/2006/relationships" ref="K62" r:id="rId181"/>
    <hyperlink xmlns:r="http://schemas.openxmlformats.org/officeDocument/2006/relationships" ref="L62" r:id="rId182"/>
    <hyperlink xmlns:r="http://schemas.openxmlformats.org/officeDocument/2006/relationships" ref="N62" r:id="rId183"/>
    <hyperlink xmlns:r="http://schemas.openxmlformats.org/officeDocument/2006/relationships" ref="K63" r:id="rId184"/>
    <hyperlink xmlns:r="http://schemas.openxmlformats.org/officeDocument/2006/relationships" ref="L63" r:id="rId185"/>
    <hyperlink xmlns:r="http://schemas.openxmlformats.org/officeDocument/2006/relationships" ref="N63" r:id="rId186"/>
    <hyperlink xmlns:r="http://schemas.openxmlformats.org/officeDocument/2006/relationships" ref="K64" r:id="rId187"/>
    <hyperlink xmlns:r="http://schemas.openxmlformats.org/officeDocument/2006/relationships" ref="L64" r:id="rId188"/>
    <hyperlink xmlns:r="http://schemas.openxmlformats.org/officeDocument/2006/relationships" ref="N64" r:id="rId189"/>
    <hyperlink xmlns:r="http://schemas.openxmlformats.org/officeDocument/2006/relationships" ref="K65" r:id="rId190"/>
    <hyperlink xmlns:r="http://schemas.openxmlformats.org/officeDocument/2006/relationships" ref="L65" r:id="rId191"/>
    <hyperlink xmlns:r="http://schemas.openxmlformats.org/officeDocument/2006/relationships" ref="N65" r:id="rId192"/>
    <hyperlink xmlns:r="http://schemas.openxmlformats.org/officeDocument/2006/relationships" ref="K66" r:id="rId193"/>
    <hyperlink xmlns:r="http://schemas.openxmlformats.org/officeDocument/2006/relationships" ref="L66" r:id="rId194"/>
    <hyperlink xmlns:r="http://schemas.openxmlformats.org/officeDocument/2006/relationships" ref="N66" r:id="rId195"/>
    <hyperlink xmlns:r="http://schemas.openxmlformats.org/officeDocument/2006/relationships" ref="K67" r:id="rId196"/>
    <hyperlink xmlns:r="http://schemas.openxmlformats.org/officeDocument/2006/relationships" ref="L67" r:id="rId197"/>
    <hyperlink xmlns:r="http://schemas.openxmlformats.org/officeDocument/2006/relationships" ref="N67" r:id="rId198"/>
    <hyperlink xmlns:r="http://schemas.openxmlformats.org/officeDocument/2006/relationships" ref="K68" r:id="rId199"/>
    <hyperlink xmlns:r="http://schemas.openxmlformats.org/officeDocument/2006/relationships" ref="L68" r:id="rId200"/>
    <hyperlink xmlns:r="http://schemas.openxmlformats.org/officeDocument/2006/relationships" ref="N68" r:id="rId201"/>
    <hyperlink xmlns:r="http://schemas.openxmlformats.org/officeDocument/2006/relationships" ref="K69" r:id="rId202"/>
    <hyperlink xmlns:r="http://schemas.openxmlformats.org/officeDocument/2006/relationships" ref="L69" r:id="rId203"/>
    <hyperlink xmlns:r="http://schemas.openxmlformats.org/officeDocument/2006/relationships" ref="N69" r:id="rId204"/>
    <hyperlink xmlns:r="http://schemas.openxmlformats.org/officeDocument/2006/relationships" ref="K70" r:id="rId205"/>
    <hyperlink xmlns:r="http://schemas.openxmlformats.org/officeDocument/2006/relationships" ref="L70" r:id="rId206"/>
    <hyperlink xmlns:r="http://schemas.openxmlformats.org/officeDocument/2006/relationships" ref="N70" r:id="rId207"/>
    <hyperlink xmlns:r="http://schemas.openxmlformats.org/officeDocument/2006/relationships" ref="K71" r:id="rId208"/>
    <hyperlink xmlns:r="http://schemas.openxmlformats.org/officeDocument/2006/relationships" ref="L71" r:id="rId209"/>
    <hyperlink xmlns:r="http://schemas.openxmlformats.org/officeDocument/2006/relationships" ref="N71" r:id="rId210"/>
    <hyperlink xmlns:r="http://schemas.openxmlformats.org/officeDocument/2006/relationships" ref="K72" r:id="rId211"/>
    <hyperlink xmlns:r="http://schemas.openxmlformats.org/officeDocument/2006/relationships" ref="L72" r:id="rId212"/>
    <hyperlink xmlns:r="http://schemas.openxmlformats.org/officeDocument/2006/relationships" ref="N72" r:id="rId213"/>
    <hyperlink xmlns:r="http://schemas.openxmlformats.org/officeDocument/2006/relationships" ref="K73" r:id="rId214"/>
    <hyperlink xmlns:r="http://schemas.openxmlformats.org/officeDocument/2006/relationships" ref="L73" r:id="rId215"/>
    <hyperlink xmlns:r="http://schemas.openxmlformats.org/officeDocument/2006/relationships" ref="N73" r:id="rId216"/>
    <hyperlink xmlns:r="http://schemas.openxmlformats.org/officeDocument/2006/relationships" ref="K74" r:id="rId217"/>
    <hyperlink xmlns:r="http://schemas.openxmlformats.org/officeDocument/2006/relationships" ref="L74" r:id="rId218"/>
    <hyperlink xmlns:r="http://schemas.openxmlformats.org/officeDocument/2006/relationships" ref="N74" r:id="rId219"/>
    <hyperlink xmlns:r="http://schemas.openxmlformats.org/officeDocument/2006/relationships" ref="K75" r:id="rId220"/>
    <hyperlink xmlns:r="http://schemas.openxmlformats.org/officeDocument/2006/relationships" ref="L75" r:id="rId221"/>
    <hyperlink xmlns:r="http://schemas.openxmlformats.org/officeDocument/2006/relationships" ref="N75" r:id="rId222"/>
    <hyperlink xmlns:r="http://schemas.openxmlformats.org/officeDocument/2006/relationships" ref="K76" r:id="rId223"/>
    <hyperlink xmlns:r="http://schemas.openxmlformats.org/officeDocument/2006/relationships" ref="L76" r:id="rId224"/>
    <hyperlink xmlns:r="http://schemas.openxmlformats.org/officeDocument/2006/relationships" ref="N76" r:id="rId225"/>
    <hyperlink xmlns:r="http://schemas.openxmlformats.org/officeDocument/2006/relationships" ref="K77" r:id="rId226"/>
    <hyperlink xmlns:r="http://schemas.openxmlformats.org/officeDocument/2006/relationships" ref="L77" r:id="rId227"/>
    <hyperlink xmlns:r="http://schemas.openxmlformats.org/officeDocument/2006/relationships" ref="N77" r:id="rId228"/>
    <hyperlink xmlns:r="http://schemas.openxmlformats.org/officeDocument/2006/relationships" ref="L78" r:id="rId229"/>
    <hyperlink xmlns:r="http://schemas.openxmlformats.org/officeDocument/2006/relationships" ref="N78" r:id="rId230"/>
    <hyperlink xmlns:r="http://schemas.openxmlformats.org/officeDocument/2006/relationships" ref="K79" r:id="rId231"/>
    <hyperlink xmlns:r="http://schemas.openxmlformats.org/officeDocument/2006/relationships" ref="L79" r:id="rId232"/>
    <hyperlink xmlns:r="http://schemas.openxmlformats.org/officeDocument/2006/relationships" ref="N79" r:id="rId233"/>
    <hyperlink xmlns:r="http://schemas.openxmlformats.org/officeDocument/2006/relationships" ref="K80" r:id="rId234"/>
    <hyperlink xmlns:r="http://schemas.openxmlformats.org/officeDocument/2006/relationships" ref="L80" r:id="rId235"/>
    <hyperlink xmlns:r="http://schemas.openxmlformats.org/officeDocument/2006/relationships" ref="N80" r:id="rId236"/>
    <hyperlink xmlns:r="http://schemas.openxmlformats.org/officeDocument/2006/relationships" ref="K81" r:id="rId237"/>
    <hyperlink xmlns:r="http://schemas.openxmlformats.org/officeDocument/2006/relationships" ref="L81" r:id="rId238"/>
    <hyperlink xmlns:r="http://schemas.openxmlformats.org/officeDocument/2006/relationships" ref="N81" r:id="rId239"/>
    <hyperlink xmlns:r="http://schemas.openxmlformats.org/officeDocument/2006/relationships" ref="K82" r:id="rId240"/>
    <hyperlink xmlns:r="http://schemas.openxmlformats.org/officeDocument/2006/relationships" ref="L82" r:id="rId241"/>
    <hyperlink xmlns:r="http://schemas.openxmlformats.org/officeDocument/2006/relationships" ref="N82" r:id="rId242"/>
    <hyperlink xmlns:r="http://schemas.openxmlformats.org/officeDocument/2006/relationships" ref="K83" r:id="rId243"/>
    <hyperlink xmlns:r="http://schemas.openxmlformats.org/officeDocument/2006/relationships" ref="L83" r:id="rId244"/>
    <hyperlink xmlns:r="http://schemas.openxmlformats.org/officeDocument/2006/relationships" ref="N83" r:id="rId245"/>
    <hyperlink xmlns:r="http://schemas.openxmlformats.org/officeDocument/2006/relationships" ref="L84" r:id="rId246"/>
    <hyperlink xmlns:r="http://schemas.openxmlformats.org/officeDocument/2006/relationships" ref="N84" r:id="rId247"/>
    <hyperlink xmlns:r="http://schemas.openxmlformats.org/officeDocument/2006/relationships" ref="K85" r:id="rId248"/>
    <hyperlink xmlns:r="http://schemas.openxmlformats.org/officeDocument/2006/relationships" ref="L85" r:id="rId249"/>
    <hyperlink xmlns:r="http://schemas.openxmlformats.org/officeDocument/2006/relationships" ref="N85" r:id="rId250"/>
    <hyperlink xmlns:r="http://schemas.openxmlformats.org/officeDocument/2006/relationships" ref="K86" r:id="rId251"/>
    <hyperlink xmlns:r="http://schemas.openxmlformats.org/officeDocument/2006/relationships" ref="L86" r:id="rId252"/>
    <hyperlink xmlns:r="http://schemas.openxmlformats.org/officeDocument/2006/relationships" ref="N86" r:id="rId253"/>
    <hyperlink xmlns:r="http://schemas.openxmlformats.org/officeDocument/2006/relationships" ref="K87" r:id="rId254"/>
    <hyperlink xmlns:r="http://schemas.openxmlformats.org/officeDocument/2006/relationships" ref="L87" r:id="rId255"/>
    <hyperlink xmlns:r="http://schemas.openxmlformats.org/officeDocument/2006/relationships" ref="N87" r:id="rId256"/>
    <hyperlink xmlns:r="http://schemas.openxmlformats.org/officeDocument/2006/relationships" ref="K88" r:id="rId257"/>
    <hyperlink xmlns:r="http://schemas.openxmlformats.org/officeDocument/2006/relationships" ref="L88" r:id="rId258"/>
    <hyperlink xmlns:r="http://schemas.openxmlformats.org/officeDocument/2006/relationships" ref="N88" r:id="rId259"/>
    <hyperlink xmlns:r="http://schemas.openxmlformats.org/officeDocument/2006/relationships" ref="K89" r:id="rId260"/>
    <hyperlink xmlns:r="http://schemas.openxmlformats.org/officeDocument/2006/relationships" ref="L89" r:id="rId261"/>
    <hyperlink xmlns:r="http://schemas.openxmlformats.org/officeDocument/2006/relationships" ref="N89" r:id="rId262"/>
    <hyperlink xmlns:r="http://schemas.openxmlformats.org/officeDocument/2006/relationships" ref="K90" r:id="rId263"/>
    <hyperlink xmlns:r="http://schemas.openxmlformats.org/officeDocument/2006/relationships" ref="L90" r:id="rId264"/>
    <hyperlink xmlns:r="http://schemas.openxmlformats.org/officeDocument/2006/relationships" ref="N90" r:id="rId265"/>
    <hyperlink xmlns:r="http://schemas.openxmlformats.org/officeDocument/2006/relationships" ref="K91" r:id="rId266"/>
    <hyperlink xmlns:r="http://schemas.openxmlformats.org/officeDocument/2006/relationships" ref="L91" r:id="rId267"/>
    <hyperlink xmlns:r="http://schemas.openxmlformats.org/officeDocument/2006/relationships" ref="N91" r:id="rId268"/>
    <hyperlink xmlns:r="http://schemas.openxmlformats.org/officeDocument/2006/relationships" ref="K92" r:id="rId269"/>
    <hyperlink xmlns:r="http://schemas.openxmlformats.org/officeDocument/2006/relationships" ref="L92" r:id="rId270"/>
    <hyperlink xmlns:r="http://schemas.openxmlformats.org/officeDocument/2006/relationships" ref="N92" r:id="rId271"/>
    <hyperlink xmlns:r="http://schemas.openxmlformats.org/officeDocument/2006/relationships" ref="K93" r:id="rId272"/>
    <hyperlink xmlns:r="http://schemas.openxmlformats.org/officeDocument/2006/relationships" ref="L93" r:id="rId273"/>
    <hyperlink xmlns:r="http://schemas.openxmlformats.org/officeDocument/2006/relationships" ref="N93" r:id="rId274"/>
    <hyperlink xmlns:r="http://schemas.openxmlformats.org/officeDocument/2006/relationships" ref="K94" r:id="rId275"/>
    <hyperlink xmlns:r="http://schemas.openxmlformats.org/officeDocument/2006/relationships" ref="L94" r:id="rId276"/>
    <hyperlink xmlns:r="http://schemas.openxmlformats.org/officeDocument/2006/relationships" ref="N94" r:id="rId277"/>
    <hyperlink xmlns:r="http://schemas.openxmlformats.org/officeDocument/2006/relationships" ref="K95" r:id="rId278"/>
    <hyperlink xmlns:r="http://schemas.openxmlformats.org/officeDocument/2006/relationships" ref="L95" r:id="rId279"/>
    <hyperlink xmlns:r="http://schemas.openxmlformats.org/officeDocument/2006/relationships" ref="N95" r:id="rId280"/>
    <hyperlink xmlns:r="http://schemas.openxmlformats.org/officeDocument/2006/relationships" ref="L96" r:id="rId281"/>
    <hyperlink xmlns:r="http://schemas.openxmlformats.org/officeDocument/2006/relationships" ref="N96" r:id="rId282"/>
    <hyperlink xmlns:r="http://schemas.openxmlformats.org/officeDocument/2006/relationships" ref="K97" r:id="rId283"/>
    <hyperlink xmlns:r="http://schemas.openxmlformats.org/officeDocument/2006/relationships" ref="L97" r:id="rId284"/>
    <hyperlink xmlns:r="http://schemas.openxmlformats.org/officeDocument/2006/relationships" ref="K98" r:id="rId285"/>
    <hyperlink xmlns:r="http://schemas.openxmlformats.org/officeDocument/2006/relationships" ref="L98" r:id="rId286"/>
    <hyperlink xmlns:r="http://schemas.openxmlformats.org/officeDocument/2006/relationships" ref="K99" r:id="rId287"/>
    <hyperlink xmlns:r="http://schemas.openxmlformats.org/officeDocument/2006/relationships" ref="Q99" r:id="rId288"/>
    <hyperlink xmlns:r="http://schemas.openxmlformats.org/officeDocument/2006/relationships" ref="K100" r:id="rId289"/>
    <hyperlink xmlns:r="http://schemas.openxmlformats.org/officeDocument/2006/relationships" ref="Q100" r:id="rId290"/>
    <hyperlink xmlns:r="http://schemas.openxmlformats.org/officeDocument/2006/relationships" ref="K101" r:id="rId291"/>
    <hyperlink xmlns:r="http://schemas.openxmlformats.org/officeDocument/2006/relationships" ref="L101" r:id="rId292"/>
    <hyperlink xmlns:r="http://schemas.openxmlformats.org/officeDocument/2006/relationships" ref="K102" r:id="rId293"/>
    <hyperlink xmlns:r="http://schemas.openxmlformats.org/officeDocument/2006/relationships" ref="Q102" r:id="rId294"/>
    <hyperlink xmlns:r="http://schemas.openxmlformats.org/officeDocument/2006/relationships" ref="K103" r:id="rId295"/>
    <hyperlink xmlns:r="http://schemas.openxmlformats.org/officeDocument/2006/relationships" ref="K104" r:id="rId296"/>
    <hyperlink xmlns:r="http://schemas.openxmlformats.org/officeDocument/2006/relationships" ref="Q104" r:id="rId297"/>
    <hyperlink xmlns:r="http://schemas.openxmlformats.org/officeDocument/2006/relationships" ref="K105" r:id="rId298"/>
    <hyperlink xmlns:r="http://schemas.openxmlformats.org/officeDocument/2006/relationships" ref="K106" r:id="rId299"/>
    <hyperlink xmlns:r="http://schemas.openxmlformats.org/officeDocument/2006/relationships" ref="Q106" r:id="rId300"/>
    <hyperlink xmlns:r="http://schemas.openxmlformats.org/officeDocument/2006/relationships" ref="K107" r:id="rId301"/>
    <hyperlink xmlns:r="http://schemas.openxmlformats.org/officeDocument/2006/relationships" ref="L107" r:id="rId302"/>
    <hyperlink xmlns:r="http://schemas.openxmlformats.org/officeDocument/2006/relationships" ref="K108" r:id="rId303"/>
    <hyperlink xmlns:r="http://schemas.openxmlformats.org/officeDocument/2006/relationships" ref="Q108" r:id="rId304"/>
    <hyperlink xmlns:r="http://schemas.openxmlformats.org/officeDocument/2006/relationships" ref="K109" r:id="rId305"/>
    <hyperlink xmlns:r="http://schemas.openxmlformats.org/officeDocument/2006/relationships" ref="Q109" r:id="rId306"/>
    <hyperlink xmlns:r="http://schemas.openxmlformats.org/officeDocument/2006/relationships" ref="K110" r:id="rId307"/>
    <hyperlink xmlns:r="http://schemas.openxmlformats.org/officeDocument/2006/relationships" ref="Q110" r:id="rId308"/>
    <hyperlink xmlns:r="http://schemas.openxmlformats.org/officeDocument/2006/relationships" ref="K111" r:id="rId309"/>
    <hyperlink xmlns:r="http://schemas.openxmlformats.org/officeDocument/2006/relationships" ref="K112" r:id="rId310"/>
    <hyperlink xmlns:r="http://schemas.openxmlformats.org/officeDocument/2006/relationships" ref="Q112" r:id="rId311"/>
    <hyperlink xmlns:r="http://schemas.openxmlformats.org/officeDocument/2006/relationships" ref="K113" r:id="rId312"/>
    <hyperlink xmlns:r="http://schemas.openxmlformats.org/officeDocument/2006/relationships" ref="L113" r:id="rId313"/>
    <hyperlink xmlns:r="http://schemas.openxmlformats.org/officeDocument/2006/relationships" ref="K114" r:id="rId314"/>
    <hyperlink xmlns:r="http://schemas.openxmlformats.org/officeDocument/2006/relationships" ref="L114" r:id="rId315"/>
    <hyperlink xmlns:r="http://schemas.openxmlformats.org/officeDocument/2006/relationships" ref="K115" r:id="rId316"/>
    <hyperlink xmlns:r="http://schemas.openxmlformats.org/officeDocument/2006/relationships" ref="L115" r:id="rId317"/>
    <hyperlink xmlns:r="http://schemas.openxmlformats.org/officeDocument/2006/relationships" ref="K116" r:id="rId318"/>
    <hyperlink xmlns:r="http://schemas.openxmlformats.org/officeDocument/2006/relationships" ref="Q116" r:id="rId319"/>
    <hyperlink xmlns:r="http://schemas.openxmlformats.org/officeDocument/2006/relationships" ref="K117" r:id="rId320"/>
    <hyperlink xmlns:r="http://schemas.openxmlformats.org/officeDocument/2006/relationships" ref="Q117" r:id="rId321"/>
    <hyperlink xmlns:r="http://schemas.openxmlformats.org/officeDocument/2006/relationships" ref="K118" r:id="rId322"/>
    <hyperlink xmlns:r="http://schemas.openxmlformats.org/officeDocument/2006/relationships" ref="Q118" r:id="rId323"/>
    <hyperlink xmlns:r="http://schemas.openxmlformats.org/officeDocument/2006/relationships" ref="K119" r:id="rId324"/>
    <hyperlink xmlns:r="http://schemas.openxmlformats.org/officeDocument/2006/relationships" ref="L119" r:id="rId325"/>
    <hyperlink xmlns:r="http://schemas.openxmlformats.org/officeDocument/2006/relationships" ref="K120" r:id="rId326"/>
    <hyperlink xmlns:r="http://schemas.openxmlformats.org/officeDocument/2006/relationships" ref="Q120" r:id="rId327"/>
    <hyperlink xmlns:r="http://schemas.openxmlformats.org/officeDocument/2006/relationships" ref="K121" r:id="rId328"/>
    <hyperlink xmlns:r="http://schemas.openxmlformats.org/officeDocument/2006/relationships" ref="Q121" r:id="rId329"/>
    <hyperlink xmlns:r="http://schemas.openxmlformats.org/officeDocument/2006/relationships" ref="K122" r:id="rId330"/>
    <hyperlink xmlns:r="http://schemas.openxmlformats.org/officeDocument/2006/relationships" ref="Q122" r:id="rId331"/>
    <hyperlink xmlns:r="http://schemas.openxmlformats.org/officeDocument/2006/relationships" ref="K123" r:id="rId332"/>
    <hyperlink xmlns:r="http://schemas.openxmlformats.org/officeDocument/2006/relationships" ref="L123" r:id="rId333"/>
    <hyperlink xmlns:r="http://schemas.openxmlformats.org/officeDocument/2006/relationships" ref="K124" r:id="rId334"/>
    <hyperlink xmlns:r="http://schemas.openxmlformats.org/officeDocument/2006/relationships" ref="L124" r:id="rId335"/>
    <hyperlink xmlns:r="http://schemas.openxmlformats.org/officeDocument/2006/relationships" ref="K125" r:id="rId336"/>
    <hyperlink xmlns:r="http://schemas.openxmlformats.org/officeDocument/2006/relationships" ref="L125" r:id="rId337"/>
    <hyperlink xmlns:r="http://schemas.openxmlformats.org/officeDocument/2006/relationships" ref="K126" r:id="rId338"/>
    <hyperlink xmlns:r="http://schemas.openxmlformats.org/officeDocument/2006/relationships" ref="Q126" r:id="rId339"/>
    <hyperlink xmlns:r="http://schemas.openxmlformats.org/officeDocument/2006/relationships" ref="K127" r:id="rId340"/>
    <hyperlink xmlns:r="http://schemas.openxmlformats.org/officeDocument/2006/relationships" ref="Q127" r:id="rId341"/>
    <hyperlink xmlns:r="http://schemas.openxmlformats.org/officeDocument/2006/relationships" ref="K128" r:id="rId342"/>
    <hyperlink xmlns:r="http://schemas.openxmlformats.org/officeDocument/2006/relationships" ref="K129" r:id="rId343"/>
    <hyperlink xmlns:r="http://schemas.openxmlformats.org/officeDocument/2006/relationships" ref="Q129" r:id="rId344"/>
    <hyperlink xmlns:r="http://schemas.openxmlformats.org/officeDocument/2006/relationships" ref="K130" r:id="rId345"/>
    <hyperlink xmlns:r="http://schemas.openxmlformats.org/officeDocument/2006/relationships" ref="Q130" r:id="rId346"/>
    <hyperlink xmlns:r="http://schemas.openxmlformats.org/officeDocument/2006/relationships" ref="K131" r:id="rId347"/>
    <hyperlink xmlns:r="http://schemas.openxmlformats.org/officeDocument/2006/relationships" ref="Q131" r:id="rId348"/>
    <hyperlink xmlns:r="http://schemas.openxmlformats.org/officeDocument/2006/relationships" ref="K132" r:id="rId349"/>
    <hyperlink xmlns:r="http://schemas.openxmlformats.org/officeDocument/2006/relationships" ref="L132" r:id="rId350"/>
    <hyperlink xmlns:r="http://schemas.openxmlformats.org/officeDocument/2006/relationships" ref="K133" r:id="rId351"/>
    <hyperlink xmlns:r="http://schemas.openxmlformats.org/officeDocument/2006/relationships" ref="L133" r:id="rId352"/>
    <hyperlink xmlns:r="http://schemas.openxmlformats.org/officeDocument/2006/relationships" ref="K134" r:id="rId353"/>
    <hyperlink xmlns:r="http://schemas.openxmlformats.org/officeDocument/2006/relationships" ref="Q134" r:id="rId354"/>
    <hyperlink xmlns:r="http://schemas.openxmlformats.org/officeDocument/2006/relationships" ref="K135" r:id="rId355"/>
    <hyperlink xmlns:r="http://schemas.openxmlformats.org/officeDocument/2006/relationships" ref="Q135" r:id="rId356"/>
    <hyperlink xmlns:r="http://schemas.openxmlformats.org/officeDocument/2006/relationships" ref="K136" r:id="rId357"/>
    <hyperlink xmlns:r="http://schemas.openxmlformats.org/officeDocument/2006/relationships" ref="L136" r:id="rId358"/>
    <hyperlink xmlns:r="http://schemas.openxmlformats.org/officeDocument/2006/relationships" ref="L137" r:id="rId359"/>
    <hyperlink xmlns:r="http://schemas.openxmlformats.org/officeDocument/2006/relationships" ref="K138" r:id="rId360"/>
    <hyperlink xmlns:r="http://schemas.openxmlformats.org/officeDocument/2006/relationships" ref="Q138" r:id="rId361"/>
    <hyperlink xmlns:r="http://schemas.openxmlformats.org/officeDocument/2006/relationships" ref="K139" r:id="rId362"/>
    <hyperlink xmlns:r="http://schemas.openxmlformats.org/officeDocument/2006/relationships" ref="Q139" r:id="rId363"/>
    <hyperlink xmlns:r="http://schemas.openxmlformats.org/officeDocument/2006/relationships" ref="K140" r:id="rId364"/>
    <hyperlink xmlns:r="http://schemas.openxmlformats.org/officeDocument/2006/relationships" ref="Q140" r:id="rId365"/>
    <hyperlink xmlns:r="http://schemas.openxmlformats.org/officeDocument/2006/relationships" ref="K141" r:id="rId366"/>
    <hyperlink xmlns:r="http://schemas.openxmlformats.org/officeDocument/2006/relationships" ref="L141" r:id="rId367"/>
    <hyperlink xmlns:r="http://schemas.openxmlformats.org/officeDocument/2006/relationships" ref="K142" r:id="rId368"/>
    <hyperlink xmlns:r="http://schemas.openxmlformats.org/officeDocument/2006/relationships" ref="L142" r:id="rId369"/>
    <hyperlink xmlns:r="http://schemas.openxmlformats.org/officeDocument/2006/relationships" ref="K143" r:id="rId370"/>
    <hyperlink xmlns:r="http://schemas.openxmlformats.org/officeDocument/2006/relationships" ref="L143" r:id="rId371"/>
    <hyperlink xmlns:r="http://schemas.openxmlformats.org/officeDocument/2006/relationships" ref="K144" r:id="rId372"/>
    <hyperlink xmlns:r="http://schemas.openxmlformats.org/officeDocument/2006/relationships" ref="L144" r:id="rId373"/>
    <hyperlink xmlns:r="http://schemas.openxmlformats.org/officeDocument/2006/relationships" ref="K145" r:id="rId374"/>
    <hyperlink xmlns:r="http://schemas.openxmlformats.org/officeDocument/2006/relationships" ref="L145" r:id="rId375"/>
    <hyperlink xmlns:r="http://schemas.openxmlformats.org/officeDocument/2006/relationships" ref="K146" r:id="rId376"/>
    <hyperlink xmlns:r="http://schemas.openxmlformats.org/officeDocument/2006/relationships" ref="L146" r:id="rId377"/>
    <hyperlink xmlns:r="http://schemas.openxmlformats.org/officeDocument/2006/relationships" ref="K147" r:id="rId378"/>
    <hyperlink xmlns:r="http://schemas.openxmlformats.org/officeDocument/2006/relationships" ref="Q147" r:id="rId379"/>
    <hyperlink xmlns:r="http://schemas.openxmlformats.org/officeDocument/2006/relationships" ref="K148" r:id="rId380"/>
    <hyperlink xmlns:r="http://schemas.openxmlformats.org/officeDocument/2006/relationships" ref="Q148" r:id="rId381"/>
    <hyperlink xmlns:r="http://schemas.openxmlformats.org/officeDocument/2006/relationships" ref="K149" r:id="rId382"/>
    <hyperlink xmlns:r="http://schemas.openxmlformats.org/officeDocument/2006/relationships" ref="Q149" r:id="rId383"/>
    <hyperlink xmlns:r="http://schemas.openxmlformats.org/officeDocument/2006/relationships" ref="K150" r:id="rId384"/>
    <hyperlink xmlns:r="http://schemas.openxmlformats.org/officeDocument/2006/relationships" ref="L150" r:id="rId385"/>
    <hyperlink xmlns:r="http://schemas.openxmlformats.org/officeDocument/2006/relationships" ref="K151" r:id="rId386"/>
    <hyperlink xmlns:r="http://schemas.openxmlformats.org/officeDocument/2006/relationships" ref="L151" r:id="rId387"/>
    <hyperlink xmlns:r="http://schemas.openxmlformats.org/officeDocument/2006/relationships" ref="L152" r:id="rId388"/>
    <hyperlink xmlns:r="http://schemas.openxmlformats.org/officeDocument/2006/relationships" ref="K153" r:id="rId389"/>
    <hyperlink xmlns:r="http://schemas.openxmlformats.org/officeDocument/2006/relationships" ref="L153" r:id="rId390"/>
    <hyperlink xmlns:r="http://schemas.openxmlformats.org/officeDocument/2006/relationships" ref="K154" r:id="rId391"/>
    <hyperlink xmlns:r="http://schemas.openxmlformats.org/officeDocument/2006/relationships" ref="L154" r:id="rId392"/>
    <hyperlink xmlns:r="http://schemas.openxmlformats.org/officeDocument/2006/relationships" ref="K155" r:id="rId393"/>
    <hyperlink xmlns:r="http://schemas.openxmlformats.org/officeDocument/2006/relationships" ref="Q155" r:id="rId394"/>
    <hyperlink xmlns:r="http://schemas.openxmlformats.org/officeDocument/2006/relationships" ref="L156" r:id="rId395"/>
    <hyperlink xmlns:r="http://schemas.openxmlformats.org/officeDocument/2006/relationships" ref="L157" r:id="rId396"/>
    <hyperlink xmlns:r="http://schemas.openxmlformats.org/officeDocument/2006/relationships" ref="L158" r:id="rId397"/>
    <hyperlink xmlns:r="http://schemas.openxmlformats.org/officeDocument/2006/relationships" ref="K159" r:id="rId398"/>
    <hyperlink xmlns:r="http://schemas.openxmlformats.org/officeDocument/2006/relationships" ref="L159" r:id="rId399"/>
    <hyperlink xmlns:r="http://schemas.openxmlformats.org/officeDocument/2006/relationships" ref="L160" r:id="rId400"/>
    <hyperlink xmlns:r="http://schemas.openxmlformats.org/officeDocument/2006/relationships" ref="K161" r:id="rId401"/>
    <hyperlink xmlns:r="http://schemas.openxmlformats.org/officeDocument/2006/relationships" ref="L161" r:id="rId402"/>
    <hyperlink xmlns:r="http://schemas.openxmlformats.org/officeDocument/2006/relationships" ref="K162" r:id="rId403"/>
    <hyperlink xmlns:r="http://schemas.openxmlformats.org/officeDocument/2006/relationships" ref="L162" r:id="rId404"/>
    <hyperlink xmlns:r="http://schemas.openxmlformats.org/officeDocument/2006/relationships" ref="K163" r:id="rId405"/>
    <hyperlink xmlns:r="http://schemas.openxmlformats.org/officeDocument/2006/relationships" ref="L163" r:id="rId406"/>
    <hyperlink xmlns:r="http://schemas.openxmlformats.org/officeDocument/2006/relationships" ref="K164" r:id="rId407"/>
    <hyperlink xmlns:r="http://schemas.openxmlformats.org/officeDocument/2006/relationships" ref="L164" r:id="rId408"/>
    <hyperlink xmlns:r="http://schemas.openxmlformats.org/officeDocument/2006/relationships" ref="K165" r:id="rId409"/>
    <hyperlink xmlns:r="http://schemas.openxmlformats.org/officeDocument/2006/relationships" ref="L165" r:id="rId410"/>
    <hyperlink xmlns:r="http://schemas.openxmlformats.org/officeDocument/2006/relationships" ref="K166" r:id="rId411"/>
    <hyperlink xmlns:r="http://schemas.openxmlformats.org/officeDocument/2006/relationships" ref="L166" r:id="rId412"/>
    <hyperlink xmlns:r="http://schemas.openxmlformats.org/officeDocument/2006/relationships" ref="K167" r:id="rId413"/>
    <hyperlink xmlns:r="http://schemas.openxmlformats.org/officeDocument/2006/relationships" ref="L167" r:id="rId414"/>
    <hyperlink xmlns:r="http://schemas.openxmlformats.org/officeDocument/2006/relationships" ref="K168" r:id="rId415"/>
    <hyperlink xmlns:r="http://schemas.openxmlformats.org/officeDocument/2006/relationships" ref="Q168" r:id="rId416"/>
    <hyperlink xmlns:r="http://schemas.openxmlformats.org/officeDocument/2006/relationships" ref="K169" r:id="rId417"/>
    <hyperlink xmlns:r="http://schemas.openxmlformats.org/officeDocument/2006/relationships" ref="Q169" r:id="rId418"/>
    <hyperlink xmlns:r="http://schemas.openxmlformats.org/officeDocument/2006/relationships" ref="K170" r:id="rId419"/>
    <hyperlink xmlns:r="http://schemas.openxmlformats.org/officeDocument/2006/relationships" ref="Q170" r:id="rId420"/>
    <hyperlink xmlns:r="http://schemas.openxmlformats.org/officeDocument/2006/relationships" ref="K171" r:id="rId421"/>
    <hyperlink xmlns:r="http://schemas.openxmlformats.org/officeDocument/2006/relationships" ref="Q171" r:id="rId422"/>
    <hyperlink xmlns:r="http://schemas.openxmlformats.org/officeDocument/2006/relationships" ref="K172" r:id="rId423"/>
    <hyperlink xmlns:r="http://schemas.openxmlformats.org/officeDocument/2006/relationships" ref="L172" r:id="rId424"/>
    <hyperlink xmlns:r="http://schemas.openxmlformats.org/officeDocument/2006/relationships" ref="K173" r:id="rId425"/>
    <hyperlink xmlns:r="http://schemas.openxmlformats.org/officeDocument/2006/relationships" ref="L173" r:id="rId426"/>
    <hyperlink xmlns:r="http://schemas.openxmlformats.org/officeDocument/2006/relationships" ref="L174" r:id="rId427"/>
    <hyperlink xmlns:r="http://schemas.openxmlformats.org/officeDocument/2006/relationships" ref="K175" r:id="rId428"/>
    <hyperlink xmlns:r="http://schemas.openxmlformats.org/officeDocument/2006/relationships" ref="L175" r:id="rId429"/>
    <hyperlink xmlns:r="http://schemas.openxmlformats.org/officeDocument/2006/relationships" ref="K176" r:id="rId430"/>
    <hyperlink xmlns:r="http://schemas.openxmlformats.org/officeDocument/2006/relationships" ref="L176" r:id="rId431"/>
    <hyperlink xmlns:r="http://schemas.openxmlformats.org/officeDocument/2006/relationships" ref="K177" r:id="rId432"/>
    <hyperlink xmlns:r="http://schemas.openxmlformats.org/officeDocument/2006/relationships" ref="L177" r:id="rId433"/>
    <hyperlink xmlns:r="http://schemas.openxmlformats.org/officeDocument/2006/relationships" ref="K178" r:id="rId434"/>
    <hyperlink xmlns:r="http://schemas.openxmlformats.org/officeDocument/2006/relationships" ref="L178" r:id="rId435"/>
    <hyperlink xmlns:r="http://schemas.openxmlformats.org/officeDocument/2006/relationships" ref="K179" r:id="rId436"/>
    <hyperlink xmlns:r="http://schemas.openxmlformats.org/officeDocument/2006/relationships" ref="Q179" r:id="rId437"/>
    <hyperlink xmlns:r="http://schemas.openxmlformats.org/officeDocument/2006/relationships" ref="K180" r:id="rId438"/>
    <hyperlink xmlns:r="http://schemas.openxmlformats.org/officeDocument/2006/relationships" ref="L180" r:id="rId439"/>
    <hyperlink xmlns:r="http://schemas.openxmlformats.org/officeDocument/2006/relationships" ref="L181" r:id="rId440"/>
    <hyperlink xmlns:r="http://schemas.openxmlformats.org/officeDocument/2006/relationships" ref="K182" r:id="rId441"/>
    <hyperlink xmlns:r="http://schemas.openxmlformats.org/officeDocument/2006/relationships" ref="L182" r:id="rId442"/>
    <hyperlink xmlns:r="http://schemas.openxmlformats.org/officeDocument/2006/relationships" ref="K183" r:id="rId443"/>
    <hyperlink xmlns:r="http://schemas.openxmlformats.org/officeDocument/2006/relationships" ref="L183" r:id="rId444"/>
    <hyperlink xmlns:r="http://schemas.openxmlformats.org/officeDocument/2006/relationships" ref="K184" r:id="rId445"/>
    <hyperlink xmlns:r="http://schemas.openxmlformats.org/officeDocument/2006/relationships" ref="L184" r:id="rId446"/>
    <hyperlink xmlns:r="http://schemas.openxmlformats.org/officeDocument/2006/relationships" ref="K185" r:id="rId447"/>
    <hyperlink xmlns:r="http://schemas.openxmlformats.org/officeDocument/2006/relationships" ref="L185" r:id="rId448"/>
    <hyperlink xmlns:r="http://schemas.openxmlformats.org/officeDocument/2006/relationships" ref="K186" r:id="rId449"/>
    <hyperlink xmlns:r="http://schemas.openxmlformats.org/officeDocument/2006/relationships" ref="K187" r:id="rId450"/>
    <hyperlink xmlns:r="http://schemas.openxmlformats.org/officeDocument/2006/relationships" ref="Q187" r:id="rId451"/>
    <hyperlink xmlns:r="http://schemas.openxmlformats.org/officeDocument/2006/relationships" ref="K188" r:id="rId452"/>
    <hyperlink xmlns:r="http://schemas.openxmlformats.org/officeDocument/2006/relationships" ref="L188" r:id="rId453"/>
    <hyperlink xmlns:r="http://schemas.openxmlformats.org/officeDocument/2006/relationships" ref="K189" r:id="rId454"/>
    <hyperlink xmlns:r="http://schemas.openxmlformats.org/officeDocument/2006/relationships" ref="L189" r:id="rId455"/>
    <hyperlink xmlns:r="http://schemas.openxmlformats.org/officeDocument/2006/relationships" ref="K190" r:id="rId456"/>
    <hyperlink xmlns:r="http://schemas.openxmlformats.org/officeDocument/2006/relationships" ref="L190" r:id="rId457"/>
    <hyperlink xmlns:r="http://schemas.openxmlformats.org/officeDocument/2006/relationships" ref="K191" r:id="rId458"/>
    <hyperlink xmlns:r="http://schemas.openxmlformats.org/officeDocument/2006/relationships" ref="L191" r:id="rId459"/>
    <hyperlink xmlns:r="http://schemas.openxmlformats.org/officeDocument/2006/relationships" ref="K192" r:id="rId460"/>
    <hyperlink xmlns:r="http://schemas.openxmlformats.org/officeDocument/2006/relationships" ref="L192" r:id="rId461"/>
    <hyperlink xmlns:r="http://schemas.openxmlformats.org/officeDocument/2006/relationships" ref="L193" r:id="rId462"/>
    <hyperlink xmlns:r="http://schemas.openxmlformats.org/officeDocument/2006/relationships" ref="K194" r:id="rId463"/>
    <hyperlink xmlns:r="http://schemas.openxmlformats.org/officeDocument/2006/relationships" ref="Q194" r:id="rId464"/>
    <hyperlink xmlns:r="http://schemas.openxmlformats.org/officeDocument/2006/relationships" ref="K195" r:id="rId465"/>
    <hyperlink xmlns:r="http://schemas.openxmlformats.org/officeDocument/2006/relationships" ref="L195" r:id="rId466"/>
    <hyperlink xmlns:r="http://schemas.openxmlformats.org/officeDocument/2006/relationships" ref="K196" r:id="rId467"/>
    <hyperlink xmlns:r="http://schemas.openxmlformats.org/officeDocument/2006/relationships" ref="L196" r:id="rId468"/>
    <hyperlink xmlns:r="http://schemas.openxmlformats.org/officeDocument/2006/relationships" ref="K197" r:id="rId469"/>
    <hyperlink xmlns:r="http://schemas.openxmlformats.org/officeDocument/2006/relationships" ref="L197" r:id="rId470"/>
    <hyperlink xmlns:r="http://schemas.openxmlformats.org/officeDocument/2006/relationships" ref="K198" r:id="rId471"/>
    <hyperlink xmlns:r="http://schemas.openxmlformats.org/officeDocument/2006/relationships" ref="L198" r:id="rId472"/>
    <hyperlink xmlns:r="http://schemas.openxmlformats.org/officeDocument/2006/relationships" ref="K199" r:id="rId473"/>
    <hyperlink xmlns:r="http://schemas.openxmlformats.org/officeDocument/2006/relationships" ref="L199" r:id="rId474"/>
    <hyperlink xmlns:r="http://schemas.openxmlformats.org/officeDocument/2006/relationships" ref="K200" r:id="rId475"/>
    <hyperlink xmlns:r="http://schemas.openxmlformats.org/officeDocument/2006/relationships" ref="L200" r:id="rId476"/>
    <hyperlink xmlns:r="http://schemas.openxmlformats.org/officeDocument/2006/relationships" ref="K201" r:id="rId477"/>
    <hyperlink xmlns:r="http://schemas.openxmlformats.org/officeDocument/2006/relationships" ref="L201" r:id="rId478"/>
    <hyperlink xmlns:r="http://schemas.openxmlformats.org/officeDocument/2006/relationships" ref="K202" r:id="rId479"/>
    <hyperlink xmlns:r="http://schemas.openxmlformats.org/officeDocument/2006/relationships" ref="L202" r:id="rId480"/>
    <hyperlink xmlns:r="http://schemas.openxmlformats.org/officeDocument/2006/relationships" ref="K203" r:id="rId481"/>
    <hyperlink xmlns:r="http://schemas.openxmlformats.org/officeDocument/2006/relationships" ref="L203" r:id="rId482"/>
    <hyperlink xmlns:r="http://schemas.openxmlformats.org/officeDocument/2006/relationships" ref="K204" r:id="rId483"/>
    <hyperlink xmlns:r="http://schemas.openxmlformats.org/officeDocument/2006/relationships" ref="L204" r:id="rId484"/>
    <hyperlink xmlns:r="http://schemas.openxmlformats.org/officeDocument/2006/relationships" ref="K205" r:id="rId485"/>
    <hyperlink xmlns:r="http://schemas.openxmlformats.org/officeDocument/2006/relationships" ref="L205" r:id="rId486"/>
    <hyperlink xmlns:r="http://schemas.openxmlformats.org/officeDocument/2006/relationships" ref="K206" r:id="rId487"/>
    <hyperlink xmlns:r="http://schemas.openxmlformats.org/officeDocument/2006/relationships" ref="L206" r:id="rId488"/>
    <hyperlink xmlns:r="http://schemas.openxmlformats.org/officeDocument/2006/relationships" ref="L207" r:id="rId489"/>
    <hyperlink xmlns:r="http://schemas.openxmlformats.org/officeDocument/2006/relationships" ref="K208" r:id="rId490"/>
    <hyperlink xmlns:r="http://schemas.openxmlformats.org/officeDocument/2006/relationships" ref="Q208" r:id="rId491"/>
    <hyperlink xmlns:r="http://schemas.openxmlformats.org/officeDocument/2006/relationships" ref="K209" r:id="rId492"/>
    <hyperlink xmlns:r="http://schemas.openxmlformats.org/officeDocument/2006/relationships" ref="Q209" r:id="rId493"/>
    <hyperlink xmlns:r="http://schemas.openxmlformats.org/officeDocument/2006/relationships" ref="K210" r:id="rId494"/>
    <hyperlink xmlns:r="http://schemas.openxmlformats.org/officeDocument/2006/relationships" ref="L210" r:id="rId495"/>
    <hyperlink xmlns:r="http://schemas.openxmlformats.org/officeDocument/2006/relationships" ref="K211" r:id="rId496"/>
    <hyperlink xmlns:r="http://schemas.openxmlformats.org/officeDocument/2006/relationships" ref="L211" r:id="rId497"/>
    <hyperlink xmlns:r="http://schemas.openxmlformats.org/officeDocument/2006/relationships" ref="K212" r:id="rId498"/>
    <hyperlink xmlns:r="http://schemas.openxmlformats.org/officeDocument/2006/relationships" ref="L212" r:id="rId499"/>
    <hyperlink xmlns:r="http://schemas.openxmlformats.org/officeDocument/2006/relationships" ref="K213" r:id="rId500"/>
    <hyperlink xmlns:r="http://schemas.openxmlformats.org/officeDocument/2006/relationships" ref="L213" r:id="rId501"/>
    <hyperlink xmlns:r="http://schemas.openxmlformats.org/officeDocument/2006/relationships" ref="K214" r:id="rId502"/>
    <hyperlink xmlns:r="http://schemas.openxmlformats.org/officeDocument/2006/relationships" ref="L214" r:id="rId503"/>
    <hyperlink xmlns:r="http://schemas.openxmlformats.org/officeDocument/2006/relationships" ref="L215" r:id="rId504"/>
    <hyperlink xmlns:r="http://schemas.openxmlformats.org/officeDocument/2006/relationships" ref="L216" r:id="rId505"/>
    <hyperlink xmlns:r="http://schemas.openxmlformats.org/officeDocument/2006/relationships" ref="L217" r:id="rId506"/>
    <hyperlink xmlns:r="http://schemas.openxmlformats.org/officeDocument/2006/relationships" ref="K218" r:id="rId507"/>
    <hyperlink xmlns:r="http://schemas.openxmlformats.org/officeDocument/2006/relationships" ref="L218" r:id="rId508"/>
    <hyperlink xmlns:r="http://schemas.openxmlformats.org/officeDocument/2006/relationships" ref="K219" r:id="rId509"/>
    <hyperlink xmlns:r="http://schemas.openxmlformats.org/officeDocument/2006/relationships" ref="L219" r:id="rId510"/>
    <hyperlink xmlns:r="http://schemas.openxmlformats.org/officeDocument/2006/relationships" ref="K220" r:id="rId511"/>
    <hyperlink xmlns:r="http://schemas.openxmlformats.org/officeDocument/2006/relationships" ref="L220" r:id="rId512"/>
    <hyperlink xmlns:r="http://schemas.openxmlformats.org/officeDocument/2006/relationships" ref="K221" r:id="rId513"/>
    <hyperlink xmlns:r="http://schemas.openxmlformats.org/officeDocument/2006/relationships" ref="L221" r:id="rId514"/>
    <hyperlink xmlns:r="http://schemas.openxmlformats.org/officeDocument/2006/relationships" ref="K222" r:id="rId515"/>
    <hyperlink xmlns:r="http://schemas.openxmlformats.org/officeDocument/2006/relationships" ref="L222" r:id="rId516"/>
    <hyperlink xmlns:r="http://schemas.openxmlformats.org/officeDocument/2006/relationships" ref="K223" r:id="rId517"/>
    <hyperlink xmlns:r="http://schemas.openxmlformats.org/officeDocument/2006/relationships" ref="L223" r:id="rId518"/>
    <hyperlink xmlns:r="http://schemas.openxmlformats.org/officeDocument/2006/relationships" ref="K224" r:id="rId519"/>
    <hyperlink xmlns:r="http://schemas.openxmlformats.org/officeDocument/2006/relationships" ref="L224" r:id="rId520"/>
    <hyperlink xmlns:r="http://schemas.openxmlformats.org/officeDocument/2006/relationships" ref="K225" r:id="rId521"/>
    <hyperlink xmlns:r="http://schemas.openxmlformats.org/officeDocument/2006/relationships" ref="L225" r:id="rId522"/>
    <hyperlink xmlns:r="http://schemas.openxmlformats.org/officeDocument/2006/relationships" ref="L226" r:id="rId523"/>
    <hyperlink xmlns:r="http://schemas.openxmlformats.org/officeDocument/2006/relationships" ref="K227" r:id="rId524"/>
    <hyperlink xmlns:r="http://schemas.openxmlformats.org/officeDocument/2006/relationships" ref="L227" r:id="rId525"/>
    <hyperlink xmlns:r="http://schemas.openxmlformats.org/officeDocument/2006/relationships" ref="K228" r:id="rId526"/>
    <hyperlink xmlns:r="http://schemas.openxmlformats.org/officeDocument/2006/relationships" ref="L228" r:id="rId527"/>
    <hyperlink xmlns:r="http://schemas.openxmlformats.org/officeDocument/2006/relationships" ref="L229" r:id="rId528"/>
    <hyperlink xmlns:r="http://schemas.openxmlformats.org/officeDocument/2006/relationships" ref="K230" r:id="rId529"/>
    <hyperlink xmlns:r="http://schemas.openxmlformats.org/officeDocument/2006/relationships" ref="L230" r:id="rId530"/>
    <hyperlink xmlns:r="http://schemas.openxmlformats.org/officeDocument/2006/relationships" ref="K231" r:id="rId531"/>
    <hyperlink xmlns:r="http://schemas.openxmlformats.org/officeDocument/2006/relationships" ref="L231" r:id="rId532"/>
    <hyperlink xmlns:r="http://schemas.openxmlformats.org/officeDocument/2006/relationships" ref="K232" r:id="rId533"/>
    <hyperlink xmlns:r="http://schemas.openxmlformats.org/officeDocument/2006/relationships" ref="L232" r:id="rId534"/>
    <hyperlink xmlns:r="http://schemas.openxmlformats.org/officeDocument/2006/relationships" ref="K233" r:id="rId535"/>
    <hyperlink xmlns:r="http://schemas.openxmlformats.org/officeDocument/2006/relationships" ref="L233" r:id="rId536"/>
    <hyperlink xmlns:r="http://schemas.openxmlformats.org/officeDocument/2006/relationships" ref="K234" r:id="rId537"/>
    <hyperlink xmlns:r="http://schemas.openxmlformats.org/officeDocument/2006/relationships" ref="L234" r:id="rId538"/>
    <hyperlink xmlns:r="http://schemas.openxmlformats.org/officeDocument/2006/relationships" ref="K235" r:id="rId539"/>
    <hyperlink xmlns:r="http://schemas.openxmlformats.org/officeDocument/2006/relationships" ref="L235" r:id="rId540"/>
    <hyperlink xmlns:r="http://schemas.openxmlformats.org/officeDocument/2006/relationships" ref="L236" r:id="rId541"/>
    <hyperlink xmlns:r="http://schemas.openxmlformats.org/officeDocument/2006/relationships" ref="K237" r:id="rId542"/>
    <hyperlink xmlns:r="http://schemas.openxmlformats.org/officeDocument/2006/relationships" ref="L237" r:id="rId543"/>
    <hyperlink xmlns:r="http://schemas.openxmlformats.org/officeDocument/2006/relationships" ref="L238" r:id="rId544"/>
    <hyperlink xmlns:r="http://schemas.openxmlformats.org/officeDocument/2006/relationships" ref="K239" r:id="rId545"/>
    <hyperlink xmlns:r="http://schemas.openxmlformats.org/officeDocument/2006/relationships" ref="Q239" r:id="rId546"/>
    <hyperlink xmlns:r="http://schemas.openxmlformats.org/officeDocument/2006/relationships" ref="K240" r:id="rId547"/>
    <hyperlink xmlns:r="http://schemas.openxmlformats.org/officeDocument/2006/relationships" ref="L240" r:id="rId548"/>
    <hyperlink xmlns:r="http://schemas.openxmlformats.org/officeDocument/2006/relationships" ref="K241" r:id="rId549"/>
    <hyperlink xmlns:r="http://schemas.openxmlformats.org/officeDocument/2006/relationships" ref="L241" r:id="rId550"/>
    <hyperlink xmlns:r="http://schemas.openxmlformats.org/officeDocument/2006/relationships" ref="K242" r:id="rId551"/>
    <hyperlink xmlns:r="http://schemas.openxmlformats.org/officeDocument/2006/relationships" ref="L242" r:id="rId552"/>
    <hyperlink xmlns:r="http://schemas.openxmlformats.org/officeDocument/2006/relationships" ref="K243" r:id="rId553"/>
    <hyperlink xmlns:r="http://schemas.openxmlformats.org/officeDocument/2006/relationships" ref="L243" r:id="rId554"/>
    <hyperlink xmlns:r="http://schemas.openxmlformats.org/officeDocument/2006/relationships" ref="K244" r:id="rId555"/>
    <hyperlink xmlns:r="http://schemas.openxmlformats.org/officeDocument/2006/relationships" ref="L244" r:id="rId556"/>
    <hyperlink xmlns:r="http://schemas.openxmlformats.org/officeDocument/2006/relationships" ref="K245" r:id="rId557"/>
    <hyperlink xmlns:r="http://schemas.openxmlformats.org/officeDocument/2006/relationships" ref="L245" r:id="rId558"/>
    <hyperlink xmlns:r="http://schemas.openxmlformats.org/officeDocument/2006/relationships" ref="K246" r:id="rId559"/>
    <hyperlink xmlns:r="http://schemas.openxmlformats.org/officeDocument/2006/relationships" ref="L246" r:id="rId560"/>
    <hyperlink xmlns:r="http://schemas.openxmlformats.org/officeDocument/2006/relationships" ref="K247" r:id="rId561"/>
    <hyperlink xmlns:r="http://schemas.openxmlformats.org/officeDocument/2006/relationships" ref="Q247" r:id="rId562"/>
    <hyperlink xmlns:r="http://schemas.openxmlformats.org/officeDocument/2006/relationships" ref="K248" r:id="rId563"/>
    <hyperlink xmlns:r="http://schemas.openxmlformats.org/officeDocument/2006/relationships" ref="L248" r:id="rId564"/>
    <hyperlink xmlns:r="http://schemas.openxmlformats.org/officeDocument/2006/relationships" ref="K249" r:id="rId565"/>
    <hyperlink xmlns:r="http://schemas.openxmlformats.org/officeDocument/2006/relationships" ref="L249" r:id="rId566"/>
    <hyperlink xmlns:r="http://schemas.openxmlformats.org/officeDocument/2006/relationships" ref="K250" r:id="rId567"/>
    <hyperlink xmlns:r="http://schemas.openxmlformats.org/officeDocument/2006/relationships" ref="L250" r:id="rId568"/>
    <hyperlink xmlns:r="http://schemas.openxmlformats.org/officeDocument/2006/relationships" ref="L251" r:id="rId569"/>
    <hyperlink xmlns:r="http://schemas.openxmlformats.org/officeDocument/2006/relationships" ref="K252" r:id="rId570"/>
    <hyperlink xmlns:r="http://schemas.openxmlformats.org/officeDocument/2006/relationships" ref="L252" r:id="rId571"/>
    <hyperlink xmlns:r="http://schemas.openxmlformats.org/officeDocument/2006/relationships" ref="K253" r:id="rId572"/>
    <hyperlink xmlns:r="http://schemas.openxmlformats.org/officeDocument/2006/relationships" ref="L253" r:id="rId573"/>
    <hyperlink xmlns:r="http://schemas.openxmlformats.org/officeDocument/2006/relationships" ref="L254" r:id="rId574"/>
    <hyperlink xmlns:r="http://schemas.openxmlformats.org/officeDocument/2006/relationships" ref="K255" r:id="rId575"/>
    <hyperlink xmlns:r="http://schemas.openxmlformats.org/officeDocument/2006/relationships" ref="L255" r:id="rId576"/>
    <hyperlink xmlns:r="http://schemas.openxmlformats.org/officeDocument/2006/relationships" ref="K256" r:id="rId577"/>
    <hyperlink xmlns:r="http://schemas.openxmlformats.org/officeDocument/2006/relationships" ref="L256" r:id="rId578"/>
    <hyperlink xmlns:r="http://schemas.openxmlformats.org/officeDocument/2006/relationships" ref="K257" r:id="rId579"/>
    <hyperlink xmlns:r="http://schemas.openxmlformats.org/officeDocument/2006/relationships" ref="L257" r:id="rId580"/>
    <hyperlink xmlns:r="http://schemas.openxmlformats.org/officeDocument/2006/relationships" ref="K258" r:id="rId581"/>
    <hyperlink xmlns:r="http://schemas.openxmlformats.org/officeDocument/2006/relationships" ref="Q258" r:id="rId582"/>
    <hyperlink xmlns:r="http://schemas.openxmlformats.org/officeDocument/2006/relationships" ref="L259" r:id="rId583"/>
    <hyperlink xmlns:r="http://schemas.openxmlformats.org/officeDocument/2006/relationships" ref="K260" r:id="rId584"/>
    <hyperlink xmlns:r="http://schemas.openxmlformats.org/officeDocument/2006/relationships" ref="L260" r:id="rId585"/>
    <hyperlink xmlns:r="http://schemas.openxmlformats.org/officeDocument/2006/relationships" ref="K261" r:id="rId586"/>
    <hyperlink xmlns:r="http://schemas.openxmlformats.org/officeDocument/2006/relationships" ref="L261" r:id="rId587"/>
    <hyperlink xmlns:r="http://schemas.openxmlformats.org/officeDocument/2006/relationships" ref="K262" r:id="rId588"/>
    <hyperlink xmlns:r="http://schemas.openxmlformats.org/officeDocument/2006/relationships" ref="L262" r:id="rId589"/>
    <hyperlink xmlns:r="http://schemas.openxmlformats.org/officeDocument/2006/relationships" ref="K263" r:id="rId590"/>
    <hyperlink xmlns:r="http://schemas.openxmlformats.org/officeDocument/2006/relationships" ref="L263" r:id="rId591"/>
    <hyperlink xmlns:r="http://schemas.openxmlformats.org/officeDocument/2006/relationships" ref="K264" r:id="rId592"/>
    <hyperlink xmlns:r="http://schemas.openxmlformats.org/officeDocument/2006/relationships" ref="P264" r:id="rId593"/>
    <hyperlink xmlns:r="http://schemas.openxmlformats.org/officeDocument/2006/relationships" ref="K265" r:id="rId594"/>
    <hyperlink xmlns:r="http://schemas.openxmlformats.org/officeDocument/2006/relationships" ref="L265" r:id="rId595"/>
    <hyperlink xmlns:r="http://schemas.openxmlformats.org/officeDocument/2006/relationships" ref="O265" r:id="rId596"/>
    <hyperlink xmlns:r="http://schemas.openxmlformats.org/officeDocument/2006/relationships" ref="P265" r:id="rId597"/>
    <hyperlink xmlns:r="http://schemas.openxmlformats.org/officeDocument/2006/relationships" ref="K266" r:id="rId598"/>
    <hyperlink xmlns:r="http://schemas.openxmlformats.org/officeDocument/2006/relationships" ref="O266" r:id="rId599"/>
    <hyperlink xmlns:r="http://schemas.openxmlformats.org/officeDocument/2006/relationships" ref="P266" r:id="rId600"/>
    <hyperlink xmlns:r="http://schemas.openxmlformats.org/officeDocument/2006/relationships" ref="K267" r:id="rId601"/>
    <hyperlink xmlns:r="http://schemas.openxmlformats.org/officeDocument/2006/relationships" ref="O267" r:id="rId602"/>
    <hyperlink xmlns:r="http://schemas.openxmlformats.org/officeDocument/2006/relationships" ref="P267" r:id="rId603"/>
    <hyperlink xmlns:r="http://schemas.openxmlformats.org/officeDocument/2006/relationships" ref="K268" r:id="rId604"/>
    <hyperlink xmlns:r="http://schemas.openxmlformats.org/officeDocument/2006/relationships" ref="O268" r:id="rId605"/>
    <hyperlink xmlns:r="http://schemas.openxmlformats.org/officeDocument/2006/relationships" ref="P268" r:id="rId606"/>
    <hyperlink xmlns:r="http://schemas.openxmlformats.org/officeDocument/2006/relationships" ref="K269" r:id="rId607"/>
    <hyperlink xmlns:r="http://schemas.openxmlformats.org/officeDocument/2006/relationships" ref="O269" r:id="rId608"/>
    <hyperlink xmlns:r="http://schemas.openxmlformats.org/officeDocument/2006/relationships" ref="P269" r:id="rId609"/>
    <hyperlink xmlns:r="http://schemas.openxmlformats.org/officeDocument/2006/relationships" ref="K270" r:id="rId610"/>
    <hyperlink xmlns:r="http://schemas.openxmlformats.org/officeDocument/2006/relationships" ref="O270" r:id="rId611"/>
    <hyperlink xmlns:r="http://schemas.openxmlformats.org/officeDocument/2006/relationships" ref="P270" r:id="rId612"/>
    <hyperlink xmlns:r="http://schemas.openxmlformats.org/officeDocument/2006/relationships" ref="K271" r:id="rId613"/>
    <hyperlink xmlns:r="http://schemas.openxmlformats.org/officeDocument/2006/relationships" ref="O271" r:id="rId614"/>
    <hyperlink xmlns:r="http://schemas.openxmlformats.org/officeDocument/2006/relationships" ref="P271" r:id="rId615"/>
    <hyperlink xmlns:r="http://schemas.openxmlformats.org/officeDocument/2006/relationships" ref="K272" r:id="rId616"/>
    <hyperlink xmlns:r="http://schemas.openxmlformats.org/officeDocument/2006/relationships" ref="O272" r:id="rId617"/>
    <hyperlink xmlns:r="http://schemas.openxmlformats.org/officeDocument/2006/relationships" ref="P272" r:id="rId618"/>
    <hyperlink xmlns:r="http://schemas.openxmlformats.org/officeDocument/2006/relationships" ref="K273" r:id="rId619"/>
    <hyperlink xmlns:r="http://schemas.openxmlformats.org/officeDocument/2006/relationships" ref="O273" r:id="rId620"/>
    <hyperlink xmlns:r="http://schemas.openxmlformats.org/officeDocument/2006/relationships" ref="P273" r:id="rId621"/>
    <hyperlink xmlns:r="http://schemas.openxmlformats.org/officeDocument/2006/relationships" ref="K274" r:id="rId622"/>
    <hyperlink xmlns:r="http://schemas.openxmlformats.org/officeDocument/2006/relationships" ref="O274" r:id="rId623"/>
    <hyperlink xmlns:r="http://schemas.openxmlformats.org/officeDocument/2006/relationships" ref="P274" r:id="rId624"/>
    <hyperlink xmlns:r="http://schemas.openxmlformats.org/officeDocument/2006/relationships" ref="K275" r:id="rId625"/>
    <hyperlink xmlns:r="http://schemas.openxmlformats.org/officeDocument/2006/relationships" ref="O275" r:id="rId626"/>
    <hyperlink xmlns:r="http://schemas.openxmlformats.org/officeDocument/2006/relationships" ref="P275" r:id="rId627"/>
    <hyperlink xmlns:r="http://schemas.openxmlformats.org/officeDocument/2006/relationships" ref="K276" r:id="rId628"/>
    <hyperlink xmlns:r="http://schemas.openxmlformats.org/officeDocument/2006/relationships" ref="P276" r:id="rId629"/>
    <hyperlink xmlns:r="http://schemas.openxmlformats.org/officeDocument/2006/relationships" ref="K277" r:id="rId630"/>
    <hyperlink xmlns:r="http://schemas.openxmlformats.org/officeDocument/2006/relationships" ref="O277" r:id="rId631"/>
    <hyperlink xmlns:r="http://schemas.openxmlformats.org/officeDocument/2006/relationships" ref="P277" r:id="rId632"/>
    <hyperlink xmlns:r="http://schemas.openxmlformats.org/officeDocument/2006/relationships" ref="K278" r:id="rId633"/>
    <hyperlink xmlns:r="http://schemas.openxmlformats.org/officeDocument/2006/relationships" ref="O278" r:id="rId634"/>
    <hyperlink xmlns:r="http://schemas.openxmlformats.org/officeDocument/2006/relationships" ref="P278" r:id="rId635"/>
    <hyperlink xmlns:r="http://schemas.openxmlformats.org/officeDocument/2006/relationships" ref="K279" r:id="rId636"/>
    <hyperlink xmlns:r="http://schemas.openxmlformats.org/officeDocument/2006/relationships" ref="O279" r:id="rId637"/>
    <hyperlink xmlns:r="http://schemas.openxmlformats.org/officeDocument/2006/relationships" ref="P279" r:id="rId638"/>
    <hyperlink xmlns:r="http://schemas.openxmlformats.org/officeDocument/2006/relationships" ref="K280" r:id="rId639"/>
    <hyperlink xmlns:r="http://schemas.openxmlformats.org/officeDocument/2006/relationships" ref="O280" r:id="rId640"/>
    <hyperlink xmlns:r="http://schemas.openxmlformats.org/officeDocument/2006/relationships" ref="P280" r:id="rId641"/>
    <hyperlink xmlns:r="http://schemas.openxmlformats.org/officeDocument/2006/relationships" ref="P281" r:id="rId642"/>
    <hyperlink xmlns:r="http://schemas.openxmlformats.org/officeDocument/2006/relationships" ref="K282" r:id="rId643"/>
    <hyperlink xmlns:r="http://schemas.openxmlformats.org/officeDocument/2006/relationships" ref="O282" r:id="rId644"/>
    <hyperlink xmlns:r="http://schemas.openxmlformats.org/officeDocument/2006/relationships" ref="P282" r:id="rId645"/>
    <hyperlink xmlns:r="http://schemas.openxmlformats.org/officeDocument/2006/relationships" ref="K283" r:id="rId646"/>
    <hyperlink xmlns:r="http://schemas.openxmlformats.org/officeDocument/2006/relationships" ref="O283" r:id="rId647"/>
    <hyperlink xmlns:r="http://schemas.openxmlformats.org/officeDocument/2006/relationships" ref="P283" r:id="rId648"/>
    <hyperlink xmlns:r="http://schemas.openxmlformats.org/officeDocument/2006/relationships" ref="K284" r:id="rId649"/>
    <hyperlink xmlns:r="http://schemas.openxmlformats.org/officeDocument/2006/relationships" ref="O284" r:id="rId650"/>
    <hyperlink xmlns:r="http://schemas.openxmlformats.org/officeDocument/2006/relationships" ref="P284" r:id="rId651"/>
    <hyperlink xmlns:r="http://schemas.openxmlformats.org/officeDocument/2006/relationships" ref="K285" r:id="rId652"/>
    <hyperlink xmlns:r="http://schemas.openxmlformats.org/officeDocument/2006/relationships" ref="O285" r:id="rId653"/>
    <hyperlink xmlns:r="http://schemas.openxmlformats.org/officeDocument/2006/relationships" ref="P285" r:id="rId654"/>
    <hyperlink xmlns:r="http://schemas.openxmlformats.org/officeDocument/2006/relationships" ref="K286" r:id="rId655"/>
    <hyperlink xmlns:r="http://schemas.openxmlformats.org/officeDocument/2006/relationships" ref="O286" r:id="rId656"/>
    <hyperlink xmlns:r="http://schemas.openxmlformats.org/officeDocument/2006/relationships" ref="P286" r:id="rId657"/>
    <hyperlink xmlns:r="http://schemas.openxmlformats.org/officeDocument/2006/relationships" ref="K287" r:id="rId658"/>
    <hyperlink xmlns:r="http://schemas.openxmlformats.org/officeDocument/2006/relationships" ref="O287" r:id="rId659"/>
    <hyperlink xmlns:r="http://schemas.openxmlformats.org/officeDocument/2006/relationships" ref="P287" r:id="rId660"/>
    <hyperlink xmlns:r="http://schemas.openxmlformats.org/officeDocument/2006/relationships" ref="K288" r:id="rId661"/>
    <hyperlink xmlns:r="http://schemas.openxmlformats.org/officeDocument/2006/relationships" ref="O288" r:id="rId662"/>
    <hyperlink xmlns:r="http://schemas.openxmlformats.org/officeDocument/2006/relationships" ref="P288" r:id="rId663"/>
    <hyperlink xmlns:r="http://schemas.openxmlformats.org/officeDocument/2006/relationships" ref="K289" r:id="rId664"/>
    <hyperlink xmlns:r="http://schemas.openxmlformats.org/officeDocument/2006/relationships" ref="O289" r:id="rId665"/>
    <hyperlink xmlns:r="http://schemas.openxmlformats.org/officeDocument/2006/relationships" ref="P289" r:id="rId666"/>
    <hyperlink xmlns:r="http://schemas.openxmlformats.org/officeDocument/2006/relationships" ref="K290" r:id="rId667"/>
    <hyperlink xmlns:r="http://schemas.openxmlformats.org/officeDocument/2006/relationships" ref="O290" r:id="rId668"/>
    <hyperlink xmlns:r="http://schemas.openxmlformats.org/officeDocument/2006/relationships" ref="P290" r:id="rId669"/>
    <hyperlink xmlns:r="http://schemas.openxmlformats.org/officeDocument/2006/relationships" ref="K291" r:id="rId670"/>
    <hyperlink xmlns:r="http://schemas.openxmlformats.org/officeDocument/2006/relationships" ref="O291" r:id="rId671"/>
    <hyperlink xmlns:r="http://schemas.openxmlformats.org/officeDocument/2006/relationships" ref="P291" r:id="rId672"/>
    <hyperlink xmlns:r="http://schemas.openxmlformats.org/officeDocument/2006/relationships" ref="K292" r:id="rId673"/>
    <hyperlink xmlns:r="http://schemas.openxmlformats.org/officeDocument/2006/relationships" ref="O292" r:id="rId674"/>
    <hyperlink xmlns:r="http://schemas.openxmlformats.org/officeDocument/2006/relationships" ref="P292" r:id="rId675"/>
    <hyperlink xmlns:r="http://schemas.openxmlformats.org/officeDocument/2006/relationships" ref="K294" r:id="rId676"/>
    <hyperlink xmlns:r="http://schemas.openxmlformats.org/officeDocument/2006/relationships" ref="O294" r:id="rId677"/>
    <hyperlink xmlns:r="http://schemas.openxmlformats.org/officeDocument/2006/relationships" ref="P294" r:id="rId678"/>
    <hyperlink xmlns:r="http://schemas.openxmlformats.org/officeDocument/2006/relationships" ref="K295" r:id="rId679"/>
    <hyperlink xmlns:r="http://schemas.openxmlformats.org/officeDocument/2006/relationships" ref="O295" r:id="rId680"/>
    <hyperlink xmlns:r="http://schemas.openxmlformats.org/officeDocument/2006/relationships" ref="P295" r:id="rId681"/>
    <hyperlink xmlns:r="http://schemas.openxmlformats.org/officeDocument/2006/relationships" ref="O296" r:id="rId682"/>
    <hyperlink xmlns:r="http://schemas.openxmlformats.org/officeDocument/2006/relationships" ref="K297" r:id="rId683"/>
    <hyperlink xmlns:r="http://schemas.openxmlformats.org/officeDocument/2006/relationships" ref="P297" r:id="rId684"/>
    <hyperlink xmlns:r="http://schemas.openxmlformats.org/officeDocument/2006/relationships" ref="P298" r:id="rId685"/>
    <hyperlink xmlns:r="http://schemas.openxmlformats.org/officeDocument/2006/relationships" ref="K299" r:id="rId686"/>
    <hyperlink xmlns:r="http://schemas.openxmlformats.org/officeDocument/2006/relationships" ref="O299" r:id="rId687"/>
    <hyperlink xmlns:r="http://schemas.openxmlformats.org/officeDocument/2006/relationships" ref="P299" r:id="rId688"/>
    <hyperlink xmlns:r="http://schemas.openxmlformats.org/officeDocument/2006/relationships" ref="K300" r:id="rId689"/>
    <hyperlink xmlns:r="http://schemas.openxmlformats.org/officeDocument/2006/relationships" ref="O300" r:id="rId690"/>
    <hyperlink xmlns:r="http://schemas.openxmlformats.org/officeDocument/2006/relationships" ref="P300" r:id="rId691"/>
    <hyperlink xmlns:r="http://schemas.openxmlformats.org/officeDocument/2006/relationships" ref="P301" r:id="rId692"/>
    <hyperlink xmlns:r="http://schemas.openxmlformats.org/officeDocument/2006/relationships" ref="K303" r:id="rId693"/>
    <hyperlink xmlns:r="http://schemas.openxmlformats.org/officeDocument/2006/relationships" ref="O303" r:id="rId694"/>
    <hyperlink xmlns:r="http://schemas.openxmlformats.org/officeDocument/2006/relationships" ref="P303" r:id="rId695"/>
    <hyperlink xmlns:r="http://schemas.openxmlformats.org/officeDocument/2006/relationships" ref="K304" r:id="rId696"/>
    <hyperlink xmlns:r="http://schemas.openxmlformats.org/officeDocument/2006/relationships" ref="O304" r:id="rId697"/>
    <hyperlink xmlns:r="http://schemas.openxmlformats.org/officeDocument/2006/relationships" ref="P304" r:id="rId698"/>
    <hyperlink xmlns:r="http://schemas.openxmlformats.org/officeDocument/2006/relationships" ref="K305" r:id="rId699"/>
    <hyperlink xmlns:r="http://schemas.openxmlformats.org/officeDocument/2006/relationships" ref="O305" r:id="rId700"/>
    <hyperlink xmlns:r="http://schemas.openxmlformats.org/officeDocument/2006/relationships" ref="P305" r:id="rId701"/>
    <hyperlink xmlns:r="http://schemas.openxmlformats.org/officeDocument/2006/relationships" ref="K306" r:id="rId702"/>
    <hyperlink xmlns:r="http://schemas.openxmlformats.org/officeDocument/2006/relationships" ref="O306" r:id="rId703"/>
    <hyperlink xmlns:r="http://schemas.openxmlformats.org/officeDocument/2006/relationships" ref="P306" r:id="rId704"/>
    <hyperlink xmlns:r="http://schemas.openxmlformats.org/officeDocument/2006/relationships" ref="O307" r:id="rId705"/>
    <hyperlink xmlns:r="http://schemas.openxmlformats.org/officeDocument/2006/relationships" ref="K308" r:id="rId706"/>
    <hyperlink xmlns:r="http://schemas.openxmlformats.org/officeDocument/2006/relationships" ref="O308" r:id="rId707"/>
    <hyperlink xmlns:r="http://schemas.openxmlformats.org/officeDocument/2006/relationships" ref="P308" r:id="rId708"/>
    <hyperlink xmlns:r="http://schemas.openxmlformats.org/officeDocument/2006/relationships" ref="K309" r:id="rId709"/>
    <hyperlink xmlns:r="http://schemas.openxmlformats.org/officeDocument/2006/relationships" ref="O309" r:id="rId710"/>
    <hyperlink xmlns:r="http://schemas.openxmlformats.org/officeDocument/2006/relationships" ref="P309" r:id="rId711"/>
    <hyperlink xmlns:r="http://schemas.openxmlformats.org/officeDocument/2006/relationships" ref="K310" r:id="rId712"/>
    <hyperlink xmlns:r="http://schemas.openxmlformats.org/officeDocument/2006/relationships" ref="P310" r:id="rId713"/>
    <hyperlink xmlns:r="http://schemas.openxmlformats.org/officeDocument/2006/relationships" ref="K313" r:id="rId714"/>
    <hyperlink xmlns:r="http://schemas.openxmlformats.org/officeDocument/2006/relationships" ref="O313" r:id="rId715"/>
    <hyperlink xmlns:r="http://schemas.openxmlformats.org/officeDocument/2006/relationships" ref="P313" r:id="rId716"/>
    <hyperlink xmlns:r="http://schemas.openxmlformats.org/officeDocument/2006/relationships" ref="K314" r:id="rId717"/>
    <hyperlink xmlns:r="http://schemas.openxmlformats.org/officeDocument/2006/relationships" ref="O314" r:id="rId718"/>
    <hyperlink xmlns:r="http://schemas.openxmlformats.org/officeDocument/2006/relationships" ref="P314" r:id="rId719"/>
    <hyperlink xmlns:r="http://schemas.openxmlformats.org/officeDocument/2006/relationships" ref="K315" r:id="rId720"/>
    <hyperlink xmlns:r="http://schemas.openxmlformats.org/officeDocument/2006/relationships" ref="O315" r:id="rId721"/>
    <hyperlink xmlns:r="http://schemas.openxmlformats.org/officeDocument/2006/relationships" ref="P315" r:id="rId722"/>
    <hyperlink xmlns:r="http://schemas.openxmlformats.org/officeDocument/2006/relationships" ref="K316" r:id="rId723"/>
    <hyperlink xmlns:r="http://schemas.openxmlformats.org/officeDocument/2006/relationships" ref="O316" r:id="rId724"/>
    <hyperlink xmlns:r="http://schemas.openxmlformats.org/officeDocument/2006/relationships" ref="P316" r:id="rId725"/>
    <hyperlink xmlns:r="http://schemas.openxmlformats.org/officeDocument/2006/relationships" ref="O317" r:id="rId726"/>
    <hyperlink xmlns:r="http://schemas.openxmlformats.org/officeDocument/2006/relationships" ref="K318" r:id="rId727"/>
    <hyperlink xmlns:r="http://schemas.openxmlformats.org/officeDocument/2006/relationships" ref="O318" r:id="rId728"/>
    <hyperlink xmlns:r="http://schemas.openxmlformats.org/officeDocument/2006/relationships" ref="P318" r:id="rId729"/>
    <hyperlink xmlns:r="http://schemas.openxmlformats.org/officeDocument/2006/relationships" ref="K319" r:id="rId730"/>
    <hyperlink xmlns:r="http://schemas.openxmlformats.org/officeDocument/2006/relationships" ref="O319" r:id="rId731"/>
    <hyperlink xmlns:r="http://schemas.openxmlformats.org/officeDocument/2006/relationships" ref="P319" r:id="rId732"/>
    <hyperlink xmlns:r="http://schemas.openxmlformats.org/officeDocument/2006/relationships" ref="K320" r:id="rId733"/>
    <hyperlink xmlns:r="http://schemas.openxmlformats.org/officeDocument/2006/relationships" ref="O320" r:id="rId734"/>
    <hyperlink xmlns:r="http://schemas.openxmlformats.org/officeDocument/2006/relationships" ref="P320" r:id="rId735"/>
    <hyperlink xmlns:r="http://schemas.openxmlformats.org/officeDocument/2006/relationships" ref="O321" r:id="rId736"/>
    <hyperlink xmlns:r="http://schemas.openxmlformats.org/officeDocument/2006/relationships" ref="P321" r:id="rId737"/>
    <hyperlink xmlns:r="http://schemas.openxmlformats.org/officeDocument/2006/relationships" ref="K322" r:id="rId738"/>
    <hyperlink xmlns:r="http://schemas.openxmlformats.org/officeDocument/2006/relationships" ref="O322" r:id="rId739"/>
    <hyperlink xmlns:r="http://schemas.openxmlformats.org/officeDocument/2006/relationships" ref="P322" r:id="rId740"/>
    <hyperlink xmlns:r="http://schemas.openxmlformats.org/officeDocument/2006/relationships" ref="K323" r:id="rId741"/>
    <hyperlink xmlns:r="http://schemas.openxmlformats.org/officeDocument/2006/relationships" ref="O323" r:id="rId742"/>
    <hyperlink xmlns:r="http://schemas.openxmlformats.org/officeDocument/2006/relationships" ref="P323" r:id="rId743"/>
    <hyperlink xmlns:r="http://schemas.openxmlformats.org/officeDocument/2006/relationships" ref="O324" r:id="rId744"/>
    <hyperlink xmlns:r="http://schemas.openxmlformats.org/officeDocument/2006/relationships" ref="P324" r:id="rId745"/>
    <hyperlink xmlns:r="http://schemas.openxmlformats.org/officeDocument/2006/relationships" ref="K326" r:id="rId746"/>
    <hyperlink xmlns:r="http://schemas.openxmlformats.org/officeDocument/2006/relationships" ref="O326" r:id="rId747"/>
    <hyperlink xmlns:r="http://schemas.openxmlformats.org/officeDocument/2006/relationships" ref="P326" r:id="rId748"/>
    <hyperlink xmlns:r="http://schemas.openxmlformats.org/officeDocument/2006/relationships" ref="O327" r:id="rId749"/>
    <hyperlink xmlns:r="http://schemas.openxmlformats.org/officeDocument/2006/relationships" ref="P327" r:id="rId750"/>
    <hyperlink xmlns:r="http://schemas.openxmlformats.org/officeDocument/2006/relationships" ref="K328" r:id="rId751"/>
    <hyperlink xmlns:r="http://schemas.openxmlformats.org/officeDocument/2006/relationships" ref="O328" r:id="rId752"/>
    <hyperlink xmlns:r="http://schemas.openxmlformats.org/officeDocument/2006/relationships" ref="P328" r:id="rId753"/>
    <hyperlink xmlns:r="http://schemas.openxmlformats.org/officeDocument/2006/relationships" ref="O329" r:id="rId754"/>
    <hyperlink xmlns:r="http://schemas.openxmlformats.org/officeDocument/2006/relationships" ref="P329" r:id="rId755"/>
    <hyperlink xmlns:r="http://schemas.openxmlformats.org/officeDocument/2006/relationships" ref="K330" r:id="rId756"/>
    <hyperlink xmlns:r="http://schemas.openxmlformats.org/officeDocument/2006/relationships" ref="O330" r:id="rId757"/>
    <hyperlink xmlns:r="http://schemas.openxmlformats.org/officeDocument/2006/relationships" ref="P330" r:id="rId758"/>
    <hyperlink xmlns:r="http://schemas.openxmlformats.org/officeDocument/2006/relationships" ref="K331" r:id="rId759"/>
    <hyperlink xmlns:r="http://schemas.openxmlformats.org/officeDocument/2006/relationships" ref="O331" r:id="rId760"/>
    <hyperlink xmlns:r="http://schemas.openxmlformats.org/officeDocument/2006/relationships" ref="P331" r:id="rId761"/>
    <hyperlink xmlns:r="http://schemas.openxmlformats.org/officeDocument/2006/relationships" ref="K332" r:id="rId762"/>
    <hyperlink xmlns:r="http://schemas.openxmlformats.org/officeDocument/2006/relationships" ref="O332" r:id="rId763"/>
    <hyperlink xmlns:r="http://schemas.openxmlformats.org/officeDocument/2006/relationships" ref="P332" r:id="rId764"/>
    <hyperlink xmlns:r="http://schemas.openxmlformats.org/officeDocument/2006/relationships" ref="K333" r:id="rId765"/>
    <hyperlink xmlns:r="http://schemas.openxmlformats.org/officeDocument/2006/relationships" ref="O333" r:id="rId766"/>
    <hyperlink xmlns:r="http://schemas.openxmlformats.org/officeDocument/2006/relationships" ref="P333" r:id="rId767"/>
    <hyperlink xmlns:r="http://schemas.openxmlformats.org/officeDocument/2006/relationships" ref="K334" r:id="rId768"/>
    <hyperlink xmlns:r="http://schemas.openxmlformats.org/officeDocument/2006/relationships" ref="O334" r:id="rId769"/>
    <hyperlink xmlns:r="http://schemas.openxmlformats.org/officeDocument/2006/relationships" ref="P334" r:id="rId770"/>
    <hyperlink xmlns:r="http://schemas.openxmlformats.org/officeDocument/2006/relationships" ref="K335" r:id="rId771"/>
    <hyperlink xmlns:r="http://schemas.openxmlformats.org/officeDocument/2006/relationships" ref="O335" r:id="rId772"/>
    <hyperlink xmlns:r="http://schemas.openxmlformats.org/officeDocument/2006/relationships" ref="P335" r:id="rId773"/>
    <hyperlink xmlns:r="http://schemas.openxmlformats.org/officeDocument/2006/relationships" ref="K336" r:id="rId774"/>
    <hyperlink xmlns:r="http://schemas.openxmlformats.org/officeDocument/2006/relationships" ref="O336" r:id="rId775"/>
    <hyperlink xmlns:r="http://schemas.openxmlformats.org/officeDocument/2006/relationships" ref="P336" r:id="rId776"/>
    <hyperlink xmlns:r="http://schemas.openxmlformats.org/officeDocument/2006/relationships" ref="K337" r:id="rId777"/>
    <hyperlink xmlns:r="http://schemas.openxmlformats.org/officeDocument/2006/relationships" ref="O337" r:id="rId778"/>
    <hyperlink xmlns:r="http://schemas.openxmlformats.org/officeDocument/2006/relationships" ref="P337" r:id="rId779"/>
    <hyperlink xmlns:r="http://schemas.openxmlformats.org/officeDocument/2006/relationships" ref="K338" r:id="rId780"/>
    <hyperlink xmlns:r="http://schemas.openxmlformats.org/officeDocument/2006/relationships" ref="O338" r:id="rId781"/>
    <hyperlink xmlns:r="http://schemas.openxmlformats.org/officeDocument/2006/relationships" ref="P338" r:id="rId782"/>
    <hyperlink xmlns:r="http://schemas.openxmlformats.org/officeDocument/2006/relationships" ref="K339" r:id="rId783"/>
    <hyperlink xmlns:r="http://schemas.openxmlformats.org/officeDocument/2006/relationships" ref="O339" r:id="rId784"/>
    <hyperlink xmlns:r="http://schemas.openxmlformats.org/officeDocument/2006/relationships" ref="P339" r:id="rId785"/>
    <hyperlink xmlns:r="http://schemas.openxmlformats.org/officeDocument/2006/relationships" ref="O340" r:id="rId786"/>
    <hyperlink xmlns:r="http://schemas.openxmlformats.org/officeDocument/2006/relationships" ref="P340" r:id="rId787"/>
    <hyperlink xmlns:r="http://schemas.openxmlformats.org/officeDocument/2006/relationships" ref="K341" r:id="rId788"/>
    <hyperlink xmlns:r="http://schemas.openxmlformats.org/officeDocument/2006/relationships" ref="O341" r:id="rId789"/>
    <hyperlink xmlns:r="http://schemas.openxmlformats.org/officeDocument/2006/relationships" ref="P341" r:id="rId790"/>
    <hyperlink xmlns:r="http://schemas.openxmlformats.org/officeDocument/2006/relationships" ref="O342" r:id="rId791"/>
    <hyperlink xmlns:r="http://schemas.openxmlformats.org/officeDocument/2006/relationships" ref="P342" r:id="rId792"/>
    <hyperlink xmlns:r="http://schemas.openxmlformats.org/officeDocument/2006/relationships" ref="K343" r:id="rId793"/>
    <hyperlink xmlns:r="http://schemas.openxmlformats.org/officeDocument/2006/relationships" ref="O343" r:id="rId794"/>
    <hyperlink xmlns:r="http://schemas.openxmlformats.org/officeDocument/2006/relationships" ref="P343" r:id="rId795"/>
    <hyperlink xmlns:r="http://schemas.openxmlformats.org/officeDocument/2006/relationships" ref="K344" r:id="rId796"/>
    <hyperlink xmlns:r="http://schemas.openxmlformats.org/officeDocument/2006/relationships" ref="P344" r:id="rId797"/>
    <hyperlink xmlns:r="http://schemas.openxmlformats.org/officeDocument/2006/relationships" ref="K345" r:id="rId798"/>
    <hyperlink xmlns:r="http://schemas.openxmlformats.org/officeDocument/2006/relationships" ref="O345" r:id="rId799"/>
    <hyperlink xmlns:r="http://schemas.openxmlformats.org/officeDocument/2006/relationships" ref="P345" r:id="rId800"/>
    <hyperlink xmlns:r="http://schemas.openxmlformats.org/officeDocument/2006/relationships" ref="K346" r:id="rId801"/>
    <hyperlink xmlns:r="http://schemas.openxmlformats.org/officeDocument/2006/relationships" ref="O346" r:id="rId802"/>
    <hyperlink xmlns:r="http://schemas.openxmlformats.org/officeDocument/2006/relationships" ref="P346" r:id="rId803"/>
    <hyperlink xmlns:r="http://schemas.openxmlformats.org/officeDocument/2006/relationships" ref="O347" r:id="rId804"/>
    <hyperlink xmlns:r="http://schemas.openxmlformats.org/officeDocument/2006/relationships" ref="P347" r:id="rId805"/>
    <hyperlink xmlns:r="http://schemas.openxmlformats.org/officeDocument/2006/relationships" ref="Q348" r:id="rId806"/>
    <hyperlink xmlns:r="http://schemas.openxmlformats.org/officeDocument/2006/relationships" ref="Q349" r:id="rId807"/>
    <hyperlink xmlns:r="http://schemas.openxmlformats.org/officeDocument/2006/relationships" ref="Q350" r:id="rId808"/>
    <hyperlink xmlns:r="http://schemas.openxmlformats.org/officeDocument/2006/relationships" ref="Q351" r:id="rId809"/>
    <hyperlink xmlns:r="http://schemas.openxmlformats.org/officeDocument/2006/relationships" ref="Q352" r:id="rId810"/>
    <hyperlink xmlns:r="http://schemas.openxmlformats.org/officeDocument/2006/relationships" ref="Q353" r:id="rId811"/>
    <hyperlink xmlns:r="http://schemas.openxmlformats.org/officeDocument/2006/relationships" ref="Q354" r:id="rId812"/>
    <hyperlink xmlns:r="http://schemas.openxmlformats.org/officeDocument/2006/relationships" ref="Q355" r:id="rId813"/>
    <hyperlink xmlns:r="http://schemas.openxmlformats.org/officeDocument/2006/relationships" ref="Q356" r:id="rId814"/>
    <hyperlink xmlns:r="http://schemas.openxmlformats.org/officeDocument/2006/relationships" ref="Q357" r:id="rId815"/>
    <hyperlink xmlns:r="http://schemas.openxmlformats.org/officeDocument/2006/relationships" ref="Q358" r:id="rId816"/>
    <hyperlink xmlns:r="http://schemas.openxmlformats.org/officeDocument/2006/relationships" ref="Q359" r:id="rId817"/>
    <hyperlink xmlns:r="http://schemas.openxmlformats.org/officeDocument/2006/relationships" ref="Q360" r:id="rId818"/>
    <hyperlink xmlns:r="http://schemas.openxmlformats.org/officeDocument/2006/relationships" ref="Q361" r:id="rId819"/>
    <hyperlink xmlns:r="http://schemas.openxmlformats.org/officeDocument/2006/relationships" ref="Q362" r:id="rId820"/>
    <hyperlink xmlns:r="http://schemas.openxmlformats.org/officeDocument/2006/relationships" ref="Q363" r:id="rId8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t="inlineStr">
        <is>
          <t>Reports on the worklist</t>
        </is>
      </c>
      <c r="B1">
        <f>COUNTA(Worklist!B2:B363)</f>
        <v/>
      </c>
    </row>
    <row r="2">
      <c r="A2" t="inlineStr">
        <is>
          <t>Route group 1 PMC record exists</t>
        </is>
      </c>
      <c r="B2">
        <f>COUNTIF(Worklist!R2:R363,"1 PMC record exists")</f>
        <v/>
      </c>
    </row>
    <row r="3">
      <c r="A3" t="inlineStr">
        <is>
          <t>Route group 2 English, DOI or PubMed link</t>
        </is>
      </c>
      <c r="B3">
        <f>COUNTIF(Worklist!R2:R363,"2 English, DOI or PubMed link")</f>
        <v/>
      </c>
    </row>
    <row r="4">
      <c r="A4" t="inlineStr">
        <is>
          <t>Route group 3 Chinese</t>
        </is>
      </c>
      <c r="B4">
        <f>COUNTIF(Worklist!R2:R363,"3 Chinese")</f>
        <v/>
      </c>
    </row>
    <row r="5">
      <c r="A5" t="inlineStr">
        <is>
          <t>Route group 4 English, no DOI and no PubMed link</t>
        </is>
      </c>
      <c r="B5">
        <f>COUNTIF(Worklist!R2:R363,"4 English, no DOI and no PubMed link")</f>
        <v/>
      </c>
    </row>
    <row r="6">
      <c r="A6" t="inlineStr">
        <is>
          <t>Full text obtained (first try)</t>
        </is>
      </c>
      <c r="B6">
        <f>COUNTIF(Worklist!W2:W363,"Yes")</f>
        <v/>
      </c>
    </row>
    <row r="7">
      <c r="A7" t="inlineStr">
        <is>
          <t>Not obtained at first try</t>
        </is>
      </c>
      <c r="B7">
        <f>COUNTIF(Worklist!W2:W363,"No")</f>
        <v/>
      </c>
    </row>
    <row r="8">
      <c r="A8" t="inlineStr">
        <is>
          <t>Second try obtained</t>
        </is>
      </c>
      <c r="B8">
        <f>COUNTIF(Worklist!AB2:AB363,"Yes")</f>
        <v/>
      </c>
    </row>
    <row r="9">
      <c r="A9" t="inlineStr">
        <is>
          <t>Second try not obtained (candidates for reason D if both logged all routes)</t>
        </is>
      </c>
      <c r="B9">
        <f>COUNTIF(Worklist!AB2:AB363,"No")</f>
        <v/>
      </c>
    </row>
    <row r="10">
      <c r="A10" t="inlineStr">
        <is>
          <t>Not yet tried</t>
        </is>
      </c>
      <c r="B10">
        <f>COUNTA(Worklist!B2:B363)-COUNTA(Worklist!W2:W363)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2026-10-18T22:50:59Z</dcterms:created>
  <dcterms:modified xmlns:dcterms="http://purl.org/dc/terms/" xmlns:xsi="http://www.w3.org/2001/XMLSchema-instance" xsi:type="dcterms:W3CDTF">2026-10-18T22:51:00Z</dcterms:modified>
</cp:coreProperties>
</file>