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Worklist" sheetId="2" state="visible" r:id="rId2"/>
    <sheet xmlns:r="http://schemas.openxmlformats.org/officeDocument/2006/relationships" name="Summary" sheetId="3" state="visible" r:id="rId3"/>
  </sheets>
  <definedNames>
    <definedName name="_xlnm._FilterDatabase" localSheetId="1" hidden="1">'Worklist'!$A$1:$AE$541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563C1"/>
      <u val="single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oi.org/10.1097/rc9.0000000000000696" TargetMode="External" Id="rId1"/><Relationship Type="http://schemas.openxmlformats.org/officeDocument/2006/relationships/hyperlink" Target="https://pubmed.ncbi.nlm.nih.gov/42699937/" TargetMode="External" Id="rId2"/><Relationship Type="http://schemas.openxmlformats.org/officeDocument/2006/relationships/hyperlink" Target="https://pmc.ncbi.nlm.nih.gov/articles/PMC13544840/" TargetMode="External" Id="rId3"/><Relationship Type="http://schemas.openxmlformats.org/officeDocument/2006/relationships/hyperlink" Target="https://doi.org/10.7759/cureus.111195" TargetMode="External" Id="rId4"/><Relationship Type="http://schemas.openxmlformats.org/officeDocument/2006/relationships/hyperlink" Target="https://pubmed.ncbi.nlm.nih.gov/42519252/" TargetMode="External" Id="rId5"/><Relationship Type="http://schemas.openxmlformats.org/officeDocument/2006/relationships/hyperlink" Target="https://pmc.ncbi.nlm.nih.gov/articles/PMC13384039/" TargetMode="External" Id="rId6"/><Relationship Type="http://schemas.openxmlformats.org/officeDocument/2006/relationships/hyperlink" Target="https://doi.org/10.7759/cureus.110126" TargetMode="External" Id="rId7"/><Relationship Type="http://schemas.openxmlformats.org/officeDocument/2006/relationships/hyperlink" Target="https://pubmed.ncbi.nlm.nih.gov/42395192/" TargetMode="External" Id="rId8"/><Relationship Type="http://schemas.openxmlformats.org/officeDocument/2006/relationships/hyperlink" Target="https://pmc.ncbi.nlm.nih.gov/articles/PMC13326857/" TargetMode="External" Id="rId9"/><Relationship Type="http://schemas.openxmlformats.org/officeDocument/2006/relationships/hyperlink" Target="https://doi.org/10.4102/sajr.v30i1.3366" TargetMode="External" Id="rId10"/><Relationship Type="http://schemas.openxmlformats.org/officeDocument/2006/relationships/hyperlink" Target="https://pubmed.ncbi.nlm.nih.gov/41959687/" TargetMode="External" Id="rId11"/><Relationship Type="http://schemas.openxmlformats.org/officeDocument/2006/relationships/hyperlink" Target="https://pmc.ncbi.nlm.nih.gov/articles/PMC13058552/" TargetMode="External" Id="rId12"/><Relationship Type="http://schemas.openxmlformats.org/officeDocument/2006/relationships/hyperlink" Target="https://doi.org/10.3389/fped.2025.1705547" TargetMode="External" Id="rId13"/><Relationship Type="http://schemas.openxmlformats.org/officeDocument/2006/relationships/hyperlink" Target="https://pubmed.ncbi.nlm.nih.gov/41378192/" TargetMode="External" Id="rId14"/><Relationship Type="http://schemas.openxmlformats.org/officeDocument/2006/relationships/hyperlink" Target="https://pmc.ncbi.nlm.nih.gov/articles/PMC12685921/" TargetMode="External" Id="rId15"/><Relationship Type="http://schemas.openxmlformats.org/officeDocument/2006/relationships/hyperlink" Target="https://doi.org/10.1002/ccr3.71007" TargetMode="External" Id="rId16"/><Relationship Type="http://schemas.openxmlformats.org/officeDocument/2006/relationships/hyperlink" Target="https://pubmed.ncbi.nlm.nih.gov/41113293/" TargetMode="External" Id="rId17"/><Relationship Type="http://schemas.openxmlformats.org/officeDocument/2006/relationships/hyperlink" Target="https://pmc.ncbi.nlm.nih.gov/articles/PMC12528540/" TargetMode="External" Id="rId18"/><Relationship Type="http://schemas.openxmlformats.org/officeDocument/2006/relationships/hyperlink" Target="https://doi.org/10.1002/ccr3.71204" TargetMode="External" Id="rId19"/><Relationship Type="http://schemas.openxmlformats.org/officeDocument/2006/relationships/hyperlink" Target="https://pubmed.ncbi.nlm.nih.gov/41079801/" TargetMode="External" Id="rId20"/><Relationship Type="http://schemas.openxmlformats.org/officeDocument/2006/relationships/hyperlink" Target="https://pmc.ncbi.nlm.nih.gov/articles/PMC12507506/" TargetMode="External" Id="rId21"/><Relationship Type="http://schemas.openxmlformats.org/officeDocument/2006/relationships/hyperlink" Target="https://doi.org/10.7759/cureus.90043" TargetMode="External" Id="rId22"/><Relationship Type="http://schemas.openxmlformats.org/officeDocument/2006/relationships/hyperlink" Target="https://pubmed.ncbi.nlm.nih.gov/40951031/" TargetMode="External" Id="rId23"/><Relationship Type="http://schemas.openxmlformats.org/officeDocument/2006/relationships/hyperlink" Target="https://pmc.ncbi.nlm.nih.gov/articles/PMC12432479/" TargetMode="External" Id="rId24"/><Relationship Type="http://schemas.openxmlformats.org/officeDocument/2006/relationships/hyperlink" Target="https://doi.org/10.3389/fmed.2025.1646831" TargetMode="External" Id="rId25"/><Relationship Type="http://schemas.openxmlformats.org/officeDocument/2006/relationships/hyperlink" Target="https://pubmed.ncbi.nlm.nih.gov/40893905/" TargetMode="External" Id="rId26"/><Relationship Type="http://schemas.openxmlformats.org/officeDocument/2006/relationships/hyperlink" Target="https://pmc.ncbi.nlm.nih.gov/articles/PMC12391071/" TargetMode="External" Id="rId27"/><Relationship Type="http://schemas.openxmlformats.org/officeDocument/2006/relationships/hyperlink" Target="https://doi.org/10.70352/scrj.cr.25-0111" TargetMode="External" Id="rId28"/><Relationship Type="http://schemas.openxmlformats.org/officeDocument/2006/relationships/hyperlink" Target="https://pubmed.ncbi.nlm.nih.gov/40861332/" TargetMode="External" Id="rId29"/><Relationship Type="http://schemas.openxmlformats.org/officeDocument/2006/relationships/hyperlink" Target="https://pmc.ncbi.nlm.nih.gov/articles/PMC12377856/" TargetMode="External" Id="rId30"/><Relationship Type="http://schemas.openxmlformats.org/officeDocument/2006/relationships/hyperlink" Target="https://doi.org/10.1186/s12887-025-06005-9" TargetMode="External" Id="rId31"/><Relationship Type="http://schemas.openxmlformats.org/officeDocument/2006/relationships/hyperlink" Target="https://pubmed.ncbi.nlm.nih.gov/40830774/" TargetMode="External" Id="rId32"/><Relationship Type="http://schemas.openxmlformats.org/officeDocument/2006/relationships/hyperlink" Target="https://pmc.ncbi.nlm.nih.gov/articles/PMC12366119/" TargetMode="External" Id="rId33"/><Relationship Type="http://schemas.openxmlformats.org/officeDocument/2006/relationships/hyperlink" Target="https://doi.org/10.1016/j.radcr.2025.05.050" TargetMode="External" Id="rId34"/><Relationship Type="http://schemas.openxmlformats.org/officeDocument/2006/relationships/hyperlink" Target="https://pubmed.ncbi.nlm.nih.gov/40821369/" TargetMode="External" Id="rId35"/><Relationship Type="http://schemas.openxmlformats.org/officeDocument/2006/relationships/hyperlink" Target="https://pmc.ncbi.nlm.nih.gov/articles/PMC12356290/" TargetMode="External" Id="rId36"/><Relationship Type="http://schemas.openxmlformats.org/officeDocument/2006/relationships/hyperlink" Target="https://doi.org/10.1155/crpe/9927034" TargetMode="External" Id="rId37"/><Relationship Type="http://schemas.openxmlformats.org/officeDocument/2006/relationships/hyperlink" Target="https://pubmed.ncbi.nlm.nih.gov/40808892/" TargetMode="External" Id="rId38"/><Relationship Type="http://schemas.openxmlformats.org/officeDocument/2006/relationships/hyperlink" Target="https://pmc.ncbi.nlm.nih.gov/articles/PMC12349995/" TargetMode="External" Id="rId39"/><Relationship Type="http://schemas.openxmlformats.org/officeDocument/2006/relationships/hyperlink" Target="https://doi.org/10.1111/petr.70161" TargetMode="External" Id="rId40"/><Relationship Type="http://schemas.openxmlformats.org/officeDocument/2006/relationships/hyperlink" Target="https://pubmed.ncbi.nlm.nih.gov/40804705/" TargetMode="External" Id="rId41"/><Relationship Type="http://schemas.openxmlformats.org/officeDocument/2006/relationships/hyperlink" Target="https://pmc.ncbi.nlm.nih.gov/articles/PMC12350825/" TargetMode="External" Id="rId42"/><Relationship Type="http://schemas.openxmlformats.org/officeDocument/2006/relationships/hyperlink" Target="https://doi.org/10.3390/jcm14145107" TargetMode="External" Id="rId43"/><Relationship Type="http://schemas.openxmlformats.org/officeDocument/2006/relationships/hyperlink" Target="https://pubmed.ncbi.nlm.nih.gov/40725800/" TargetMode="External" Id="rId44"/><Relationship Type="http://schemas.openxmlformats.org/officeDocument/2006/relationships/hyperlink" Target="https://pmc.ncbi.nlm.nih.gov/articles/PMC12295792/" TargetMode="External" Id="rId45"/><Relationship Type="http://schemas.openxmlformats.org/officeDocument/2006/relationships/hyperlink" Target="https://doi.org/10.3389/fsurg.2025.1586986" TargetMode="External" Id="rId46"/><Relationship Type="http://schemas.openxmlformats.org/officeDocument/2006/relationships/hyperlink" Target="https://pubmed.ncbi.nlm.nih.gov/40611920/" TargetMode="External" Id="rId47"/><Relationship Type="http://schemas.openxmlformats.org/officeDocument/2006/relationships/hyperlink" Target="https://pmc.ncbi.nlm.nih.gov/articles/PMC12222168/" TargetMode="External" Id="rId48"/><Relationship Type="http://schemas.openxmlformats.org/officeDocument/2006/relationships/hyperlink" Target="https://doi.org/10.1016/j.radcr.2025.05.063" TargetMode="External" Id="rId49"/><Relationship Type="http://schemas.openxmlformats.org/officeDocument/2006/relationships/hyperlink" Target="https://pubmed.ncbi.nlm.nih.gov/40606585/" TargetMode="External" Id="rId50"/><Relationship Type="http://schemas.openxmlformats.org/officeDocument/2006/relationships/hyperlink" Target="https://pmc.ncbi.nlm.nih.gov/articles/PMC12221586/" TargetMode="External" Id="rId51"/><Relationship Type="http://schemas.openxmlformats.org/officeDocument/2006/relationships/hyperlink" Target="https://doi.org/10.1155/crra/6697671" TargetMode="External" Id="rId52"/><Relationship Type="http://schemas.openxmlformats.org/officeDocument/2006/relationships/hyperlink" Target="https://pubmed.ncbi.nlm.nih.gov/40529386/" TargetMode="External" Id="rId53"/><Relationship Type="http://schemas.openxmlformats.org/officeDocument/2006/relationships/hyperlink" Target="https://pmc.ncbi.nlm.nih.gov/articles/PMC12173544/" TargetMode="External" Id="rId54"/><Relationship Type="http://schemas.openxmlformats.org/officeDocument/2006/relationships/hyperlink" Target="https://doi.org/10.1016/j.ijscr.2025.111421" TargetMode="External" Id="rId55"/><Relationship Type="http://schemas.openxmlformats.org/officeDocument/2006/relationships/hyperlink" Target="https://pubmed.ncbi.nlm.nih.gov/40347907/" TargetMode="External" Id="rId56"/><Relationship Type="http://schemas.openxmlformats.org/officeDocument/2006/relationships/hyperlink" Target="https://pmc.ncbi.nlm.nih.gov/articles/PMC12139484/" TargetMode="External" Id="rId57"/><Relationship Type="http://schemas.openxmlformats.org/officeDocument/2006/relationships/hyperlink" Target="https://doi.org/10.1016/j.ijscr.2025.111391" TargetMode="External" Id="rId58"/><Relationship Type="http://schemas.openxmlformats.org/officeDocument/2006/relationships/hyperlink" Target="https://pubmed.ncbi.nlm.nih.gov/40306103/" TargetMode="External" Id="rId59"/><Relationship Type="http://schemas.openxmlformats.org/officeDocument/2006/relationships/hyperlink" Target="https://pmc.ncbi.nlm.nih.gov/articles/PMC12423696/" TargetMode="External" Id="rId60"/><Relationship Type="http://schemas.openxmlformats.org/officeDocument/2006/relationships/hyperlink" Target="https://doi.org/10.1016/j.ijscr.2025.111144" TargetMode="External" Id="rId61"/><Relationship Type="http://schemas.openxmlformats.org/officeDocument/2006/relationships/hyperlink" Target="https://pubmed.ncbi.nlm.nih.gov/40120328/" TargetMode="External" Id="rId62"/><Relationship Type="http://schemas.openxmlformats.org/officeDocument/2006/relationships/hyperlink" Target="https://pmc.ncbi.nlm.nih.gov/articles/PMC11981770/" TargetMode="External" Id="rId63"/><Relationship Type="http://schemas.openxmlformats.org/officeDocument/2006/relationships/hyperlink" Target="https://doi.org/10.4103/jiaps.jiaps_122_24" TargetMode="External" Id="rId64"/><Relationship Type="http://schemas.openxmlformats.org/officeDocument/2006/relationships/hyperlink" Target="https://pubmed.ncbi.nlm.nih.gov/39968248/" TargetMode="External" Id="rId65"/><Relationship Type="http://schemas.openxmlformats.org/officeDocument/2006/relationships/hyperlink" Target="https://pmc.ncbi.nlm.nih.gov/articles/PMC11832090/" TargetMode="External" Id="rId66"/><Relationship Type="http://schemas.openxmlformats.org/officeDocument/2006/relationships/hyperlink" Target="https://doi.org/10.1016/j.radcr.2024.12.047" TargetMode="External" Id="rId67"/><Relationship Type="http://schemas.openxmlformats.org/officeDocument/2006/relationships/hyperlink" Target="https://pubmed.ncbi.nlm.nih.gov/39897739/" TargetMode="External" Id="rId68"/><Relationship Type="http://schemas.openxmlformats.org/officeDocument/2006/relationships/hyperlink" Target="https://pmc.ncbi.nlm.nih.gov/articles/PMC11782806/" TargetMode="External" Id="rId69"/><Relationship Type="http://schemas.openxmlformats.org/officeDocument/2006/relationships/hyperlink" Target="https://doi.org/10.4103/jmas.jmas_212_23" TargetMode="External" Id="rId70"/><Relationship Type="http://schemas.openxmlformats.org/officeDocument/2006/relationships/hyperlink" Target="https://pubmed.ncbi.nlm.nih.gov/38240265/" TargetMode="External" Id="rId71"/><Relationship Type="http://schemas.openxmlformats.org/officeDocument/2006/relationships/hyperlink" Target="https://pmc.ncbi.nlm.nih.gov/articles/PMC11838794/" TargetMode="External" Id="rId72"/><Relationship Type="http://schemas.openxmlformats.org/officeDocument/2006/relationships/hyperlink" Target="https://doi.org/10.3390/reports7030073" TargetMode="External" Id="rId73"/><Relationship Type="http://schemas.openxmlformats.org/officeDocument/2006/relationships/hyperlink" Target="https://pubmed.ncbi.nlm.nih.gov/40729296/" TargetMode="External" Id="rId74"/><Relationship Type="http://schemas.openxmlformats.org/officeDocument/2006/relationships/hyperlink" Target="https://pmc.ncbi.nlm.nih.gov/articles/PMC12225254/" TargetMode="External" Id="rId75"/><Relationship Type="http://schemas.openxmlformats.org/officeDocument/2006/relationships/hyperlink" Target="https://doi.org/10.3389/fped.2024.1429490" TargetMode="External" Id="rId76"/><Relationship Type="http://schemas.openxmlformats.org/officeDocument/2006/relationships/hyperlink" Target="https://pubmed.ncbi.nlm.nih.gov/39350792/" TargetMode="External" Id="rId77"/><Relationship Type="http://schemas.openxmlformats.org/officeDocument/2006/relationships/hyperlink" Target="https://pmc.ncbi.nlm.nih.gov/articles/PMC11439698/" TargetMode="External" Id="rId78"/><Relationship Type="http://schemas.openxmlformats.org/officeDocument/2006/relationships/hyperlink" Target="https://doi.org/10.1016/j.radcr.2024.03.004" TargetMode="External" Id="rId79"/><Relationship Type="http://schemas.openxmlformats.org/officeDocument/2006/relationships/hyperlink" Target="https://pubmed.ncbi.nlm.nih.gov/38689812/" TargetMode="External" Id="rId80"/><Relationship Type="http://schemas.openxmlformats.org/officeDocument/2006/relationships/hyperlink" Target="https://pmc.ncbi.nlm.nih.gov/articles/PMC11058064/" TargetMode="External" Id="rId81"/><Relationship Type="http://schemas.openxmlformats.org/officeDocument/2006/relationships/hyperlink" Target="https://doi.org/10.3389/fonc.2024.1310394" TargetMode="External" Id="rId82"/><Relationship Type="http://schemas.openxmlformats.org/officeDocument/2006/relationships/hyperlink" Target="https://pubmed.ncbi.nlm.nih.gov/38529386/" TargetMode="External" Id="rId83"/><Relationship Type="http://schemas.openxmlformats.org/officeDocument/2006/relationships/hyperlink" Target="https://pmc.ncbi.nlm.nih.gov/articles/PMC10961413/" TargetMode="External" Id="rId84"/><Relationship Type="http://schemas.openxmlformats.org/officeDocument/2006/relationships/hyperlink" Target="https://doi.org/10.7759/cureus.53552" TargetMode="External" Id="rId85"/><Relationship Type="http://schemas.openxmlformats.org/officeDocument/2006/relationships/hyperlink" Target="https://pubmed.ncbi.nlm.nih.gov/38445142/" TargetMode="External" Id="rId86"/><Relationship Type="http://schemas.openxmlformats.org/officeDocument/2006/relationships/hyperlink" Target="https://pmc.ncbi.nlm.nih.gov/articles/PMC10913703/" TargetMode="External" Id="rId87"/><Relationship Type="http://schemas.openxmlformats.org/officeDocument/2006/relationships/hyperlink" Target="https://doi.org/10.1093/jscr/rjae059" TargetMode="External" Id="rId88"/><Relationship Type="http://schemas.openxmlformats.org/officeDocument/2006/relationships/hyperlink" Target="https://pubmed.ncbi.nlm.nih.gov/38370603/" TargetMode="External" Id="rId89"/><Relationship Type="http://schemas.openxmlformats.org/officeDocument/2006/relationships/hyperlink" Target="https://pmc.ncbi.nlm.nih.gov/articles/PMC10871695/" TargetMode="External" Id="rId90"/><Relationship Type="http://schemas.openxmlformats.org/officeDocument/2006/relationships/hyperlink" Target="https://doi.org/10.1002/ccr3.8270" TargetMode="External" Id="rId91"/><Relationship Type="http://schemas.openxmlformats.org/officeDocument/2006/relationships/hyperlink" Target="https://pubmed.ncbi.nlm.nih.gov/38033686/" TargetMode="External" Id="rId92"/><Relationship Type="http://schemas.openxmlformats.org/officeDocument/2006/relationships/hyperlink" Target="https://pmc.ncbi.nlm.nih.gov/articles/PMC10682236/" TargetMode="External" Id="rId93"/><Relationship Type="http://schemas.openxmlformats.org/officeDocument/2006/relationships/hyperlink" Target="https://doi.org/10.7759/cureus.38386" TargetMode="External" Id="rId94"/><Relationship Type="http://schemas.openxmlformats.org/officeDocument/2006/relationships/hyperlink" Target="https://pubmed.ncbi.nlm.nih.gov/37265917/" TargetMode="External" Id="rId95"/><Relationship Type="http://schemas.openxmlformats.org/officeDocument/2006/relationships/hyperlink" Target="https://pmc.ncbi.nlm.nih.gov/articles/PMC10231407/" TargetMode="External" Id="rId96"/><Relationship Type="http://schemas.openxmlformats.org/officeDocument/2006/relationships/hyperlink" Target="https://doi.org/10.1016/j.ijscr.2023.108319" TargetMode="External" Id="rId97"/><Relationship Type="http://schemas.openxmlformats.org/officeDocument/2006/relationships/hyperlink" Target="https://pubmed.ncbi.nlm.nih.gov/37263001/" TargetMode="External" Id="rId98"/><Relationship Type="http://schemas.openxmlformats.org/officeDocument/2006/relationships/hyperlink" Target="https://pmc.ncbi.nlm.nih.gov/articles/PMC10310902/" TargetMode="External" Id="rId99"/><Relationship Type="http://schemas.openxmlformats.org/officeDocument/2006/relationships/hyperlink" Target="https://doi.org/10.1308/rcsann.2022.0149" TargetMode="External" Id="rId100"/><Relationship Type="http://schemas.openxmlformats.org/officeDocument/2006/relationships/hyperlink" Target="https://pubmed.ncbi.nlm.nih.gov/36688842/" TargetMode="External" Id="rId101"/><Relationship Type="http://schemas.openxmlformats.org/officeDocument/2006/relationships/hyperlink" Target="https://pmc.ncbi.nlm.nih.gov/articles/PMC10313450/" TargetMode="External" Id="rId102"/><Relationship Type="http://schemas.openxmlformats.org/officeDocument/2006/relationships/hyperlink" Target="https://doi.org/10.3389/fped.2022.936732" TargetMode="External" Id="rId103"/><Relationship Type="http://schemas.openxmlformats.org/officeDocument/2006/relationships/hyperlink" Target="https://pubmed.ncbi.nlm.nih.gov/36741085/" TargetMode="External" Id="rId104"/><Relationship Type="http://schemas.openxmlformats.org/officeDocument/2006/relationships/hyperlink" Target="https://pmc.ncbi.nlm.nih.gov/articles/PMC9890171/" TargetMode="External" Id="rId105"/><Relationship Type="http://schemas.openxmlformats.org/officeDocument/2006/relationships/hyperlink" Target="https://doi.org/10.2147/imcrj.s388271" TargetMode="External" Id="rId106"/><Relationship Type="http://schemas.openxmlformats.org/officeDocument/2006/relationships/hyperlink" Target="https://pubmed.ncbi.nlm.nih.gov/36388241/" TargetMode="External" Id="rId107"/><Relationship Type="http://schemas.openxmlformats.org/officeDocument/2006/relationships/hyperlink" Target="https://pmc.ncbi.nlm.nih.gov/articles/PMC9642092/" TargetMode="External" Id="rId108"/><Relationship Type="http://schemas.openxmlformats.org/officeDocument/2006/relationships/hyperlink" Target="https://doi.org/10.14744/semb.2021.64872" TargetMode="External" Id="rId109"/><Relationship Type="http://schemas.openxmlformats.org/officeDocument/2006/relationships/hyperlink" Target="https://pubmed.ncbi.nlm.nih.gov/36304217/" TargetMode="External" Id="rId110"/><Relationship Type="http://schemas.openxmlformats.org/officeDocument/2006/relationships/hyperlink" Target="https://pmc.ncbi.nlm.nih.gov/articles/PMC9580979/" TargetMode="External" Id="rId111"/><Relationship Type="http://schemas.openxmlformats.org/officeDocument/2006/relationships/hyperlink" Target="https://doi.org/10.1093/jscr/rjac483" TargetMode="External" Id="rId112"/><Relationship Type="http://schemas.openxmlformats.org/officeDocument/2006/relationships/hyperlink" Target="https://pubmed.ncbi.nlm.nih.gov/36285167/" TargetMode="External" Id="rId113"/><Relationship Type="http://schemas.openxmlformats.org/officeDocument/2006/relationships/hyperlink" Target="https://pmc.ncbi.nlm.nih.gov/articles/PMC9584345/" TargetMode="External" Id="rId114"/><Relationship Type="http://schemas.openxmlformats.org/officeDocument/2006/relationships/hyperlink" Target="https://doi.org/10.1016/j.ijscr.2022.107719" TargetMode="External" Id="rId115"/><Relationship Type="http://schemas.openxmlformats.org/officeDocument/2006/relationships/hyperlink" Target="https://pubmed.ncbi.nlm.nih.gov/36261950/" TargetMode="External" Id="rId116"/><Relationship Type="http://schemas.openxmlformats.org/officeDocument/2006/relationships/hyperlink" Target="https://pmc.ncbi.nlm.nih.gov/articles/PMC9568874/" TargetMode="External" Id="rId117"/><Relationship Type="http://schemas.openxmlformats.org/officeDocument/2006/relationships/hyperlink" Target="https://doi.org/10.1186/s40792-022-01537-z" TargetMode="External" Id="rId118"/><Relationship Type="http://schemas.openxmlformats.org/officeDocument/2006/relationships/hyperlink" Target="https://pubmed.ncbi.nlm.nih.gov/36138238/" TargetMode="External" Id="rId119"/><Relationship Type="http://schemas.openxmlformats.org/officeDocument/2006/relationships/hyperlink" Target="https://pmc.ncbi.nlm.nih.gov/articles/PMC9500137/" TargetMode="External" Id="rId120"/><Relationship Type="http://schemas.openxmlformats.org/officeDocument/2006/relationships/hyperlink" Target="https://doi.org/10.1016/j.radcr.2022.06.073" TargetMode="External" Id="rId121"/><Relationship Type="http://schemas.openxmlformats.org/officeDocument/2006/relationships/hyperlink" Target="https://pubmed.ncbi.nlm.nih.gov/35874869/" TargetMode="External" Id="rId122"/><Relationship Type="http://schemas.openxmlformats.org/officeDocument/2006/relationships/hyperlink" Target="https://pmc.ncbi.nlm.nih.gov/articles/PMC9304641/" TargetMode="External" Id="rId123"/><Relationship Type="http://schemas.openxmlformats.org/officeDocument/2006/relationships/hyperlink" Target="https://doi.org/10.1186/s12887-022-03484-y" TargetMode="External" Id="rId124"/><Relationship Type="http://schemas.openxmlformats.org/officeDocument/2006/relationships/hyperlink" Target="https://pubmed.ncbi.nlm.nih.gov/35864485/" TargetMode="External" Id="rId125"/><Relationship Type="http://schemas.openxmlformats.org/officeDocument/2006/relationships/hyperlink" Target="https://pmc.ncbi.nlm.nih.gov/articles/PMC9306085/" TargetMode="External" Id="rId126"/><Relationship Type="http://schemas.openxmlformats.org/officeDocument/2006/relationships/hyperlink" Target="https://doi.org/10.22551/2022.35.0902.10204" TargetMode="External" Id="rId127"/><Relationship Type="http://schemas.openxmlformats.org/officeDocument/2006/relationships/hyperlink" Target="https://pubmed.ncbi.nlm.nih.gov/35813495/" TargetMode="External" Id="rId128"/><Relationship Type="http://schemas.openxmlformats.org/officeDocument/2006/relationships/hyperlink" Target="https://pmc.ncbi.nlm.nih.gov/articles/PMC9262086/" TargetMode="External" Id="rId129"/><Relationship Type="http://schemas.openxmlformats.org/officeDocument/2006/relationships/hyperlink" Target="https://doi.org/10.1590/1677-5449.20210178" TargetMode="External" Id="rId130"/><Relationship Type="http://schemas.openxmlformats.org/officeDocument/2006/relationships/hyperlink" Target="https://pubmed.ncbi.nlm.nih.gov/35571522/" TargetMode="External" Id="rId131"/><Relationship Type="http://schemas.openxmlformats.org/officeDocument/2006/relationships/hyperlink" Target="https://pmc.ncbi.nlm.nih.gov/articles/PMC9083538/" TargetMode="External" Id="rId132"/><Relationship Type="http://schemas.openxmlformats.org/officeDocument/2006/relationships/hyperlink" Target="https://doi.org/10.1016/j.radcr.2022.04.009" TargetMode="External" Id="rId133"/><Relationship Type="http://schemas.openxmlformats.org/officeDocument/2006/relationships/hyperlink" Target="https://pubmed.ncbi.nlm.nih.gov/35570876/" TargetMode="External" Id="rId134"/><Relationship Type="http://schemas.openxmlformats.org/officeDocument/2006/relationships/hyperlink" Target="https://pmc.ncbi.nlm.nih.gov/articles/PMC9096468/" TargetMode="External" Id="rId135"/><Relationship Type="http://schemas.openxmlformats.org/officeDocument/2006/relationships/hyperlink" Target="https://doi.org/10.1016/j.radcr.2022.03.017" TargetMode="External" Id="rId136"/><Relationship Type="http://schemas.openxmlformats.org/officeDocument/2006/relationships/hyperlink" Target="https://pubmed.ncbi.nlm.nih.gov/35369544/" TargetMode="External" Id="rId137"/><Relationship Type="http://schemas.openxmlformats.org/officeDocument/2006/relationships/hyperlink" Target="https://pmc.ncbi.nlm.nih.gov/articles/PMC8965025/" TargetMode="External" Id="rId138"/><Relationship Type="http://schemas.openxmlformats.org/officeDocument/2006/relationships/hyperlink" Target="https://doi.org/10.1093/jscr/rjab558" TargetMode="External" Id="rId139"/><Relationship Type="http://schemas.openxmlformats.org/officeDocument/2006/relationships/hyperlink" Target="https://pubmed.ncbi.nlm.nih.gov/35079332/" TargetMode="External" Id="rId140"/><Relationship Type="http://schemas.openxmlformats.org/officeDocument/2006/relationships/hyperlink" Target="https://pmc.ncbi.nlm.nih.gov/articles/PMC8784172/" TargetMode="External" Id="rId141"/><Relationship Type="http://schemas.openxmlformats.org/officeDocument/2006/relationships/hyperlink" Target="https://doi.org/10.3389/fped.2021.791932" TargetMode="External" Id="rId142"/><Relationship Type="http://schemas.openxmlformats.org/officeDocument/2006/relationships/hyperlink" Target="https://pubmed.ncbi.nlm.nih.gov/35155313/" TargetMode="External" Id="rId143"/><Relationship Type="http://schemas.openxmlformats.org/officeDocument/2006/relationships/hyperlink" Target="https://pmc.ncbi.nlm.nih.gov/articles/PMC8832051/" TargetMode="External" Id="rId144"/><Relationship Type="http://schemas.openxmlformats.org/officeDocument/2006/relationships/hyperlink" Target="https://doi.org/10.1002/ccr3.5051" TargetMode="External" Id="rId145"/><Relationship Type="http://schemas.openxmlformats.org/officeDocument/2006/relationships/hyperlink" Target="https://pubmed.ncbi.nlm.nih.gov/34765218/" TargetMode="External" Id="rId146"/><Relationship Type="http://schemas.openxmlformats.org/officeDocument/2006/relationships/hyperlink" Target="https://pmc.ncbi.nlm.nih.gov/articles/PMC8572348/" TargetMode="External" Id="rId147"/><Relationship Type="http://schemas.openxmlformats.org/officeDocument/2006/relationships/hyperlink" Target="https://doi.org/10.12998/wjcc.v9.i29.8812" TargetMode="External" Id="rId148"/><Relationship Type="http://schemas.openxmlformats.org/officeDocument/2006/relationships/hyperlink" Target="https://pubmed.ncbi.nlm.nih.gov/34734060/" TargetMode="External" Id="rId149"/><Relationship Type="http://schemas.openxmlformats.org/officeDocument/2006/relationships/hyperlink" Target="https://pmc.ncbi.nlm.nih.gov/articles/PMC8546827/" TargetMode="External" Id="rId150"/><Relationship Type="http://schemas.openxmlformats.org/officeDocument/2006/relationships/hyperlink" Target="https://doi.org/10.1016/j.ijscr.2021.106273" TargetMode="External" Id="rId151"/><Relationship Type="http://schemas.openxmlformats.org/officeDocument/2006/relationships/hyperlink" Target="https://pubmed.ncbi.nlm.nih.gov/34388905/" TargetMode="External" Id="rId152"/><Relationship Type="http://schemas.openxmlformats.org/officeDocument/2006/relationships/hyperlink" Target="https://pmc.ncbi.nlm.nih.gov/articles/PMC8350494/" TargetMode="External" Id="rId153"/><Relationship Type="http://schemas.openxmlformats.org/officeDocument/2006/relationships/hyperlink" Target="https://doi.org/10.1136/bcr-2021-242441" TargetMode="External" Id="rId154"/><Relationship Type="http://schemas.openxmlformats.org/officeDocument/2006/relationships/hyperlink" Target="https://pubmed.ncbi.nlm.nih.gov/34162614/" TargetMode="External" Id="rId155"/><Relationship Type="http://schemas.openxmlformats.org/officeDocument/2006/relationships/hyperlink" Target="https://pmc.ncbi.nlm.nih.gov/articles/PMC8231058/" TargetMode="External" Id="rId156"/><Relationship Type="http://schemas.openxmlformats.org/officeDocument/2006/relationships/hyperlink" Target="https://doi.org/10.1136/bcr-2020-239520" TargetMode="External" Id="rId157"/><Relationship Type="http://schemas.openxmlformats.org/officeDocument/2006/relationships/hyperlink" Target="https://pubmed.ncbi.nlm.nih.gov/33883109/" TargetMode="External" Id="rId158"/><Relationship Type="http://schemas.openxmlformats.org/officeDocument/2006/relationships/hyperlink" Target="https://pmc.ncbi.nlm.nih.gov/articles/PMC8061818/" TargetMode="External" Id="rId159"/><Relationship Type="http://schemas.openxmlformats.org/officeDocument/2006/relationships/hyperlink" Target="https://doi.org/10.1177/03000605211000511" TargetMode="External" Id="rId160"/><Relationship Type="http://schemas.openxmlformats.org/officeDocument/2006/relationships/hyperlink" Target="https://pubmed.ncbi.nlm.nih.gov/33730926/" TargetMode="External" Id="rId161"/><Relationship Type="http://schemas.openxmlformats.org/officeDocument/2006/relationships/hyperlink" Target="https://pmc.ncbi.nlm.nih.gov/articles/PMC8166395/" TargetMode="External" Id="rId162"/><Relationship Type="http://schemas.openxmlformats.org/officeDocument/2006/relationships/hyperlink" Target="https://doi.org/10.1308/rcsann.2020.7144" TargetMode="External" Id="rId163"/><Relationship Type="http://schemas.openxmlformats.org/officeDocument/2006/relationships/hyperlink" Target="https://pubmed.ncbi.nlm.nih.gov/33682463/" TargetMode="External" Id="rId164"/><Relationship Type="http://schemas.openxmlformats.org/officeDocument/2006/relationships/hyperlink" Target="https://pmc.ncbi.nlm.nih.gov/articles/PMC10335255/" TargetMode="External" Id="rId165"/><Relationship Type="http://schemas.openxmlformats.org/officeDocument/2006/relationships/hyperlink" Target="https://doi.org/10.4103/jiaps.jiaps_216_19" TargetMode="External" Id="rId166"/><Relationship Type="http://schemas.openxmlformats.org/officeDocument/2006/relationships/hyperlink" Target="https://pubmed.ncbi.nlm.nih.gov/33343117/" TargetMode="External" Id="rId167"/><Relationship Type="http://schemas.openxmlformats.org/officeDocument/2006/relationships/hyperlink" Target="https://pmc.ncbi.nlm.nih.gov/articles/PMC7732016/" TargetMode="External" Id="rId168"/><Relationship Type="http://schemas.openxmlformats.org/officeDocument/2006/relationships/hyperlink" Target="https://doi.org/10.4103/ijri.ijri_46_20" TargetMode="External" Id="rId169"/><Relationship Type="http://schemas.openxmlformats.org/officeDocument/2006/relationships/hyperlink" Target="https://pubmed.ncbi.nlm.nih.gov/33273777/" TargetMode="External" Id="rId170"/><Relationship Type="http://schemas.openxmlformats.org/officeDocument/2006/relationships/hyperlink" Target="https://pmc.ncbi.nlm.nih.gov/articles/PMC7694723/" TargetMode="External" Id="rId171"/><Relationship Type="http://schemas.openxmlformats.org/officeDocument/2006/relationships/hyperlink" Target="https://doi.org/10.1016/j.ijscr.2020.11.001" TargetMode="External" Id="rId172"/><Relationship Type="http://schemas.openxmlformats.org/officeDocument/2006/relationships/hyperlink" Target="https://pubmed.ncbi.nlm.nih.gov/33171434/" TargetMode="External" Id="rId173"/><Relationship Type="http://schemas.openxmlformats.org/officeDocument/2006/relationships/hyperlink" Target="https://pmc.ncbi.nlm.nih.gov/articles/PMC7653206/" TargetMode="External" Id="rId174"/><Relationship Type="http://schemas.openxmlformats.org/officeDocument/2006/relationships/hyperlink" Target="https://doi.org/10.1016/j.ijscr.2020.10.049" TargetMode="External" Id="rId175"/><Relationship Type="http://schemas.openxmlformats.org/officeDocument/2006/relationships/hyperlink" Target="https://pubmed.ncbi.nlm.nih.gov/33137668/" TargetMode="External" Id="rId176"/><Relationship Type="http://schemas.openxmlformats.org/officeDocument/2006/relationships/hyperlink" Target="https://pmc.ncbi.nlm.nih.gov/articles/PMC7610022/" TargetMode="External" Id="rId177"/><Relationship Type="http://schemas.openxmlformats.org/officeDocument/2006/relationships/hyperlink" Target="https://doi.org/10.3941/jrcr.v14i7.3752" TargetMode="External" Id="rId178"/><Relationship Type="http://schemas.openxmlformats.org/officeDocument/2006/relationships/hyperlink" Target="https://pubmed.ncbi.nlm.nih.gov/33088415/" TargetMode="External" Id="rId179"/><Relationship Type="http://schemas.openxmlformats.org/officeDocument/2006/relationships/hyperlink" Target="https://pmc.ncbi.nlm.nih.gov/articles/PMC7536009/" TargetMode="External" Id="rId180"/><Relationship Type="http://schemas.openxmlformats.org/officeDocument/2006/relationships/hyperlink" Target="https://doi.org/10.1097/md.0000000000022063" TargetMode="External" Id="rId181"/><Relationship Type="http://schemas.openxmlformats.org/officeDocument/2006/relationships/hyperlink" Target="https://pubmed.ncbi.nlm.nih.gov/32925740/" TargetMode="External" Id="rId182"/><Relationship Type="http://schemas.openxmlformats.org/officeDocument/2006/relationships/hyperlink" Target="https://pmc.ncbi.nlm.nih.gov/articles/PMC7489642/" TargetMode="External" Id="rId183"/><Relationship Type="http://schemas.openxmlformats.org/officeDocument/2006/relationships/hyperlink" Target="https://doi.org/10.7759/cureus.9176" TargetMode="External" Id="rId184"/><Relationship Type="http://schemas.openxmlformats.org/officeDocument/2006/relationships/hyperlink" Target="https://pubmed.ncbi.nlm.nih.gov/32802611/" TargetMode="External" Id="rId185"/><Relationship Type="http://schemas.openxmlformats.org/officeDocument/2006/relationships/hyperlink" Target="https://pmc.ncbi.nlm.nih.gov/articles/PMC7425819/" TargetMode="External" Id="rId186"/><Relationship Type="http://schemas.openxmlformats.org/officeDocument/2006/relationships/hyperlink" Target="https://doi.org/10.2147/ijgm.s248259" TargetMode="External" Id="rId187"/><Relationship Type="http://schemas.openxmlformats.org/officeDocument/2006/relationships/hyperlink" Target="https://pubmed.ncbi.nlm.nih.gov/32612378/" TargetMode="External" Id="rId188"/><Relationship Type="http://schemas.openxmlformats.org/officeDocument/2006/relationships/hyperlink" Target="https://pmc.ncbi.nlm.nih.gov/articles/PMC7322114/" TargetMode="External" Id="rId189"/><Relationship Type="http://schemas.openxmlformats.org/officeDocument/2006/relationships/hyperlink" Target="https://doi.org/10.1093/jscr/rjz378" TargetMode="External" Id="rId190"/><Relationship Type="http://schemas.openxmlformats.org/officeDocument/2006/relationships/hyperlink" Target="https://pubmed.ncbi.nlm.nih.gov/32082535/" TargetMode="External" Id="rId191"/><Relationship Type="http://schemas.openxmlformats.org/officeDocument/2006/relationships/hyperlink" Target="https://pmc.ncbi.nlm.nih.gov/articles/PMC7024078/" TargetMode="External" Id="rId192"/><Relationship Type="http://schemas.openxmlformats.org/officeDocument/2006/relationships/hyperlink" Target="https://doi.org/10.1016/j.radcr.2019.06.018" TargetMode="External" Id="rId193"/><Relationship Type="http://schemas.openxmlformats.org/officeDocument/2006/relationships/hyperlink" Target="https://pubmed.ncbi.nlm.nih.gov/31440319/" TargetMode="External" Id="rId194"/><Relationship Type="http://schemas.openxmlformats.org/officeDocument/2006/relationships/hyperlink" Target="https://pmc.ncbi.nlm.nih.gov/articles/PMC6698723/" TargetMode="External" Id="rId195"/><Relationship Type="http://schemas.openxmlformats.org/officeDocument/2006/relationships/hyperlink" Target="https://doi.org/10.1016/j.radcr.2019.05.018" TargetMode="External" Id="rId196"/><Relationship Type="http://schemas.openxmlformats.org/officeDocument/2006/relationships/hyperlink" Target="https://pubmed.ncbi.nlm.nih.gov/31193859/" TargetMode="External" Id="rId197"/><Relationship Type="http://schemas.openxmlformats.org/officeDocument/2006/relationships/hyperlink" Target="https://pmc.ncbi.nlm.nih.gov/articles/PMC6543132/" TargetMode="External" Id="rId198"/><Relationship Type="http://schemas.openxmlformats.org/officeDocument/2006/relationships/hyperlink" Target="https://doi.org/10.1259/bjrcr.20180051" TargetMode="External" Id="rId199"/><Relationship Type="http://schemas.openxmlformats.org/officeDocument/2006/relationships/hyperlink" Target="https://pubmed.ncbi.nlm.nih.gov/31131126/" TargetMode="External" Id="rId200"/><Relationship Type="http://schemas.openxmlformats.org/officeDocument/2006/relationships/hyperlink" Target="https://pmc.ncbi.nlm.nih.gov/articles/PMC6519498/" TargetMode="External" Id="rId201"/><Relationship Type="http://schemas.openxmlformats.org/officeDocument/2006/relationships/hyperlink" Target="https://doi.org/10.4103/jmas.jmas_14_18" TargetMode="External" Id="rId202"/><Relationship Type="http://schemas.openxmlformats.org/officeDocument/2006/relationships/hyperlink" Target="https://pubmed.ncbi.nlm.nih.gov/29737310/" TargetMode="External" Id="rId203"/><Relationship Type="http://schemas.openxmlformats.org/officeDocument/2006/relationships/hyperlink" Target="https://pmc.ncbi.nlm.nih.gov/articles/PMC6438076/" TargetMode="External" Id="rId204"/><Relationship Type="http://schemas.openxmlformats.org/officeDocument/2006/relationships/hyperlink" Target="https://doi.org/10.1016/j.ijscr.2018.01.017" TargetMode="External" Id="rId205"/><Relationship Type="http://schemas.openxmlformats.org/officeDocument/2006/relationships/hyperlink" Target="https://pubmed.ncbi.nlm.nih.gov/29482086/" TargetMode="External" Id="rId206"/><Relationship Type="http://schemas.openxmlformats.org/officeDocument/2006/relationships/hyperlink" Target="https://pmc.ncbi.nlm.nih.gov/articles/PMC5907687/" TargetMode="External" Id="rId207"/><Relationship Type="http://schemas.openxmlformats.org/officeDocument/2006/relationships/hyperlink" Target="https://doi.org/10.1093/gastro/gov034" TargetMode="External" Id="rId208"/><Relationship Type="http://schemas.openxmlformats.org/officeDocument/2006/relationships/hyperlink" Target="https://pubmed.ncbi.nlm.nih.gov/26240117/" TargetMode="External" Id="rId209"/><Relationship Type="http://schemas.openxmlformats.org/officeDocument/2006/relationships/hyperlink" Target="https://pmc.ncbi.nlm.nih.gov/articles/PMC5554386/" TargetMode="External" Id="rId210"/><Relationship Type="http://schemas.openxmlformats.org/officeDocument/2006/relationships/hyperlink" Target="https://doi.org/10.1155/2016/6450765" TargetMode="External" Id="rId211"/><Relationship Type="http://schemas.openxmlformats.org/officeDocument/2006/relationships/hyperlink" Target="https://pubmed.ncbi.nlm.nih.gov/27703832/" TargetMode="External" Id="rId212"/><Relationship Type="http://schemas.openxmlformats.org/officeDocument/2006/relationships/hyperlink" Target="https://pmc.ncbi.nlm.nih.gov/articles/PMC5039297/" TargetMode="External" Id="rId213"/><Relationship Type="http://schemas.openxmlformats.org/officeDocument/2006/relationships/hyperlink" Target="https://doi.org/10.1155/2016/5437971" TargetMode="External" Id="rId214"/><Relationship Type="http://schemas.openxmlformats.org/officeDocument/2006/relationships/hyperlink" Target="https://pubmed.ncbi.nlm.nih.gov/27433363/" TargetMode="External" Id="rId215"/><Relationship Type="http://schemas.openxmlformats.org/officeDocument/2006/relationships/hyperlink" Target="https://pmc.ncbi.nlm.nih.gov/articles/PMC4940533/" TargetMode="External" Id="rId216"/><Relationship Type="http://schemas.openxmlformats.org/officeDocument/2006/relationships/hyperlink" Target="https://doi.org/10.1007/s13244-016-0467-8" TargetMode="External" Id="rId217"/><Relationship Type="http://schemas.openxmlformats.org/officeDocument/2006/relationships/hyperlink" Target="https://pubmed.ncbi.nlm.nih.gov/26883137/" TargetMode="External" Id="rId218"/><Relationship Type="http://schemas.openxmlformats.org/officeDocument/2006/relationships/hyperlink" Target="https://pmc.ncbi.nlm.nih.gov/articles/PMC4805612/" TargetMode="External" Id="rId219"/><Relationship Type="http://schemas.openxmlformats.org/officeDocument/2006/relationships/hyperlink" Target="https://doi.org/10.5152/ucd.2015.2850" TargetMode="External" Id="rId220"/><Relationship Type="http://schemas.openxmlformats.org/officeDocument/2006/relationships/hyperlink" Target="https://pubmed.ncbi.nlm.nih.gov/28149130/" TargetMode="External" Id="rId221"/><Relationship Type="http://schemas.openxmlformats.org/officeDocument/2006/relationships/hyperlink" Target="https://pmc.ncbi.nlm.nih.gov/articles/PMC5245725/" TargetMode="External" Id="rId222"/><Relationship Type="http://schemas.openxmlformats.org/officeDocument/2006/relationships/hyperlink" Target="https://doi.org/10.3941/jrcr.v9i10.2475" TargetMode="External" Id="rId223"/><Relationship Type="http://schemas.openxmlformats.org/officeDocument/2006/relationships/hyperlink" Target="https://pubmed.ncbi.nlm.nih.gov/26629290/" TargetMode="External" Id="rId224"/><Relationship Type="http://schemas.openxmlformats.org/officeDocument/2006/relationships/hyperlink" Target="https://pmc.ncbi.nlm.nih.gov/articles/PMC4638397/" TargetMode="External" Id="rId225"/><Relationship Type="http://schemas.openxmlformats.org/officeDocument/2006/relationships/hyperlink" Target="https://doi.org/10.7860/jcdr/2015/13135.6541" TargetMode="External" Id="rId226"/><Relationship Type="http://schemas.openxmlformats.org/officeDocument/2006/relationships/hyperlink" Target="https://pubmed.ncbi.nlm.nih.gov/26500956/" TargetMode="External" Id="rId227"/><Relationship Type="http://schemas.openxmlformats.org/officeDocument/2006/relationships/hyperlink" Target="https://pmc.ncbi.nlm.nih.gov/articles/PMC4606285/" TargetMode="External" Id="rId228"/><Relationship Type="http://schemas.openxmlformats.org/officeDocument/2006/relationships/hyperlink" Target="https://pubmed.ncbi.nlm.nih.gov/26379994/" TargetMode="External" Id="rId229"/><Relationship Type="http://schemas.openxmlformats.org/officeDocument/2006/relationships/hyperlink" Target="https://pmc.ncbi.nlm.nih.gov/articles/PMC4565377/" TargetMode="External" Id="rId230"/><Relationship Type="http://schemas.openxmlformats.org/officeDocument/2006/relationships/hyperlink" Target="https://doi.org/10.1055/s-0034-1370776" TargetMode="External" Id="rId231"/><Relationship Type="http://schemas.openxmlformats.org/officeDocument/2006/relationships/hyperlink" Target="https://pubmed.ncbi.nlm.nih.gov/25755964/" TargetMode="External" Id="rId232"/><Relationship Type="http://schemas.openxmlformats.org/officeDocument/2006/relationships/hyperlink" Target="https://pmc.ncbi.nlm.nih.gov/articles/PMC4336078/" TargetMode="External" Id="rId233"/><Relationship Type="http://schemas.openxmlformats.org/officeDocument/2006/relationships/hyperlink" Target="https://doi.org/10.1055/s-0033-1357262" TargetMode="External" Id="rId234"/><Relationship Type="http://schemas.openxmlformats.org/officeDocument/2006/relationships/hyperlink" Target="https://pubmed.ncbi.nlm.nih.gov/25755963/" TargetMode="External" Id="rId235"/><Relationship Type="http://schemas.openxmlformats.org/officeDocument/2006/relationships/hyperlink" Target="https://pmc.ncbi.nlm.nih.gov/articles/PMC4336060/" TargetMode="External" Id="rId236"/><Relationship Type="http://schemas.openxmlformats.org/officeDocument/2006/relationships/hyperlink" Target="https://doi.org/10.3941/jrcr.v8i6.1534" TargetMode="External" Id="rId237"/><Relationship Type="http://schemas.openxmlformats.org/officeDocument/2006/relationships/hyperlink" Target="https://pubmed.ncbi.nlm.nih.gov/25426231/" TargetMode="External" Id="rId238"/><Relationship Type="http://schemas.openxmlformats.org/officeDocument/2006/relationships/hyperlink" Target="https://pmc.ncbi.nlm.nih.gov/articles/PMC4242138/" TargetMode="External" Id="rId239"/><Relationship Type="http://schemas.openxmlformats.org/officeDocument/2006/relationships/hyperlink" Target="https://doi.org/10.4103/1319-3767.133026" TargetMode="External" Id="rId240"/><Relationship Type="http://schemas.openxmlformats.org/officeDocument/2006/relationships/hyperlink" Target="https://pubmed.ncbi.nlm.nih.gov/24976284/" TargetMode="External" Id="rId241"/><Relationship Type="http://schemas.openxmlformats.org/officeDocument/2006/relationships/hyperlink" Target="https://pmc.ncbi.nlm.nih.gov/articles/PMC4067917/" TargetMode="External" Id="rId242"/><Relationship Type="http://schemas.openxmlformats.org/officeDocument/2006/relationships/hyperlink" Target="https://doi.org/10.1016/j.ijscr.2014.05.010" TargetMode="External" Id="rId243"/><Relationship Type="http://schemas.openxmlformats.org/officeDocument/2006/relationships/hyperlink" Target="https://pubmed.ncbi.nlm.nih.gov/24973525/" TargetMode="External" Id="rId244"/><Relationship Type="http://schemas.openxmlformats.org/officeDocument/2006/relationships/hyperlink" Target="https://pmc.ncbi.nlm.nih.gov/articles/PMC4147574/" TargetMode="External" Id="rId245"/><Relationship Type="http://schemas.openxmlformats.org/officeDocument/2006/relationships/hyperlink" Target="https://pubmed.ncbi.nlm.nih.gov/24834385/" TargetMode="External" Id="rId246"/><Relationship Type="http://schemas.openxmlformats.org/officeDocument/2006/relationships/hyperlink" Target="https://pmc.ncbi.nlm.nih.gov/articles/PMC4005091/" TargetMode="External" Id="rId247"/><Relationship Type="http://schemas.openxmlformats.org/officeDocument/2006/relationships/hyperlink" Target="https://doi.org/10.1186/1754-9493-8-12" TargetMode="External" Id="rId248"/><Relationship Type="http://schemas.openxmlformats.org/officeDocument/2006/relationships/hyperlink" Target="https://pubmed.ncbi.nlm.nih.gov/24602190/" TargetMode="External" Id="rId249"/><Relationship Type="http://schemas.openxmlformats.org/officeDocument/2006/relationships/hyperlink" Target="https://pmc.ncbi.nlm.nih.gov/articles/PMC3973840/" TargetMode="External" Id="rId250"/><Relationship Type="http://schemas.openxmlformats.org/officeDocument/2006/relationships/hyperlink" Target="https://doi.org/10.1002/ccr3.9" TargetMode="External" Id="rId251"/><Relationship Type="http://schemas.openxmlformats.org/officeDocument/2006/relationships/hyperlink" Target="https://pubmed.ncbi.nlm.nih.gov/25356206/" TargetMode="External" Id="rId252"/><Relationship Type="http://schemas.openxmlformats.org/officeDocument/2006/relationships/hyperlink" Target="https://pmc.ncbi.nlm.nih.gov/articles/PMC4184540/" TargetMode="External" Id="rId253"/><Relationship Type="http://schemas.openxmlformats.org/officeDocument/2006/relationships/hyperlink" Target="https://doi.org/10.1186/1749-7922-8-30" TargetMode="External" Id="rId254"/><Relationship Type="http://schemas.openxmlformats.org/officeDocument/2006/relationships/hyperlink" Target="https://pubmed.ncbi.nlm.nih.gov/23915457/" TargetMode="External" Id="rId255"/><Relationship Type="http://schemas.openxmlformats.org/officeDocument/2006/relationships/hyperlink" Target="https://pmc.ncbi.nlm.nih.gov/articles/PMC3751152/" TargetMode="External" Id="rId256"/><Relationship Type="http://schemas.openxmlformats.org/officeDocument/2006/relationships/hyperlink" Target="https://doi.org/10.5152/ucd.2013.47" TargetMode="External" Id="rId257"/><Relationship Type="http://schemas.openxmlformats.org/officeDocument/2006/relationships/hyperlink" Target="https://pubmed.ncbi.nlm.nih.gov/25931877/" TargetMode="External" Id="rId258"/><Relationship Type="http://schemas.openxmlformats.org/officeDocument/2006/relationships/hyperlink" Target="https://pmc.ncbi.nlm.nih.gov/articles/PMC4382814/" TargetMode="External" Id="rId259"/><Relationship Type="http://schemas.openxmlformats.org/officeDocument/2006/relationships/hyperlink" Target="https://doi.org/10.1007/s00268-012-1880-x" TargetMode="External" Id="rId260"/><Relationship Type="http://schemas.openxmlformats.org/officeDocument/2006/relationships/hyperlink" Target="https://pubmed.ncbi.nlm.nih.gov/23238797/" TargetMode="External" Id="rId261"/><Relationship Type="http://schemas.openxmlformats.org/officeDocument/2006/relationships/hyperlink" Target="https://pmc.ncbi.nlm.nih.gov/articles/PMC3566390/" TargetMode="External" Id="rId262"/><Relationship Type="http://schemas.openxmlformats.org/officeDocument/2006/relationships/hyperlink" Target="https://doi.org/10.3205/iprs000014" TargetMode="External" Id="rId263"/><Relationship Type="http://schemas.openxmlformats.org/officeDocument/2006/relationships/hyperlink" Target="https://pubmed.ncbi.nlm.nih.gov/26504696/" TargetMode="External" Id="rId264"/><Relationship Type="http://schemas.openxmlformats.org/officeDocument/2006/relationships/hyperlink" Target="https://pmc.ncbi.nlm.nih.gov/articles/PMC4582471/" TargetMode="External" Id="rId265"/><Relationship Type="http://schemas.openxmlformats.org/officeDocument/2006/relationships/hyperlink" Target="https://doi.org/10.1136/bcr.08.2011.4676" TargetMode="External" Id="rId266"/><Relationship Type="http://schemas.openxmlformats.org/officeDocument/2006/relationships/hyperlink" Target="https://pubmed.ncbi.nlm.nih.gov/22675015/" TargetMode="External" Id="rId267"/><Relationship Type="http://schemas.openxmlformats.org/officeDocument/2006/relationships/hyperlink" Target="https://pmc.ncbi.nlm.nih.gov/articles/PMC3207771/" TargetMode="External" Id="rId268"/><Relationship Type="http://schemas.openxmlformats.org/officeDocument/2006/relationships/hyperlink" Target="https://doi.org/10.4103/1319-3767.70618" TargetMode="External" Id="rId269"/><Relationship Type="http://schemas.openxmlformats.org/officeDocument/2006/relationships/hyperlink" Target="https://pubmed.ncbi.nlm.nih.gov/20871196/" TargetMode="External" Id="rId270"/><Relationship Type="http://schemas.openxmlformats.org/officeDocument/2006/relationships/hyperlink" Target="https://pmc.ncbi.nlm.nih.gov/articles/PMC2995100/" TargetMode="External" Id="rId271"/><Relationship Type="http://schemas.openxmlformats.org/officeDocument/2006/relationships/hyperlink" Target="https://doi.org/10.2147/imcrj.s8937" TargetMode="External" Id="rId272"/><Relationship Type="http://schemas.openxmlformats.org/officeDocument/2006/relationships/hyperlink" Target="https://pubmed.ncbi.nlm.nih.gov/23754883/" TargetMode="External" Id="rId273"/><Relationship Type="http://schemas.openxmlformats.org/officeDocument/2006/relationships/hyperlink" Target="https://pmc.ncbi.nlm.nih.gov/articles/PMC3658214/" TargetMode="External" Id="rId274"/><Relationship Type="http://schemas.openxmlformats.org/officeDocument/2006/relationships/hyperlink" Target="https://doi.org/10.1186/1757-1626-1-149" TargetMode="External" Id="rId275"/><Relationship Type="http://schemas.openxmlformats.org/officeDocument/2006/relationships/hyperlink" Target="https://pubmed.ncbi.nlm.nih.gov/18783625/" TargetMode="External" Id="rId276"/><Relationship Type="http://schemas.openxmlformats.org/officeDocument/2006/relationships/hyperlink" Target="https://pmc.ncbi.nlm.nih.gov/articles/PMC2553057/" TargetMode="External" Id="rId277"/><Relationship Type="http://schemas.openxmlformats.org/officeDocument/2006/relationships/hyperlink" Target="https://doi.org/10.2484/rcr.v3i4.229" TargetMode="External" Id="rId278"/><Relationship Type="http://schemas.openxmlformats.org/officeDocument/2006/relationships/hyperlink" Target="https://pubmed.ncbi.nlm.nih.gov/27303560/" TargetMode="External" Id="rId279"/><Relationship Type="http://schemas.openxmlformats.org/officeDocument/2006/relationships/hyperlink" Target="https://pmc.ncbi.nlm.nih.gov/articles/PMC4897094/" TargetMode="External" Id="rId280"/><Relationship Type="http://schemas.openxmlformats.org/officeDocument/2006/relationships/hyperlink" Target="https://pubmed.ncbi.nlm.nih.gov/17761090/" TargetMode="External" Id="rId281"/><Relationship Type="http://schemas.openxmlformats.org/officeDocument/2006/relationships/hyperlink" Target="https://pmc.ncbi.nlm.nih.gov/articles/PMC3015717/" TargetMode="External" Id="rId282"/><Relationship Type="http://schemas.openxmlformats.org/officeDocument/2006/relationships/hyperlink" Target="https://doi.org/10.4103/jmas.jmas_586_25" TargetMode="External" Id="rId283"/><Relationship Type="http://schemas.openxmlformats.org/officeDocument/2006/relationships/hyperlink" Target="https://pubmed.ncbi.nlm.nih.gov/42241351/" TargetMode="External" Id="rId284"/><Relationship Type="http://schemas.openxmlformats.org/officeDocument/2006/relationships/hyperlink" Target="https://doi.org/10.1007/s13304-026-02552-7" TargetMode="External" Id="rId285"/><Relationship Type="http://schemas.openxmlformats.org/officeDocument/2006/relationships/hyperlink" Target="https://pubmed.ncbi.nlm.nih.gov/41975166/" TargetMode="External" Id="rId286"/><Relationship Type="http://schemas.openxmlformats.org/officeDocument/2006/relationships/hyperlink" Target="https://doi.org/10.1016/j.epsc.2026.103340" TargetMode="External" Id="rId287"/><Relationship Type="http://schemas.openxmlformats.org/officeDocument/2006/relationships/hyperlink" Target="https://www.scopus.com/pages/publications/105048786250?origin=resultslist" TargetMode="External" Id="rId288"/><Relationship Type="http://schemas.openxmlformats.org/officeDocument/2006/relationships/hyperlink" Target="https://doi.org/10.3389/fonc.2026.1871126" TargetMode="External" Id="rId289"/><Relationship Type="http://schemas.openxmlformats.org/officeDocument/2006/relationships/hyperlink" Target="https://www.scopus.com/pages/publications/105046581728?origin=resultslist" TargetMode="External" Id="rId290"/><Relationship Type="http://schemas.openxmlformats.org/officeDocument/2006/relationships/hyperlink" Target="https://doi.org/10.1007/s13304-025-02181-6" TargetMode="External" Id="rId291"/><Relationship Type="http://schemas.openxmlformats.org/officeDocument/2006/relationships/hyperlink" Target="https://pubmed.ncbi.nlm.nih.gov/40183998/" TargetMode="External" Id="rId292"/><Relationship Type="http://schemas.openxmlformats.org/officeDocument/2006/relationships/hyperlink" Target="https://doi.org/10.1016/j.epsc.2025.103046" TargetMode="External" Id="rId293"/><Relationship Type="http://schemas.openxmlformats.org/officeDocument/2006/relationships/hyperlink" Target="https://www.scopus.com/pages/publications/105008819713?origin=resultslist" TargetMode="External" Id="rId294"/><Relationship Type="http://schemas.openxmlformats.org/officeDocument/2006/relationships/hyperlink" Target="https://doi.org/10.5348/100108z04am2025ra" TargetMode="External" Id="rId295"/><Relationship Type="http://schemas.openxmlformats.org/officeDocument/2006/relationships/hyperlink" Target="https://doi.org/10.1186/s43055-025-01488-z" TargetMode="External" Id="rId296"/><Relationship Type="http://schemas.openxmlformats.org/officeDocument/2006/relationships/hyperlink" Target="https://www.scopus.com/pages/publications/105006757181?origin=resultslist" TargetMode="External" Id="rId297"/><Relationship Type="http://schemas.openxmlformats.org/officeDocument/2006/relationships/hyperlink" Target="https://doi.org/10.1155/crip/6644516" TargetMode="External" Id="rId298"/><Relationship Type="http://schemas.openxmlformats.org/officeDocument/2006/relationships/hyperlink" Target="https://doi.org/10.14300/mnnc.2025.20040" TargetMode="External" Id="rId299"/><Relationship Type="http://schemas.openxmlformats.org/officeDocument/2006/relationships/hyperlink" Target="https://www.scopus.com/pages/publications/105014980495?origin=resultslist" TargetMode="External" Id="rId300"/><Relationship Type="http://schemas.openxmlformats.org/officeDocument/2006/relationships/hyperlink" Target="https://doi.org/10.1016/j.jviscsurg.2024.05.005" TargetMode="External" Id="rId301"/><Relationship Type="http://schemas.openxmlformats.org/officeDocument/2006/relationships/hyperlink" Target="https://pubmed.ncbi.nlm.nih.gov/38839447/" TargetMode="External" Id="rId302"/><Relationship Type="http://schemas.openxmlformats.org/officeDocument/2006/relationships/hyperlink" Target="https://doi.org/10.1016/j.epsc.2024.102793" TargetMode="External" Id="rId303"/><Relationship Type="http://schemas.openxmlformats.org/officeDocument/2006/relationships/hyperlink" Target="https://www.scopus.com/pages/publications/85187558070?origin=resultslist" TargetMode="External" Id="rId304"/><Relationship Type="http://schemas.openxmlformats.org/officeDocument/2006/relationships/hyperlink" Target="https://doi.org/10.1016/j.epsc.2024.102840" TargetMode="External" Id="rId305"/><Relationship Type="http://schemas.openxmlformats.org/officeDocument/2006/relationships/hyperlink" Target="https://www.scopus.com/pages/publications/85196043112?origin=resultslist" TargetMode="External" Id="rId306"/><Relationship Type="http://schemas.openxmlformats.org/officeDocument/2006/relationships/hyperlink" Target="https://doi.org/10.1016/j.epsc.2024.102877" TargetMode="External" Id="rId307"/><Relationship Type="http://schemas.openxmlformats.org/officeDocument/2006/relationships/hyperlink" Target="https://www.scopus.com/pages/publications/85204080322?origin=resultslist" TargetMode="External" Id="rId308"/><Relationship Type="http://schemas.openxmlformats.org/officeDocument/2006/relationships/hyperlink" Target="https://doi.org/10.4103/jss.jss_109_24" TargetMode="External" Id="rId309"/><Relationship Type="http://schemas.openxmlformats.org/officeDocument/2006/relationships/hyperlink" Target="https://doi.org/10.4274/gulhane.galenos.2023.72677" TargetMode="External" Id="rId310"/><Relationship Type="http://schemas.openxmlformats.org/officeDocument/2006/relationships/hyperlink" Target="https://www.scopus.com/pages/publications/85197618089?origin=resultslist" TargetMode="External" Id="rId311"/><Relationship Type="http://schemas.openxmlformats.org/officeDocument/2006/relationships/hyperlink" Target="https://doi.org/10.1016/j.jemermed.2023.06.003" TargetMode="External" Id="rId312"/><Relationship Type="http://schemas.openxmlformats.org/officeDocument/2006/relationships/hyperlink" Target="https://pubmed.ncbi.nlm.nih.gov/37716902/" TargetMode="External" Id="rId313"/><Relationship Type="http://schemas.openxmlformats.org/officeDocument/2006/relationships/hyperlink" Target="https://doi.org/10.1007/s00261-022-03789-7" TargetMode="External" Id="rId314"/><Relationship Type="http://schemas.openxmlformats.org/officeDocument/2006/relationships/hyperlink" Target="https://pubmed.ncbi.nlm.nih.gov/36752858/" TargetMode="External" Id="rId315"/><Relationship Type="http://schemas.openxmlformats.org/officeDocument/2006/relationships/hyperlink" Target="https://doi.org/10.1017/s1047951122001755" TargetMode="External" Id="rId316"/><Relationship Type="http://schemas.openxmlformats.org/officeDocument/2006/relationships/hyperlink" Target="https://pubmed.ncbi.nlm.nih.gov/35656572/" TargetMode="External" Id="rId317"/><Relationship Type="http://schemas.openxmlformats.org/officeDocument/2006/relationships/hyperlink" Target="https://doi.org/10.1002/vrc2.564" TargetMode="External" Id="rId318"/><Relationship Type="http://schemas.openxmlformats.org/officeDocument/2006/relationships/hyperlink" Target="https://www.scopus.com/pages/publications/85145701090?origin=resultslist" TargetMode="External" Id="rId319"/><Relationship Type="http://schemas.openxmlformats.org/officeDocument/2006/relationships/hyperlink" Target="https://doi.org/10.1016/j.gpeds.2023.100090" TargetMode="External" Id="rId320"/><Relationship Type="http://schemas.openxmlformats.org/officeDocument/2006/relationships/hyperlink" Target="https://www.scopus.com/pages/publications/85192246437?origin=resultslist" TargetMode="External" Id="rId321"/><Relationship Type="http://schemas.openxmlformats.org/officeDocument/2006/relationships/hyperlink" Target="https://doi.org/10.1007/978-981-99-2750-0_35" TargetMode="External" Id="rId322"/><Relationship Type="http://schemas.openxmlformats.org/officeDocument/2006/relationships/hyperlink" Target="https://www.scopus.com/pages/publications/85197056397?origin=resultslist" TargetMode="External" Id="rId323"/><Relationship Type="http://schemas.openxmlformats.org/officeDocument/2006/relationships/hyperlink" Target="https://doi.org/10.1007/s00383-022-05125-y" TargetMode="External" Id="rId324"/><Relationship Type="http://schemas.openxmlformats.org/officeDocument/2006/relationships/hyperlink" Target="https://pubmed.ncbi.nlm.nih.gov/35391540/" TargetMode="External" Id="rId325"/><Relationship Type="http://schemas.openxmlformats.org/officeDocument/2006/relationships/hyperlink" Target="https://doi.org/10.30491/tm.2022.351616.1497" TargetMode="External" Id="rId326"/><Relationship Type="http://schemas.openxmlformats.org/officeDocument/2006/relationships/hyperlink" Target="https://www.scopus.com/pages/publications/85138759539?origin=resultslist" TargetMode="External" Id="rId327"/><Relationship Type="http://schemas.openxmlformats.org/officeDocument/2006/relationships/hyperlink" Target="https://doi.org/10.1007/978-3-030-96542-6_57" TargetMode="External" Id="rId328"/><Relationship Type="http://schemas.openxmlformats.org/officeDocument/2006/relationships/hyperlink" Target="https://www.scopus.com/pages/publications/85159165580?origin=resultslist" TargetMode="External" Id="rId329"/><Relationship Type="http://schemas.openxmlformats.org/officeDocument/2006/relationships/hyperlink" Target="https://doi.org/10.1002/9781118487181.ch8" TargetMode="External" Id="rId330"/><Relationship Type="http://schemas.openxmlformats.org/officeDocument/2006/relationships/hyperlink" Target="https://www.scopus.com/pages/publications/85162673356?origin=resultslist" TargetMode="External" Id="rId331"/><Relationship Type="http://schemas.openxmlformats.org/officeDocument/2006/relationships/hyperlink" Target="https://doi.org/10.1089/lap.2020.0759" TargetMode="External" Id="rId332"/><Relationship Type="http://schemas.openxmlformats.org/officeDocument/2006/relationships/hyperlink" Target="https://pubmed.ncbi.nlm.nih.gov/33428514/" TargetMode="External" Id="rId333"/><Relationship Type="http://schemas.openxmlformats.org/officeDocument/2006/relationships/hyperlink" Target="https://doi.org/10.1007/s10140-020-01895-x" TargetMode="External" Id="rId334"/><Relationship Type="http://schemas.openxmlformats.org/officeDocument/2006/relationships/hyperlink" Target="https://pubmed.ncbi.nlm.nih.gov/33417114/" TargetMode="External" Id="rId335"/><Relationship Type="http://schemas.openxmlformats.org/officeDocument/2006/relationships/hyperlink" Target="https://doi.org/10.1111/ases.12894" TargetMode="External" Id="rId336"/><Relationship Type="http://schemas.openxmlformats.org/officeDocument/2006/relationships/hyperlink" Target="https://pubmed.ncbi.nlm.nih.gov/33210467/" TargetMode="External" Id="rId337"/><Relationship Type="http://schemas.openxmlformats.org/officeDocument/2006/relationships/hyperlink" Target="https://doi.org/10.1016/j.epsc.2020.101756" TargetMode="External" Id="rId338"/><Relationship Type="http://schemas.openxmlformats.org/officeDocument/2006/relationships/hyperlink" Target="https://www.scopus.com/pages/publications/85098193919?origin=resultslist" TargetMode="External" Id="rId339"/><Relationship Type="http://schemas.openxmlformats.org/officeDocument/2006/relationships/hyperlink" Target="https://doi.org/10.1016/j.epsc.2020.101702" TargetMode="External" Id="rId340"/><Relationship Type="http://schemas.openxmlformats.org/officeDocument/2006/relationships/hyperlink" Target="https://www.scopus.com/pages/publications/85096184947?origin=resultslist" TargetMode="External" Id="rId341"/><Relationship Type="http://schemas.openxmlformats.org/officeDocument/2006/relationships/hyperlink" Target="https://doi.org/10.33706/jemcr.811390" TargetMode="External" Id="rId342"/><Relationship Type="http://schemas.openxmlformats.org/officeDocument/2006/relationships/hyperlink" Target="https://doi.org/10.1016/j.epsc.2021.101848" TargetMode="External" Id="rId343"/><Relationship Type="http://schemas.openxmlformats.org/officeDocument/2006/relationships/hyperlink" Target="https://www.scopus.com/pages/publications/85107128289?origin=resultslist" TargetMode="External" Id="rId344"/><Relationship Type="http://schemas.openxmlformats.org/officeDocument/2006/relationships/hyperlink" Target="https://doi.org/10.1007/s12262-020-02308-6" TargetMode="External" Id="rId345"/><Relationship Type="http://schemas.openxmlformats.org/officeDocument/2006/relationships/hyperlink" Target="https://www.scopus.com/pages/publications/85084863005?origin=resultslist" TargetMode="External" Id="rId346"/><Relationship Type="http://schemas.openxmlformats.org/officeDocument/2006/relationships/hyperlink" Target="https://doi.org/10.2478/sjecr-2019-0004" TargetMode="External" Id="rId347"/><Relationship Type="http://schemas.openxmlformats.org/officeDocument/2006/relationships/hyperlink" Target="https://www.scopus.com/pages/publications/85118358353?origin=resultslist" TargetMode="External" Id="rId348"/><Relationship Type="http://schemas.openxmlformats.org/officeDocument/2006/relationships/hyperlink" Target="https://doi.org/10.1007/s10140-020-01786-1" TargetMode="External" Id="rId349"/><Relationship Type="http://schemas.openxmlformats.org/officeDocument/2006/relationships/hyperlink" Target="https://pubmed.ncbi.nlm.nih.gov/32424633/" TargetMode="External" Id="rId350"/><Relationship Type="http://schemas.openxmlformats.org/officeDocument/2006/relationships/hyperlink" Target="https://doi.org/10.2174/1573405614666181009142322" TargetMode="External" Id="rId351"/><Relationship Type="http://schemas.openxmlformats.org/officeDocument/2006/relationships/hyperlink" Target="https://pubmed.ncbi.nlm.nih.gov/31989898/" TargetMode="External" Id="rId352"/><Relationship Type="http://schemas.openxmlformats.org/officeDocument/2006/relationships/hyperlink" Target="https://doi.org/10.1097/pec.0000000000001520" TargetMode="External" Id="rId353"/><Relationship Type="http://schemas.openxmlformats.org/officeDocument/2006/relationships/hyperlink" Target="https://www.scopus.com/pages/publications/85097003483?origin=resultslist" TargetMode="External" Id="rId354"/><Relationship Type="http://schemas.openxmlformats.org/officeDocument/2006/relationships/hyperlink" Target="https://doi.org/10.1016/j.epsc.2020.101514" TargetMode="External" Id="rId355"/><Relationship Type="http://schemas.openxmlformats.org/officeDocument/2006/relationships/hyperlink" Target="https://www.scopus.com/pages/publications/85086459504?origin=resultslist" TargetMode="External" Id="rId356"/><Relationship Type="http://schemas.openxmlformats.org/officeDocument/2006/relationships/hyperlink" Target="https://doi.org/10.33699/pis.2019.98.12.509-512" TargetMode="External" Id="rId357"/><Relationship Type="http://schemas.openxmlformats.org/officeDocument/2006/relationships/hyperlink" Target="https://pubmed.ncbi.nlm.nih.gov/31958965/" TargetMode="External" Id="rId358"/><Relationship Type="http://schemas.openxmlformats.org/officeDocument/2006/relationships/hyperlink" Target="https://pubmed.ncbi.nlm.nih.gov/31816207/" TargetMode="External" Id="rId359"/><Relationship Type="http://schemas.openxmlformats.org/officeDocument/2006/relationships/hyperlink" Target="https://doi.org/10.1016/j.epsc.2018.10.001" TargetMode="External" Id="rId360"/><Relationship Type="http://schemas.openxmlformats.org/officeDocument/2006/relationships/hyperlink" Target="https://www.scopus.com/pages/publications/85054808059?origin=resultslist" TargetMode="External" Id="rId361"/><Relationship Type="http://schemas.openxmlformats.org/officeDocument/2006/relationships/hyperlink" Target="https://doi.org/10.1016/j.epsc.2019.101267" TargetMode="External" Id="rId362"/><Relationship Type="http://schemas.openxmlformats.org/officeDocument/2006/relationships/hyperlink" Target="https://www.scopus.com/pages/publications/85070199533?origin=resultslist" TargetMode="External" Id="rId363"/><Relationship Type="http://schemas.openxmlformats.org/officeDocument/2006/relationships/hyperlink" Target="https://doi.org/10.4103/fjs.fjs_34_19" TargetMode="External" Id="rId364"/><Relationship Type="http://schemas.openxmlformats.org/officeDocument/2006/relationships/hyperlink" Target="https://www.scopus.com/pages/publications/85074683043?origin=resultslist" TargetMode="External" Id="rId365"/><Relationship Type="http://schemas.openxmlformats.org/officeDocument/2006/relationships/hyperlink" Target="https://doi.org/10.1073/pnas.1719264115" TargetMode="External" Id="rId366"/><Relationship Type="http://schemas.openxmlformats.org/officeDocument/2006/relationships/hyperlink" Target="https://pubmed.ncbi.nlm.nih.gov/29911755/" TargetMode="External" Id="rId367"/><Relationship Type="http://schemas.openxmlformats.org/officeDocument/2006/relationships/hyperlink" Target="https://doi.org/10.1097/sle.0000000000000518" TargetMode="External" Id="rId368"/><Relationship Type="http://schemas.openxmlformats.org/officeDocument/2006/relationships/hyperlink" Target="https://pubmed.ncbi.nlm.nih.gov/29521675/" TargetMode="External" Id="rId369"/><Relationship Type="http://schemas.openxmlformats.org/officeDocument/2006/relationships/hyperlink" Target="https://doi.org/10.5603/fm.a2017.0097" TargetMode="External" Id="rId370"/><Relationship Type="http://schemas.openxmlformats.org/officeDocument/2006/relationships/hyperlink" Target="https://pubmed.ncbi.nlm.nih.gov/29064546/" TargetMode="External" Id="rId371"/><Relationship Type="http://schemas.openxmlformats.org/officeDocument/2006/relationships/hyperlink" Target="https://doi.org/10.1007/s00464-017-5630-x" TargetMode="External" Id="rId372"/><Relationship Type="http://schemas.openxmlformats.org/officeDocument/2006/relationships/hyperlink" Target="https://pubmed.ncbi.nlm.nih.gov/28733740/" TargetMode="External" Id="rId373"/><Relationship Type="http://schemas.openxmlformats.org/officeDocument/2006/relationships/hyperlink" Target="https://doi.org/10.5152/tjg.2017.17035" TargetMode="External" Id="rId374"/><Relationship Type="http://schemas.openxmlformats.org/officeDocument/2006/relationships/hyperlink" Target="https://pubmed.ncbi.nlm.nih.gov/28699604/" TargetMode="External" Id="rId375"/><Relationship Type="http://schemas.openxmlformats.org/officeDocument/2006/relationships/hyperlink" Target="https://doi.org/10.4103/1119-3077.201431" TargetMode="External" Id="rId376"/><Relationship Type="http://schemas.openxmlformats.org/officeDocument/2006/relationships/hyperlink" Target="https://pubmed.ncbi.nlm.nih.gov/28256499/" TargetMode="External" Id="rId377"/><Relationship Type="http://schemas.openxmlformats.org/officeDocument/2006/relationships/hyperlink" Target="https://doi.org/10.1016/j.epsc.2017.06.003" TargetMode="External" Id="rId378"/><Relationship Type="http://schemas.openxmlformats.org/officeDocument/2006/relationships/hyperlink" Target="https://www.scopus.com/pages/publications/85021258673?origin=resultslist" TargetMode="External" Id="rId379"/><Relationship Type="http://schemas.openxmlformats.org/officeDocument/2006/relationships/hyperlink" Target="https://doi.org/10.1016/j.epsc.2016.04.024" TargetMode="External" Id="rId380"/><Relationship Type="http://schemas.openxmlformats.org/officeDocument/2006/relationships/hyperlink" Target="https://www.scopus.com/pages/publications/85010441799?origin=resultslist" TargetMode="External" Id="rId381"/><Relationship Type="http://schemas.openxmlformats.org/officeDocument/2006/relationships/hyperlink" Target="https://doi.org/10.1007/978-3-662-53085-6_25" TargetMode="External" Id="rId382"/><Relationship Type="http://schemas.openxmlformats.org/officeDocument/2006/relationships/hyperlink" Target="https://www.scopus.com/pages/publications/105009125593?origin=resultslist" TargetMode="External" Id="rId383"/><Relationship Type="http://schemas.openxmlformats.org/officeDocument/2006/relationships/hyperlink" Target="https://doi.org/10.4081/pmc.2016.119" TargetMode="External" Id="rId384"/><Relationship Type="http://schemas.openxmlformats.org/officeDocument/2006/relationships/hyperlink" Target="https://pubmed.ncbi.nlm.nih.gov/28009140/" TargetMode="External" Id="rId385"/><Relationship Type="http://schemas.openxmlformats.org/officeDocument/2006/relationships/hyperlink" Target="https://doi.org/10.1097/pec.0000000000000642" TargetMode="External" Id="rId386"/><Relationship Type="http://schemas.openxmlformats.org/officeDocument/2006/relationships/hyperlink" Target="https://pubmed.ncbi.nlm.nih.gov/27248774/" TargetMode="External" Id="rId387"/><Relationship Type="http://schemas.openxmlformats.org/officeDocument/2006/relationships/hyperlink" Target="https://pubmed.ncbi.nlm.nih.gov/26853294/" TargetMode="External" Id="rId388"/><Relationship Type="http://schemas.openxmlformats.org/officeDocument/2006/relationships/hyperlink" Target="https://doi.org/10.1007/s10396-015-0622-8" TargetMode="External" Id="rId389"/><Relationship Type="http://schemas.openxmlformats.org/officeDocument/2006/relationships/hyperlink" Target="https://pubmed.ncbi.nlm.nih.gov/26576796/" TargetMode="External" Id="rId390"/><Relationship Type="http://schemas.openxmlformats.org/officeDocument/2006/relationships/hyperlink" Target="https://doi.org/10.1111/ases.12188" TargetMode="External" Id="rId391"/><Relationship Type="http://schemas.openxmlformats.org/officeDocument/2006/relationships/hyperlink" Target="https://pubmed.ncbi.nlm.nih.gov/26303736/" TargetMode="External" Id="rId392"/><Relationship Type="http://schemas.openxmlformats.org/officeDocument/2006/relationships/hyperlink" Target="https://doi.org/10.1007/978-3-319-03506-2_7" TargetMode="External" Id="rId393"/><Relationship Type="http://schemas.openxmlformats.org/officeDocument/2006/relationships/hyperlink" Target="https://www.scopus.com/pages/publications/84944548925?origin=resultslist" TargetMode="External" Id="rId394"/><Relationship Type="http://schemas.openxmlformats.org/officeDocument/2006/relationships/hyperlink" Target="https://pubmed.ncbi.nlm.nih.gov/25518790/" TargetMode="External" Id="rId395"/><Relationship Type="http://schemas.openxmlformats.org/officeDocument/2006/relationships/hyperlink" Target="https://pubmed.ncbi.nlm.nih.gov/25335381/" TargetMode="External" Id="rId396"/><Relationship Type="http://schemas.openxmlformats.org/officeDocument/2006/relationships/hyperlink" Target="https://pubmed.ncbi.nlm.nih.gov/25224425/" TargetMode="External" Id="rId397"/><Relationship Type="http://schemas.openxmlformats.org/officeDocument/2006/relationships/hyperlink" Target="https://doi.org/10.1067/j.cpradiol.2014.04.002" TargetMode="External" Id="rId398"/><Relationship Type="http://schemas.openxmlformats.org/officeDocument/2006/relationships/hyperlink" Target="https://pubmed.ncbi.nlm.nih.gov/24861235/" TargetMode="External" Id="rId399"/><Relationship Type="http://schemas.openxmlformats.org/officeDocument/2006/relationships/hyperlink" Target="https://pubmed.ncbi.nlm.nih.gov/24791368/" TargetMode="External" Id="rId400"/><Relationship Type="http://schemas.openxmlformats.org/officeDocument/2006/relationships/hyperlink" Target="https://doi.org/10.1097/mbc.0000000000000081" TargetMode="External" Id="rId401"/><Relationship Type="http://schemas.openxmlformats.org/officeDocument/2006/relationships/hyperlink" Target="https://pubmed.ncbi.nlm.nih.gov/24509326/" TargetMode="External" Id="rId402"/><Relationship Type="http://schemas.openxmlformats.org/officeDocument/2006/relationships/hyperlink" Target="https://doi.org/10.1007/s00247-013-2851-6" TargetMode="External" Id="rId403"/><Relationship Type="http://schemas.openxmlformats.org/officeDocument/2006/relationships/hyperlink" Target="https://pubmed.ncbi.nlm.nih.gov/24407229/" TargetMode="External" Id="rId404"/><Relationship Type="http://schemas.openxmlformats.org/officeDocument/2006/relationships/hyperlink" Target="https://doi.org/10.1097/pec.0b013e3182a32079" TargetMode="External" Id="rId405"/><Relationship Type="http://schemas.openxmlformats.org/officeDocument/2006/relationships/hyperlink" Target="https://pubmed.ncbi.nlm.nih.gov/24201983/" TargetMode="External" Id="rId406"/><Relationship Type="http://schemas.openxmlformats.org/officeDocument/2006/relationships/hyperlink" Target="https://doi.org/10.1002/ajmg.a.36109" TargetMode="External" Id="rId407"/><Relationship Type="http://schemas.openxmlformats.org/officeDocument/2006/relationships/hyperlink" Target="https://pubmed.ncbi.nlm.nih.gov/23873601/" TargetMode="External" Id="rId408"/><Relationship Type="http://schemas.openxmlformats.org/officeDocument/2006/relationships/hyperlink" Target="https://doi.org/10.1016/j.jpedsurg.2013.01.003" TargetMode="External" Id="rId409"/><Relationship Type="http://schemas.openxmlformats.org/officeDocument/2006/relationships/hyperlink" Target="https://pubmed.ncbi.nlm.nih.gov/23480945/" TargetMode="External" Id="rId410"/><Relationship Type="http://schemas.openxmlformats.org/officeDocument/2006/relationships/hyperlink" Target="https://doi.org/10.1016/j.jpedsurg.2012.12.042" TargetMode="External" Id="rId411"/><Relationship Type="http://schemas.openxmlformats.org/officeDocument/2006/relationships/hyperlink" Target="https://pubmed.ncbi.nlm.nih.gov/23480940/" TargetMode="External" Id="rId412"/><Relationship Type="http://schemas.openxmlformats.org/officeDocument/2006/relationships/hyperlink" Target="https://doi.org/10.1007/s00261-012-9944-9" TargetMode="External" Id="rId413"/><Relationship Type="http://schemas.openxmlformats.org/officeDocument/2006/relationships/hyperlink" Target="https://pubmed.ncbi.nlm.nih.gov/22829098/" TargetMode="External" Id="rId414"/><Relationship Type="http://schemas.openxmlformats.org/officeDocument/2006/relationships/hyperlink" Target="https://doi.org/10.1016/j.epsc.2013.03.019" TargetMode="External" Id="rId415"/><Relationship Type="http://schemas.openxmlformats.org/officeDocument/2006/relationships/hyperlink" Target="https://www.scopus.com/pages/publications/84888263513?origin=resultslist" TargetMode="External" Id="rId416"/><Relationship Type="http://schemas.openxmlformats.org/officeDocument/2006/relationships/hyperlink" Target="https://doi.org/10.1016/j.epsc.2013.05.006" TargetMode="External" Id="rId417"/><Relationship Type="http://schemas.openxmlformats.org/officeDocument/2006/relationships/hyperlink" Target="https://www.scopus.com/pages/publications/84893054566?origin=resultslist" TargetMode="External" Id="rId418"/><Relationship Type="http://schemas.openxmlformats.org/officeDocument/2006/relationships/hyperlink" Target="https://doi.org/10.1177/8756479312472392" TargetMode="External" Id="rId419"/><Relationship Type="http://schemas.openxmlformats.org/officeDocument/2006/relationships/hyperlink" Target="https://www.scopus.com/pages/publications/84877635711?origin=resultslist" TargetMode="External" Id="rId420"/><Relationship Type="http://schemas.openxmlformats.org/officeDocument/2006/relationships/hyperlink" Target="https://doi.org/10.1002/9781118760772.ch4" TargetMode="External" Id="rId421"/><Relationship Type="http://schemas.openxmlformats.org/officeDocument/2006/relationships/hyperlink" Target="https://www.scopus.com/pages/publications/85016086294?origin=resultslist" TargetMode="External" Id="rId422"/><Relationship Type="http://schemas.openxmlformats.org/officeDocument/2006/relationships/hyperlink" Target="https://doi.org/10.1016/j.cellimm.2012.11.007" TargetMode="External" Id="rId423"/><Relationship Type="http://schemas.openxmlformats.org/officeDocument/2006/relationships/hyperlink" Target="https://pubmed.ncbi.nlm.nih.gov/23246505/" TargetMode="External" Id="rId424"/><Relationship Type="http://schemas.openxmlformats.org/officeDocument/2006/relationships/hyperlink" Target="https://doi.org/10.4081/pmc.2012.81" TargetMode="External" Id="rId425"/><Relationship Type="http://schemas.openxmlformats.org/officeDocument/2006/relationships/hyperlink" Target="https://pubmed.ncbi.nlm.nih.gov/22966728/" TargetMode="External" Id="rId426"/><Relationship Type="http://schemas.openxmlformats.org/officeDocument/2006/relationships/hyperlink" Target="https://pubmed.ncbi.nlm.nih.gov/22396942/" TargetMode="External" Id="rId427"/><Relationship Type="http://schemas.openxmlformats.org/officeDocument/2006/relationships/hyperlink" Target="https://doi.org/10.7863/jum.2012.31.3.483" TargetMode="External" Id="rId428"/><Relationship Type="http://schemas.openxmlformats.org/officeDocument/2006/relationships/hyperlink" Target="https://pubmed.ncbi.nlm.nih.gov/22368139/" TargetMode="External" Id="rId429"/><Relationship Type="http://schemas.openxmlformats.org/officeDocument/2006/relationships/hyperlink" Target="https://doi.org/10.1089/lap.2011.0148" TargetMode="External" Id="rId430"/><Relationship Type="http://schemas.openxmlformats.org/officeDocument/2006/relationships/hyperlink" Target="https://pubmed.ncbi.nlm.nih.gov/21859343/" TargetMode="External" Id="rId431"/><Relationship Type="http://schemas.openxmlformats.org/officeDocument/2006/relationships/hyperlink" Target="https://doi.org/10.1258/ar.2011.100504" TargetMode="External" Id="rId432"/><Relationship Type="http://schemas.openxmlformats.org/officeDocument/2006/relationships/hyperlink" Target="https://pubmed.ncbi.nlm.nih.gov/21816894/" TargetMode="External" Id="rId433"/><Relationship Type="http://schemas.openxmlformats.org/officeDocument/2006/relationships/hyperlink" Target="https://doi.org/10.1089/lap.2010.0417" TargetMode="External" Id="rId434"/><Relationship Type="http://schemas.openxmlformats.org/officeDocument/2006/relationships/hyperlink" Target="https://pubmed.ncbi.nlm.nih.gov/21375417/" TargetMode="External" Id="rId435"/><Relationship Type="http://schemas.openxmlformats.org/officeDocument/2006/relationships/hyperlink" Target="https://doi.org/10.2174/978160805273811101010153" TargetMode="External" Id="rId436"/><Relationship Type="http://schemas.openxmlformats.org/officeDocument/2006/relationships/hyperlink" Target="https://www.scopus.com/pages/publications/84882678915?origin=resultslist" TargetMode="External" Id="rId437"/><Relationship Type="http://schemas.openxmlformats.org/officeDocument/2006/relationships/hyperlink" Target="https://doi.org/10.1097/sle.0b013e3181f69ce2" TargetMode="External" Id="rId438"/><Relationship Type="http://schemas.openxmlformats.org/officeDocument/2006/relationships/hyperlink" Target="https://pubmed.ncbi.nlm.nih.gov/20975498/" TargetMode="External" Id="rId439"/><Relationship Type="http://schemas.openxmlformats.org/officeDocument/2006/relationships/hyperlink" Target="https://pubmed.ncbi.nlm.nih.gov/20939205/" TargetMode="External" Id="rId440"/><Relationship Type="http://schemas.openxmlformats.org/officeDocument/2006/relationships/hyperlink" Target="https://doi.org/10.1016/j.jpedsurg.2010.03.003" TargetMode="External" Id="rId441"/><Relationship Type="http://schemas.openxmlformats.org/officeDocument/2006/relationships/hyperlink" Target="https://pubmed.ncbi.nlm.nih.gov/20638536/" TargetMode="External" Id="rId442"/><Relationship Type="http://schemas.openxmlformats.org/officeDocument/2006/relationships/hyperlink" Target="https://doi.org/10.1016/j.clinimag.2009.09.001" TargetMode="External" Id="rId443"/><Relationship Type="http://schemas.openxmlformats.org/officeDocument/2006/relationships/hyperlink" Target="https://pubmed.ncbi.nlm.nih.gov/20630344/" TargetMode="External" Id="rId444"/><Relationship Type="http://schemas.openxmlformats.org/officeDocument/2006/relationships/hyperlink" Target="https://doi.org/10.1007/s00383-010-2657-7" TargetMode="External" Id="rId445"/><Relationship Type="http://schemas.openxmlformats.org/officeDocument/2006/relationships/hyperlink" Target="https://pubmed.ncbi.nlm.nih.gov/20625747/" TargetMode="External" Id="rId446"/><Relationship Type="http://schemas.openxmlformats.org/officeDocument/2006/relationships/hyperlink" Target="https://doi.org/10.1007/s00247-010-1756-x" TargetMode="External" Id="rId447"/><Relationship Type="http://schemas.openxmlformats.org/officeDocument/2006/relationships/hyperlink" Target="https://pubmed.ncbi.nlm.nih.gov/20593169/" TargetMode="External" Id="rId448"/><Relationship Type="http://schemas.openxmlformats.org/officeDocument/2006/relationships/hyperlink" Target="https://doi.org/10.5334/jbr-btr.27" TargetMode="External" Id="rId449"/><Relationship Type="http://schemas.openxmlformats.org/officeDocument/2006/relationships/hyperlink" Target="https://doi.org/10.1080/20786204.2010.10873930" TargetMode="External" Id="rId450"/><Relationship Type="http://schemas.openxmlformats.org/officeDocument/2006/relationships/hyperlink" Target="https://www.scopus.com/pages/publications/77952017652?origin=resultslist" TargetMode="External" Id="rId451"/><Relationship Type="http://schemas.openxmlformats.org/officeDocument/2006/relationships/hyperlink" Target="https://doi.org/10.1080/00015458.2009.11680453" TargetMode="External" Id="rId452"/><Relationship Type="http://schemas.openxmlformats.org/officeDocument/2006/relationships/hyperlink" Target="https://pubmed.ncbi.nlm.nih.gov/19943607/" TargetMode="External" Id="rId453"/><Relationship Type="http://schemas.openxmlformats.org/officeDocument/2006/relationships/hyperlink" Target="https://doi.org/10.1016/s1875-9572(09)60059-0" TargetMode="External" Id="rId454"/><Relationship Type="http://schemas.openxmlformats.org/officeDocument/2006/relationships/hyperlink" Target="https://pubmed.ncbi.nlm.nih.gov/19750894/" TargetMode="External" Id="rId455"/><Relationship Type="http://schemas.openxmlformats.org/officeDocument/2006/relationships/hyperlink" Target="https://doi.org/10.1007/s12519-009-0043-0" TargetMode="External" Id="rId456"/><Relationship Type="http://schemas.openxmlformats.org/officeDocument/2006/relationships/hyperlink" Target="https://pubmed.ncbi.nlm.nih.gov/19693469/" TargetMode="External" Id="rId457"/><Relationship Type="http://schemas.openxmlformats.org/officeDocument/2006/relationships/hyperlink" Target="https://doi.org/10.1016/j.jpedsurg.2009.02.062" TargetMode="External" Id="rId458"/><Relationship Type="http://schemas.openxmlformats.org/officeDocument/2006/relationships/hyperlink" Target="https://pubmed.ncbi.nlm.nih.gov/19573677/" TargetMode="External" Id="rId459"/><Relationship Type="http://schemas.openxmlformats.org/officeDocument/2006/relationships/hyperlink" Target="https://doi.org/10.1089/lap.2008.0091.supp" TargetMode="External" Id="rId460"/><Relationship Type="http://schemas.openxmlformats.org/officeDocument/2006/relationships/hyperlink" Target="https://pubmed.ncbi.nlm.nih.gov/19281417/" TargetMode="External" Id="rId461"/><Relationship Type="http://schemas.openxmlformats.org/officeDocument/2006/relationships/hyperlink" Target="https://pubmed.ncbi.nlm.nih.gov/19208319/" TargetMode="External" Id="rId462"/><Relationship Type="http://schemas.openxmlformats.org/officeDocument/2006/relationships/hyperlink" Target="https://doi.org/10.1007/978-3-540-78387-9_52" TargetMode="External" Id="rId463"/><Relationship Type="http://schemas.openxmlformats.org/officeDocument/2006/relationships/hyperlink" Target="https://www.scopus.com/pages/publications/84895240742?origin=resultslist" TargetMode="External" Id="rId464"/><Relationship Type="http://schemas.openxmlformats.org/officeDocument/2006/relationships/hyperlink" Target="https://doi.org/10.1007/s12098-008-0181-8" TargetMode="External" Id="rId465"/><Relationship Type="http://schemas.openxmlformats.org/officeDocument/2006/relationships/hyperlink" Target="https://pubmed.ncbi.nlm.nih.gov/18810347/" TargetMode="External" Id="rId466"/><Relationship Type="http://schemas.openxmlformats.org/officeDocument/2006/relationships/hyperlink" Target="https://doi.org/10.1159/000155899" TargetMode="External" Id="rId467"/><Relationship Type="http://schemas.openxmlformats.org/officeDocument/2006/relationships/hyperlink" Target="https://pubmed.ncbi.nlm.nih.gov/18799886/" TargetMode="External" Id="rId468"/><Relationship Type="http://schemas.openxmlformats.org/officeDocument/2006/relationships/hyperlink" Target="https://doi.org/10.1097/aog.0b013e3181809671" TargetMode="External" Id="rId469"/><Relationship Type="http://schemas.openxmlformats.org/officeDocument/2006/relationships/hyperlink" Target="https://pubmed.ncbi.nlm.nih.gov/18669771/" TargetMode="External" Id="rId470"/><Relationship Type="http://schemas.openxmlformats.org/officeDocument/2006/relationships/hyperlink" Target="https://doi.org/10.1016/j.jpedsurg.2007.12.077" TargetMode="External" Id="rId471"/><Relationship Type="http://schemas.openxmlformats.org/officeDocument/2006/relationships/hyperlink" Target="https://pubmed.ncbi.nlm.nih.gov/18485931/" TargetMode="External" Id="rId472"/><Relationship Type="http://schemas.openxmlformats.org/officeDocument/2006/relationships/hyperlink" Target="https://doi.org/10.1259/bjr/30123041" TargetMode="External" Id="rId473"/><Relationship Type="http://schemas.openxmlformats.org/officeDocument/2006/relationships/hyperlink" Target="https://pubmed.ncbi.nlm.nih.gov/18440937/" TargetMode="External" Id="rId474"/><Relationship Type="http://schemas.openxmlformats.org/officeDocument/2006/relationships/hyperlink" Target="https://doi.org/10.1097/sle.0b013e3180ca9b54" TargetMode="External" Id="rId475"/><Relationship Type="http://schemas.openxmlformats.org/officeDocument/2006/relationships/hyperlink" Target="https://pubmed.ncbi.nlm.nih.gov/18049417/" TargetMode="External" Id="rId476"/><Relationship Type="http://schemas.openxmlformats.org/officeDocument/2006/relationships/hyperlink" Target="https://doi.org/10.1097/sla.0b013e318155abb9" TargetMode="External" Id="rId477"/><Relationship Type="http://schemas.openxmlformats.org/officeDocument/2006/relationships/hyperlink" Target="https://pubmed.ncbi.nlm.nih.gov/17893505/" TargetMode="External" Id="rId478"/><Relationship Type="http://schemas.openxmlformats.org/officeDocument/2006/relationships/hyperlink" Target="https://doi.org/10.1016/j.jpedsurg.2007.03.063" TargetMode="External" Id="rId479"/><Relationship Type="http://schemas.openxmlformats.org/officeDocument/2006/relationships/hyperlink" Target="https://pubmed.ncbi.nlm.nih.gov/17706517/" TargetMode="External" Id="rId480"/><Relationship Type="http://schemas.openxmlformats.org/officeDocument/2006/relationships/hyperlink" Target="https://doi.org/10.1016/j.jpedsurg.2007.03.001" TargetMode="External" Id="rId481"/><Relationship Type="http://schemas.openxmlformats.org/officeDocument/2006/relationships/hyperlink" Target="https://pubmed.ncbi.nlm.nih.gov/17502172/" TargetMode="External" Id="rId482"/><Relationship Type="http://schemas.openxmlformats.org/officeDocument/2006/relationships/hyperlink" Target="https://doi.org/10.1089/lap.2006.0005" TargetMode="External" Id="rId483"/><Relationship Type="http://schemas.openxmlformats.org/officeDocument/2006/relationships/hyperlink" Target="https://pubmed.ncbi.nlm.nih.gov/17484662/" TargetMode="External" Id="rId484"/><Relationship Type="http://schemas.openxmlformats.org/officeDocument/2006/relationships/hyperlink" Target="https://doi.org/10.1007/s00595-006-3389-0" TargetMode="External" Id="rId485"/><Relationship Type="http://schemas.openxmlformats.org/officeDocument/2006/relationships/hyperlink" Target="https://pubmed.ncbi.nlm.nih.gov/17342372/" TargetMode="External" Id="rId486"/><Relationship Type="http://schemas.openxmlformats.org/officeDocument/2006/relationships/hyperlink" Target="https://doi.org/10.1007/s12098-007-0018-x" TargetMode="External" Id="rId487"/><Relationship Type="http://schemas.openxmlformats.org/officeDocument/2006/relationships/hyperlink" Target="https://pubmed.ncbi.nlm.nih.gov/17337837/" TargetMode="External" Id="rId488"/><Relationship Type="http://schemas.openxmlformats.org/officeDocument/2006/relationships/hyperlink" Target="https://pubmed.ncbi.nlm.nih.gov/17206307/" TargetMode="External" Id="rId489"/><Relationship Type="http://schemas.openxmlformats.org/officeDocument/2006/relationships/hyperlink" Target="https://doi.org/10.1097/spv.0b013e31815a5f7a" TargetMode="External" Id="rId490"/><Relationship Type="http://schemas.openxmlformats.org/officeDocument/2006/relationships/hyperlink" Target="https://www.scopus.com/pages/publications/37349022088?origin=resultslist" TargetMode="External" Id="rId491"/><Relationship Type="http://schemas.openxmlformats.org/officeDocument/2006/relationships/hyperlink" Target="https://doi.org/10.4103/0971-9261.31087" TargetMode="External" Id="rId492"/><Relationship Type="http://schemas.openxmlformats.org/officeDocument/2006/relationships/hyperlink" Target="https://www.scopus.com/pages/publications/34047122625?origin=resultslist" TargetMode="External" Id="rId493"/><Relationship Type="http://schemas.openxmlformats.org/officeDocument/2006/relationships/hyperlink" Target="https://doi.org/10.1007/s00595-006-3303-9" TargetMode="External" Id="rId494"/><Relationship Type="http://schemas.openxmlformats.org/officeDocument/2006/relationships/hyperlink" Target="https://pubmed.ncbi.nlm.nih.gov/17123138/" TargetMode="External" Id="rId495"/><Relationship Type="http://schemas.openxmlformats.org/officeDocument/2006/relationships/hyperlink" Target="https://doi.org/10.1016/j.crad.2006.06.007" TargetMode="External" Id="rId496"/><Relationship Type="http://schemas.openxmlformats.org/officeDocument/2006/relationships/hyperlink" Target="https://pubmed.ncbi.nlm.nih.gov/17018308/" TargetMode="External" Id="rId497"/><Relationship Type="http://schemas.openxmlformats.org/officeDocument/2006/relationships/hyperlink" Target="https://doi.org/10.1007/s00383-006-1760-2" TargetMode="External" Id="rId498"/><Relationship Type="http://schemas.openxmlformats.org/officeDocument/2006/relationships/hyperlink" Target="https://pubmed.ncbi.nlm.nih.gov/16944182/" TargetMode="External" Id="rId499"/><Relationship Type="http://schemas.openxmlformats.org/officeDocument/2006/relationships/hyperlink" Target="https://doi.org/10.1089/lap.2006.16.328" TargetMode="External" Id="rId500"/><Relationship Type="http://schemas.openxmlformats.org/officeDocument/2006/relationships/hyperlink" Target="https://pubmed.ncbi.nlm.nih.gov/16796453/" TargetMode="External" Id="rId501"/><Relationship Type="http://schemas.openxmlformats.org/officeDocument/2006/relationships/hyperlink" Target="https://doi.org/10.1007/s00383-006-1673-0" TargetMode="External" Id="rId502"/><Relationship Type="http://schemas.openxmlformats.org/officeDocument/2006/relationships/hyperlink" Target="https://pubmed.ncbi.nlm.nih.gov/16609899/" TargetMode="External" Id="rId503"/><Relationship Type="http://schemas.openxmlformats.org/officeDocument/2006/relationships/hyperlink" Target="https://pubmed.ncbi.nlm.nih.gov/16534164/" TargetMode="External" Id="rId504"/><Relationship Type="http://schemas.openxmlformats.org/officeDocument/2006/relationships/hyperlink" Target="https://pubmed.ncbi.nlm.nih.gov/16515121/" TargetMode="External" Id="rId505"/><Relationship Type="http://schemas.openxmlformats.org/officeDocument/2006/relationships/hyperlink" Target="https://pubmed.ncbi.nlm.nih.gov/16385380/" TargetMode="External" Id="rId506"/><Relationship Type="http://schemas.openxmlformats.org/officeDocument/2006/relationships/hyperlink" Target="https://doi.org/10.1089/lap.2005.15.670" TargetMode="External" Id="rId507"/><Relationship Type="http://schemas.openxmlformats.org/officeDocument/2006/relationships/hyperlink" Target="https://pubmed.ncbi.nlm.nih.gov/16366881/" TargetMode="External" Id="rId508"/><Relationship Type="http://schemas.openxmlformats.org/officeDocument/2006/relationships/hyperlink" Target="https://doi.org/10.1002/jcu.20165" TargetMode="External" Id="rId509"/><Relationship Type="http://schemas.openxmlformats.org/officeDocument/2006/relationships/hyperlink" Target="https://pubmed.ncbi.nlm.nih.gov/16281274/" TargetMode="External" Id="rId510"/><Relationship Type="http://schemas.openxmlformats.org/officeDocument/2006/relationships/hyperlink" Target="https://doi.org/10.1259/bjr/33073529" TargetMode="External" Id="rId511"/><Relationship Type="http://schemas.openxmlformats.org/officeDocument/2006/relationships/hyperlink" Target="https://pubmed.ncbi.nlm.nih.gov/16249609/" TargetMode="External" Id="rId512"/><Relationship Type="http://schemas.openxmlformats.org/officeDocument/2006/relationships/hyperlink" Target="https://doi.org/10.1016/j.jpedsurg.2005.02.009" TargetMode="External" Id="rId513"/><Relationship Type="http://schemas.openxmlformats.org/officeDocument/2006/relationships/hyperlink" Target="https://pubmed.ncbi.nlm.nih.gov/15937839/" TargetMode="External" Id="rId514"/><Relationship Type="http://schemas.openxmlformats.org/officeDocument/2006/relationships/hyperlink" Target="https://doi.org/10.1007/s00383-005-1403-z" TargetMode="External" Id="rId515"/><Relationship Type="http://schemas.openxmlformats.org/officeDocument/2006/relationships/hyperlink" Target="https://pubmed.ncbi.nlm.nih.gov/15803335/" TargetMode="External" Id="rId516"/><Relationship Type="http://schemas.openxmlformats.org/officeDocument/2006/relationships/hyperlink" Target="https://doi.org/10.1016/j.jpedsurg.2004.11.020" TargetMode="External" Id="rId517"/><Relationship Type="http://schemas.openxmlformats.org/officeDocument/2006/relationships/hyperlink" Target="https://pubmed.ncbi.nlm.nih.gov/15793739/" TargetMode="External" Id="rId518"/><Relationship Type="http://schemas.openxmlformats.org/officeDocument/2006/relationships/hyperlink" Target="https://doi.org/10.1007/s10024-004-7082-2" TargetMode="External" Id="rId519"/><Relationship Type="http://schemas.openxmlformats.org/officeDocument/2006/relationships/hyperlink" Target="https://pubmed.ncbi.nlm.nih.gov/15717114/" TargetMode="External" Id="rId520"/><Relationship Type="http://schemas.openxmlformats.org/officeDocument/2006/relationships/hyperlink" Target="https://doi.org/10.1080/00015458.2004.11679614" TargetMode="External" Id="rId521"/><Relationship Type="http://schemas.openxmlformats.org/officeDocument/2006/relationships/hyperlink" Target="https://pubmed.ncbi.nlm.nih.gov/15571023/" TargetMode="External" Id="rId522"/><Relationship Type="http://schemas.openxmlformats.org/officeDocument/2006/relationships/hyperlink" Target="https://pubmed.ncbi.nlm.nih.gov/15321044/" TargetMode="External" Id="rId523"/><Relationship Type="http://schemas.openxmlformats.org/officeDocument/2006/relationships/hyperlink" Target="https://doi.org/10.1016/j.jpedsurg.2004.03.050" TargetMode="External" Id="rId524"/><Relationship Type="http://schemas.openxmlformats.org/officeDocument/2006/relationships/hyperlink" Target="https://pubmed.ncbi.nlm.nih.gov/15213902/" TargetMode="External" Id="rId525"/><Relationship Type="http://schemas.openxmlformats.org/officeDocument/2006/relationships/hyperlink" Target="https://doi.org/10.1007/s00261-004-0174-7" TargetMode="External" Id="rId526"/><Relationship Type="http://schemas.openxmlformats.org/officeDocument/2006/relationships/hyperlink" Target="https://pubmed.ncbi.nlm.nih.gov/15185033/" TargetMode="External" Id="rId527"/><Relationship Type="http://schemas.openxmlformats.org/officeDocument/2006/relationships/hyperlink" Target="https://pubmed.ncbi.nlm.nih.gov/15174805/" TargetMode="External" Id="rId528"/><Relationship Type="http://schemas.openxmlformats.org/officeDocument/2006/relationships/hyperlink" Target="https://doi.org/10.1080/00015458.2004.11679541" TargetMode="External" Id="rId529"/><Relationship Type="http://schemas.openxmlformats.org/officeDocument/2006/relationships/hyperlink" Target="https://pubmed.ncbi.nlm.nih.gov/15154585/" TargetMode="External" Id="rId530"/><Relationship Type="http://schemas.openxmlformats.org/officeDocument/2006/relationships/hyperlink" Target="https://doi.org/10.1007/s00464-003-4254-5" TargetMode="External" Id="rId531"/><Relationship Type="http://schemas.openxmlformats.org/officeDocument/2006/relationships/hyperlink" Target="https://pubmed.ncbi.nlm.nih.gov/15115016/" TargetMode="External" Id="rId532"/><Relationship Type="http://schemas.openxmlformats.org/officeDocument/2006/relationships/hyperlink" Target="https://doi.org/10.1007/s00383-004-1157-z" TargetMode="External" Id="rId533"/><Relationship Type="http://schemas.openxmlformats.org/officeDocument/2006/relationships/hyperlink" Target="https://pubmed.ncbi.nlm.nih.gov/15114488/" TargetMode="External" Id="rId534"/><Relationship Type="http://schemas.openxmlformats.org/officeDocument/2006/relationships/hyperlink" Target="https://doi.org/10.1007/s00261-003-0142-7" TargetMode="External" Id="rId535"/><Relationship Type="http://schemas.openxmlformats.org/officeDocument/2006/relationships/hyperlink" Target="https://pubmed.ncbi.nlm.nih.gov/15024517/" TargetMode="External" Id="rId536"/><Relationship Type="http://schemas.openxmlformats.org/officeDocument/2006/relationships/hyperlink" Target="https://doi.org/10.1016/j.jpedsurg.2003.10.025" TargetMode="External" Id="rId537"/><Relationship Type="http://schemas.openxmlformats.org/officeDocument/2006/relationships/hyperlink" Target="https://pubmed.ncbi.nlm.nih.gov/14966753/" TargetMode="External" Id="rId538"/><Relationship Type="http://schemas.openxmlformats.org/officeDocument/2006/relationships/hyperlink" Target="https://doi.org/10.1007/s00383-003-1110-6" TargetMode="External" Id="rId539"/><Relationship Type="http://schemas.openxmlformats.org/officeDocument/2006/relationships/hyperlink" Target="https://pubmed.ncbi.nlm.nih.gov/14758498/" TargetMode="External" Id="rId540"/><Relationship Type="http://schemas.openxmlformats.org/officeDocument/2006/relationships/hyperlink" Target="https://pubmed.ncbi.nlm.nih.gov/14758389/" TargetMode="External" Id="rId541"/><Relationship Type="http://schemas.openxmlformats.org/officeDocument/2006/relationships/hyperlink" Target="https://doi.org/10.1007/s00464-003-9007-y" TargetMode="External" Id="rId542"/><Relationship Type="http://schemas.openxmlformats.org/officeDocument/2006/relationships/hyperlink" Target="https://pubmed.ncbi.nlm.nih.gov/14752628/" TargetMode="External" Id="rId543"/><Relationship Type="http://schemas.openxmlformats.org/officeDocument/2006/relationships/hyperlink" Target="https://pubmed.ncbi.nlm.nih.gov/19861821/" TargetMode="External" Id="rId544"/><Relationship Type="http://schemas.openxmlformats.org/officeDocument/2006/relationships/hyperlink" Target="https://doi.org/10.1016/j.ejrex.2004.10.002" TargetMode="External" Id="rId545"/><Relationship Type="http://schemas.openxmlformats.org/officeDocument/2006/relationships/hyperlink" Target="https://www.scopus.com/pages/publications/23844556691?origin=resultslist" TargetMode="External" Id="rId546"/><Relationship Type="http://schemas.openxmlformats.org/officeDocument/2006/relationships/hyperlink" Target="https://doi.org/10.1016/s0149-7944(02)00737-7" TargetMode="External" Id="rId547"/><Relationship Type="http://schemas.openxmlformats.org/officeDocument/2006/relationships/hyperlink" Target="https://pubmed.ncbi.nlm.nih.gov/14972263/" TargetMode="External" Id="rId548"/><Relationship Type="http://schemas.openxmlformats.org/officeDocument/2006/relationships/hyperlink" Target="https://doi.org/10.1097/01.pec.0000101582.65509.cc" TargetMode="External" Id="rId549"/><Relationship Type="http://schemas.openxmlformats.org/officeDocument/2006/relationships/hyperlink" Target="https://pubmed.ncbi.nlm.nih.gov/14676491/" TargetMode="External" Id="rId550"/><Relationship Type="http://schemas.openxmlformats.org/officeDocument/2006/relationships/hyperlink" Target="https://doi.org/10.1055/s-2003-43579" TargetMode="External" Id="rId551"/><Relationship Type="http://schemas.openxmlformats.org/officeDocument/2006/relationships/hyperlink" Target="https://pubmed.ncbi.nlm.nih.gov/14618529/" TargetMode="External" Id="rId552"/><Relationship Type="http://schemas.openxmlformats.org/officeDocument/2006/relationships/hyperlink" Target="https://doi.org/10.1016/s0022-3468(03)00582-7" TargetMode="External" Id="rId553"/><Relationship Type="http://schemas.openxmlformats.org/officeDocument/2006/relationships/hyperlink" Target="https://pubmed.ncbi.nlm.nih.gov/14614725/" TargetMode="External" Id="rId554"/><Relationship Type="http://schemas.openxmlformats.org/officeDocument/2006/relationships/hyperlink" Target="https://doi.org/10.1016/s0736-4679(03)00160-4" TargetMode="External" Id="rId555"/><Relationship Type="http://schemas.openxmlformats.org/officeDocument/2006/relationships/hyperlink" Target="https://pubmed.ncbi.nlm.nih.gov/12901997/" TargetMode="External" Id="rId556"/><Relationship Type="http://schemas.openxmlformats.org/officeDocument/2006/relationships/hyperlink" Target="https://doi.org/10.7863/jum.2003.22.5.527" TargetMode="External" Id="rId557"/><Relationship Type="http://schemas.openxmlformats.org/officeDocument/2006/relationships/hyperlink" Target="https://pubmed.ncbi.nlm.nih.gov/12751865/" TargetMode="External" Id="rId558"/><Relationship Type="http://schemas.openxmlformats.org/officeDocument/2006/relationships/hyperlink" Target="https://doi.org/10.1053/jpsu.2003.50136" TargetMode="External" Id="rId559"/><Relationship Type="http://schemas.openxmlformats.org/officeDocument/2006/relationships/hyperlink" Target="https://pubmed.ncbi.nlm.nih.gov/12677580/" TargetMode="External" Id="rId560"/><Relationship Type="http://schemas.openxmlformats.org/officeDocument/2006/relationships/hyperlink" Target="https://doi.org/10.1089/109264103322381618" TargetMode="External" Id="rId561"/><Relationship Type="http://schemas.openxmlformats.org/officeDocument/2006/relationships/hyperlink" Target="https://www.scopus.com/pages/publications/0141567746?origin=resultslist" TargetMode="External" Id="rId562"/><Relationship Type="http://schemas.openxmlformats.org/officeDocument/2006/relationships/hyperlink" Target="https://doi.org/10.1053/jpsu.2002.35443" TargetMode="External" Id="rId563"/><Relationship Type="http://schemas.openxmlformats.org/officeDocument/2006/relationships/hyperlink" Target="https://pubmed.ncbi.nlm.nih.gov/12378476/" TargetMode="External" Id="rId564"/><Relationship Type="http://schemas.openxmlformats.org/officeDocument/2006/relationships/hyperlink" Target="https://doi.org/10.1007/bf02722716" TargetMode="External" Id="rId565"/><Relationship Type="http://schemas.openxmlformats.org/officeDocument/2006/relationships/hyperlink" Target="https://pubmed.ncbi.nlm.nih.gov/12356230/" TargetMode="External" Id="rId566"/><Relationship Type="http://schemas.openxmlformats.org/officeDocument/2006/relationships/hyperlink" Target="https://doi.org/10.1007/s00464-001-0078-3" TargetMode="External" Id="rId567"/><Relationship Type="http://schemas.openxmlformats.org/officeDocument/2006/relationships/hyperlink" Target="https://pubmed.ncbi.nlm.nih.gov/12165835/" TargetMode="External" Id="rId568"/><Relationship Type="http://schemas.openxmlformats.org/officeDocument/2006/relationships/hyperlink" Target="https://pubmed.ncbi.nlm.nih.gov/12018698/" TargetMode="External" Id="rId569"/><Relationship Type="http://schemas.openxmlformats.org/officeDocument/2006/relationships/hyperlink" Target="https://doi.org/10.1016/s0895-6111(01)00037-4" TargetMode="External" Id="rId570"/><Relationship Type="http://schemas.openxmlformats.org/officeDocument/2006/relationships/hyperlink" Target="https://pubmed.ncbi.nlm.nih.gov/11918980/" TargetMode="External" Id="rId571"/><Relationship Type="http://schemas.openxmlformats.org/officeDocument/2006/relationships/hyperlink" Target="https://doi.org/10.1016/s0001-706x(02)00025-6" TargetMode="External" Id="rId572"/><Relationship Type="http://schemas.openxmlformats.org/officeDocument/2006/relationships/hyperlink" Target="https://pubmed.ncbi.nlm.nih.gov/11904097/" TargetMode="External" Id="rId573"/><Relationship Type="http://schemas.openxmlformats.org/officeDocument/2006/relationships/hyperlink" Target="https://pubmed.ncbi.nlm.nih.gov/11592523/" TargetMode="External" Id="rId574"/><Relationship Type="http://schemas.openxmlformats.org/officeDocument/2006/relationships/hyperlink" Target="https://doi.org/10.1007/s002610000171" TargetMode="External" Id="rId575"/><Relationship Type="http://schemas.openxmlformats.org/officeDocument/2006/relationships/hyperlink" Target="https://pubmed.ncbi.nlm.nih.gov/11429960/" TargetMode="External" Id="rId576"/><Relationship Type="http://schemas.openxmlformats.org/officeDocument/2006/relationships/hyperlink" Target="https://doi.org/10.1007/s002470000413" TargetMode="External" Id="rId577"/><Relationship Type="http://schemas.openxmlformats.org/officeDocument/2006/relationships/hyperlink" Target="https://pubmed.ncbi.nlm.nih.gov/11321748/" TargetMode="External" Id="rId578"/><Relationship Type="http://schemas.openxmlformats.org/officeDocument/2006/relationships/hyperlink" Target="https://doi.org/10.1007/s005950170209" TargetMode="External" Id="rId579"/><Relationship Type="http://schemas.openxmlformats.org/officeDocument/2006/relationships/hyperlink" Target="https://pubmed.ncbi.nlm.nih.gov/11291719/" TargetMode="External" Id="rId580"/><Relationship Type="http://schemas.openxmlformats.org/officeDocument/2006/relationships/hyperlink" Target="https://doi.org/10.1097/00003072-200102000-00012" TargetMode="External" Id="rId581"/><Relationship Type="http://schemas.openxmlformats.org/officeDocument/2006/relationships/hyperlink" Target="https://www.scopus.com/pages/publications/0035135684?origin=resultslist" TargetMode="External" Id="rId582"/><Relationship Type="http://schemas.openxmlformats.org/officeDocument/2006/relationships/hyperlink" Target="https://pubmed.ncbi.nlm.nih.gov/11589600/" TargetMode="External" Id="rId583"/><Relationship Type="http://schemas.openxmlformats.org/officeDocument/2006/relationships/hyperlink" Target="https://doi.org/10.1007/s003830000353" TargetMode="External" Id="rId584"/><Relationship Type="http://schemas.openxmlformats.org/officeDocument/2006/relationships/hyperlink" Target="https://pubmed.ncbi.nlm.nih.gov/11149406/" TargetMode="External" Id="rId585"/><Relationship Type="http://schemas.openxmlformats.org/officeDocument/2006/relationships/hyperlink" Target="https://doi.org/10.1053/jpsu.2000.16427" TargetMode="External" Id="rId586"/><Relationship Type="http://schemas.openxmlformats.org/officeDocument/2006/relationships/hyperlink" Target="https://pubmed.ncbi.nlm.nih.gov/11051164/" TargetMode="External" Id="rId587"/><Relationship Type="http://schemas.openxmlformats.org/officeDocument/2006/relationships/hyperlink" Target="https://doi.org/10.1002/(sici)1097-0096(200006)28:5&lt;246::aid-jcu6&gt;3.0.co;2-#" TargetMode="External" Id="rId588"/><Relationship Type="http://schemas.openxmlformats.org/officeDocument/2006/relationships/hyperlink" Target="https://pubmed.ncbi.nlm.nih.gov/10800003/" TargetMode="External" Id="rId589"/><Relationship Type="http://schemas.openxmlformats.org/officeDocument/2006/relationships/hyperlink" Target="https://doi.org/10.1053/jpsu.2000.0350641" TargetMode="External" Id="rId590"/><Relationship Type="http://schemas.openxmlformats.org/officeDocument/2006/relationships/hyperlink" Target="https://pubmed.ncbi.nlm.nih.gov/10770406/" TargetMode="External" Id="rId591"/><Relationship Type="http://schemas.openxmlformats.org/officeDocument/2006/relationships/hyperlink" Target="https://doi.org/10.12373/jcyxlt.2026.01.23766" TargetMode="External" Id="rId592"/><Relationship Type="http://schemas.openxmlformats.org/officeDocument/2006/relationships/hyperlink" Target="https://d.wanfangdata.com.cn/periodical/CiBQZXJpb2RpY2FsQ0hJU29scjkyMDI2MDkxNTE0MjIxORIQcWszXzAwMDAzNTYzMDk1NRoIaWIxYjJ1aHo%3D" TargetMode="External" Id="rId593"/><Relationship Type="http://schemas.openxmlformats.org/officeDocument/2006/relationships/hyperlink" Target="https://doi.org/10.3760/cma.j.cn112137-20250227-00466" TargetMode="External" Id="rId594"/><Relationship Type="http://schemas.openxmlformats.org/officeDocument/2006/relationships/hyperlink" Target="https://pubmed.ncbi.nlm.nih.gov/40764094/" TargetMode="External" Id="rId595"/><Relationship Type="http://schemas.openxmlformats.org/officeDocument/2006/relationships/hyperlink" Target="https://kns.cnki.net/kcms2/article/abstract?v=DgjXjbKQq8fluUpbXZuwQA8Z9YEY0y5eowbwzf4Sxzw3mMskfiXBMcpCC4zt54xRcB7zt34WHyBnXDI81LiOMTDqlZkpnkZVpndaVVQ7gPaX7gWXR9a8iwKaA3ed0LMGpNj4eEcN5BAN1DhEOT1yJZWKaDpGBHBpbIL1joIYaXeB-EwO-WDl7g==&amp;uniplatform=NZKPT&amp;language=CHS" TargetMode="External" Id="rId596"/><Relationship Type="http://schemas.openxmlformats.org/officeDocument/2006/relationships/hyperlink" Target="https://d.wanfangdata.com.cn/periodical/CiBQZXJpb2RpY2FsQ0hJU29scjkyMDI2MDkxNTE0MjIxORINemh5eDIwMjUyOTAwORoIaWIxYjJ1aHo%3D" TargetMode="External" Id="rId597"/><Relationship Type="http://schemas.openxmlformats.org/officeDocument/2006/relationships/hyperlink" Target="https://doi.org/10.13499/j.cnki.fqjwkzz.2025.09.719" TargetMode="External" Id="rId598"/><Relationship Type="http://schemas.openxmlformats.org/officeDocument/2006/relationships/hyperlink" Target="https://link.cnki.net/doi/10.13499/j.cnki.fqjwkzz.2025.09.719" TargetMode="External" Id="rId599"/><Relationship Type="http://schemas.openxmlformats.org/officeDocument/2006/relationships/hyperlink" Target="https://d.wanfangdata.com.cn/periodical/CiBQZXJpb2RpY2FsQ0hJU29scjkyMDI2MDkxNTE0MjIxORIQZnFqd2t6ejIwMjUwOTAxNhoIaWIxYjJ1aHo%3D" TargetMode="External" Id="rId600"/><Relationship Type="http://schemas.openxmlformats.org/officeDocument/2006/relationships/hyperlink" Target="https://doi.org/10.19542/j.cnki.1006-5180.2311-140" TargetMode="External" Id="rId601"/><Relationship Type="http://schemas.openxmlformats.org/officeDocument/2006/relationships/hyperlink" Target="https://link.cnki.net/doi/10.19542/j.cnki.1006-5180.2311-140" TargetMode="External" Id="rId602"/><Relationship Type="http://schemas.openxmlformats.org/officeDocument/2006/relationships/hyperlink" Target="https://d.wanfangdata.com.cn/periodical/CiBQZXJpb2RpY2FsQ0hJU29scjkyMDI2MDkxNTE0MjIxORIPemd4Y3l5MjAyNDIyMDI1GghpYjFiMnVoeg%3D%3D" TargetMode="External" Id="rId603"/><Relationship Type="http://schemas.openxmlformats.org/officeDocument/2006/relationships/hyperlink" Target="https://doi.org/10.3969/j.issn.2095-5340.2024.05.008" TargetMode="External" Id="rId604"/><Relationship Type="http://schemas.openxmlformats.org/officeDocument/2006/relationships/hyperlink" Target="https://kns.cnki.net/kcms2/article/abstract?v=DgjXjbKQq8egD00ofAu1SfTos0AFuzNO_SJf2X82p2oud8El5YHJhUDZWQJIVZovXh8GFn5i67WUVT2FI_xQUWhzAy0lyt92qkQfvWOm_dIFi3d7i3PkGC7Yfn_KX2EYz6LsWk9XtThRkeMkhqVEagySO6L9_R079VoNSf1cqCSWu88tiTJJww39LwbkXJFI&amp;uniplatform=NZKPT&amp;language=CHS" TargetMode="External" Id="rId605"/><Relationship Type="http://schemas.openxmlformats.org/officeDocument/2006/relationships/hyperlink" Target="https://d.wanfangdata.com.cn/periodical/CiBQZXJpb2RpY2FsQ0hJU29scjkyMDI2MDkxNTE0MjIxORIRZnl5eGR6enoyMDI0MDUwMDgaCGliMWIydWh6" TargetMode="External" Id="rId606"/><Relationship Type="http://schemas.openxmlformats.org/officeDocument/2006/relationships/hyperlink" Target="https://doi.org/10.11952/j.issn.1007-1954.2024.06.011" TargetMode="External" Id="rId607"/><Relationship Type="http://schemas.openxmlformats.org/officeDocument/2006/relationships/hyperlink" Target="https://kns.cnki.net/kcms2/article/abstract?v=DgjXjbKQq8cW3RHDxJhqsobfnUPvc_Z2ce7ViGsTXN8hyvdLjp-yPQDRY6rOOHgUSgDGo3eAeTMQDvZzNN_AGBQ4sJ_3LugOzNB5xwYZTQeXN5Fl4dPy8Z1UzsZ0A6rBPkp8_NcOYX97Bv4RMLZ2Q5cm_YMezW7Fpt3VIoBoN-OmAh4ANRHR1f6BuSxNWQMQ&amp;uniplatform=NZKPT&amp;language=CHS" TargetMode="External" Id="rId608"/><Relationship Type="http://schemas.openxmlformats.org/officeDocument/2006/relationships/hyperlink" Target="https://d.wanfangdata.com.cn/periodical/CiBQZXJpb2RpY2FsQ0hJU29scjkyMDI2MDkxNTE0MjIxORIQZ2R5d2t6ejIwMjQwNjAxNhoIaWIxYjJ1aHo%3D" TargetMode="External" Id="rId609"/><Relationship Type="http://schemas.openxmlformats.org/officeDocument/2006/relationships/hyperlink" Target="https://doi.org/10.3760/cma.j.cn101785&#8212;202205024&#8212;016" TargetMode="External" Id="rId610"/><Relationship Type="http://schemas.openxmlformats.org/officeDocument/2006/relationships/hyperlink" Target="https://kns.cnki.net/kcms2/article/abstract?v=DgjXjbKQq8fwz6Wh0AtLIkIPzzvJceSrhQPtp_NqH_MAbwfkPjVhm4v9e7ZPDTuNSK3iyE0U9V_9ah-Mph_j-MIvJSYppwYcTt4FnF8tMYKqT-HXUbf-q03z7PqtKnk-tTTmc7BdmDX8607yM0DS0MxN1xCg0GDMYG94C9pMgxJJCW6SM6c4-A==&amp;uniplatform=NZKPT&amp;language=CHS" TargetMode="External" Id="rId611"/><Relationship Type="http://schemas.openxmlformats.org/officeDocument/2006/relationships/hyperlink" Target="https://d.wanfangdata.com.cn/periodical/CiBQZXJpb2RpY2FsQ0hJU29scjkyMDI2MDkxNTE0MjIxORIRbGN4ZXdrenoyMDIzMDIwMTYaCGliMWIydWh6" TargetMode="External" Id="rId612"/><Relationship Type="http://schemas.openxmlformats.org/officeDocument/2006/relationships/hyperlink" Target="https://doi.org/10.13929/j.issn.1003-3289.2023.11.028" TargetMode="External" Id="rId613"/><Relationship Type="http://schemas.openxmlformats.org/officeDocument/2006/relationships/hyperlink" Target="https://link.cnki.net/doi/10.13929/j.issn.1003-3289.2023.11.028" TargetMode="External" Id="rId614"/><Relationship Type="http://schemas.openxmlformats.org/officeDocument/2006/relationships/hyperlink" Target="https://d.wanfangdata.com.cn/periodical/CiBQZXJpb2RpY2FsQ0hJU29scjkyMDI2MDkxNTE0MjIxORIRemd5eHl4anMyMDIzMTEwMzAaCGliMWIydWh6" TargetMode="External" Id="rId615"/><Relationship Type="http://schemas.openxmlformats.org/officeDocument/2006/relationships/hyperlink" Target="https://doi.org/10.15953/j.ctta.2023.018" TargetMode="External" Id="rId616"/><Relationship Type="http://schemas.openxmlformats.org/officeDocument/2006/relationships/hyperlink" Target="https://link.cnki.net/doi/10.15953/j.ctta.2023.018" TargetMode="External" Id="rId617"/><Relationship Type="http://schemas.openxmlformats.org/officeDocument/2006/relationships/hyperlink" Target="https://d.wanfangdata.com.cn/periodical/CiBQZXJpb2RpY2FsQ0hJU29scjkyMDI2MDkxNTE0MjIxORINY3R0YTIwMjMwNjAxMhoIaWIxYjJ1aHo%3D" TargetMode="External" Id="rId618"/><Relationship Type="http://schemas.openxmlformats.org/officeDocument/2006/relationships/hyperlink" Target="https://doi.org/10.13499/j.cnki.fqjwkzz.2023.10.799" TargetMode="External" Id="rId619"/><Relationship Type="http://schemas.openxmlformats.org/officeDocument/2006/relationships/hyperlink" Target="https://link.cnki.net/doi/10.13499/j.cnki.fqjwkzz.2023.10.799" TargetMode="External" Id="rId620"/><Relationship Type="http://schemas.openxmlformats.org/officeDocument/2006/relationships/hyperlink" Target="https://d.wanfangdata.com.cn/periodical/CiBQZXJpb2RpY2FsQ0hJU29scjkyMDI2MDkxNTE0MjIxORIQZnFqd2t6ejIwMjMxMDAxOBoIaWIxYjJ1aHo%3D" TargetMode="External" Id="rId621"/><Relationship Type="http://schemas.openxmlformats.org/officeDocument/2006/relationships/hyperlink" Target="https://doi.org/10.3760/cma.j.cn113855-20230217-00066" TargetMode="External" Id="rId622"/><Relationship Type="http://schemas.openxmlformats.org/officeDocument/2006/relationships/hyperlink" Target="https://kns.cnki.net/kcms2/article/abstract?v=DgjXjbKQq8cbeHWwRM8eAYHcJ1i0T9IxzqCo9Ghy1OYKhWLqiXyaAtRozRriHOy1DpJMH9T0DAS6YbtlAz-SJsDDt86Yu0HjaQTMpctUEABR-tQ-j-OeETtnGuRnrA4t8UoIttxDaSScTCl80VLRxm61wGsplENO8PiQfEloUc03Is1h2AF-Ng==&amp;uniplatform=NZKPT&amp;language=CHS" TargetMode="External" Id="rId623"/><Relationship Type="http://schemas.openxmlformats.org/officeDocument/2006/relationships/hyperlink" Target="https://d.wanfangdata.com.cn/periodical/CiBQZXJpb2RpY2FsQ0hJU29scjkyMDI2MDkxNTE0MjIxORIPemhwdHdrMjAyMzA5MDExGghpYjFiMnVoeg%3D%3D" TargetMode="External" Id="rId624"/><Relationship Type="http://schemas.openxmlformats.org/officeDocument/2006/relationships/hyperlink" Target="https://doi.org/10.3969/j.issn.1009-9905.2023.09.019" TargetMode="External" Id="rId625"/><Relationship Type="http://schemas.openxmlformats.org/officeDocument/2006/relationships/hyperlink" Target="https://kns.cnki.net/kcms2/article/abstract?v=DgjXjbKQq8f4c642P0-TpM83jbvly-vhHKMHdlU4sjIXgBImqDyGbp9sOWhFvgIeMzvMDIcpBxNRZ8pNXMb783NAVrE1l3QWJQHUgr-3kDkywi79b9H9RNQ_Vdioh9eObNzbIG8Lmc8UeAQkN4s_0gGMI_ua5sZ5dkArHkliNVUZV-OQlj8IDALdsKsm0jsY&amp;uniplatform=NZKPT&amp;language=CHS" TargetMode="External" Id="rId626"/><Relationship Type="http://schemas.openxmlformats.org/officeDocument/2006/relationships/hyperlink" Target="https://d.wanfangdata.com.cn/periodical/CiBQZXJpb2RpY2FsQ0hJU29scjkyMDI2MDkxNTE0MjIxORITemd4ZHB0d2tqejIwMjMwOTAxORoIaWIxYjJ1aHo%3D" TargetMode="External" Id="rId627"/><Relationship Type="http://schemas.openxmlformats.org/officeDocument/2006/relationships/hyperlink" Target="https://doi.org/10.12677/acm.2023.132320" TargetMode="External" Id="rId628"/><Relationship Type="http://schemas.openxmlformats.org/officeDocument/2006/relationships/hyperlink" Target="https://d.wanfangdata.com.cn/periodical/CiBQZXJpb2RpY2FsQ0hJU29scjkyMDI2MDkxNTE0MjIxORIQcWszXzAwMDAzMDk0MDk3ORoIaWIxYjJ1aHo%3D" TargetMode="External" Id="rId629"/><Relationship Type="http://schemas.openxmlformats.org/officeDocument/2006/relationships/hyperlink" Target="https://doi.org/10.3969/j.issn.1004-3594.2022.12.016" TargetMode="External" Id="rId630"/><Relationship Type="http://schemas.openxmlformats.org/officeDocument/2006/relationships/hyperlink" Target="https://link.cnki.net/doi/10.14010/j.cnki.wjyx.2022.12.005" TargetMode="External" Id="rId631"/><Relationship Type="http://schemas.openxmlformats.org/officeDocument/2006/relationships/hyperlink" Target="https://d.wanfangdata.com.cn/periodical/CiBQZXJpb2RpY2FsQ0hJU29scjkyMDI2MDkxNTE0MjIxORINd2p5eDIwMjIxMjAxNhoIaWIxYjJ1aHo%3D" TargetMode="External" Id="rId632"/><Relationship Type="http://schemas.openxmlformats.org/officeDocument/2006/relationships/hyperlink" Target="https://doi.org/10.3760/cma.j.cn115455-20200318-00314" TargetMode="External" Id="rId633"/><Relationship Type="http://schemas.openxmlformats.org/officeDocument/2006/relationships/hyperlink" Target="https://kns.cnki.net/kcms2/article/abstract?v=DgjXjbKQq8eEKRi-3HqNF_NClrXvV-FT5eQn21OGkjzOSFapOWnJLbgigqVpUofMIijIL8OwFe7Sku1sScZ_YhxmljCwbjqb095J5RBSu8sdEM2MpNiHK2f0ZC9JggyEi0mo0v7vx90tpKQ3VkeQEXRZ_cN9l2_QTOjqYFZIDZ4QEkrs__ahuA==&amp;uniplatform=NZKPT&amp;language=CHS" TargetMode="External" Id="rId634"/><Relationship Type="http://schemas.openxmlformats.org/officeDocument/2006/relationships/hyperlink" Target="https://d.wanfangdata.com.cn/periodical/CiBQZXJpb2RpY2FsQ0hJU29scjkyMDI2MDkxNTE0MjIxORIPeXNqeHp6MjAyMTA2MDE5GghpYjFiMnVoeg%3D%3D" TargetMode="External" Id="rId635"/><Relationship Type="http://schemas.openxmlformats.org/officeDocument/2006/relationships/hyperlink" Target="https://doi.org/10.3969/j.issn.1008-6978.2021.03.028" TargetMode="External" Id="rId636"/><Relationship Type="http://schemas.openxmlformats.org/officeDocument/2006/relationships/hyperlink" Target="https://link.cnki.net/doi/10.16245/j.cnki.issn1008-6978.2021.03.030" TargetMode="External" Id="rId637"/><Relationship Type="http://schemas.openxmlformats.org/officeDocument/2006/relationships/hyperlink" Target="https://d.wanfangdata.com.cn/periodical/CiBQZXJpb2RpY2FsQ0hJU29scjkyMDI2MDkxNTE0MjIxORIRbGNjc3l4enoyMDIxMDMwMjgaCGliMWIydWh6" TargetMode="External" Id="rId638"/><Relationship Type="http://schemas.openxmlformats.org/officeDocument/2006/relationships/hyperlink" Target="https://doi.org/10.11952/j.issn.1007-1954.2021.01.011" TargetMode="External" Id="rId639"/><Relationship Type="http://schemas.openxmlformats.org/officeDocument/2006/relationships/hyperlink" Target="https://kns.cnki.net/kcms2/article/abstract?v=DgjXjbKQq8fnbSMPLOOx7-6S5wCXyjRcVsAhnnv78Nlma5nNB93P56bxB56jolT02Y_pUZEqgtBAlxRTZzbPufAsRXeWG8rjn07aBvqlGlei2Xa3_ls-NUn-DENxxz_JksKuToh8c-d_5obno-2MK5C_u1g_TlhFPziRQG1MyNC59PCNZkHbbPE1WkzMaRFV&amp;uniplatform=NZKPT&amp;language=CHS" TargetMode="External" Id="rId640"/><Relationship Type="http://schemas.openxmlformats.org/officeDocument/2006/relationships/hyperlink" Target="https://d.wanfangdata.com.cn/periodical/CiBQZXJpb2RpY2FsQ0hJU29scjkyMDI2MDkxNTE0MjIxORIQZ2R5d2t6ejIwMjEwMTAxMhoIaWIxYjJ1aHo%3D" TargetMode="External" Id="rId641"/><Relationship Type="http://schemas.openxmlformats.org/officeDocument/2006/relationships/hyperlink" Target="https://d.wanfangdata.com.cn/periodical/CiBQZXJpb2RpY2FsQ0hJU29scjkyMDI2MDkxNTE0MjIxORISemdianl5LWtwMjAyMTI0MDcxGghpYjFiMnVoeg%3D%3D" TargetMode="External" Id="rId642"/><Relationship Type="http://schemas.openxmlformats.org/officeDocument/2006/relationships/hyperlink" Target="https://doi.org/10.3969/j.issn.1671-6353.2020.03.017" TargetMode="External" Id="rId643"/><Relationship Type="http://schemas.openxmlformats.org/officeDocument/2006/relationships/hyperlink" Target="https://kns.cnki.net/kcms2/article/abstract?v=DgjXjbKQq8eeTo3N459bsw-CHCTSkjrm0WMfW-LAupUwXLAAErP-ftHzesdQCI3xed0foZVkVV5TL_mUTfvc-rAu4tNo28ipM1ZGONwXOPM6qY044SfD3yNs1Hb1XL2D5jLJtzV-9T7RLGI1EkWPWX34flbtGarmq6fb4z7rp0UVD7s7VBrkHzr8epEw8Zsd&amp;uniplatform=NZKPT&amp;language=CHS" TargetMode="External" Id="rId644"/><Relationship Type="http://schemas.openxmlformats.org/officeDocument/2006/relationships/hyperlink" Target="https://d.wanfangdata.com.cn/periodical/CiBQZXJpb2RpY2FsQ0hJU29scjkyMDI2MDkxNTE0MjIxORIRbGN4ZXdrenoyMDIwMDMwMDIaCGliMWIydWh6" TargetMode="External" Id="rId645"/><Relationship Type="http://schemas.openxmlformats.org/officeDocument/2006/relationships/hyperlink" Target="https://doi.org/10.13499/j.cnki.fqjwkzz.2020.03.239" TargetMode="External" Id="rId646"/><Relationship Type="http://schemas.openxmlformats.org/officeDocument/2006/relationships/hyperlink" Target="https://link.cnki.net/doi/10.13499/j.cnki.fqjwkzz.2020.03.239" TargetMode="External" Id="rId647"/><Relationship Type="http://schemas.openxmlformats.org/officeDocument/2006/relationships/hyperlink" Target="https://d.wanfangdata.com.cn/periodical/CiBQZXJpb2RpY2FsQ0hJU29scjkyMDI2MDkxNTE0MjIxORIQZnFqd2t6ejIwMjAwMzAyMBoIaWIxYjJ1aHo%3D" TargetMode="External" Id="rId648"/><Relationship Type="http://schemas.openxmlformats.org/officeDocument/2006/relationships/hyperlink" Target="https://doi.org/10.19613/j.cnki.1671-3141.2019.92.217" TargetMode="External" Id="rId649"/><Relationship Type="http://schemas.openxmlformats.org/officeDocument/2006/relationships/hyperlink" Target="https://link.cnki.net/doi/10.19613/j.cnki.1671-3141.2019.92.217" TargetMode="External" Id="rId650"/><Relationship Type="http://schemas.openxmlformats.org/officeDocument/2006/relationships/hyperlink" Target="https://d.wanfangdata.com.cn/periodical/CiBQZXJpb2RpY2FsQ0hJU29scjkyMDI2MDkxNTE0MjIxORIRc2p6eHl5LWUyMDE5OTIyMTcaCGliMWIydWh6" TargetMode="External" Id="rId651"/><Relationship Type="http://schemas.openxmlformats.org/officeDocument/2006/relationships/hyperlink" Target="https://doi.org/10.19538/j.cjps.issn1005-2208.2019.09.28" TargetMode="External" Id="rId652"/><Relationship Type="http://schemas.openxmlformats.org/officeDocument/2006/relationships/hyperlink" Target="https://link.cnki.net/doi/10.19538/j.cjps.issn1005-2208.2019.09.28" TargetMode="External" Id="rId653"/><Relationship Type="http://schemas.openxmlformats.org/officeDocument/2006/relationships/hyperlink" Target="https://d.wanfangdata.com.cn/periodical/CiBQZXJpb2RpY2FsQ0hJU29scjkyMDI2MDkxNTE0MjIxORIRemdzeXdrenoyMDE5MDkwMjgaCGliMWIydWh6" TargetMode="External" Id="rId654"/><Relationship Type="http://schemas.openxmlformats.org/officeDocument/2006/relationships/hyperlink" Target="https://doi.org/10.3760/cma.j.issn.1004&#8208;4477.2019.08.018" TargetMode="External" Id="rId655"/><Relationship Type="http://schemas.openxmlformats.org/officeDocument/2006/relationships/hyperlink" Target="https://kns.cnki.net/kcms2/article/abstract?v=DgjXjbKQq8eyKp2ulI4ByxgGdFtcde_hBzdIJcanFjx2UIsIwu5ORInwsJxjjNs9CpY8cpTfIddkrdx8JxbnwlR9pjcu_vBU6W6WVY4lH_CqAKeaXTpo3jDA9LuduSc09Ny_la1J3vc4RrlmjiswN4KA5eqGYZxESFCdMzM6OOOaN0HNF_a00w==&amp;uniplatform=NZKPT&amp;language=CHS" TargetMode="External" Id="rId656"/><Relationship Type="http://schemas.openxmlformats.org/officeDocument/2006/relationships/hyperlink" Target="https://d.wanfangdata.com.cn/periodical/CiBQZXJpb2RpY2FsQ0hJU29scjkyMDI2MDkxNTE0MjIxORIPemhjc3l4MjAxOTA4MDE5GghpYjFiMnVoeg%3D%3D" TargetMode="External" Id="rId657"/><Relationship Type="http://schemas.openxmlformats.org/officeDocument/2006/relationships/hyperlink" Target="https://doi.org/10.13929/j.1003-3289.201803054" TargetMode="External" Id="rId658"/><Relationship Type="http://schemas.openxmlformats.org/officeDocument/2006/relationships/hyperlink" Target="https://link.cnki.net/doi/10.13929/j.1003-3289.201803054" TargetMode="External" Id="rId659"/><Relationship Type="http://schemas.openxmlformats.org/officeDocument/2006/relationships/hyperlink" Target="https://d.wanfangdata.com.cn/periodical/CiBQZXJpb2RpY2FsQ0hJU29scjkyMDI2MDkxNTE0MjIxORIRemd5eHl4anMyMDE4MTIwMjkaCGliMWIydWh6" TargetMode="External" Id="rId660"/><Relationship Type="http://schemas.openxmlformats.org/officeDocument/2006/relationships/hyperlink" Target="https://doi.org/10.3760/cma.j.issn.1007-631x.2018.11.026" TargetMode="External" Id="rId661"/><Relationship Type="http://schemas.openxmlformats.org/officeDocument/2006/relationships/hyperlink" Target="https://kns.cnki.net/kcms2/article/abstract?v=DgjXjbKQq8fokngLVLBL-bASEB5JIAlm65EAx-oGEtMnp1YR1pXHWYUL8Ey8Z7KCg5ThjrkhfBd1QseGYPungTuW6JKsTLYOAbVqw0j7N8IUQ8PfZy5NpKT5bonLWifSeNyyz9q3KNWVH8OUfBViwjFzBNCZk4E6aCuLaIKOfiF8QJFpn-jHWQ==&amp;uniplatform=NZKPT&amp;language=CHS" TargetMode="External" Id="rId662"/><Relationship Type="http://schemas.openxmlformats.org/officeDocument/2006/relationships/hyperlink" Target="https://d.wanfangdata.com.cn/periodical/CiBQZXJpb2RpY2FsQ0hJU29scjkyMDI2MDkxNTE0MjIxORIPemhwdHdrMjAxODExMDI2GghpYjFiMnVoeg%3D%3D" TargetMode="External" Id="rId663"/><Relationship Type="http://schemas.openxmlformats.org/officeDocument/2006/relationships/hyperlink" Target="https://doi.org/10.3760/cma.j.issn.1673-4904.2018.10.017" TargetMode="External" Id="rId664"/><Relationship Type="http://schemas.openxmlformats.org/officeDocument/2006/relationships/hyperlink" Target="https://kns.cnki.net/kcms2/article/abstract?v=DgjXjbKQq8dFgza3F3Mpk-XgjrdkARrkCcWyazYCCu84yfZENX35Lig45fLipnSh8OTA2EX9e95Qou-e0dbLYOHSd-wMSPk7qvAYUCQAAyJVUzNng3VAKovC_bot1dzkeSNgW0Lj-1kWrIVqaiBYCmgkJW6ilDOiYUKWgqurK1d-TPP4WX0cCg==&amp;uniplatform=NZKPT&amp;language=CHS" TargetMode="External" Id="rId665"/><Relationship Type="http://schemas.openxmlformats.org/officeDocument/2006/relationships/hyperlink" Target="https://d.wanfangdata.com.cn/periodical/CiBQZXJpb2RpY2FsQ0hJU29scjkyMDI2MDkxNTE0MjIxORIPeXNqeHp6MjAxODEwMDE3GghpYjFiMnVoeg%3D%3D" TargetMode="External" Id="rId666"/><Relationship Type="http://schemas.openxmlformats.org/officeDocument/2006/relationships/hyperlink" Target="https://doi.org/10.3969/j.issn.1003-5591.2018.04.018" TargetMode="External" Id="rId667"/><Relationship Type="http://schemas.openxmlformats.org/officeDocument/2006/relationships/hyperlink" Target="https://kns.cnki.net/kcms2/article/abstract?v=DgjXjbKQq8fmZorpZp_uHmEG2U38V2oM5nmENE3l3v6g_rOvjo28qAshKVvD8SW9pPloCbf8cFhlhaxnqOtu4L2YpLpmIYbD-pdbekZncIkh28jCnjtwcT5ZkEYgDI1_F2Rqf9CC2GVs2BoWMI_9-YzOm7V8MXANyRx79nfqX4-27EOZ4WOCrf1oTq_zMcIX&amp;uniplatform=NZKPT&amp;language=CHS" TargetMode="External" Id="rId668"/><Relationship Type="http://schemas.openxmlformats.org/officeDocument/2006/relationships/hyperlink" Target="https://d.wanfangdata.com.cn/periodical/CiBQZXJpb2RpY2FsQ0hJU29scjkyMDI2MDkxNTE0MjIxORINZmJ3azIwMTgwNDAxOBoIaWIxYjJ1aHo%3D" TargetMode="External" Id="rId669"/><Relationship Type="http://schemas.openxmlformats.org/officeDocument/2006/relationships/hyperlink" Target="https://doi.org/10.19435/j.1672-1721.2018.13.080" TargetMode="External" Id="rId670"/><Relationship Type="http://schemas.openxmlformats.org/officeDocument/2006/relationships/hyperlink" Target="https://link.cnki.net/doi/10.19435/j.1672-1721.2018.13.080" TargetMode="External" Id="rId671"/><Relationship Type="http://schemas.openxmlformats.org/officeDocument/2006/relationships/hyperlink" Target="https://d.wanfangdata.com.cn/periodical/CiBQZXJpb2RpY2FsQ0hJU29scjkyMDI2MDkxNTE0MjIxORIPamN5eGx0MjAxODEzMDgwGghpYjFiMnVoeg%3D%3D" TargetMode="External" Id="rId672"/><Relationship Type="http://schemas.openxmlformats.org/officeDocument/2006/relationships/hyperlink" Target="https://doi.org/10.3969/j.issn.1671-3141.2016.89.260" TargetMode="External" Id="rId673"/><Relationship Type="http://schemas.openxmlformats.org/officeDocument/2006/relationships/hyperlink" Target="https://kns.cnki.net/kcms2/article/abstract?v=DgjXjbKQq8dG_taSPaMG4RipwKrmUFpr3ff0SyCOwD1-xnBfN2rlsYL2AxHIM_abRKdqyOcuCjHXrqdclUlsoNyQ6wffLsC9TtpmR92AlK6NXO370TSvceXgfIpu2I__v_hw-j64RKUcP9-YSTh2PXunGsn83zUv1qzNTxRojrPbhTTDrl0Tf9-939xO9wIJ&amp;uniplatform=NZKPT&amp;language=CHS" TargetMode="External" Id="rId674"/><Relationship Type="http://schemas.openxmlformats.org/officeDocument/2006/relationships/hyperlink" Target="https://d.wanfangdata.com.cn/periodical/CiBQZXJpb2RpY2FsQ0hJU29scjkyMDI2MDkxNTE0MjIxORIRc2p6eHl5LWUyMDE2ODkyNjAaCGliMWIydWh6" TargetMode="External" Id="rId675"/><Relationship Type="http://schemas.openxmlformats.org/officeDocument/2006/relationships/hyperlink" Target="https://doi.org/10.16260/j.cnki.1009-2188.2015.04.002" TargetMode="External" Id="rId676"/><Relationship Type="http://schemas.openxmlformats.org/officeDocument/2006/relationships/hyperlink" Target="https://link.cnki.net/doi/10.16260/j.cnki.1009-2188.2015.04.002" TargetMode="External" Id="rId677"/><Relationship Type="http://schemas.openxmlformats.org/officeDocument/2006/relationships/hyperlink" Target="https://d.wanfangdata.com.cn/periodical/CiBQZXJpb2RpY2FsQ0hJU29scjkyMDI2MDkxNTE0MjIxORISemd4ZHNzeHp6MjAxNTA0MDAyGghpYjFiMnVoeg%3D%3D" TargetMode="External" Id="rId678"/><Relationship Type="http://schemas.openxmlformats.org/officeDocument/2006/relationships/hyperlink" Target="https://doi.org/10.3969/j.issn.1002-0101.2014.09.035" TargetMode="External" Id="rId679"/><Relationship Type="http://schemas.openxmlformats.org/officeDocument/2006/relationships/hyperlink" Target="https://kns.cnki.net/kcms2/article/abstract?v=DgjXjbKQq8d6VAqAbUw6Qt0j5oqEtetOyzbqDH7mq5UR7XVXOFDfKM6wilOdGn_7a-P2sVTnsyqwX2QRxB8H7myUbjgLX3ljbM0VyeLBFor2UVIHrOO1WPGqojSeBMjpgQhRbi6nM4TFZtaDKMq9uG9ovyX5lSEvUabMolbLwhbUW47nIp6ga1RIqZGirrsj&amp;uniplatform=NZKPT&amp;language=CHS" TargetMode="External" Id="rId680"/><Relationship Type="http://schemas.openxmlformats.org/officeDocument/2006/relationships/hyperlink" Target="https://d.wanfangdata.com.cn/periodical/CiBQZXJpb2RpY2FsQ0hJU29scjkyMDI2MDkxNTE0MjIxORIRemdjc3l4enoyMDE0MDkwMzUaCGliMWIydWh6" TargetMode="External" Id="rId681"/><Relationship Type="http://schemas.openxmlformats.org/officeDocument/2006/relationships/hyperlink" Target="https://kns.cnki.net/kcms2/article/abstract?v=DgjXjbKQq8e6ofLdlNcE7lq2v8Zq9aiBD2W9YgXvJAvH9-rCH3QkFr1d9zTvaRH2hkK4rU57mZN_Z1ItloOgEueiTKJJ9SNLrN8eQbY8aYs8HGcR-2JDQgGmerdgrE704j-6AZIyC2B9OBPGMCqeUo22TLK0rGpJcRJsLVkQGfwPMBREgrvCtFnkVi1JY3bg&amp;uniplatform=NZKPT&amp;language=CHS" TargetMode="External" Id="rId682"/><Relationship Type="http://schemas.openxmlformats.org/officeDocument/2006/relationships/hyperlink" Target="https://doi.org/10.3969/j.issn.1671-6353.2014.04.034" TargetMode="External" Id="rId683"/><Relationship Type="http://schemas.openxmlformats.org/officeDocument/2006/relationships/hyperlink" Target="https://d.wanfangdata.com.cn/periodical/CiBQZXJpb2RpY2FsQ0hJU29scjkyMDI2MDkxNTE0MjIxORIRbGN4ZXdrenoyMDE0MDQwMzYaCGliMWIydWh6" TargetMode="External" Id="rId684"/><Relationship Type="http://schemas.openxmlformats.org/officeDocument/2006/relationships/hyperlink" Target="https://d.wanfangdata.com.cn/conference/CiFDb25mZXJlbmNlTmV3U29scjlTMjAyNjA5MTUwOTMyMzESBzg3NDAyMjUaCGliMWIydWh6" TargetMode="External" Id="rId685"/><Relationship Type="http://schemas.openxmlformats.org/officeDocument/2006/relationships/hyperlink" Target="https://doi.org/10.3760/cma.j.issn.1004-4477.2012.11.015" TargetMode="External" Id="rId686"/><Relationship Type="http://schemas.openxmlformats.org/officeDocument/2006/relationships/hyperlink" Target="https://kns.cnki.net/kcms2/article/abstract?v=DgjXjbKQq8e9TLE_sHQOtWSGqipapZ-q8ALmoRUHr-ARsAQCiud1RaVPb8ybb0G3mUKA2sKOwHa99-JmXFbxX0nkHTRO6Huf_i15mpF8fJgJFQRYkMwsA8UewN3-Lh1bsZGAAwoNFmfEH52S9VcvAG3S91aqpA9YBMH2GG8IJCAuYZLcH9s2Ug==&amp;uniplatform=NZKPT&amp;language=CHS" TargetMode="External" Id="rId687"/><Relationship Type="http://schemas.openxmlformats.org/officeDocument/2006/relationships/hyperlink" Target="https://d.wanfangdata.com.cn/periodical/CiBQZXJpb2RpY2FsQ0hJU29scjkyMDI2MDkxNTE0MjIxORIPemhjc3l4MjAxMjExMDE1GghpYjFiMnVoeg%3D%3D" TargetMode="External" Id="rId688"/><Relationship Type="http://schemas.openxmlformats.org/officeDocument/2006/relationships/hyperlink" Target="https://doi.org/10.3969/j.issn.2095-140x.2012.08.026" TargetMode="External" Id="rId689"/><Relationship Type="http://schemas.openxmlformats.org/officeDocument/2006/relationships/hyperlink" Target="https://kns.cnki.net/kcms2/article/abstract?v=DgjXjbKQq8dqmtBd7NkvLFB98MUmJzajosvdPGBW-jOZGZFcgHWOgnWWF9QW8gYVflLKn7-5QSJXi_Bhs2U1-91QfTF6BQkoW2TnwhFmRsF24zxpwKDgly6uSOf3ygNj4qL7VDP7-qgz5hBIPJhsUS0n91yCkg-lQMIpr9SteecRKc9rj-uuLQ==&amp;uniplatform=NZKPT&amp;language=CHS" TargetMode="External" Id="rId690"/><Relationship Type="http://schemas.openxmlformats.org/officeDocument/2006/relationships/hyperlink" Target="https://d.wanfangdata.com.cn/periodical/CiBQZXJpb2RpY2FsQ0hJU29scjkyMDI2MDkxNTE0MjIxORIPaGJnZnl5MjAxMjA4MDI2GghpYjFiMnVoeg%3D%3D" TargetMode="External" Id="rId691"/><Relationship Type="http://schemas.openxmlformats.org/officeDocument/2006/relationships/hyperlink" Target="https://d.wanfangdata.com.cn/conference/CiFDb25mZXJlbmNlTmV3U29scjlTMjAyNjA5MTUwOTMyMzESBzc5NTE2NzQaCGliMWIydWh6" TargetMode="External" Id="rId692"/><Relationship Type="http://schemas.openxmlformats.org/officeDocument/2006/relationships/hyperlink" Target="https://doi.org/10.3760/cma.j.issn.0253-3006.2011.07.026" TargetMode="External" Id="rId693"/><Relationship Type="http://schemas.openxmlformats.org/officeDocument/2006/relationships/hyperlink" Target="https://kns.cnki.net/kcms2/article/abstract?v=DgjXjbKQq8euPR4Lnge5qOJNBiuU2pIv3DI9VoL5AnyI7QZMrLBAyvFxAFxpM-wjOAYssby_AVTMbw3725_MAjyWzxuq3360Lp51gE6Qfa5z-xiL4h-FKQJTVgU0hjOuriWhkSpGQngeJdcwQt34UneIQJceBONU8G5wc67U38E1usJkBbidqg==&amp;uniplatform=NZKPT&amp;language=CHS" TargetMode="External" Id="rId694"/><Relationship Type="http://schemas.openxmlformats.org/officeDocument/2006/relationships/hyperlink" Target="https://d.wanfangdata.com.cn/periodical/CiBQZXJpb2RpY2FsQ0hJU29scjkyMDI2MDkxNTE0MjIxORINeHJ3azIwMTEwNzAyNhoIaWIxYjJ1aHo%3D" TargetMode="External" Id="rId695"/><Relationship Type="http://schemas.openxmlformats.org/officeDocument/2006/relationships/hyperlink" Target="https://doi.org/10.3969/j.issn.1002-3429.2011.06.030" TargetMode="External" Id="rId696"/><Relationship Type="http://schemas.openxmlformats.org/officeDocument/2006/relationships/hyperlink" Target="https://kns.cnki.net/kcms2/article/abstract?v=DgjXjbKQq8dnHheeMqXvVh7tOpQeTrh8F9SScFIAECHRwmR2reG0n4dzzHcEuYqFnvyAB7ORuoxkpGNNQRBxZRClkF_oJsumEGBav_qSGf1Sm8SbLk5xnduwMhdC0NFexZp5rlpX8zI_9qnW0uyhR3bSpgZbONdFLKAYPsl5zYrIM5CFz7nrTg==&amp;uniplatform=NZKPT&amp;language=CHS" TargetMode="External" Id="rId697"/><Relationship Type="http://schemas.openxmlformats.org/officeDocument/2006/relationships/hyperlink" Target="https://d.wanfangdata.com.cn/periodical/CiBQZXJpb2RpY2FsQ0hJU29scjkyMDI2MDkxNTE0MjIxORIPbGN3end6MjAxMTA2MDMwGghpYjFiMnVoeg%3D%3D" TargetMode="External" Id="rId698"/><Relationship Type="http://schemas.openxmlformats.org/officeDocument/2006/relationships/hyperlink" Target="https://doi.org/10.3969/j.issn.1000-0313.2011.04.041" TargetMode="External" Id="rId699"/><Relationship Type="http://schemas.openxmlformats.org/officeDocument/2006/relationships/hyperlink" Target="https://link.cnki.net/doi/10.13609/j.cnki.1000-0313.2011.04.026" TargetMode="External" Id="rId700"/><Relationship Type="http://schemas.openxmlformats.org/officeDocument/2006/relationships/hyperlink" Target="https://d.wanfangdata.com.cn/periodical/CiBQZXJpb2RpY2FsQ0hJU29scjkyMDI2MDkxNTE0MjIxORIOZnN4c2oyMDExMDQwNDEaCGliMWIydWh6" TargetMode="External" Id="rId701"/><Relationship Type="http://schemas.openxmlformats.org/officeDocument/2006/relationships/hyperlink" Target="https://doi.org/10.3969/j.issn.1672-2779.2010.22.059" TargetMode="External" Id="rId702"/><Relationship Type="http://schemas.openxmlformats.org/officeDocument/2006/relationships/hyperlink" Target="https://kns.cnki.net/kcms2/article/abstract?v=DgjXjbKQq8fEz4x2lMfkPHK41f9AhszKR0pFsryvvLDdQMPAAd-FDyr1xyEinT4tkIJTv9Ll-OlgZDrVeeDTFITaVxthLWWS_fGezn2TmxvsWHFrdfw4R65Gj6r6h50l3aAx2s5piohjf9ZPpxzhigyN0vvw0HmclSySLe1kEpYg_ax15ZdGHQ==&amp;uniplatform=NZKPT&amp;language=CHS" TargetMode="External" Id="rId703"/><Relationship Type="http://schemas.openxmlformats.org/officeDocument/2006/relationships/hyperlink" Target="https://d.wanfangdata.com.cn/periodical/CiBQZXJpb2RpY2FsQ0hJU29scjkyMDI2MDkxNTE0MjIxORIUemd6eXl4ZHljankyMDEwMjIwNjAaCGliMWIydWh6" TargetMode="External" Id="rId704"/><Relationship Type="http://schemas.openxmlformats.org/officeDocument/2006/relationships/hyperlink" Target="https://kns.cnki.net/kcms2/article/abstract?v=DgjXjbKQq8fVckySnTbODO0EhEQ2_XqnSAGvZCl1UfTG_GOrKdr-cmTTQ2eCqVCg_xZLZnLbx0Cfte0BCro3LaWoMwg9eBnyP1LEn4U0mO6VajPqBT9AfllYs7jzk0oekOcBc88jc_sCyiw6aXntXv_X_iOOlFoHJaR2HoYsf1eQvUHYB_5oPg==&amp;uniplatform=NZKPT&amp;language=CHS" TargetMode="External" Id="rId705"/><Relationship Type="http://schemas.openxmlformats.org/officeDocument/2006/relationships/hyperlink" Target="https://doi.org/10.3969/j.issn.1672-0512.2010.01.024" TargetMode="External" Id="rId706"/><Relationship Type="http://schemas.openxmlformats.org/officeDocument/2006/relationships/hyperlink" Target="https://kns.cnki.net/kcms2/article/abstract?v=DgjXjbKQq8fkY8AmMAL9SJEiA8U028Mw72ZpQv1JxCVYwWLEIRw887I3ganyG4NEzV_l88jvGXjtN1qFYz-cRqsrW98wMjkEu-HgUyoXs8g2Wm8B-gH1huv0ezvXQQfUNAe8t5YJJ5k94DEteseLv8zorxTUazG591gxY4U3SP3YAdmpsOce8Q==&amp;uniplatform=NZKPT&amp;language=CHS" TargetMode="External" Id="rId707"/><Relationship Type="http://schemas.openxmlformats.org/officeDocument/2006/relationships/hyperlink" Target="https://d.wanfangdata.com.cn/periodical/CiBQZXJpb2RpY2FsQ0hJU29scjkyMDI2MDkxNTE0MjIxORIVemd6eHlqaHl4eHp6MjAxMDAxMDI0GghpYjFiMnVoeg%3D%3D" TargetMode="External" Id="rId708"/><Relationship Type="http://schemas.openxmlformats.org/officeDocument/2006/relationships/hyperlink" Target="https://doi.org/10.3760/cma.j.issn.0253-3006.2010.01.026" TargetMode="External" Id="rId709"/><Relationship Type="http://schemas.openxmlformats.org/officeDocument/2006/relationships/hyperlink" Target="https://kns.cnki.net/kcms2/article/abstract?v=DgjXjbKQq8cuPj85K6XyTbd6CVrj8oPbNzVFJgyCATK2N1OZ6pvwXkdB9tziY5ATMUALSZYR0oQPW3hBTpa0EtS_ILKvModDBr4sAfsC7C7s2PieQHrYjcZ2z71robu7WucZSMYuMnfFycnhHuXy50WNth88KdoSytO3SaL1dMnMMwS75I5-WA==&amp;uniplatform=NZKPT&amp;language=CHS" TargetMode="External" Id="rId710"/><Relationship Type="http://schemas.openxmlformats.org/officeDocument/2006/relationships/hyperlink" Target="https://d.wanfangdata.com.cn/periodical/CiBQZXJpb2RpY2FsQ0hJU29scjkyMDI2MDkxNTE0MjIxORINeHJ3azIwMTAwMTAyNRoIaWIxYjJ1aHo%3D" TargetMode="External" Id="rId711"/><Relationship Type="http://schemas.openxmlformats.org/officeDocument/2006/relationships/hyperlink" Target="https://doi.org/10.3969/j.issn.1672-5085.2010.16.072" TargetMode="External" Id="rId712"/><Relationship Type="http://schemas.openxmlformats.org/officeDocument/2006/relationships/hyperlink" Target="https://d.wanfangdata.com.cn/periodical/CiBQZXJpb2RpY2FsQ0hJU29scjkyMDI2MDkxNTE0MjIxORIPendqa3d6MjAxMDE2MDcyGghpYjFiMnVoeg%3D%3D" TargetMode="External" Id="rId713"/><Relationship Type="http://schemas.openxmlformats.org/officeDocument/2006/relationships/hyperlink" Target="https://doi.org/10.3969/j.issn.1673-7555.2009.36.037" TargetMode="External" Id="rId714"/><Relationship Type="http://schemas.openxmlformats.org/officeDocument/2006/relationships/hyperlink" Target="https://link.cnki.net/doi/10.14163/j.cnki.11-5547/r.2009.36.111" TargetMode="External" Id="rId715"/><Relationship Type="http://schemas.openxmlformats.org/officeDocument/2006/relationships/hyperlink" Target="https://d.wanfangdata.com.cn/periodical/CiBQZXJpb2RpY2FsQ0hJU29scjkyMDI2MDkxNTE0MjIxORIPemdzeXl5MjAwOTM2MDM3GghpYjFiMnVoeg%3D%3D" TargetMode="External" Id="rId716"/><Relationship Type="http://schemas.openxmlformats.org/officeDocument/2006/relationships/hyperlink" Target="https://doi.org/10.3969/j.issn.1002-3429.2009.08.076" TargetMode="External" Id="rId717"/><Relationship Type="http://schemas.openxmlformats.org/officeDocument/2006/relationships/hyperlink" Target="https://kns.cnki.net/kcms2/article/abstract?v=DgjXjbKQq8fUoVCEDz0G-8jUxN8rl8BdrTpG3xhYX2dd6iWty99nGu8jEJ1v1b0JAE5StxW_8xEUSTNDP52T-vlUqAQdyR0RDhP_Hfr_8CW0qY2IHVYkYftm9ypflAvYaVK-dHlPJFtICzcOIMD_7Eq9P1fnbnWDH28EjIIo7xDniWNQJXjaWw==&amp;uniplatform=NZKPT&amp;language=CHS" TargetMode="External" Id="rId718"/><Relationship Type="http://schemas.openxmlformats.org/officeDocument/2006/relationships/hyperlink" Target="https://d.wanfangdata.com.cn/periodical/CiBQZXJpb2RpY2FsQ0hJU29scjkyMDI2MDkxNTE0MjIxORIPbGN3end6MjAwOTA4MDc2GghpYjFiMnVoeg%3D%3D" TargetMode="External" Id="rId719"/><Relationship Type="http://schemas.openxmlformats.org/officeDocument/2006/relationships/hyperlink" Target="https://doi.org/10.3969/j.issn.1672-0512.2009.04.030" TargetMode="External" Id="rId720"/><Relationship Type="http://schemas.openxmlformats.org/officeDocument/2006/relationships/hyperlink" Target="https://kns.cnki.net/kcms2/article/abstract?v=DgjXjbKQq8fRhYs7c6HPqeYNYzVYVWeY0uWR_mk7ZUgJGNvCpb4jbrU5nqUrW63CIJxqCDeqL9YswcnAzEuiDrfHG-qKhhByBg3szgn7rMXjK9kyNVOMq25wbuu8NybkVCrYMY8c5G_-H_ahWvbQjWlHvlQr3uUVNARoVgrlhhqtzZ2wst154A==&amp;uniplatform=NZKPT&amp;language=CHS" TargetMode="External" Id="rId721"/><Relationship Type="http://schemas.openxmlformats.org/officeDocument/2006/relationships/hyperlink" Target="https://d.wanfangdata.com.cn/periodical/CiBQZXJpb2RpY2FsQ0hJU29scjkyMDI2MDkxNTE0MjIxORIVemd6eHlqaHl4eHp6MjAwOTA0MDMwGghpYjFiMnVoeg%3D%3D" TargetMode="External" Id="rId722"/><Relationship Type="http://schemas.openxmlformats.org/officeDocument/2006/relationships/hyperlink" Target="https://doi.org/10.13437/j.cnki.jcr.2009.08.011" TargetMode="External" Id="rId723"/><Relationship Type="http://schemas.openxmlformats.org/officeDocument/2006/relationships/hyperlink" Target="https://link.cnki.net/doi/10.13437/j.cnki.jcr.2009.08.011" TargetMode="External" Id="rId724"/><Relationship Type="http://schemas.openxmlformats.org/officeDocument/2006/relationships/hyperlink" Target="https://d.wanfangdata.com.cn/periodical/CiBQZXJpb2RpY2FsQ0hJU29scjkyMDI2MDkxNTE0MjIxORIQbGNmc3h6ejIwMDkwODA1NBoIaWIxYjJ1aHo%3D" TargetMode="External" Id="rId725"/><Relationship Type="http://schemas.openxmlformats.org/officeDocument/2006/relationships/hyperlink" Target="https://kns.cnki.net/kcms2/article/abstract?v=DgjXjbKQq8d_cqUgnskTkbYITA5FTQZq8uL5nG_q50LnaLd3BTPpLdmK89LFd8lDuJeVURyaeChDE2_fX3-jCilf9NEWkuk0MIKrNJWk6yw4h6hR_1mnbTusq1Fi23JXfGrINhj-5S8PVGWLe7gbWfzs_RiS3PdUOkY-rTdqSb07a1MVKleoFJYv02RthRQg&amp;uniplatform=NZKPT&amp;language=CHS" TargetMode="External" Id="rId726"/><Relationship Type="http://schemas.openxmlformats.org/officeDocument/2006/relationships/hyperlink" Target="https://doi.org/10.3969/j.issn.1004-0951.2009.02.058" TargetMode="External" Id="rId727"/><Relationship Type="http://schemas.openxmlformats.org/officeDocument/2006/relationships/hyperlink" Target="https://link.cnki.net/doi/10.16096/j.cnki.nmgyxzz.2009.02.017" TargetMode="External" Id="rId728"/><Relationship Type="http://schemas.openxmlformats.org/officeDocument/2006/relationships/hyperlink" Target="https://d.wanfangdata.com.cn/periodical/CiBQZXJpb2RpY2FsQ0hJU29scjkyMDI2MDkxNTE0MjIxORIQbm1neXh6ejIwMDkwMjA1OBoIaWIxYjJ1aHo%3D" TargetMode="External" Id="rId729"/><Relationship Type="http://schemas.openxmlformats.org/officeDocument/2006/relationships/hyperlink" Target="https://doi.org/10.3760/cma.j.issn.1673-4904.2009.02.033" TargetMode="External" Id="rId730"/><Relationship Type="http://schemas.openxmlformats.org/officeDocument/2006/relationships/hyperlink" Target="https://kns.cnki.net/kcms2/article/abstract?v=DgjXjbKQq8cSNLXQx_pWD6toA6Kjf13fH-WHUmCZDskWHMS60dqjyvcdxjRNrEALQZhj0R0R1XVGHJ9ZVaYpa4HjRDJEWo2-a8BoyYW5fCEQ2Lx8xtqn4ZBIsgpfARYLUqAKMSjKQkGTflDu3bxujX8JX62nj6N0JuhxuLeh1UyoIVaGlCUjkw==&amp;uniplatform=NZKPT&amp;language=CHS" TargetMode="External" Id="rId731"/><Relationship Type="http://schemas.openxmlformats.org/officeDocument/2006/relationships/hyperlink" Target="https://d.wanfangdata.com.cn/periodical/CiBQZXJpb2RpY2FsQ0hJU29scjkyMDI2MDkxNTE0MjIxORIPeXNqeHp6MjAwOTAyMDMzGghpYjFiMnVoeg%3D%3D" TargetMode="External" Id="rId732"/><Relationship Type="http://schemas.openxmlformats.org/officeDocument/2006/relationships/hyperlink" Target="https://doi.org/10.3321/j.issn:1004-4477.2008.01.028" TargetMode="External" Id="rId733"/><Relationship Type="http://schemas.openxmlformats.org/officeDocument/2006/relationships/hyperlink" Target="https://kns.cnki.net/kcms2/article/abstract?v=DgjXjbKQq8eaWukL0EkeQYf9bIsVXWmDAu2VIZ-1QVg-dLOEr7rHOvLqXvTE1pF5CvNuscENveFZkeS_F9_wbBqCEsw8gO-lIyjlbSV8xoOHdKMm2ax-h8GWNkK6iyJ4EkbkXpZvNyi79i7iVnV2A7141Zv4MBE3UAY5hBvkfLMd2Hi4gGZ29Q==&amp;uniplatform=NZKPT&amp;language=CHS" TargetMode="External" Id="rId734"/><Relationship Type="http://schemas.openxmlformats.org/officeDocument/2006/relationships/hyperlink" Target="https://d.wanfangdata.com.cn/periodical/CiBQZXJpb2RpY2FsQ0hJU29scjkyMDI2MDkxNTE0MjIxORIPemhjc3l4MjAwODAxMDI4GghpYjFiMnVoeg%3D%3D" TargetMode="External" Id="rId735"/><Relationship Type="http://schemas.openxmlformats.org/officeDocument/2006/relationships/hyperlink" Target="https://kns.cnki.net/kcms2/article/abstract?v=DgjXjbKQq8fjLYRDkSdaeklGK60lNJNYuSrMztWSP1Y3NRRA_ZEPgavbPwpsIS1vXXz-GSHs3y6_XdJzKLodbs9mCPVwllvZoPemRsKSvEhy6sjpUsJHQzDF_rmlbnSK8nQ8gAgUNB9O43v3VvRs25ZHgIGR4asi5ZbNVnUgBBa85WuNX7f2AQ==&amp;uniplatform=NZKPT&amp;language=CHS" TargetMode="External" Id="rId736"/><Relationship Type="http://schemas.openxmlformats.org/officeDocument/2006/relationships/hyperlink" Target="https://d.wanfangdata.com.cn/periodical/CiBQZXJpb2RpY2FsQ0hJU29scjkyMDI2MDkxNTE0MjIxORIOUUsyMDA3MDI0OTg5MTgaCGliMWIydWh6" TargetMode="External" Id="rId737"/><Relationship Type="http://schemas.openxmlformats.org/officeDocument/2006/relationships/hyperlink" Target="https://doi.org/10.3969/j.issn.1001-5639.2007.03.039" TargetMode="External" Id="rId738"/><Relationship Type="http://schemas.openxmlformats.org/officeDocument/2006/relationships/hyperlink" Target="https://kns.cnki.net/kcms2/article/abstract?v=DgjXjbKQq8d9yX9LiZ4krSj1uZvmv77Yz2W_xH5cWLzDJKqf4QQkGx0ZXpTe-2YpyAJ9yR9GayvhlM4cOAF8_tdm3UnWEY4g3JQ4Pu7f-Fc2Zlool-FugTYObPtOOwsxVA4YDn9M_l8Kj4UyEhKxLT6jnpWB-5qyLnR6z70BVrEJqyjNMsiRfA==&amp;uniplatform=NZKPT&amp;language=CHS" TargetMode="External" Id="rId739"/><Relationship Type="http://schemas.openxmlformats.org/officeDocument/2006/relationships/hyperlink" Target="https://d.wanfangdata.com.cn/periodical/CiBQZXJpb2RpY2FsQ0hJU29scjkyMDI2MDkxNTE0MjIxORILc3oyMDA3MDMwMzkaCGliMWIydWh6" TargetMode="External" Id="rId740"/><Relationship Type="http://schemas.openxmlformats.org/officeDocument/2006/relationships/hyperlink" Target="https://doi.org/10.3969/j.issn.1003-5591.2007.03.030" TargetMode="External" Id="rId741"/><Relationship Type="http://schemas.openxmlformats.org/officeDocument/2006/relationships/hyperlink" Target="https://kns.cnki.net/kcms2/article/abstract?v=DgjXjbKQq8c3s0_oG1OFmAt_KSjOd3_TSlYixnhPBeSYoUbN-rdOJLtK2iHqScocWwFSFxdMS-Byw5kSo0VkgzqGXkZIKbSvkFE8AnFhA0PnZtuz3A97PyZanXrUKftNZqccZAhAYHt43Y0BRuLeMKtN7YGs8hlhC82VPp2Tjjf9Y5wJoqcYYg==&amp;uniplatform=NZKPT&amp;language=CHS" TargetMode="External" Id="rId742"/><Relationship Type="http://schemas.openxmlformats.org/officeDocument/2006/relationships/hyperlink" Target="https://d.wanfangdata.com.cn/periodical/CiBQZXJpb2RpY2FsQ0hJU29scjkyMDI2MDkxNTE0MjIxORINZmJ3azIwMDcwMzAzMBoIaWIxYjJ1aHo%3D" TargetMode="External" Id="rId743"/><Relationship Type="http://schemas.openxmlformats.org/officeDocument/2006/relationships/hyperlink" Target="https://kns.cnki.net/kcms2/article/abstract?v=DgjXjbKQq8fibC76zkTi9JQ1LDzgucx4Da7bqgm3Lp29LWL5AdaE3wdxfTbja0V5ymmMUHXV_5aRkyql4Towi8R98tIohozVJY36-BwRXGv4pRaUq936qd9rY72OopZlerRf4PhVMGuOidJlN0m1BDQR5Am7f_qVRSfAfi0qevvLV7Cg-qH4FQ==&amp;uniplatform=NZKPT&amp;language=CHS" TargetMode="External" Id="rId744"/><Relationship Type="http://schemas.openxmlformats.org/officeDocument/2006/relationships/hyperlink" Target="https://d.wanfangdata.com.cn/periodical/CiBQZXJpb2RpY2FsQ0hJU29scjkyMDI2MDkxNTE0MjIxORIOUUsyMDA2MDIxMjEzMDEaCGliMWIydWh6" TargetMode="External" Id="rId745"/><Relationship Type="http://schemas.openxmlformats.org/officeDocument/2006/relationships/hyperlink" Target="https://doi.org/10.3969/j.issn.1009-976x.2005.04.028" TargetMode="External" Id="rId746"/><Relationship Type="http://schemas.openxmlformats.org/officeDocument/2006/relationships/hyperlink" Target="https://kns.cnki.net/kcms2/article/abstract?v=DgjXjbKQq8dE8cWdGvDaJ6r_aTpPTDTDpTUGIl4FrkgFITDKoLtROZmZJmLGaKLX9ttnBI1DqbeCC1WfeRmMw-Sy_eoefaRFJaf16qyzXWOLHc5OgXJ5IMZAWENHod26qqDJNDv4bqTbxIxxrBhxWoOGr6bxofutwPXhNQ0ZHn88yMLw69uocA==&amp;uniplatform=NZKPT&amp;language=CHS" TargetMode="External" Id="rId747"/><Relationship Type="http://schemas.openxmlformats.org/officeDocument/2006/relationships/hyperlink" Target="https://d.wanfangdata.com.cn/periodical/CiBQZXJpb2RpY2FsQ0hJU29scjkyMDI2MDkxNTE0MjIxORIRbG54ZGxjd2syMDA1MDQwMjgaCGliMWIydWh6" TargetMode="External" Id="rId748"/><Relationship Type="http://schemas.openxmlformats.org/officeDocument/2006/relationships/hyperlink" Target="https://kns.cnki.net/kcms2/article/abstract?v=DgjXjbKQq8euMJ_2wbB9WDLprkS_rNwqpJn_2WMH_86aTsHeFpF2bqYYxkZG3Q5FduZ1qG-e9OFdaqkAAEgqpgVl1KiZP_10jRANTp_GX9BkaYZpUD8HxVxSGwTNBOSGhCprMvpgCzPTDnuEPVHPihUFoTQtMvem-hCrB78Jz8ushXzqo6bSXg==&amp;uniplatform=NZKPT&amp;language=CHS" TargetMode="External" Id="rId749"/><Relationship Type="http://schemas.openxmlformats.org/officeDocument/2006/relationships/hyperlink" Target="https://d.wanfangdata.com.cn/periodical/CiBQZXJpb2RpY2FsQ0hJU29scjkyMDI2MDkxNTE0MjIxORIOUUsyMDA1MDE5NTM4MzIaCGliMWIydWh6" TargetMode="External" Id="rId750"/><Relationship Type="http://schemas.openxmlformats.org/officeDocument/2006/relationships/hyperlink" Target="https://doi.org/10.3760/j.issn:1005-1201.2005.10.025" TargetMode="External" Id="rId751"/><Relationship Type="http://schemas.openxmlformats.org/officeDocument/2006/relationships/hyperlink" Target="https://kns.cnki.net/kcms2/article/abstract?v=DgjXjbKQq8e562hwvHFDkFOE_v_06NeSAwdGnnAIVw6RBK0WaJpCbFjoSXHT1k9SoO55V-C0bcfP4iA8faFMLgURKlbp_r67BQQSMkoyn3QgaHHvBTb0zN4bfMKdAeEF_uu5iqqTnMxQi_l8r8Yj6H4Jf1UnrADouQBtJAK9oaHNmkhtGtcRaA==&amp;uniplatform=NZKPT&amp;language=CHS" TargetMode="External" Id="rId752"/><Relationship Type="http://schemas.openxmlformats.org/officeDocument/2006/relationships/hyperlink" Target="https://d.wanfangdata.com.cn/periodical/CiBQZXJpb2RpY2FsQ0hJU29scjkyMDI2MDkxNTE0MjIxORIOemhmc3gyMDA1MTAwMjUaCGliMWIydWh6" TargetMode="External" Id="rId753"/><Relationship Type="http://schemas.openxmlformats.org/officeDocument/2006/relationships/hyperlink" Target="https://kns.cnki.net/kcms2/article/abstract?v=DgjXjbKQq8fc3bt2qe3GAnxld1RPLkygn6vOvQSMA7dg0HiezQ1KtLmO4Os70d1EZAHa2uYSfGuYU9tzBE2HrWfT7oYyZZC5_CjW5qlNcCLJVB6sQoOc9B8bkgUwU5piDcoJdXNYTZykQo-jwo67OtQbeEHPusx6cR-Zj_XVUe3s5GAV8MS1Vg==&amp;uniplatform=NZKPT&amp;language=CHS" TargetMode="External" Id="rId754"/><Relationship Type="http://schemas.openxmlformats.org/officeDocument/2006/relationships/hyperlink" Target="https://d.wanfangdata.com.cn/periodical/CiBQZXJpb2RpY2FsQ0hJU29scjkyMDI2MDkxNTE0MjIxORIOUUsyMDA1MDE5NTM2MTQaCGliMWIydWh6" TargetMode="External" Id="rId755"/><Relationship Type="http://schemas.openxmlformats.org/officeDocument/2006/relationships/hyperlink" Target="https://doi.org/10.3969/j.issn.1008-6978.2004.04.038" TargetMode="External" Id="rId756"/><Relationship Type="http://schemas.openxmlformats.org/officeDocument/2006/relationships/hyperlink" Target="https://link.cnki.net/doi/10.16245/j.cnki.issn1008-6978.2004.04.038" TargetMode="External" Id="rId757"/><Relationship Type="http://schemas.openxmlformats.org/officeDocument/2006/relationships/hyperlink" Target="https://d.wanfangdata.com.cn/periodical/CiBQZXJpb2RpY2FsQ0hJU29scjkyMDI2MDkxNTE0MjIxORIRbGNjc3l4enoyMDA0MDQwMzgaCGliMWIydWh6" TargetMode="External" Id="rId758"/><Relationship Type="http://schemas.openxmlformats.org/officeDocument/2006/relationships/hyperlink" Target="https://doi.org/10.3760/cma.j.issn.0253-3006.2004.04.036" TargetMode="External" Id="rId759"/><Relationship Type="http://schemas.openxmlformats.org/officeDocument/2006/relationships/hyperlink" Target="https://kns.cnki.net/kcms2/article/abstract?v=DgjXjbKQq8cJuQyp--p4eCaGxw9IYPAZK_HwT1ClREEJ0gaTJ_H2yYQG24-W4wXz6JjYTpCcCfHhTw3L9pu7U45XFWT2ob8_vi57JhttbxDzgL5-T4SH7PsAYXYLXmcQ8qBKXGYrcQfeYDMZVzgBVrCGp4ylSKEVMqLeV5QRnaRbz5htRDmZlQ==&amp;uniplatform=NZKPT&amp;language=CHS" TargetMode="External" Id="rId760"/><Relationship Type="http://schemas.openxmlformats.org/officeDocument/2006/relationships/hyperlink" Target="https://d.wanfangdata.com.cn/periodical/CiBQZXJpb2RpY2FsQ0hJU29scjkyMDI2MDkxNTE0MjIxORINeHJ3azIwMDQwNDAzNhoIaWIxYjJ1aHo%3D" TargetMode="External" Id="rId761"/><Relationship Type="http://schemas.openxmlformats.org/officeDocument/2006/relationships/hyperlink" Target="https://doi.org/10.3969/j.issn.1671-5098.2003.12.027" TargetMode="External" Id="rId762"/><Relationship Type="http://schemas.openxmlformats.org/officeDocument/2006/relationships/hyperlink" Target="https://kns.cnki.net/kcms2/article/abstract?v=DgjXjbKQq8eYHMk8dm46fhWkNpXSRw_5KyhoMN4NZH7VqqXfSPwa8A8L4Dox_aeeZ0aFDzCEcRwDCwscIiMziD1xHo28VexI-aF5NFejtUCfUNkBs02hQDEukA10NfDuZdjkttCvuLSxhVFd8VeNCjgvaNpLQWhvl_pyZwEbKfaP4sh8m35MrQ==&amp;uniplatform=NZKPT&amp;language=CHS" TargetMode="External" Id="rId763"/><Relationship Type="http://schemas.openxmlformats.org/officeDocument/2006/relationships/hyperlink" Target="https://d.wanfangdata.com.cn/periodical/CiBQZXJpb2RpY2FsQ0hJU29scjkyMDI2MDkxNTE0MjIxORIPc3l5anp6MjAwMzEyMDI3GghpYjFiMnVoeg%3D%3D" TargetMode="External" Id="rId764"/><Relationship Type="http://schemas.openxmlformats.org/officeDocument/2006/relationships/hyperlink" Target="https://doi.org/10.3760/j.issn:1004-4477.2003.02.027" TargetMode="External" Id="rId765"/><Relationship Type="http://schemas.openxmlformats.org/officeDocument/2006/relationships/hyperlink" Target="https://kns.cnki.net/kcms2/article/abstract?v=DgjXjbKQq8dotUrWGWSYle6YWyH4ZY8vv_kOSgfJzZ5XjLkSGzxhU9h2Yi7-U2gfXzRkb8a-bKHNgd6EPQTU3gWThJmuSwgz_Ja9zDhqwiwe2vERVAXXsFamPZgivaK6JX2CGf3m9k5YpOPKphXFx7hkQnqsfUdN6TlvBtG2wSoYsBTJaTvjow==&amp;uniplatform=NZKPT&amp;language=CHS" TargetMode="External" Id="rId766"/><Relationship Type="http://schemas.openxmlformats.org/officeDocument/2006/relationships/hyperlink" Target="https://d.wanfangdata.com.cn/periodical/CiBQZXJpb2RpY2FsQ0hJU29scjkyMDI2MDkxNTE0MjIxORIPemhjc3l4MjAwMzAyMDI3GghpYjFiMnVoeg%3D%3D" TargetMode="External" Id="rId767"/><Relationship Type="http://schemas.openxmlformats.org/officeDocument/2006/relationships/hyperlink" Target="https://doi.org/10.3760/cma.j.issn.1674-4756.2002.09.078" TargetMode="External" Id="rId768"/><Relationship Type="http://schemas.openxmlformats.org/officeDocument/2006/relationships/hyperlink" Target="https://kns.cnki.net/kcms2/article/abstract?v=DgjXjbKQq8fHGyBRupuT7SQ-dkZbC44CDe6SCDk2oImorPccR7ZxJKAGU7xUElaTC3t-1VpPNJW9PUEleUhZOz_IMM_AWph62SjFh43i-SSDZoHo3hZUgXdfShKkTpSRDi8olUJbMzJGtaehLLEvuWRlySgSlEID6RFmWHRvZcTOq2SHNwmZ7A==&amp;uniplatform=NZKPT&amp;language=CHS" TargetMode="External" Id="rId769"/><Relationship Type="http://schemas.openxmlformats.org/officeDocument/2006/relationships/hyperlink" Target="https://d.wanfangdata.com.cn/periodical/CiBQZXJpb2RpY2FsQ0hJU29scjkyMDI2MDkxNTE0MjIxORINenl5azIwMDIwOTA3OBoIaWIxYjJ1aHo%3D" TargetMode="External" Id="rId770"/><Relationship Type="http://schemas.openxmlformats.org/officeDocument/2006/relationships/hyperlink" Target="https://doi.org/10.3969/j.issn.1002-0101.2002.06.027" TargetMode="External" Id="rId771"/><Relationship Type="http://schemas.openxmlformats.org/officeDocument/2006/relationships/hyperlink" Target="https://kns.cnki.net/kcms2/article/abstract?v=DgjXjbKQq8eeH2oQ-fbT6De033GA3QUxWfzbyy-BTHdXYkIPTbAvs74nyr7pMqqd0O952_lVgYp_DxRlAW-1cm_3niEFmxsSCuWwgtnW1Z0JiUEoD63kbdtFlJMxs8t6E5LgYJ64QKefvSncGmDmVNH3iiMaLtOEW_7cgOlWX9bcCOpVVGBSVg==&amp;uniplatform=NZKPT&amp;language=CHS" TargetMode="External" Id="rId772"/><Relationship Type="http://schemas.openxmlformats.org/officeDocument/2006/relationships/hyperlink" Target="https://d.wanfangdata.com.cn/periodical/CiBQZXJpb2RpY2FsQ0hJU29scjkyMDI2MDkxNTE0MjIxORIRemdjc3l4enoyMDAyMDYwMjcaCGliMWIydWh6" TargetMode="External" Id="rId773"/><Relationship Type="http://schemas.openxmlformats.org/officeDocument/2006/relationships/hyperlink" Target="https://doi.org/10.3760/j.issn:1005-1201.2002.06.026" TargetMode="External" Id="rId774"/><Relationship Type="http://schemas.openxmlformats.org/officeDocument/2006/relationships/hyperlink" Target="https://kns.cnki.net/kcms2/article/abstract?v=DgjXjbKQq8fSM1MRvpi_odAcIq3xPCBEUxOLPc041Xh-1iL1Vxq73SqBWEbVrL3ljo-e5rz8zivxMe1GiDt0Sfg-jiOtgG3vnkxubrYTc4jU6h76U1Z56BXjwAqSV-kTWL90GrVP4kx4kIZdlB2-Hzsx930H_qCCF6ja8APpKD9gqvmYMEuNBQ==&amp;uniplatform=NZKPT&amp;language=CHS" TargetMode="External" Id="rId775"/><Relationship Type="http://schemas.openxmlformats.org/officeDocument/2006/relationships/hyperlink" Target="https://d.wanfangdata.com.cn/periodical/CiBQZXJpb2RpY2FsQ0hJU29scjkyMDI2MDkxNTE0MjIxORIOemhmc3gyMDAyMDYwMjYaCGliMWIydWh6" TargetMode="External" Id="rId776"/><Relationship Type="http://schemas.openxmlformats.org/officeDocument/2006/relationships/hyperlink" Target="https://doi.org/10.3969/j.issn.1004-6879.2002.01.055" TargetMode="External" Id="rId777"/><Relationship Type="http://schemas.openxmlformats.org/officeDocument/2006/relationships/hyperlink" Target="https://link.cnki.net/doi/10.15921/j.cnki.cyxb.2002.01.055" TargetMode="External" Id="rId778"/><Relationship Type="http://schemas.openxmlformats.org/officeDocument/2006/relationships/hyperlink" Target="https://d.wanfangdata.com.cn/periodical/CiBQZXJpb2RpY2FsQ0hJU29scjkyMDI2MDkxNTE0MjIxORIQY2R5eHl4YjIwMDIwMTA1NRoIaWIxYjJ1aHo%3D" TargetMode="External" Id="rId779"/><Relationship Type="http://schemas.openxmlformats.org/officeDocument/2006/relationships/hyperlink" Target="https://doi.org/10.3969/j.issn.1004-0188.2001.06.048" TargetMode="External" Id="rId780"/><Relationship Type="http://schemas.openxmlformats.org/officeDocument/2006/relationships/hyperlink" Target="https://kns.cnki.net/kcms2/article/abstract?v=DgjXjbKQq8dedSONU3LwCkLqwrKwScVK6kgMGNA1Nl-FcsPjyp2k0GauLDTyWUmXLG0oriyDHO4DSomAgaPJIHHjd416vN7bsCn9KVfbO-exIgPrIBNbe5TxfDkLO_A-9HYBzVm7LiU-E-9B8THDU_0R_7Uvljqr5uZbWoESEfgiWbsOEwdtNA==&amp;uniplatform=NZKPT&amp;language=CHS" TargetMode="External" Id="rId781"/><Relationship Type="http://schemas.openxmlformats.org/officeDocument/2006/relationships/hyperlink" Target="https://d.wanfangdata.com.cn/periodical/CiBQZXJpb2RpY2FsQ0hJU29scjkyMDI2MDkxNTE0MjIxORIPeG5nZnl5MjAwMTA2MDQ4GghpYjFiMnVoeg%3D%3D" TargetMode="External" Id="rId782"/><Relationship Type="http://schemas.openxmlformats.org/officeDocument/2006/relationships/hyperlink" Target="https://doi.org/10.3969/j.issn.1004-3101.2001.03.076" TargetMode="External" Id="rId783"/><Relationship Type="http://schemas.openxmlformats.org/officeDocument/2006/relationships/hyperlink" Target="https://kns.cnki.net/kcms2/article/abstract?v=DgjXjbKQq8csGHFcQ7XrtEW4WN_MJbr93-N7E2Tgd4DUqK7Hw-Oa75fwJnFQdiKSehViWMzMmIGDz0o1d9WMFrZsQZRJsjFjux2q13axaahGf4D26gLMDdsnioxdZRMREcBA9rir44HLScuJIxGtxgxQJQQ8HBIZag1XEKBBIidUZSLkhK2k8A==&amp;uniplatform=NZKPT&amp;language=CHS" TargetMode="External" Id="rId784"/><Relationship Type="http://schemas.openxmlformats.org/officeDocument/2006/relationships/hyperlink" Target="https://d.wanfangdata.com.cn/periodical/CiBQZXJpb2RpY2FsQ0hJU29scjkyMDI2MDkxNTE0MjIxORIQd2Z5eHl4YjIwMDEwMzA3NhoIaWIxYjJ1aHo%3D" TargetMode="External" Id="rId785"/><Relationship Type="http://schemas.openxmlformats.org/officeDocument/2006/relationships/hyperlink" Target="https://kns.cnki.net/kcms2/article/abstract?v=DgjXjbKQq8dLOo97PlXuXc85pN4oNAYFVPem728iamJxnYRjNQ0V40SAmu94mB71sCHGkJp83j26QuP6R49fNQerg4YjD_Z7vZ7b2Fo1doSBMvDxNOP4yDRCiSdcPxjeEQ4m0Y6xORzhGOg27li5DmQYJFRydlul6oPG72qCba5oOqHys9T5Qw==&amp;uniplatform=NZKPT&amp;language=CHS" TargetMode="External" Id="rId786"/><Relationship Type="http://schemas.openxmlformats.org/officeDocument/2006/relationships/hyperlink" Target="https://d.wanfangdata.com.cn/periodical/CiBQZXJpb2RpY2FsQ0hJU29scjkyMDI2MDkxNTE0MjIxORIRemdjc3pkenoyMDAxMDYwMzUaCGliMWIydWh6" TargetMode="External" Id="rId787"/><Relationship Type="http://schemas.openxmlformats.org/officeDocument/2006/relationships/hyperlink" Target="https://doi.org/10.3969/j.issn.1671-8631.2001.04.049" TargetMode="External" Id="rId788"/><Relationship Type="http://schemas.openxmlformats.org/officeDocument/2006/relationships/hyperlink" Target="https://kns.cnki.net/kcms2/article/abstract?v=DgjXjbKQq8fU5cGl2x6fukF3mnZzYflNKiIDXXPmvMlRi3oUcvrlWpADN0-CRUVpCz2ynwIBhBU_YDqwlKzTFtdXDTQvTYhMtvaDDQv0FK0o4h2s1sz04lUTI5eSH8wq038e10c5VJKh1BtpuMPhFhyFp7B7UuyDPPf-lSo-3L8qLHuWIN7IvA==&amp;uniplatform=NZKPT&amp;language=CHS" TargetMode="External" Id="rId789"/><Relationship Type="http://schemas.openxmlformats.org/officeDocument/2006/relationships/hyperlink" Target="https://d.wanfangdata.com.cn/periodical/CiBQZXJpb2RpY2FsQ0hJU29scjkyMDI2MDkxNTE0MjIxORIPc3hsY3l5MjAwMTA0MDQ5GghpYjFiMnVoeg%3D%3D" TargetMode="External" Id="rId790"/><Relationship Type="http://schemas.openxmlformats.org/officeDocument/2006/relationships/hyperlink" Target="https://kns.cnki.net/kcms2/article/abstract?v=DgjXjbKQq8dHoDUmLtau0IL2NKm7ZQ-PwU9wOIpZbpts2a-09kt72lDWGyFkKJ7hP_xWEYbmc6WIngy7ZykrOkPOEnw8cgChEacpEtCX-eRBougw0d8T8g6HWe7fcKU7d4TWM7k0d8kLvurjMYAHGAQjDIWoRqa-Co0SdAe3kRooa2WSB0FL8g==&amp;uniplatform=NZKPT&amp;language=CHS" TargetMode="External" Id="rId791"/><Relationship Type="http://schemas.openxmlformats.org/officeDocument/2006/relationships/hyperlink" Target="https://d.wanfangdata.com.cn/periodical/CiBQZXJpb2RpY2FsQ0hJU29scjkyMDI2MDkxNTE0MjIxORIOUUsyMDAxMDEzMDQ5NDgaCGliMWIydWh6" TargetMode="External" Id="rId792"/><Relationship Type="http://schemas.openxmlformats.org/officeDocument/2006/relationships/hyperlink" Target="https://doi.org/10.3760/j.issn:1004-4477.2001.02.031" TargetMode="External" Id="rId793"/><Relationship Type="http://schemas.openxmlformats.org/officeDocument/2006/relationships/hyperlink" Target="https://kns.cnki.net/kcms2/article/abstract?v=DgjXjbKQq8dovOUFp4D5M0jZtonp1WuuuaOwGPQ1K_evQ7pZrTydcBQxVkXMMPKpBZsIdYhaDd-PU7X7lRcOWO_K6XN_ZKQomXvpHjnm8AmjSm9T8ad4lDYz4oHJBHBMVkshXUfajqoru1CCiHfdTF1J_3Ziq1aksNaYS-3FWYTc7zcHZJ6-TQ==&amp;uniplatform=NZKPT&amp;language=CHS" TargetMode="External" Id="rId794"/><Relationship Type="http://schemas.openxmlformats.org/officeDocument/2006/relationships/hyperlink" Target="https://d.wanfangdata.com.cn/periodical/CiBQZXJpb2RpY2FsQ0hJU29scjkyMDI2MDkxNTE0MjIxORIPemhjc3l4MjAwMTAyMDMxGghpYjFiMnVoeg%3D%3D" TargetMode="External" Id="rId795"/><Relationship Type="http://schemas.openxmlformats.org/officeDocument/2006/relationships/hyperlink" Target="https://doi.org/10.3969/j.issn.1008-6633.2001.04.036" TargetMode="External" Id="rId796"/><Relationship Type="http://schemas.openxmlformats.org/officeDocument/2006/relationships/hyperlink" Target="https://d.wanfangdata.com.cn/periodical/CiBQZXJpb2RpY2FsQ0hJU29scjkyMDI2MDkxNTE0MjIxORISaGJtdHl4eXhiMjAwMTA0MDM2GghpYjFiMnVoeg%3D%3D" TargetMode="External" Id="rId797"/><Relationship Type="http://schemas.openxmlformats.org/officeDocument/2006/relationships/hyperlink" Target="https://doi.org/10.3969/j.issn.1007-9564.2000.11.100" TargetMode="External" Id="rId798"/><Relationship Type="http://schemas.openxmlformats.org/officeDocument/2006/relationships/hyperlink" Target="https://kns.cnki.net/kcms2/article/abstract?v=DgjXjbKQq8dBvhX4eo4fXOQkJXe0Zr3u6s4tKqK64mfvfjTVUrYClXNUDFzpXzkS8dKkXNbrdFM4mmewaGblC8yI6yUUgWyKsVAVgePOBQlmwcwP4rbZpKXfKwQ3NpXvAMi3IKeB10tiLtoCquUmZRBF-nD5vZ04vwJTIWEqcmjDJ0PUSoYdbg==&amp;uniplatform=NZKPT&amp;language=CHS" TargetMode="External" Id="rId799"/><Relationship Type="http://schemas.openxmlformats.org/officeDocument/2006/relationships/hyperlink" Target="https://d.wanfangdata.com.cn/periodical/CiBQZXJpb2RpY2FsQ0hJU29scjkyMDI2MDkxNTE0MjIxORITemdtdGd5eXh6ejIwMDAxMTEwMBoIaWIxYjJ1aHo%3D" TargetMode="External" Id="rId800"/><Relationship Type="http://schemas.openxmlformats.org/officeDocument/2006/relationships/hyperlink" Target="https://doi.org/10.3969/j.issn.1007-9424.2000.06.040" TargetMode="External" Id="rId801"/><Relationship Type="http://schemas.openxmlformats.org/officeDocument/2006/relationships/hyperlink" Target="https://kns.cnki.net/kcms2/article/abstract?v=DgjXjbKQq8d-sF959QaEsclLjH937R5YsvyJkNuFSkaESwL9F6c0xvK74lAW6UcCfXawtp1KmDo8EQuE_SrcUv8OwqGn-Vio2idwIJ-g7uFd3khE2xCfbRGoCRiLDDp_j48jczwk4E0n8OqBns6JkkzChWBrQyrl32OQWa-Q_KK8wJkWhyUDCQ==&amp;uniplatform=NZKPT&amp;language=CHS" TargetMode="External" Id="rId802"/><Relationship Type="http://schemas.openxmlformats.org/officeDocument/2006/relationships/hyperlink" Target="https://d.wanfangdata.com.cn/periodical/CiBQZXJpb2RpY2FsQ0hJU29scjkyMDI2MDkxNTE0MjIxORIUemdwd2pjeWxjenoyMDAwMDYwNDAaCGliMWIydWh6" TargetMode="External" Id="rId803"/><Relationship Type="http://schemas.openxmlformats.org/officeDocument/2006/relationships/hyperlink" Target="https://kns.cnki.net/kcms2/article/abstract?v=DgjXjbKQq8el478SGlhFEuNgmQdno8E1fc2_SS1Op3cc1KpAKNkBcgE8M9pL-xCnKujsP9iYKlWLf3Ady5_iPdwu-5GTDbXBzbToXr-ScQWjR2VLRhTMUaVCl9wURHUz6C8iIEMRpw0F06ITlODnFJ6_0KHJY3s-DjXnf4CJBfNRy410B8403Q==&amp;uniplatform=NZKPT&amp;language=CHS" TargetMode="External" Id="rId804"/><Relationship Type="http://schemas.openxmlformats.org/officeDocument/2006/relationships/hyperlink" Target="https://d.wanfangdata.com.cn/periodical/CiBQZXJpb2RpY2FsQ0hJU29scjkyMDI2MDkxNTE0MjIxORIOUUsyMDAwMDEwOTU0NDIaCGliMWIydWh6" TargetMode="External" Id="rId805"/><Relationship Type="http://schemas.openxmlformats.org/officeDocument/2006/relationships/hyperlink" Target="https://www.scopus.com/pages/publications/85112384278?origin=resultslist" TargetMode="External" Id="rId806"/><Relationship Type="http://schemas.openxmlformats.org/officeDocument/2006/relationships/hyperlink" Target="https://www.scopus.com/pages/publications/85188903665?origin=resultslist" TargetMode="External" Id="rId807"/><Relationship Type="http://schemas.openxmlformats.org/officeDocument/2006/relationships/hyperlink" Target="https://www.scopus.com/pages/publications/85059596312?origin=resultslist" TargetMode="External" Id="rId808"/><Relationship Type="http://schemas.openxmlformats.org/officeDocument/2006/relationships/hyperlink" Target="https://www.scopus.com/pages/publications/85047617188?origin=resultslist" TargetMode="External" Id="rId809"/><Relationship Type="http://schemas.openxmlformats.org/officeDocument/2006/relationships/hyperlink" Target="https://www.scopus.com/pages/publications/85052888760?origin=resultslist" TargetMode="External" Id="rId810"/><Relationship Type="http://schemas.openxmlformats.org/officeDocument/2006/relationships/hyperlink" Target="https://www.scopus.com/pages/publications/85011964910?origin=resultslist" TargetMode="External" Id="rId811"/><Relationship Type="http://schemas.openxmlformats.org/officeDocument/2006/relationships/hyperlink" Target="https://www.scopus.com/pages/publications/84881640901?origin=resultslist" TargetMode="External" Id="rId812"/><Relationship Type="http://schemas.openxmlformats.org/officeDocument/2006/relationships/hyperlink" Target="https://www.scopus.com/pages/publications/77953422880?origin=resultslist" TargetMode="External" Id="rId813"/><Relationship Type="http://schemas.openxmlformats.org/officeDocument/2006/relationships/hyperlink" Target="https://www.scopus.com/pages/publications/77953397737?origin=resultslist" TargetMode="External" Id="rId814"/><Relationship Type="http://schemas.openxmlformats.org/officeDocument/2006/relationships/hyperlink" Target="https://www.scopus.com/pages/publications/84890626163?origin=resultslist" TargetMode="External" Id="rId815"/><Relationship Type="http://schemas.openxmlformats.org/officeDocument/2006/relationships/hyperlink" Target="https://www.scopus.com/pages/publications/39149086389?origin=resultslist" TargetMode="External" Id="rId816"/><Relationship Type="http://schemas.openxmlformats.org/officeDocument/2006/relationships/hyperlink" Target="https://www.scopus.com/pages/publications/33947230789?origin=resultslist" TargetMode="External" Id="rId817"/><Relationship Type="http://schemas.openxmlformats.org/officeDocument/2006/relationships/hyperlink" Target="https://www.scopus.com/pages/publications/28444465494?origin=resultslist" TargetMode="External" Id="rId818"/><Relationship Type="http://schemas.openxmlformats.org/officeDocument/2006/relationships/hyperlink" Target="https://www.scopus.com/pages/publications/33644797501?origin=resultslist" TargetMode="External" Id="rId819"/><Relationship Type="http://schemas.openxmlformats.org/officeDocument/2006/relationships/hyperlink" Target="https://www.scopus.com/pages/publications/0036059093?origin=resultslist" TargetMode="External" Id="rId820"/><Relationship Type="http://schemas.openxmlformats.org/officeDocument/2006/relationships/hyperlink" Target="https://www.scopus.com/pages/publications/0034346694?origin=resultslist" TargetMode="External" Id="rId821"/><Relationship Type="http://schemas.openxmlformats.org/officeDocument/2006/relationships/hyperlink" Target="https://doi.org/10.21037/hbsn-2026-1-0077" TargetMode="External" Id="rId822"/><Relationship Type="http://schemas.openxmlformats.org/officeDocument/2006/relationships/hyperlink" Target="https://pubmed.ncbi.nlm.nih.gov/42273556/" TargetMode="External" Id="rId823"/><Relationship Type="http://schemas.openxmlformats.org/officeDocument/2006/relationships/hyperlink" Target="https://pmc.ncbi.nlm.nih.gov/articles/PMC13247767/" TargetMode="External" Id="rId824"/><Relationship Type="http://schemas.openxmlformats.org/officeDocument/2006/relationships/hyperlink" Target="https://doi.org/10.1016/j.acepjo.2025.100105" TargetMode="External" Id="rId825"/><Relationship Type="http://schemas.openxmlformats.org/officeDocument/2006/relationships/hyperlink" Target="https://pubmed.ncbi.nlm.nih.gov/40231162/" TargetMode="External" Id="rId826"/><Relationship Type="http://schemas.openxmlformats.org/officeDocument/2006/relationships/hyperlink" Target="https://pmc.ncbi.nlm.nih.gov/articles/PMC11995703/" TargetMode="External" Id="rId827"/><Relationship Type="http://schemas.openxmlformats.org/officeDocument/2006/relationships/hyperlink" Target="https://doi.org/10.1136/bcr-2023-258235" TargetMode="External" Id="rId828"/><Relationship Type="http://schemas.openxmlformats.org/officeDocument/2006/relationships/hyperlink" Target="https://pubmed.ncbi.nlm.nih.gov/38011954/" TargetMode="External" Id="rId829"/><Relationship Type="http://schemas.openxmlformats.org/officeDocument/2006/relationships/hyperlink" Target="https://pmc.ncbi.nlm.nih.gov/articles/PMC10685920/" TargetMode="External" Id="rId830"/><Relationship Type="http://schemas.openxmlformats.org/officeDocument/2006/relationships/hyperlink" Target="https://doi.org/10.5152/tjg.2019.18657" TargetMode="External" Id="rId831"/><Relationship Type="http://schemas.openxmlformats.org/officeDocument/2006/relationships/hyperlink" Target="https://pubmed.ncbi.nlm.nih.gov/31530528/" TargetMode="External" Id="rId832"/><Relationship Type="http://schemas.openxmlformats.org/officeDocument/2006/relationships/hyperlink" Target="https://pmc.ncbi.nlm.nih.gov/articles/PMC6750813/" TargetMode="External" Id="rId833"/><Relationship Type="http://schemas.openxmlformats.org/officeDocument/2006/relationships/hyperlink" Target="https://doi.org/10.1136/bcr-2018-224917" TargetMode="External" Id="rId834"/><Relationship Type="http://schemas.openxmlformats.org/officeDocument/2006/relationships/hyperlink" Target="https://pubmed.ncbi.nlm.nih.gov/30115712/" TargetMode="External" Id="rId835"/><Relationship Type="http://schemas.openxmlformats.org/officeDocument/2006/relationships/hyperlink" Target="https://pmc.ncbi.nlm.nih.gov/articles/PMC6101342/" TargetMode="External" Id="rId836"/><Relationship Type="http://schemas.openxmlformats.org/officeDocument/2006/relationships/hyperlink" Target="https://doi.org/10.1136/bcr-2018-225496" TargetMode="External" Id="rId837"/><Relationship Type="http://schemas.openxmlformats.org/officeDocument/2006/relationships/hyperlink" Target="https://pubmed.ncbi.nlm.nih.gov/29950372/" TargetMode="External" Id="rId838"/><Relationship Type="http://schemas.openxmlformats.org/officeDocument/2006/relationships/hyperlink" Target="https://pmc.ncbi.nlm.nih.gov/articles/PMC6020928/" TargetMode="External" Id="rId839"/><Relationship Type="http://schemas.openxmlformats.org/officeDocument/2006/relationships/hyperlink" Target="https://doi.org/10.1136/bcr-2017-222214" TargetMode="External" Id="rId840"/><Relationship Type="http://schemas.openxmlformats.org/officeDocument/2006/relationships/hyperlink" Target="https://pubmed.ncbi.nlm.nih.gov/29197844/" TargetMode="External" Id="rId841"/><Relationship Type="http://schemas.openxmlformats.org/officeDocument/2006/relationships/hyperlink" Target="https://pmc.ncbi.nlm.nih.gov/articles/PMC5720287/" TargetMode="External" Id="rId842"/><Relationship Type="http://schemas.openxmlformats.org/officeDocument/2006/relationships/hyperlink" Target="https://doi.org/10.14309/crj.2017.54" TargetMode="External" Id="rId843"/><Relationship Type="http://schemas.openxmlformats.org/officeDocument/2006/relationships/hyperlink" Target="https://pubmed.ncbi.nlm.nih.gov/28459078/" TargetMode="External" Id="rId844"/><Relationship Type="http://schemas.openxmlformats.org/officeDocument/2006/relationships/hyperlink" Target="https://pmc.ncbi.nlm.nih.gov/articles/PMC5404629/" TargetMode="External" Id="rId845"/><Relationship Type="http://schemas.openxmlformats.org/officeDocument/2006/relationships/hyperlink" Target="https://doi.org/10.1016/j.ijpam.2015.12.001" TargetMode="External" Id="rId846"/><Relationship Type="http://schemas.openxmlformats.org/officeDocument/2006/relationships/hyperlink" Target="https://pubmed.ncbi.nlm.nih.gov/30805467/" TargetMode="External" Id="rId847"/><Relationship Type="http://schemas.openxmlformats.org/officeDocument/2006/relationships/hyperlink" Target="https://pmc.ncbi.nlm.nih.gov/articles/PMC6372406/" TargetMode="External" Id="rId848"/><Relationship Type="http://schemas.openxmlformats.org/officeDocument/2006/relationships/hyperlink" Target="https://doi.org/10.4314/mmj.v22i4.63948" TargetMode="External" Id="rId849"/><Relationship Type="http://schemas.openxmlformats.org/officeDocument/2006/relationships/hyperlink" Target="https://pubmed.ncbi.nlm.nih.gov/21977832/" TargetMode="External" Id="rId850"/><Relationship Type="http://schemas.openxmlformats.org/officeDocument/2006/relationships/hyperlink" Target="https://pmc.ncbi.nlm.nih.gov/articles/PMC3345773/" TargetMode="External" Id="rId851"/><Relationship Type="http://schemas.openxmlformats.org/officeDocument/2006/relationships/hyperlink" Target="https://doi.org/10.1259/bjr/88857252" TargetMode="External" Id="rId852"/><Relationship Type="http://schemas.openxmlformats.org/officeDocument/2006/relationships/hyperlink" Target="https://pubmed.ncbi.nlm.nih.gov/20739346/" TargetMode="External" Id="rId853"/><Relationship Type="http://schemas.openxmlformats.org/officeDocument/2006/relationships/hyperlink" Target="https://pmc.ncbi.nlm.nih.gov/articles/PMC3473410/" TargetMode="External" Id="rId854"/><Relationship Type="http://schemas.openxmlformats.org/officeDocument/2006/relationships/hyperlink" Target="https://doi.org/10.1016/s0377-1237(06)80169-3" TargetMode="External" Id="rId855"/><Relationship Type="http://schemas.openxmlformats.org/officeDocument/2006/relationships/hyperlink" Target="https://pubmed.ncbi.nlm.nih.gov/27407856/" TargetMode="External" Id="rId856"/><Relationship Type="http://schemas.openxmlformats.org/officeDocument/2006/relationships/hyperlink" Target="https://pmc.ncbi.nlm.nih.gov/articles/PMC4923347/" TargetMode="External" Id="rId857"/><Relationship Type="http://schemas.openxmlformats.org/officeDocument/2006/relationships/hyperlink" Target="https://doi.org/10.5144/0256-4947.2005.168" TargetMode="External" Id="rId858"/><Relationship Type="http://schemas.openxmlformats.org/officeDocument/2006/relationships/hyperlink" Target="https://pubmed.ncbi.nlm.nih.gov/15977700/" TargetMode="External" Id="rId859"/><Relationship Type="http://schemas.openxmlformats.org/officeDocument/2006/relationships/hyperlink" Target="https://pmc.ncbi.nlm.nih.gov/articles/PMC6147954/" TargetMode="External" Id="rId860"/><Relationship Type="http://schemas.openxmlformats.org/officeDocument/2006/relationships/hyperlink" Target="https://doi.org/10.1007/s00261-025-05322-y" TargetMode="External" Id="rId861"/><Relationship Type="http://schemas.openxmlformats.org/officeDocument/2006/relationships/hyperlink" Target="https://pubmed.ncbi.nlm.nih.gov/41364221/" TargetMode="External" Id="rId862"/><Relationship Type="http://schemas.openxmlformats.org/officeDocument/2006/relationships/hyperlink" Target="https://doi.org/10.1093/bjs/znag063.356" TargetMode="External" Id="rId863"/><Relationship Type="http://schemas.openxmlformats.org/officeDocument/2006/relationships/hyperlink" Target="https://doi.org/10.1016/j.asjsur.2026.02.220" TargetMode="External" Id="rId864"/><Relationship Type="http://schemas.openxmlformats.org/officeDocument/2006/relationships/hyperlink" Target="https://www.scopus.com/pages/publications/105034640277?origin=resultslist" TargetMode="External" Id="rId865"/><Relationship Type="http://schemas.openxmlformats.org/officeDocument/2006/relationships/hyperlink" Target="https://doi.org/10.1016/j.rxeng.2024.11.006" TargetMode="External" Id="rId866"/><Relationship Type="http://schemas.openxmlformats.org/officeDocument/2006/relationships/hyperlink" Target="https://pubmed.ncbi.nlm.nih.gov/40412853/" TargetMode="External" Id="rId867"/><Relationship Type="http://schemas.openxmlformats.org/officeDocument/2006/relationships/hyperlink" Target="https://doi.org/10.1016/j.clinre.2025.102614" TargetMode="External" Id="rId868"/><Relationship Type="http://schemas.openxmlformats.org/officeDocument/2006/relationships/hyperlink" Target="https://pubmed.ncbi.nlm.nih.gov/40368246/" TargetMode="External" Id="rId869"/><Relationship Type="http://schemas.openxmlformats.org/officeDocument/2006/relationships/hyperlink" Target="https://doi.org/10.11152/mu-4484" TargetMode="External" Id="rId870"/><Relationship Type="http://schemas.openxmlformats.org/officeDocument/2006/relationships/hyperlink" Target="https://pubmed.ncbi.nlm.nih.gov/40030633/" TargetMode="External" Id="rId871"/><Relationship Type="http://schemas.openxmlformats.org/officeDocument/2006/relationships/hyperlink" Target="https://doi.org/10.1016/j.pedneo.2024.12.002" TargetMode="External" Id="rId872"/><Relationship Type="http://schemas.openxmlformats.org/officeDocument/2006/relationships/hyperlink" Target="https://pubmed.ncbi.nlm.nih.gov/39909795/" TargetMode="External" Id="rId873"/><Relationship Type="http://schemas.openxmlformats.org/officeDocument/2006/relationships/hyperlink" Target="https://doi.org/10.1016/j.cireng.2024.05.019" TargetMode="External" Id="rId874"/><Relationship Type="http://schemas.openxmlformats.org/officeDocument/2006/relationships/hyperlink" Target="https://pubmed.ncbi.nlm.nih.gov/38986904/" TargetMode="External" Id="rId875"/><Relationship Type="http://schemas.openxmlformats.org/officeDocument/2006/relationships/hyperlink" Target="https://doi.org/10.1093/bjs/znaf270.063" TargetMode="External" Id="rId876"/><Relationship Type="http://schemas.openxmlformats.org/officeDocument/2006/relationships/hyperlink" Target="https://doi.org/10.1016/j.annemergmed.2025.01.020" TargetMode="External" Id="rId877"/><Relationship Type="http://schemas.openxmlformats.org/officeDocument/2006/relationships/hyperlink" Target="https://www.scopus.com/pages/publications/105008481187?origin=resultslist" TargetMode="External" Id="rId878"/><Relationship Type="http://schemas.openxmlformats.org/officeDocument/2006/relationships/hyperlink" Target="https://doi.org/10.1111/ped.15810" TargetMode="External" Id="rId879"/><Relationship Type="http://schemas.openxmlformats.org/officeDocument/2006/relationships/hyperlink" Target="https://pubmed.ncbi.nlm.nih.gov/39161211/" TargetMode="External" Id="rId880"/><Relationship Type="http://schemas.openxmlformats.org/officeDocument/2006/relationships/hyperlink" Target="https://doi.org/10.1016/j.anpede.2023.11.004" TargetMode="External" Id="rId881"/><Relationship Type="http://schemas.openxmlformats.org/officeDocument/2006/relationships/hyperlink" Target="https://pubmed.ncbi.nlm.nih.gov/37985350/" TargetMode="External" Id="rId882"/><Relationship Type="http://schemas.openxmlformats.org/officeDocument/2006/relationships/hyperlink" Target="https://doi.org/10.1016/j.gie.2023.07.005" TargetMode="External" Id="rId883"/><Relationship Type="http://schemas.openxmlformats.org/officeDocument/2006/relationships/hyperlink" Target="https://pubmed.ncbi.nlm.nih.gov/37423540/" TargetMode="External" Id="rId884"/><Relationship Type="http://schemas.openxmlformats.org/officeDocument/2006/relationships/hyperlink" Target="https://doi.org/10.4103/singaporemedj.smj-2022-120" TargetMode="External" Id="rId885"/><Relationship Type="http://schemas.openxmlformats.org/officeDocument/2006/relationships/hyperlink" Target="https://www.scopus.com/pages/publications/85182091718?origin=resultslist" TargetMode="External" Id="rId886"/><Relationship Type="http://schemas.openxmlformats.org/officeDocument/2006/relationships/hyperlink" Target="https://doi.org/10.1016/j.ajem.2024.07.016" TargetMode="External" Id="rId887"/><Relationship Type="http://schemas.openxmlformats.org/officeDocument/2006/relationships/hyperlink" Target="https://www.scopus.com/pages/publications/85199421618?origin=resultslist" TargetMode="External" Id="rId888"/><Relationship Type="http://schemas.openxmlformats.org/officeDocument/2006/relationships/hyperlink" Target="https://doi.org/10.1002/emp2.13124" TargetMode="External" Id="rId889"/><Relationship Type="http://schemas.openxmlformats.org/officeDocument/2006/relationships/hyperlink" Target="https://www.scopus.com/pages/publications/85184938694?origin=resultslist" TargetMode="External" Id="rId890"/><Relationship Type="http://schemas.openxmlformats.org/officeDocument/2006/relationships/hyperlink" Target="https://doi.org/10.1016/j.amjms.2023.08.005" TargetMode="External" Id="rId891"/><Relationship Type="http://schemas.openxmlformats.org/officeDocument/2006/relationships/hyperlink" Target="https://pubmed.ncbi.nlm.nih.gov/37567471/" TargetMode="External" Id="rId892"/><Relationship Type="http://schemas.openxmlformats.org/officeDocument/2006/relationships/hyperlink" Target="https://doi.org/10.1016/j.cgh.2022.11.003" TargetMode="External" Id="rId893"/><Relationship Type="http://schemas.openxmlformats.org/officeDocument/2006/relationships/hyperlink" Target="https://pubmed.ncbi.nlm.nih.gov/36402370/" TargetMode="External" Id="rId894"/><Relationship Type="http://schemas.openxmlformats.org/officeDocument/2006/relationships/hyperlink" Target="https://doi.org/10.1016/j.asjsur.2022.08.031" TargetMode="External" Id="rId895"/><Relationship Type="http://schemas.openxmlformats.org/officeDocument/2006/relationships/hyperlink" Target="https://pubmed.ncbi.nlm.nih.gov/35999102/" TargetMode="External" Id="rId896"/><Relationship Type="http://schemas.openxmlformats.org/officeDocument/2006/relationships/hyperlink" Target="https://doi.org/10.1016/j.cireng.2022.07.013" TargetMode="External" Id="rId897"/><Relationship Type="http://schemas.openxmlformats.org/officeDocument/2006/relationships/hyperlink" Target="https://pubmed.ncbi.nlm.nih.gov/35882312/" TargetMode="External" Id="rId898"/><Relationship Type="http://schemas.openxmlformats.org/officeDocument/2006/relationships/hyperlink" Target="https://doi.org/10.1093/bjs/znad258.365" TargetMode="External" Id="rId899"/><Relationship Type="http://schemas.openxmlformats.org/officeDocument/2006/relationships/hyperlink" Target="https://doi.org/10.14309/01.ajg.0000958004.08164.44" TargetMode="External" Id="rId900"/><Relationship Type="http://schemas.openxmlformats.org/officeDocument/2006/relationships/hyperlink" Target="https://doi.org/10.1016/j.annemergmed.2023.03.008" TargetMode="External" Id="rId901"/><Relationship Type="http://schemas.openxmlformats.org/officeDocument/2006/relationships/hyperlink" Target="https://www.scopus.com/pages/publications/85168318788?origin=resultslist" TargetMode="External" Id="rId902"/><Relationship Type="http://schemas.openxmlformats.org/officeDocument/2006/relationships/hyperlink" Target="https://doi.org/10.1016/j.jpeds.2022.08.021" TargetMode="External" Id="rId903"/><Relationship Type="http://schemas.openxmlformats.org/officeDocument/2006/relationships/hyperlink" Target="https://pubmed.ncbi.nlm.nih.gov/36007577/" TargetMode="External" Id="rId904"/><Relationship Type="http://schemas.openxmlformats.org/officeDocument/2006/relationships/hyperlink" Target="https://doi.org/10.1111/jpc.16124" TargetMode="External" Id="rId905"/><Relationship Type="http://schemas.openxmlformats.org/officeDocument/2006/relationships/hyperlink" Target="https://pubmed.ncbi.nlm.nih.gov/35856300/" TargetMode="External" Id="rId906"/><Relationship Type="http://schemas.openxmlformats.org/officeDocument/2006/relationships/hyperlink" Target="https://doi.org/10.1016/j.asjsur.2022.05.073" TargetMode="External" Id="rId907"/><Relationship Type="http://schemas.openxmlformats.org/officeDocument/2006/relationships/hyperlink" Target="https://pubmed.ncbi.nlm.nih.gov/35643897/" TargetMode="External" Id="rId908"/><Relationship Type="http://schemas.openxmlformats.org/officeDocument/2006/relationships/hyperlink" Target="https://doi.org/10.1177/0003134820945288" TargetMode="External" Id="rId909"/><Relationship Type="http://schemas.openxmlformats.org/officeDocument/2006/relationships/hyperlink" Target="https://pubmed.ncbi.nlm.nih.gov/32870025/" TargetMode="External" Id="rId910"/><Relationship Type="http://schemas.openxmlformats.org/officeDocument/2006/relationships/hyperlink" Target="https://doi.org/10.4103/injms.injms_18_22" TargetMode="External" Id="rId911"/><Relationship Type="http://schemas.openxmlformats.org/officeDocument/2006/relationships/hyperlink" Target="https://doi.org/10.1007/s11605-021-05013-1" TargetMode="External" Id="rId912"/><Relationship Type="http://schemas.openxmlformats.org/officeDocument/2006/relationships/hyperlink" Target="https://pubmed.ncbi.nlm.nih.gov/33904059/" TargetMode="External" Id="rId913"/><Relationship Type="http://schemas.openxmlformats.org/officeDocument/2006/relationships/hyperlink" Target="https://doi.org/10.1111/ans.16733" TargetMode="External" Id="rId914"/><Relationship Type="http://schemas.openxmlformats.org/officeDocument/2006/relationships/hyperlink" Target="https://pubmed.ncbi.nlm.nih.gov/33709481/" TargetMode="External" Id="rId915"/><Relationship Type="http://schemas.openxmlformats.org/officeDocument/2006/relationships/hyperlink" Target="https://doi.org/10.1111/ans.16380" TargetMode="External" Id="rId916"/><Relationship Type="http://schemas.openxmlformats.org/officeDocument/2006/relationships/hyperlink" Target="https://pubmed.ncbi.nlm.nih.gov/33590622/" TargetMode="External" Id="rId917"/><Relationship Type="http://schemas.openxmlformats.org/officeDocument/2006/relationships/hyperlink" Target="https://doi.org/10.1016/j.gastrohep.2020.05.013" TargetMode="External" Id="rId918"/><Relationship Type="http://schemas.openxmlformats.org/officeDocument/2006/relationships/hyperlink" Target="https://pubmed.ncbi.nlm.nih.gov/32718836/" TargetMode="External" Id="rId919"/><Relationship Type="http://schemas.openxmlformats.org/officeDocument/2006/relationships/hyperlink" Target="https://doi.org/10.1016/j.dld.2020.06.025" TargetMode="External" Id="rId920"/><Relationship Type="http://schemas.openxmlformats.org/officeDocument/2006/relationships/hyperlink" Target="https://pubmed.ncbi.nlm.nih.gov/32646735/" TargetMode="External" Id="rId921"/><Relationship Type="http://schemas.openxmlformats.org/officeDocument/2006/relationships/hyperlink" Target="https://doi.org/10.1007/s00259-020-04899-4" TargetMode="External" Id="rId922"/><Relationship Type="http://schemas.openxmlformats.org/officeDocument/2006/relationships/hyperlink" Target="https://www.scopus.com/pages/publications/85086592308?origin=resultslist" TargetMode="External" Id="rId923"/><Relationship Type="http://schemas.openxmlformats.org/officeDocument/2006/relationships/hyperlink" Target="https://doi.org/10.1016/s0140-6736(20)31552-x" TargetMode="External" Id="rId924"/><Relationship Type="http://schemas.openxmlformats.org/officeDocument/2006/relationships/hyperlink" Target="https://pubmed.ncbi.nlm.nih.gov/32771108/" TargetMode="External" Id="rId925"/><Relationship Type="http://schemas.openxmlformats.org/officeDocument/2006/relationships/hyperlink" Target="https://doi.org/10.1111/ans.15966" TargetMode="External" Id="rId926"/><Relationship Type="http://schemas.openxmlformats.org/officeDocument/2006/relationships/hyperlink" Target="https://pubmed.ncbi.nlm.nih.gov/32369654/" TargetMode="External" Id="rId927"/><Relationship Type="http://schemas.openxmlformats.org/officeDocument/2006/relationships/hyperlink" Target="https://doi.org/10.1016/j.ciresp.2020.02.001" TargetMode="External" Id="rId928"/><Relationship Type="http://schemas.openxmlformats.org/officeDocument/2006/relationships/hyperlink" Target="https://pubmed.ncbi.nlm.nih.gov/32156414/" TargetMode="External" Id="rId929"/><Relationship Type="http://schemas.openxmlformats.org/officeDocument/2006/relationships/hyperlink" Target="https://doi.org/10.1111/ans.15737" TargetMode="External" Id="rId930"/><Relationship Type="http://schemas.openxmlformats.org/officeDocument/2006/relationships/hyperlink" Target="https://pubmed.ncbi.nlm.nih.gov/32017329/" TargetMode="External" Id="rId931"/><Relationship Type="http://schemas.openxmlformats.org/officeDocument/2006/relationships/hyperlink" Target="https://doi.org/10.1016/j.ciresp.2019.09.009" TargetMode="External" Id="rId932"/><Relationship Type="http://schemas.openxmlformats.org/officeDocument/2006/relationships/hyperlink" Target="https://pubmed.ncbi.nlm.nih.gov/31679741/" TargetMode="External" Id="rId933"/><Relationship Type="http://schemas.openxmlformats.org/officeDocument/2006/relationships/hyperlink" Target="https://doi.org/10.1111/ans.15542" TargetMode="External" Id="rId934"/><Relationship Type="http://schemas.openxmlformats.org/officeDocument/2006/relationships/hyperlink" Target="https://pubmed.ncbi.nlm.nih.gov/31646719/" TargetMode="External" Id="rId935"/><Relationship Type="http://schemas.openxmlformats.org/officeDocument/2006/relationships/hyperlink" Target="https://doi.org/10.1016/j.surg.2020.04.022" TargetMode="External" Id="rId936"/><Relationship Type="http://schemas.openxmlformats.org/officeDocument/2006/relationships/hyperlink" Target="https://pubmed.ncbi.nlm.nih.gov/31560339/" TargetMode="External" Id="rId937"/><Relationship Type="http://schemas.openxmlformats.org/officeDocument/2006/relationships/hyperlink" Target="https://doi.org/10.1053/j.gastro.2019.07.022" TargetMode="External" Id="rId938"/><Relationship Type="http://schemas.openxmlformats.org/officeDocument/2006/relationships/hyperlink" Target="https://pubmed.ncbi.nlm.nih.gov/31319072/" TargetMode="External" Id="rId939"/><Relationship Type="http://schemas.openxmlformats.org/officeDocument/2006/relationships/hyperlink" Target="https://doi.org/10.1016/j.amjms.2019.01.016" TargetMode="External" Id="rId940"/><Relationship Type="http://schemas.openxmlformats.org/officeDocument/2006/relationships/hyperlink" Target="https://pubmed.ncbi.nlm.nih.gov/30876653/" TargetMode="External" Id="rId941"/><Relationship Type="http://schemas.openxmlformats.org/officeDocument/2006/relationships/hyperlink" Target="https://doi.org/10.1016/j.ciresp.2018.08.014" TargetMode="External" Id="rId942"/><Relationship Type="http://schemas.openxmlformats.org/officeDocument/2006/relationships/hyperlink" Target="https://pubmed.ncbi.nlm.nih.gov/30293757/" TargetMode="External" Id="rId943"/><Relationship Type="http://schemas.openxmlformats.org/officeDocument/2006/relationships/hyperlink" Target="https://doi.org/10.1136/archdischild-2019-epa.437" TargetMode="External" Id="rId944"/><Relationship Type="http://schemas.openxmlformats.org/officeDocument/2006/relationships/hyperlink" Target="https://doi.org/10.1590/1806-9282.64.12.1075" TargetMode="External" Id="rId945"/><Relationship Type="http://schemas.openxmlformats.org/officeDocument/2006/relationships/hyperlink" Target="https://pubmed.ncbi.nlm.nih.gov/30569981/" TargetMode="External" Id="rId946"/><Relationship Type="http://schemas.openxmlformats.org/officeDocument/2006/relationships/hyperlink" Target="https://pubmed.ncbi.nlm.nih.gov/30324789/" TargetMode="External" Id="rId947"/><Relationship Type="http://schemas.openxmlformats.org/officeDocument/2006/relationships/hyperlink" Target="https://doi.org/10.2460/javma.252.12.1463" TargetMode="External" Id="rId948"/><Relationship Type="http://schemas.openxmlformats.org/officeDocument/2006/relationships/hyperlink" Target="https://pubmed.ncbi.nlm.nih.gov/29889641/" TargetMode="External" Id="rId949"/><Relationship Type="http://schemas.openxmlformats.org/officeDocument/2006/relationships/hyperlink" Target="https://doi.org/10.1016/j.annemergmed.2017.09.030" TargetMode="External" Id="rId950"/><Relationship Type="http://schemas.openxmlformats.org/officeDocument/2006/relationships/hyperlink" Target="https://pubmed.ncbi.nlm.nih.gov/29458805/" TargetMode="External" Id="rId951"/><Relationship Type="http://schemas.openxmlformats.org/officeDocument/2006/relationships/hyperlink" Target="https://doi.org/10.1007/s00261-018-1488-1" TargetMode="External" Id="rId952"/><Relationship Type="http://schemas.openxmlformats.org/officeDocument/2006/relationships/hyperlink" Target="https://pubmed.ncbi.nlm.nih.gov/29450603/" TargetMode="External" Id="rId953"/><Relationship Type="http://schemas.openxmlformats.org/officeDocument/2006/relationships/hyperlink" Target="https://doi.org/10.1053/j.gastro.2017.11.288" TargetMode="External" Id="rId954"/><Relationship Type="http://schemas.openxmlformats.org/officeDocument/2006/relationships/hyperlink" Target="https://pubmed.ncbi.nlm.nih.gov/29409991/" TargetMode="External" Id="rId955"/><Relationship Type="http://schemas.openxmlformats.org/officeDocument/2006/relationships/hyperlink" Target="https://doi.org/10.1007/s11605-017-3560-5" TargetMode="External" Id="rId956"/><Relationship Type="http://schemas.openxmlformats.org/officeDocument/2006/relationships/hyperlink" Target="https://pubmed.ncbi.nlm.nih.gov/28875287/" TargetMode="External" Id="rId957"/><Relationship Type="http://schemas.openxmlformats.org/officeDocument/2006/relationships/hyperlink" Target="https://doi.org/10.1016/j.ciresp.2017.05.011" TargetMode="External" Id="rId958"/><Relationship Type="http://schemas.openxmlformats.org/officeDocument/2006/relationships/hyperlink" Target="https://pubmed.ncbi.nlm.nih.gov/28774572/" TargetMode="External" Id="rId959"/><Relationship Type="http://schemas.openxmlformats.org/officeDocument/2006/relationships/hyperlink" Target="https://doi.org/10.1111/ans.13859" TargetMode="External" Id="rId960"/><Relationship Type="http://schemas.openxmlformats.org/officeDocument/2006/relationships/hyperlink" Target="https://pubmed.ncbi.nlm.nih.gov/28264229/" TargetMode="External" Id="rId961"/><Relationship Type="http://schemas.openxmlformats.org/officeDocument/2006/relationships/hyperlink" Target="https://doi.org/10.1111/ans.13372" TargetMode="External" Id="rId962"/><Relationship Type="http://schemas.openxmlformats.org/officeDocument/2006/relationships/hyperlink" Target="https://pubmed.ncbi.nlm.nih.gov/26489700/" TargetMode="External" Id="rId963"/><Relationship Type="http://schemas.openxmlformats.org/officeDocument/2006/relationships/hyperlink" Target="https://doi.org/10.1136/bmj.k2324" TargetMode="External" Id="rId964"/><Relationship Type="http://schemas.openxmlformats.org/officeDocument/2006/relationships/hyperlink" Target="https://www.scopus.com/pages/publications/85048319687?origin=resultslist" TargetMode="External" Id="rId965"/><Relationship Type="http://schemas.openxmlformats.org/officeDocument/2006/relationships/hyperlink" Target="https://doi.org/10.14309/00000434-201710001-02622" TargetMode="External" Id="rId966"/><Relationship Type="http://schemas.openxmlformats.org/officeDocument/2006/relationships/hyperlink" Target="https://doi.org/10.1016/j.epsc.2017.08.002" TargetMode="External" Id="rId967"/><Relationship Type="http://schemas.openxmlformats.org/officeDocument/2006/relationships/hyperlink" Target="https://www.scopus.com/pages/publications/85026858039?origin=resultslist" TargetMode="External" Id="rId968"/><Relationship Type="http://schemas.openxmlformats.org/officeDocument/2006/relationships/hyperlink" Target="https://doi.org/10.1016/j.visj.2017.01.024" TargetMode="External" Id="rId969"/><Relationship Type="http://schemas.openxmlformats.org/officeDocument/2006/relationships/hyperlink" Target="https://www.scopus.com/pages/publications/85015754052?origin=resultslist" TargetMode="External" Id="rId970"/><Relationship Type="http://schemas.openxmlformats.org/officeDocument/2006/relationships/hyperlink" Target="https://doi.org/10.1038/ejhg.2016.156" TargetMode="External" Id="rId971"/><Relationship Type="http://schemas.openxmlformats.org/officeDocument/2006/relationships/hyperlink" Target="https://www.scopus.com/pages/publications/85008395111?origin=resultslist" TargetMode="External" Id="rId972"/><Relationship Type="http://schemas.openxmlformats.org/officeDocument/2006/relationships/hyperlink" Target="https://doi.org/10.1016/j.ymgme.2015.12.333" TargetMode="External" Id="rId973"/><Relationship Type="http://schemas.openxmlformats.org/officeDocument/2006/relationships/hyperlink" Target="https://doi.org/10.1016/j.jchirv.2016.06.003" TargetMode="External" Id="rId974"/><Relationship Type="http://schemas.openxmlformats.org/officeDocument/2006/relationships/hyperlink" Target="https://www.scopus.com/pages/publications/84995404787?origin=resultslist" TargetMode="External" Id="rId975"/><Relationship Type="http://schemas.openxmlformats.org/officeDocument/2006/relationships/hyperlink" Target="https://pubmed.ncbi.nlm.nih.gov/25824922/" TargetMode="External" Id="rId976"/><Relationship Type="http://schemas.openxmlformats.org/officeDocument/2006/relationships/hyperlink" Target="https://doi.org/10.1111/ans.12551" TargetMode="External" Id="rId977"/><Relationship Type="http://schemas.openxmlformats.org/officeDocument/2006/relationships/hyperlink" Target="https://pubmed.ncbi.nlm.nih.gov/24612438/" TargetMode="External" Id="rId978"/><Relationship Type="http://schemas.openxmlformats.org/officeDocument/2006/relationships/hyperlink" Target="https://doi.org/10.1016/j.cgh.2014.09.035" TargetMode="External" Id="rId979"/><Relationship Type="http://schemas.openxmlformats.org/officeDocument/2006/relationships/hyperlink" Target="https://www.scopus.com/pages/publications/84927695311?origin=resultslist" TargetMode="External" Id="rId980"/><Relationship Type="http://schemas.openxmlformats.org/officeDocument/2006/relationships/hyperlink" Target="https://doi.org/10.7869/tg.234" TargetMode="External" Id="rId981"/><Relationship Type="http://schemas.openxmlformats.org/officeDocument/2006/relationships/hyperlink" Target="https://pubmed.ncbi.nlm.nih.gov/26349180/" TargetMode="External" Id="rId982"/><Relationship Type="http://schemas.openxmlformats.org/officeDocument/2006/relationships/hyperlink" Target="https://doi.org/10.1007/s12098-014-1435-2" TargetMode="External" Id="rId983"/><Relationship Type="http://schemas.openxmlformats.org/officeDocument/2006/relationships/hyperlink" Target="https://pubmed.ncbi.nlm.nih.gov/24710711/" TargetMode="External" Id="rId984"/><Relationship Type="http://schemas.openxmlformats.org/officeDocument/2006/relationships/hyperlink" Target="https://doi.org/10.1016/j.surg.2012.11.015" TargetMode="External" Id="rId985"/><Relationship Type="http://schemas.openxmlformats.org/officeDocument/2006/relationships/hyperlink" Target="https://pubmed.ncbi.nlm.nih.gov/24656146/" TargetMode="External" Id="rId986"/><Relationship Type="http://schemas.openxmlformats.org/officeDocument/2006/relationships/hyperlink" Target="https://doi.org/10.3109/08880018.2013.831150" TargetMode="External" Id="rId987"/><Relationship Type="http://schemas.openxmlformats.org/officeDocument/2006/relationships/hyperlink" Target="https://pubmed.ncbi.nlm.nih.gov/24088174/" TargetMode="External" Id="rId988"/><Relationship Type="http://schemas.openxmlformats.org/officeDocument/2006/relationships/hyperlink" Target="https://doi.org/10.1016/j.jmig.2013.02.007" TargetMode="External" Id="rId989"/><Relationship Type="http://schemas.openxmlformats.org/officeDocument/2006/relationships/hyperlink" Target="https://pubmed.ncbi.nlm.nih.gov/24034535/" TargetMode="External" Id="rId990"/><Relationship Type="http://schemas.openxmlformats.org/officeDocument/2006/relationships/hyperlink" Target="https://doi.org/10.1016/j.ajem.2013.02.017" TargetMode="External" Id="rId991"/><Relationship Type="http://schemas.openxmlformats.org/officeDocument/2006/relationships/hyperlink" Target="https://pubmed.ncbi.nlm.nih.gov/23680329/" TargetMode="External" Id="rId992"/><Relationship Type="http://schemas.openxmlformats.org/officeDocument/2006/relationships/hyperlink" Target="https://doi.org/10.1002/ajh.23425" TargetMode="External" Id="rId993"/><Relationship Type="http://schemas.openxmlformats.org/officeDocument/2006/relationships/hyperlink" Target="https://pubmed.ncbi.nlm.nih.gov/23436284/" TargetMode="External" Id="rId994"/><Relationship Type="http://schemas.openxmlformats.org/officeDocument/2006/relationships/hyperlink" Target="https://doi.org/10.1016/j.jemermed.2012.11.063" TargetMode="External" Id="rId995"/><Relationship Type="http://schemas.openxmlformats.org/officeDocument/2006/relationships/hyperlink" Target="https://pubmed.ncbi.nlm.nih.gov/23433611/" TargetMode="External" Id="rId996"/><Relationship Type="http://schemas.openxmlformats.org/officeDocument/2006/relationships/hyperlink" Target="https://doi.org/10.1136/archdischild-2012-303481" TargetMode="External" Id="rId997"/><Relationship Type="http://schemas.openxmlformats.org/officeDocument/2006/relationships/hyperlink" Target="https://pubmed.ncbi.nlm.nih.gov/23418034/" TargetMode="External" Id="rId998"/><Relationship Type="http://schemas.openxmlformats.org/officeDocument/2006/relationships/hyperlink" Target="https://doi.org/10.1016/j.jemermed.2012.05.038" TargetMode="External" Id="rId999"/><Relationship Type="http://schemas.openxmlformats.org/officeDocument/2006/relationships/hyperlink" Target="https://pubmed.ncbi.nlm.nih.gov/23352860/" TargetMode="External" Id="rId1000"/><Relationship Type="http://schemas.openxmlformats.org/officeDocument/2006/relationships/hyperlink" Target="https://doi.org/10.1007/s12664-012-0188-y" TargetMode="External" Id="rId1001"/><Relationship Type="http://schemas.openxmlformats.org/officeDocument/2006/relationships/hyperlink" Target="https://pubmed.ncbi.nlm.nih.gov/22730032/" TargetMode="External" Id="rId1002"/><Relationship Type="http://schemas.openxmlformats.org/officeDocument/2006/relationships/hyperlink" Target="https://doi.org/10.1200/jco.2012.44.4877" TargetMode="External" Id="rId1003"/><Relationship Type="http://schemas.openxmlformats.org/officeDocument/2006/relationships/hyperlink" Target="https://www.scopus.com/pages/publications/84876560891?origin=resultslist" TargetMode="External" Id="rId1004"/><Relationship Type="http://schemas.openxmlformats.org/officeDocument/2006/relationships/hyperlink" Target="https://doi.org/10.1016/j.gie.2012.07.011" TargetMode="External" Id="rId1005"/><Relationship Type="http://schemas.openxmlformats.org/officeDocument/2006/relationships/hyperlink" Target="https://pubmed.ncbi.nlm.nih.gov/22968096/" TargetMode="External" Id="rId1006"/><Relationship Type="http://schemas.openxmlformats.org/officeDocument/2006/relationships/hyperlink" Target="https://doi.org/10.5334/jbr-btr.592" TargetMode="External" Id="rId1007"/><Relationship Type="http://schemas.openxmlformats.org/officeDocument/2006/relationships/hyperlink" Target="https://pubmed.ncbi.nlm.nih.gov/22880514/" TargetMode="External" Id="rId1008"/><Relationship Type="http://schemas.openxmlformats.org/officeDocument/2006/relationships/hyperlink" Target="https://pubmed.ncbi.nlm.nih.gov/22808638/" TargetMode="External" Id="rId1009"/><Relationship Type="http://schemas.openxmlformats.org/officeDocument/2006/relationships/hyperlink" Target="https://doi.org/10.1016/j.crohns.2011.12.012" TargetMode="External" Id="rId1010"/><Relationship Type="http://schemas.openxmlformats.org/officeDocument/2006/relationships/hyperlink" Target="https://pubmed.ncbi.nlm.nih.gov/22405183/" TargetMode="External" Id="rId1011"/><Relationship Type="http://schemas.openxmlformats.org/officeDocument/2006/relationships/hyperlink" Target="https://doi.org/10.1016/s0140-6736(11)61183-5" TargetMode="External" Id="rId1012"/><Relationship Type="http://schemas.openxmlformats.org/officeDocument/2006/relationships/hyperlink" Target="https://pubmed.ncbi.nlm.nih.gov/22035554/" TargetMode="External" Id="rId1013"/><Relationship Type="http://schemas.openxmlformats.org/officeDocument/2006/relationships/hyperlink" Target="https://pubmed.ncbi.nlm.nih.gov/21484700/" TargetMode="External" Id="rId1014"/><Relationship Type="http://schemas.openxmlformats.org/officeDocument/2006/relationships/hyperlink" Target="https://doi.org/10.1007/s00259-010-1714-8" TargetMode="External" Id="rId1015"/><Relationship Type="http://schemas.openxmlformats.org/officeDocument/2006/relationships/hyperlink" Target="https://pubmed.ncbi.nlm.nih.gov/21229243/" TargetMode="External" Id="rId1016"/><Relationship Type="http://schemas.openxmlformats.org/officeDocument/2006/relationships/hyperlink" Target="https://pubmed.ncbi.nlm.nih.gov/21352678/" TargetMode="External" Id="rId1017"/><Relationship Type="http://schemas.openxmlformats.org/officeDocument/2006/relationships/hyperlink" Target="https://doi.org/10.1016/j.jpeds.2010.04.046" TargetMode="External" Id="rId1018"/><Relationship Type="http://schemas.openxmlformats.org/officeDocument/2006/relationships/hyperlink" Target="https://pubmed.ncbi.nlm.nih.gov/20591443/" TargetMode="External" Id="rId1019"/><Relationship Type="http://schemas.openxmlformats.org/officeDocument/2006/relationships/hyperlink" Target="https://doi.org/10.1016/j.ajog.2010.02.013" TargetMode="External" Id="rId1020"/><Relationship Type="http://schemas.openxmlformats.org/officeDocument/2006/relationships/hyperlink" Target="https://pubmed.ncbi.nlm.nih.gov/20362957/" TargetMode="External" Id="rId1021"/><Relationship Type="http://schemas.openxmlformats.org/officeDocument/2006/relationships/hyperlink" Target="https://doi.org/10.1007/s00247-009-1376-5" TargetMode="External" Id="rId1022"/><Relationship Type="http://schemas.openxmlformats.org/officeDocument/2006/relationships/hyperlink" Target="https://pubmed.ncbi.nlm.nih.gov/19680643/" TargetMode="External" Id="rId1023"/><Relationship Type="http://schemas.openxmlformats.org/officeDocument/2006/relationships/hyperlink" Target="https://doi.org/10.1055/s-0029-1220708" TargetMode="External" Id="rId1024"/><Relationship Type="http://schemas.openxmlformats.org/officeDocument/2006/relationships/hyperlink" Target="https://pubmed.ncbi.nlm.nih.gov/19548195/" TargetMode="External" Id="rId1025"/><Relationship Type="http://schemas.openxmlformats.org/officeDocument/2006/relationships/hyperlink" Target="https://doi.org/10.14309/00000434-201010001-00777" TargetMode="External" Id="rId1026"/><Relationship Type="http://schemas.openxmlformats.org/officeDocument/2006/relationships/hyperlink" Target="https://doi.org/10.4318/tjg.2009.0018" TargetMode="External" Id="rId1027"/><Relationship Type="http://schemas.openxmlformats.org/officeDocument/2006/relationships/hyperlink" Target="https://pubmed.ncbi.nlm.nih.gov/19821213/" TargetMode="External" Id="rId1028"/><Relationship Type="http://schemas.openxmlformats.org/officeDocument/2006/relationships/hyperlink" Target="https://doi.org/10.1056/nejmicm0802024" TargetMode="External" Id="rId1029"/><Relationship Type="http://schemas.openxmlformats.org/officeDocument/2006/relationships/hyperlink" Target="https://pubmed.ncbi.nlm.nih.gov/19776410/" TargetMode="External" Id="rId1030"/><Relationship Type="http://schemas.openxmlformats.org/officeDocument/2006/relationships/hyperlink" Target="https://doi.org/10.1053/j.gastro.2009.02.010" TargetMode="External" Id="rId1031"/><Relationship Type="http://schemas.openxmlformats.org/officeDocument/2006/relationships/hyperlink" Target="https://pubmed.ncbi.nlm.nih.gov/19720280/" TargetMode="External" Id="rId1032"/><Relationship Type="http://schemas.openxmlformats.org/officeDocument/2006/relationships/hyperlink" Target="https://pubmed.ncbi.nlm.nih.gov/19263715/" TargetMode="External" Id="rId1033"/><Relationship Type="http://schemas.openxmlformats.org/officeDocument/2006/relationships/hyperlink" Target="https://doi.org/10.1016/j.cgh.2008.06.005" TargetMode="External" Id="rId1034"/><Relationship Type="http://schemas.openxmlformats.org/officeDocument/2006/relationships/hyperlink" Target="https://pubmed.ncbi.nlm.nih.gov/19081521/" TargetMode="External" Id="rId1035"/><Relationship Type="http://schemas.openxmlformats.org/officeDocument/2006/relationships/hyperlink" Target="https://pubmed.ncbi.nlm.nih.gov/18376777/" TargetMode="External" Id="rId1036"/><Relationship Type="http://schemas.openxmlformats.org/officeDocument/2006/relationships/hyperlink" Target="https://doi.org/10.1053/j.gastro.2007.04.055" TargetMode="External" Id="rId1037"/><Relationship Type="http://schemas.openxmlformats.org/officeDocument/2006/relationships/hyperlink" Target="https://pubmed.ncbi.nlm.nih.gov/17570203/" TargetMode="External" Id="rId1038"/><Relationship Type="http://schemas.openxmlformats.org/officeDocument/2006/relationships/hyperlink" Target="https://doi.org/10.1016/j.crad.2006.11.018" TargetMode="External" Id="rId1039"/><Relationship Type="http://schemas.openxmlformats.org/officeDocument/2006/relationships/hyperlink" Target="https://pubmed.ncbi.nlm.nih.gov/17398279/" TargetMode="External" Id="rId1040"/><Relationship Type="http://schemas.openxmlformats.org/officeDocument/2006/relationships/hyperlink" Target="https://doi.org/10.2214/ajr.05.0672" TargetMode="External" Id="rId1041"/><Relationship Type="http://schemas.openxmlformats.org/officeDocument/2006/relationships/hyperlink" Target="https://pubmed.ncbi.nlm.nih.gov/17376999/" TargetMode="External" Id="rId1042"/><Relationship Type="http://schemas.openxmlformats.org/officeDocument/2006/relationships/hyperlink" Target="https://doi.org/10.1016/j.ijgo.2006.09.036" TargetMode="External" Id="rId1043"/><Relationship Type="http://schemas.openxmlformats.org/officeDocument/2006/relationships/hyperlink" Target="https://pubmed.ncbi.nlm.nih.gov/17207485/" TargetMode="External" Id="rId1044"/><Relationship Type="http://schemas.openxmlformats.org/officeDocument/2006/relationships/hyperlink" Target="https://doi.org/10.2460/javma.229.4.501" TargetMode="External" Id="rId1045"/><Relationship Type="http://schemas.openxmlformats.org/officeDocument/2006/relationships/hyperlink" Target="https://pubmed.ncbi.nlm.nih.gov/16910845/" TargetMode="External" Id="rId1046"/><Relationship Type="http://schemas.openxmlformats.org/officeDocument/2006/relationships/hyperlink" Target="https://doi.org/10.1177/000313480607200622" TargetMode="External" Id="rId1047"/><Relationship Type="http://schemas.openxmlformats.org/officeDocument/2006/relationships/hyperlink" Target="https://pubmed.ncbi.nlm.nih.gov/16808215/" TargetMode="External" Id="rId1048"/><Relationship Type="http://schemas.openxmlformats.org/officeDocument/2006/relationships/hyperlink" Target="https://www.scopus.com/pages/publications/33746541174?origin=resultslist" TargetMode="External" Id="rId1049"/><Relationship Type="http://schemas.openxmlformats.org/officeDocument/2006/relationships/hyperlink" Target="https://pubmed.ncbi.nlm.nih.gov/16309003/" TargetMode="External" Id="rId1050"/><Relationship Type="http://schemas.openxmlformats.org/officeDocument/2006/relationships/hyperlink" Target="https://doi.org/10.1016/j.surg.2004.06.002" TargetMode="External" Id="rId1051"/><Relationship Type="http://schemas.openxmlformats.org/officeDocument/2006/relationships/hyperlink" Target="https://pubmed.ncbi.nlm.nih.gov/15674217/" TargetMode="External" Id="rId1052"/><Relationship Type="http://schemas.openxmlformats.org/officeDocument/2006/relationships/hyperlink" Target="https://doi.org/10.1016/j.amjsurg.2003.11.042" TargetMode="External" Id="rId1053"/><Relationship Type="http://schemas.openxmlformats.org/officeDocument/2006/relationships/hyperlink" Target="https://pubmed.ncbi.nlm.nih.gov/15219495/" TargetMode="External" Id="rId1054"/><Relationship Type="http://schemas.openxmlformats.org/officeDocument/2006/relationships/hyperlink" Target="https://doi.org/10.2214/ajr.182.6.1821607" TargetMode="External" Id="rId1055"/><Relationship Type="http://schemas.openxmlformats.org/officeDocument/2006/relationships/hyperlink" Target="https://pubmed.ncbi.nlm.nih.gov/15150027/" TargetMode="External" Id="rId1056"/><Relationship Type="http://schemas.openxmlformats.org/officeDocument/2006/relationships/hyperlink" Target="https://doi.org/10.1016/j.jpedsurg.2003.10.033" TargetMode="External" Id="rId1057"/><Relationship Type="http://schemas.openxmlformats.org/officeDocument/2006/relationships/hyperlink" Target="https://pubmed.ncbi.nlm.nih.gov/14966761/" TargetMode="External" Id="rId1058"/><Relationship Type="http://schemas.openxmlformats.org/officeDocument/2006/relationships/hyperlink" Target="https://doi.org/10.1007/s00431-003-1322-8" TargetMode="External" Id="rId1059"/><Relationship Type="http://schemas.openxmlformats.org/officeDocument/2006/relationships/hyperlink" Target="https://pubmed.ncbi.nlm.nih.gov/14963701/" TargetMode="External" Id="rId1060"/><Relationship Type="http://schemas.openxmlformats.org/officeDocument/2006/relationships/hyperlink" Target="https://doi.org/10.1097/01.ta.0000033501.57290.ad" TargetMode="External" Id="rId1061"/><Relationship Type="http://schemas.openxmlformats.org/officeDocument/2006/relationships/hyperlink" Target="https://pubmed.ncbi.nlm.nih.gov/14960990/" TargetMode="External" Id="rId1062"/><Relationship Type="http://schemas.openxmlformats.org/officeDocument/2006/relationships/hyperlink" Target="https://doi.org/10.1016/s1479-666x(03)80140-3" TargetMode="External" Id="rId1063"/><Relationship Type="http://schemas.openxmlformats.org/officeDocument/2006/relationships/hyperlink" Target="https://pubmed.ncbi.nlm.nih.gov/15573637/" TargetMode="External" Id="rId1064"/><Relationship Type="http://schemas.openxmlformats.org/officeDocument/2006/relationships/hyperlink" Target="https://www.scopus.com/pages/publications/21244442014?origin=resultslist" TargetMode="External" Id="rId1065"/><Relationship Type="http://schemas.openxmlformats.org/officeDocument/2006/relationships/hyperlink" Target="https://doi.org/10.1016/s1479-666x(03)80139-7" TargetMode="External" Id="rId1066"/><Relationship Type="http://schemas.openxmlformats.org/officeDocument/2006/relationships/hyperlink" Target="https://pubmed.ncbi.nlm.nih.gov/15573636/" TargetMode="External" Id="rId1067"/><Relationship Type="http://schemas.openxmlformats.org/officeDocument/2006/relationships/hyperlink" Target="https://www.scopus.com/pages/publications/21244439591?origin=resultslist" TargetMode="External" Id="rId1068"/><Relationship Type="http://schemas.openxmlformats.org/officeDocument/2006/relationships/hyperlink" Target="https://pubmed.ncbi.nlm.nih.gov/14710296/" TargetMode="External" Id="rId1069"/><Relationship Type="http://schemas.openxmlformats.org/officeDocument/2006/relationships/hyperlink" Target="https://doi.org/10.1016/j.jamcollsurg.2003.05.002" TargetMode="External" Id="rId1070"/><Relationship Type="http://schemas.openxmlformats.org/officeDocument/2006/relationships/hyperlink" Target="https://pubmed.ncbi.nlm.nih.gov/14644294/" TargetMode="External" Id="rId1071"/><Relationship Type="http://schemas.openxmlformats.org/officeDocument/2006/relationships/hyperlink" Target="https://pubmed.ncbi.nlm.nih.gov/12962451/" TargetMode="External" Id="rId1072"/><Relationship Type="http://schemas.openxmlformats.org/officeDocument/2006/relationships/hyperlink" Target="https://doi.org/10.1148/rg.232025110" TargetMode="External" Id="rId1073"/><Relationship Type="http://schemas.openxmlformats.org/officeDocument/2006/relationships/hyperlink" Target="https://pubmed.ncbi.nlm.nih.gov/12640148/" TargetMode="External" Id="rId1074"/><Relationship Type="http://schemas.openxmlformats.org/officeDocument/2006/relationships/hyperlink" Target="https://doi.org/10.1034/j.1600-0455.2003.00001.x" TargetMode="External" Id="rId1075"/><Relationship Type="http://schemas.openxmlformats.org/officeDocument/2006/relationships/hyperlink" Target="https://pubmed.ncbi.nlm.nih.gov/12631009/" TargetMode="External" Id="rId1076"/><Relationship Type="http://schemas.openxmlformats.org/officeDocument/2006/relationships/hyperlink" Target="https://doi.org/10.1016/1096-2867(03)90021-1" TargetMode="External" Id="rId1077"/><Relationship Type="http://schemas.openxmlformats.org/officeDocument/2006/relationships/hyperlink" Target="https://doi.org/10.5144/0256-4947.2002.412" TargetMode="External" Id="rId1078"/><Relationship Type="http://schemas.openxmlformats.org/officeDocument/2006/relationships/hyperlink" Target="https://pubmed.ncbi.nlm.nih.gov/17146281/" TargetMode="External" Id="rId1079"/><Relationship Type="http://schemas.openxmlformats.org/officeDocument/2006/relationships/hyperlink" Target="https://doi.org/10.2460/javma.2002.220.973" TargetMode="External" Id="rId1080"/><Relationship Type="http://schemas.openxmlformats.org/officeDocument/2006/relationships/hyperlink" Target="https://pubmed.ncbi.nlm.nih.gov/12420770/" TargetMode="External" Id="rId1081"/><Relationship Type="http://schemas.openxmlformats.org/officeDocument/2006/relationships/hyperlink" Target="https://doi.org/10.1067/msy.2002.119494" TargetMode="External" Id="rId1082"/><Relationship Type="http://schemas.openxmlformats.org/officeDocument/2006/relationships/hyperlink" Target="https://pubmed.ncbi.nlm.nih.gov/12324776/" TargetMode="External" Id="rId1083"/><Relationship Type="http://schemas.openxmlformats.org/officeDocument/2006/relationships/hyperlink" Target="https://pubmed.ncbi.nlm.nih.gov/12183881/" TargetMode="External" Id="rId1084"/><Relationship Type="http://schemas.openxmlformats.org/officeDocument/2006/relationships/hyperlink" Target="https://doi.org/10.1016/s0002-9270(02)04924-9" TargetMode="External" Id="rId1085"/><Relationship Type="http://schemas.openxmlformats.org/officeDocument/2006/relationships/hyperlink" Target="https://doi.org/10.1034/j.1600-0412.2001.801215.x" TargetMode="External" Id="rId1086"/><Relationship Type="http://schemas.openxmlformats.org/officeDocument/2006/relationships/hyperlink" Target="https://pubmed.ncbi.nlm.nih.gov/11846716/" TargetMode="External" Id="rId1087"/><Relationship Type="http://schemas.openxmlformats.org/officeDocument/2006/relationships/hyperlink" Target="https://doi.org/10.1007/s005350170051" TargetMode="External" Id="rId1088"/><Relationship Type="http://schemas.openxmlformats.org/officeDocument/2006/relationships/hyperlink" Target="https://pubmed.ncbi.nlm.nih.gov/11578071/" TargetMode="External" Id="rId1089"/><Relationship Type="http://schemas.openxmlformats.org/officeDocument/2006/relationships/hyperlink" Target="https://doi.org/10.1016/s0022-3468(01)70004-8" TargetMode="External" Id="rId1090"/><Relationship Type="http://schemas.openxmlformats.org/officeDocument/2006/relationships/hyperlink" Target="https://pubmed.ncbi.nlm.nih.gov/11528630/" TargetMode="External" Id="rId1091"/><Relationship Type="http://schemas.openxmlformats.org/officeDocument/2006/relationships/hyperlink" Target="https://pubmed.ncbi.nlm.nih.gov/11519393/" TargetMode="External" Id="rId1092"/><Relationship Type="http://schemas.openxmlformats.org/officeDocument/2006/relationships/hyperlink" Target="https://doi.org/10.1002/1097-0096(200101)29:1&lt;60::aid-jcu11&gt;3.0.co;2-o" TargetMode="External" Id="rId1093"/><Relationship Type="http://schemas.openxmlformats.org/officeDocument/2006/relationships/hyperlink" Target="https://pubmed.ncbi.nlm.nih.gov/11180188/" TargetMode="External" Id="rId1094"/><Relationship Type="http://schemas.openxmlformats.org/officeDocument/2006/relationships/hyperlink" Target="https://doi.org/10.1046/j.1440-1622.2000.02008.x" TargetMode="External" Id="rId1095"/><Relationship Type="http://schemas.openxmlformats.org/officeDocument/2006/relationships/hyperlink" Target="https://pubmed.ncbi.nlm.nih.gov/11167584/" TargetMode="External" Id="rId1096"/><Relationship Type="http://schemas.openxmlformats.org/officeDocument/2006/relationships/hyperlink" Target="https://doi.org/10.1067/msy.2000.104121" TargetMode="External" Id="rId1097"/><Relationship Type="http://schemas.openxmlformats.org/officeDocument/2006/relationships/hyperlink" Target="https://pubmed.ncbi.nlm.nih.gov/10965321/" TargetMode="External" Id="rId1098"/><Relationship Type="http://schemas.openxmlformats.org/officeDocument/2006/relationships/hyperlink" Target="https://doi.org/10.1016/s0022-5347(05)67592-1" TargetMode="External" Id="rId1099"/><Relationship Type="http://schemas.openxmlformats.org/officeDocument/2006/relationships/hyperlink" Target="https://pubmed.ncbi.nlm.nih.gov/10799223/" TargetMode="External" Id="rId1100"/><Relationship Type="http://schemas.openxmlformats.org/officeDocument/2006/relationships/hyperlink" Target="https://www.scopus.com/pages/publications/0034044438?origin=resultslist" TargetMode="External" Id="rId1101"/><Relationship Type="http://schemas.openxmlformats.org/officeDocument/2006/relationships/hyperlink" Target="https://d.wanfangdata.com.cn/conference/CiFDb25mZXJlbmNlTmV3U29scjlTMjAyNjA5MTUwOTMyMzESCDExMjMxMTg0GghpYjFiMnVoeg%3D%3D" TargetMode="External" Id="rId1102"/><Relationship Type="http://schemas.openxmlformats.org/officeDocument/2006/relationships/hyperlink" Target="https://www.scopus.com/pages/publications/84864953645?origin=resultslist" TargetMode="External" Id="rId1103"/><Relationship Type="http://schemas.openxmlformats.org/officeDocument/2006/relationships/hyperlink" Target="https://d.wanfangdata.com.cn/periodical/CiBQZXJpb2RpY2FsQ0hJU29scjkyMDI2MDkxNTE0MjIxORIQemd3enh6ejIwMDcyMDI0ORoIaWIxYjJ1aHo%3D" TargetMode="External" Id="rId1104"/><Relationship Type="http://schemas.openxmlformats.org/officeDocument/2006/relationships/hyperlink" Target="https://kns.cnki.net/kcms2/article/abstract?v=DgjXjbKQq8dN7r2rtyXrdHxuvSHn5adlmw2TyGaU5pGSz4khGC33oE1C-N6DXBWNtD53uNlPWY8L4qA7b7-nIxuElMBZaMjFXQeIEMPBk3dxXZpWu2ASbHEFYlc8JsMqigAd1Pc2TJrQP_pLPZwFRIuaqThndylxBUjqd21az79161kXa8IXLQ==&amp;uniplatform=NZKPT&amp;language=CHS" TargetMode="External" Id="rId1105"/><Relationship Type="http://schemas.openxmlformats.org/officeDocument/2006/relationships/hyperlink" Target="https://kns.cnki.net/kcms2/article/abstract?v=DgjXjbKQq8dIBhBQvR4-SGLs0IHSscpaP_y9zmZUECfH-40xDJ5oFQ_75aZTiZGEDSWQZBciAXIXrJQZRAvtPrw2RaLQQ8FG7z7dUbHNd31ngW2wDtQglfC-0N2SWMZ62xTq3KNlkHTQKxVWGU44LeZccQBBtLqe__CTJ2tUviatStY5rwc5FA==&amp;uniplatform=NZKPT&amp;language=CHS" TargetMode="External" Id="rId1106"/><Relationship Type="http://schemas.openxmlformats.org/officeDocument/2006/relationships/hyperlink" Target="https://kns.cnki.net/kcms2/article/abstract?v=DgjXjbKQq8cNJGMNIz74gbOuPzVAwG01kALTCXe_Ooj0CKsTsZd-CyzOynN0ex2paA3aK35UOQYuZO4QRbrFTY4w4EakUVk3GqvHuaf-dJtp_c7BTj0F3moB8iGz2cPXvAX5SxGkV5TpOekFtFYskfr_pnTJsre-qwen4qlsQ7bJa-hXxts-2g==&amp;uniplatform=NZKPT&amp;language=CHS" TargetMode="External" Id="rId1107"/><Relationship Type="http://schemas.openxmlformats.org/officeDocument/2006/relationships/hyperlink" Target="https://d.wanfangdata.com.cn/periodical/CiBQZXJpb2RpY2FsQ0hJU29scjkyMDI2MDkxNTE0MjIxORIOUUsyMDAzMDIyNjg0NTIaCGliMWIydWh6" TargetMode="External" Id="rId1108"/><Relationship Type="http://schemas.openxmlformats.org/officeDocument/2006/relationships/hyperlink" Target="https://d.wanfangdata.com.cn/periodical/CiBQZXJpb2RpY2FsQ0hJU29scjkyMDI2MDkxNTE0MjIxORIReXlmc2pzenoyMDAyMDkxNDgaCGliMWIydWh6" TargetMode="External" Id="rId1109"/><Relationship Type="http://schemas.openxmlformats.org/officeDocument/2006/relationships/hyperlink" Target="https://d.wanfangdata.com.cn/periodical/CiBQZXJpb2RpY2FsQ0hJU29scjkyMDI2MDkxNTE0MjIxORIOUUsyMDAyMDE5ODczNjgaCGliMWIydWh6" TargetMode="External" Id="rId1110"/><Relationship Type="http://schemas.openxmlformats.org/officeDocument/2006/relationships/hyperlink" Target="https://doi.org/10.13437/j.cnki.jcr.2001.12.001" TargetMode="External" Id="rId1111"/><Relationship Type="http://schemas.openxmlformats.org/officeDocument/2006/relationships/hyperlink" Target="https://link.cnki.net/doi/10.13437/j.cnki.jcr.2001.12.001" TargetMode="External" Id="rId1112"/><Relationship Type="http://schemas.openxmlformats.org/officeDocument/2006/relationships/hyperlink" Target="https://doi.org/10.16021/j.cnki.1007-8622.2001.01.027" TargetMode="External" Id="rId1113"/><Relationship Type="http://schemas.openxmlformats.org/officeDocument/2006/relationships/hyperlink" Target="https://link.cnki.net/doi/10.16021/j.cnki.1007-8622.2001.01.027" TargetMode="External" Id="rId1114"/><Relationship Type="http://schemas.openxmlformats.org/officeDocument/2006/relationships/hyperlink" Target="https://d.wanfangdata.com.cn/periodical/CiBQZXJpb2RpY2FsQ0hJU29scjkyMDI2MDkxNTE0MjIxORIOUUsyMDAxMDE3MDQzNTgaCGliMWIydWh6" TargetMode="External" Id="rId1115"/><Relationship Type="http://schemas.openxmlformats.org/officeDocument/2006/relationships/hyperlink" Target="https://kns.cnki.net/kcms2/article/abstract?v=DgjXjbKQq8dBVd67S-mLuPZjIwo-MaEJ-yl2mwXINg4TBE8tcU0lwW-namXeTHe3wzbe-cgpxATAcQiR8o4Y1iZlA2MPrcMhw7GmLcWPIWzv0-NlRnkBkE2fN9C1lhtY4ZwXuaehRGJ99s6XchgJp_5p1Xvg493bmYMRbOLVeHAt3T4XPLT4-g==&amp;uniplatform=NZKPT&amp;language=CHS" TargetMode="External" Id="rId1116"/><Relationship Type="http://schemas.openxmlformats.org/officeDocument/2006/relationships/hyperlink" Target="https://doi.org/10.13437/j.cnki.jcr.2000.04.015" TargetMode="External" Id="rId1117"/><Relationship Type="http://schemas.openxmlformats.org/officeDocument/2006/relationships/hyperlink" Target="https://link.cnki.net/doi/10.13437/j.cnki.jcr.2000.04.015" TargetMode="External" Id="rId1118"/><Relationship Type="http://schemas.openxmlformats.org/officeDocument/2006/relationships/hyperlink" Target="https://doi.org/10.3760/j:issn:0376-2491.2000.01.031" TargetMode="External" Id="rId1119"/><Relationship Type="http://schemas.openxmlformats.org/officeDocument/2006/relationships/hyperlink" Target="https://kns.cnki.net/kcms2/article/abstract?v=DgjXjbKQq8cSb153YaSD8X1o0A_09cq453dyRB3LTVVNz9kuRLUNBJyPIk3MS_8uMH1OU4BCieZt5CqunDnAn3EHmiAYriGwiAxusrbYizXZF-WY2U7qwm1UtXwMihu-Eia2Pkkp1nqQI--mLowfEkwiK4ODA592P_KmB0ZKXbzc7p12WMwULg==&amp;uniplatform=NZKPT&amp;language=CHS" TargetMode="External" Id="rId1120"/><Relationship Type="http://schemas.openxmlformats.org/officeDocument/2006/relationships/hyperlink" Target="https://d.wanfangdata.com.cn/periodical/CiBQZXJpb2RpY2FsQ0hJU29scjkyMDI2MDkxNTE0MjIxORINemh5eDIwMDAwMTAzMRoIaWIxYjJ1aHo%3D" TargetMode="External" Id="rId1121"/><Relationship Type="http://schemas.openxmlformats.org/officeDocument/2006/relationships/hyperlink" Target="https://d.wanfangdata.com.cn/periodical/CiBQZXJpb2RpY2FsQ0hJU29scjkyMDI2MDkxNTE0MjIxORIOUUsyMDAwMDE1MTI3MjUaCGliMWIydWh6" TargetMode="External" Id="rId1122"/><Relationship Type="http://schemas.openxmlformats.org/officeDocument/2006/relationships/hyperlink" Target="https://www.scopus.com/pages/publications/84919959038?origin=resultslist" TargetMode="External" Id="rId1123"/><Relationship Type="http://schemas.openxmlformats.org/officeDocument/2006/relationships/hyperlink" Target="https://www.scopus.com/pages/publications/84455193960?origin=resultslist" TargetMode="External" Id="rId1124"/><Relationship Type="http://schemas.openxmlformats.org/officeDocument/2006/relationships/hyperlink" Target="https://www.scopus.com/pages/publications/77955627941?origin=resultslist" TargetMode="External" Id="rId1125"/><Relationship Type="http://schemas.openxmlformats.org/officeDocument/2006/relationships/hyperlink" Target="https://www.scopus.com/pages/publications/77953369017?origin=resultslist" TargetMode="External" Id="rId1126"/><Relationship Type="http://schemas.openxmlformats.org/officeDocument/2006/relationships/hyperlink" Target="https://www.scopus.com/pages/publications/77953376698?origin=resultslist" TargetMode="External" Id="rId1127"/><Relationship Type="http://schemas.openxmlformats.org/officeDocument/2006/relationships/hyperlink" Target="https://www.scopus.com/pages/publications/33947671450?origin=resultslist" TargetMode="External" Id="rId1128"/><Relationship Type="http://schemas.openxmlformats.org/officeDocument/2006/relationships/hyperlink" Target="https://www.scopus.com/pages/publications/0036767894?origin=resultslist" TargetMode="External" Id="rId1129"/><Relationship Type="http://schemas.openxmlformats.org/officeDocument/2006/relationships/hyperlink" Target="https://www.scopus.com/pages/publications/0036706157?origin=resultslist" TargetMode="External" Id="rId1130"/><Relationship Type="http://schemas.openxmlformats.org/officeDocument/2006/relationships/hyperlink" Target="https://www.scopus.com/pages/publications/0034483159?origin=resultslist" TargetMode="External" Id="rId11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全文取回清单 / Full-text retrieval worklist (draft, generated 2026-10-18)</t>
        </is>
      </c>
    </row>
    <row r="2">
      <c r="A2" s="2" t="inlineStr"/>
    </row>
    <row r="3">
      <c r="A3" s="2" t="inlineStr">
        <is>
          <t>内容：540 篇待取全文的报告（retrieval class = retrieve）。不含 Y（2000 年以前，不取）和 L（其他语言，不取）。</t>
        </is>
      </c>
    </row>
    <row r="4">
      <c r="A4" s="2" t="inlineStr">
        <is>
          <t>顺序：第 1–362 行是数据库记录里有摘要的（与 18 日第一版的 362 篇清单行序相同）；第 363–540 行是数据库记录里没有摘要的 178 篇，同样按路径分组、年份从新到旧排列。最后一列 'Abstract in database record' 标明 yes/no。</t>
        </is>
      </c>
    </row>
    <row r="5">
      <c r="A5" s="2" t="inlineStr">
        <is>
          <t>这份清单只用于取全文，不含任何筛选判断，也不含来源列或分层标记。取回 PDF 不产生任何决定。</t>
        </is>
      </c>
    </row>
    <row r="6">
      <c r="A6" s="2" t="inlineStr"/>
    </row>
    <row r="7">
      <c r="A7" s="2" t="inlineStr">
        <is>
          <t>怎么用（Claude 的建议，尚未经三人确认）：</t>
        </is>
      </c>
    </row>
    <row r="8">
      <c r="A8" s="2" t="inlineStr">
        <is>
          <t>1. PDF 按 WS 编号命名（列 'Save PDF as'），保存在自己的电脑或网盘，不放进仓库。</t>
        </is>
      </c>
    </row>
    <row r="9">
      <c r="A9" s="2" t="inlineStr">
        <is>
          <t>2. 取全文途径按全文筛选指南 4.2 的顺序：出版社或开放获取 / PMC → 单位图书馆订阅 → 图书馆文献传递 → CNKI、万方（中文）→ 联系通讯作者。只用合法途径。</t>
        </is>
      </c>
    </row>
    <row r="10">
      <c r="A10" s="2" t="inlineStr">
        <is>
          <t>3. 每篇在黄色列记：谁取的、日期、是否取到、最终途径。没取到：写 'Routes tried'，试过什么、什么时候试的。</t>
        </is>
      </c>
    </row>
    <row r="11">
      <c r="A11" s="2" t="inlineStr">
        <is>
          <t>4. 第一次没取到的，由另一位筛选员再试一遍（第二次尝试列）。只有两人都试过所有途径、都没取到，才在 FT_log 里记 D。</t>
        </is>
      </c>
    </row>
    <row r="12">
      <c r="A12" s="2" t="inlineStr">
        <is>
          <t>5. 20 篇校准报告（列 'Calibration report' = Y）：两位筛选员各自独立取，不共用这里的记录，也不互相交换 PDF 之外的任何信息。</t>
        </is>
      </c>
    </row>
    <row r="13">
      <c r="A13" s="2" t="inlineStr">
        <is>
          <t>6. 'Route group' 只是查找的先后提示：1 = PubMed 的 ID 转换工具显示在 PMC 有记录（2026-10-18 查询；链接要点开确认是同一篇，可能有延迟开放或只是作者稿）；2 = 英文，有 DOI 或 PubMed 链接；3 = 中文；4 = 英文且无 DOI、无 PubMed 链接。</t>
        </is>
      </c>
    </row>
    <row r="14">
      <c r="A14" s="2" t="inlineStr">
        <is>
          <t>7. 链接来自数据库记录，没有逐条点开核实；个别链接可能失效或指向摘要页。</t>
        </is>
      </c>
    </row>
    <row r="15">
      <c r="A15" s="2" t="inlineStr">
        <is>
          <t>8. Summary 表里的计数是公式；本文件从未在 Excel 或 WPS 中打开过，下拉列表和公式显示如有问题请告诉舒俊。</t>
        </is>
      </c>
    </row>
    <row r="16">
      <c r="A16" s="2" t="inlineStr"/>
    </row>
    <row r="17">
      <c r="A17" s="2" t="inlineStr">
        <is>
          <t>分组计数（生成时）：1 PMC record exists: 108；2 English, DOI or PubMed link: 298；3 Chinese: 101；4 English, no DOI and no PubMed link: 33</t>
        </is>
      </c>
    </row>
    <row r="18">
      <c r="A18" s="2" t="inlineStr">
        <is>
          <t>其中校准报告 20 篇。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7" customWidth="1" min="3" max="3"/>
    <col width="10" customWidth="1" min="4" max="4"/>
    <col width="7" customWidth="1" min="5" max="5"/>
    <col width="16" customWidth="1" min="6" max="6"/>
    <col width="28" customWidth="1" min="7" max="7"/>
    <col width="16" customWidth="1" min="8" max="8"/>
    <col width="60" customWidth="1" min="9" max="9"/>
    <col width="28" customWidth="1" min="10" max="10"/>
    <col width="14" customWidth="1" min="11" max="11"/>
    <col width="14" customWidth="1" min="12" max="12"/>
    <col width="13" customWidth="1" min="13" max="13"/>
    <col width="14" customWidth="1" min="14" max="14"/>
    <col width="12" customWidth="1" min="15" max="15"/>
    <col width="12" customWidth="1" min="16" max="16"/>
    <col width="12" customWidth="1" min="17" max="17"/>
    <col width="24" customWidth="1" min="18" max="18"/>
    <col width="12" customWidth="1" min="19" max="19"/>
    <col width="13" customWidth="1" min="20" max="20"/>
    <col width="12" customWidth="1" min="21" max="21"/>
    <col width="14" customWidth="1" min="22" max="22"/>
    <col width="12" customWidth="1" min="23" max="23"/>
    <col width="26" customWidth="1" min="24" max="24"/>
    <col width="34" customWidth="1" min="25" max="25"/>
    <col width="12" customWidth="1" min="26" max="26"/>
    <col width="14" customWidth="1" min="27" max="27"/>
    <col width="12" customWidth="1" min="28" max="28"/>
    <col width="34" customWidth="1" min="29" max="29"/>
    <col width="30" customWidth="1" min="30" max="30"/>
    <col width="14" customWidth="1" min="31" max="31"/>
  </cols>
  <sheetData>
    <row r="1">
      <c r="A1" s="3" t="inlineStr">
        <is>
          <t>No.</t>
        </is>
      </c>
      <c r="B1" s="3" t="inlineStr">
        <is>
          <t>WS id</t>
        </is>
      </c>
      <c r="C1" s="3" t="inlineStr">
        <is>
          <t>Year</t>
        </is>
      </c>
      <c r="D1" s="3" t="inlineStr">
        <is>
          <t>Language</t>
        </is>
      </c>
      <c r="E1" s="3" t="inlineStr">
        <is>
          <t>Type</t>
        </is>
      </c>
      <c r="F1" s="3" t="inlineStr">
        <is>
          <t>First author</t>
        </is>
      </c>
      <c r="G1" s="3" t="inlineStr">
        <is>
          <t>Journal</t>
        </is>
      </c>
      <c r="H1" s="3" t="inlineStr">
        <is>
          <t>Vol(issue):pages</t>
        </is>
      </c>
      <c r="I1" s="3" t="inlineStr">
        <is>
          <t>Title</t>
        </is>
      </c>
      <c r="J1" s="3" t="inlineStr">
        <is>
          <t>DOI</t>
        </is>
      </c>
      <c r="K1" s="3" t="inlineStr">
        <is>
          <t>DOI link</t>
        </is>
      </c>
      <c r="L1" s="3" t="inlineStr">
        <is>
          <t>PubMed link</t>
        </is>
      </c>
      <c r="M1" s="3" t="inlineStr">
        <is>
          <t>PMC id</t>
        </is>
      </c>
      <c r="N1" s="3" t="inlineStr">
        <is>
          <t>PMC link</t>
        </is>
      </c>
      <c r="O1" s="3" t="inlineStr">
        <is>
          <t>CNKI link</t>
        </is>
      </c>
      <c r="P1" s="3" t="inlineStr">
        <is>
          <t>Wanfang link</t>
        </is>
      </c>
      <c r="Q1" s="3" t="inlineStr">
        <is>
          <t>Scopus link</t>
        </is>
      </c>
      <c r="R1" s="3" t="inlineStr">
        <is>
          <t>Route group</t>
        </is>
      </c>
      <c r="S1" s="3" t="inlineStr">
        <is>
          <t>Calibration report</t>
        </is>
      </c>
      <c r="T1" s="3" t="inlineStr">
        <is>
          <t>Save PDF as</t>
        </is>
      </c>
      <c r="U1" s="4" t="inlineStr">
        <is>
          <t>Retrieved by</t>
        </is>
      </c>
      <c r="V1" s="4" t="inlineStr">
        <is>
          <t>Date (yyyy-mm-dd)</t>
        </is>
      </c>
      <c r="W1" s="4" t="inlineStr">
        <is>
          <t>Full text obtained</t>
        </is>
      </c>
      <c r="X1" s="4" t="inlineStr">
        <is>
          <t>Route</t>
        </is>
      </c>
      <c r="Y1" s="4" t="inlineStr">
        <is>
          <t>Routes tried (if not obtained)</t>
        </is>
      </c>
      <c r="Z1" s="4" t="inlineStr">
        <is>
          <t>Second try by</t>
        </is>
      </c>
      <c r="AA1" s="4" t="inlineStr">
        <is>
          <t>Second try date</t>
        </is>
      </c>
      <c r="AB1" s="4" t="inlineStr">
        <is>
          <t>Second try obtained</t>
        </is>
      </c>
      <c r="AC1" s="4" t="inlineStr">
        <is>
          <t>Second try: routes tried</t>
        </is>
      </c>
      <c r="AD1" s="4" t="inlineStr">
        <is>
          <t>Note</t>
        </is>
      </c>
      <c r="AE1" s="3" t="inlineStr">
        <is>
          <t>Abstract in database record</t>
        </is>
      </c>
    </row>
    <row r="2">
      <c r="A2" s="5" t="n">
        <v>1</v>
      </c>
      <c r="B2" s="5" t="inlineStr">
        <is>
          <t>WS0002</t>
        </is>
      </c>
      <c r="C2" s="5" t="inlineStr">
        <is>
          <t>2026</t>
        </is>
      </c>
      <c r="D2" s="5" t="inlineStr">
        <is>
          <t>English</t>
        </is>
      </c>
      <c r="E2" s="5" t="inlineStr">
        <is>
          <t>JOUR</t>
        </is>
      </c>
      <c r="F2" s="5" t="inlineStr">
        <is>
          <t>Daher</t>
        </is>
      </c>
      <c r="G2" s="5" t="inlineStr">
        <is>
          <t>International journal of surgery case reports</t>
        </is>
      </c>
      <c r="H2" s="5" t="inlineStr">
        <is>
          <t>138(9):3345-3348</t>
        </is>
      </c>
      <c r="I2" s="6" t="inlineStr">
        <is>
          <t>The diagnostic challenge of wandering spleen with torsion: a rare cause of acute abdomen in children - a case report.</t>
        </is>
      </c>
      <c r="J2" s="5" t="inlineStr">
        <is>
          <t>10.1097/rc9.0000000000000696</t>
        </is>
      </c>
      <c r="K2" s="7" t="inlineStr">
        <is>
          <t>link</t>
        </is>
      </c>
      <c r="L2" s="7" t="inlineStr">
        <is>
          <t>link</t>
        </is>
      </c>
      <c r="M2" s="5" t="inlineStr">
        <is>
          <t>PMC13544840</t>
        </is>
      </c>
      <c r="N2" s="7" t="inlineStr">
        <is>
          <t>link</t>
        </is>
      </c>
      <c r="O2" s="5" t="inlineStr"/>
      <c r="P2" s="5" t="inlineStr"/>
      <c r="Q2" s="5" t="inlineStr"/>
      <c r="R2" s="5" t="inlineStr">
        <is>
          <t>1 PMC record exists</t>
        </is>
      </c>
      <c r="S2" s="5" t="inlineStr"/>
      <c r="T2" s="5" t="inlineStr">
        <is>
          <t>WS0002.pdf</t>
        </is>
      </c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inlineStr">
        <is>
          <t>yes</t>
        </is>
      </c>
    </row>
    <row r="3">
      <c r="A3" s="5" t="n">
        <v>2</v>
      </c>
      <c r="B3" s="5" t="inlineStr">
        <is>
          <t>WS0008</t>
        </is>
      </c>
      <c r="C3" s="5" t="inlineStr">
        <is>
          <t>2026</t>
        </is>
      </c>
      <c r="D3" s="5" t="inlineStr">
        <is>
          <t>English</t>
        </is>
      </c>
      <c r="E3" s="5" t="inlineStr">
        <is>
          <t>JOUR</t>
        </is>
      </c>
      <c r="F3" s="5" t="inlineStr">
        <is>
          <t>Bani Abdel-Rahman</t>
        </is>
      </c>
      <c r="G3" s="5" t="inlineStr">
        <is>
          <t>Cureus</t>
        </is>
      </c>
      <c r="H3" s="5" t="inlineStr">
        <is>
          <t>18(6):e111195</t>
        </is>
      </c>
      <c r="I3" s="6" t="inlineStr">
        <is>
          <t>Splenic Torsion in a 16-Year-Old Female With a Wandering Spleen: A Case Report.</t>
        </is>
      </c>
      <c r="J3" s="5" t="inlineStr">
        <is>
          <t>10.7759/cureus.111195</t>
        </is>
      </c>
      <c r="K3" s="7" t="inlineStr">
        <is>
          <t>link</t>
        </is>
      </c>
      <c r="L3" s="7" t="inlineStr">
        <is>
          <t>link</t>
        </is>
      </c>
      <c r="M3" s="5" t="inlineStr">
        <is>
          <t>PMC13384039</t>
        </is>
      </c>
      <c r="N3" s="7" t="inlineStr">
        <is>
          <t>link</t>
        </is>
      </c>
      <c r="O3" s="5" t="inlineStr"/>
      <c r="P3" s="5" t="inlineStr"/>
      <c r="Q3" s="5" t="inlineStr"/>
      <c r="R3" s="5" t="inlineStr">
        <is>
          <t>1 PMC record exists</t>
        </is>
      </c>
      <c r="S3" s="5" t="inlineStr"/>
      <c r="T3" s="5" t="inlineStr">
        <is>
          <t>WS0008.pdf</t>
        </is>
      </c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inlineStr">
        <is>
          <t>yes</t>
        </is>
      </c>
    </row>
    <row r="4">
      <c r="A4" s="5" t="n">
        <v>3</v>
      </c>
      <c r="B4" s="5" t="inlineStr">
        <is>
          <t>WS0009</t>
        </is>
      </c>
      <c r="C4" s="5" t="inlineStr">
        <is>
          <t>2026</t>
        </is>
      </c>
      <c r="D4" s="5" t="inlineStr">
        <is>
          <t>English</t>
        </is>
      </c>
      <c r="E4" s="5" t="inlineStr">
        <is>
          <t>JOUR</t>
        </is>
      </c>
      <c r="F4" s="5" t="inlineStr">
        <is>
          <t>Altaif</t>
        </is>
      </c>
      <c r="G4" s="5" t="inlineStr">
        <is>
          <t>Cureus</t>
        </is>
      </c>
      <c r="H4" s="5" t="inlineStr">
        <is>
          <t>18(6):e110126</t>
        </is>
      </c>
      <c r="I4" s="6" t="inlineStr">
        <is>
          <t>Intermittent Torsion of a Wandering Spleen: A Case of Recurrent Acute Abdominal Pain.</t>
        </is>
      </c>
      <c r="J4" s="5" t="inlineStr">
        <is>
          <t>10.7759/cureus.110126</t>
        </is>
      </c>
      <c r="K4" s="7" t="inlineStr">
        <is>
          <t>link</t>
        </is>
      </c>
      <c r="L4" s="7" t="inlineStr">
        <is>
          <t>link</t>
        </is>
      </c>
      <c r="M4" s="5" t="inlineStr">
        <is>
          <t>PMC13326857</t>
        </is>
      </c>
      <c r="N4" s="7" t="inlineStr">
        <is>
          <t>link</t>
        </is>
      </c>
      <c r="O4" s="5" t="inlineStr"/>
      <c r="P4" s="5" t="inlineStr"/>
      <c r="Q4" s="5" t="inlineStr"/>
      <c r="R4" s="5" t="inlineStr">
        <is>
          <t>1 PMC record exists</t>
        </is>
      </c>
      <c r="S4" s="5" t="inlineStr"/>
      <c r="T4" s="5" t="inlineStr">
        <is>
          <t>WS0009.pdf</t>
        </is>
      </c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inlineStr">
        <is>
          <t>yes</t>
        </is>
      </c>
    </row>
    <row r="5">
      <c r="A5" s="5" t="n">
        <v>4</v>
      </c>
      <c r="B5" s="5" t="inlineStr">
        <is>
          <t>WS0018</t>
        </is>
      </c>
      <c r="C5" s="5" t="inlineStr">
        <is>
          <t>2026</t>
        </is>
      </c>
      <c r="D5" s="5" t="inlineStr">
        <is>
          <t>English</t>
        </is>
      </c>
      <c r="E5" s="5" t="inlineStr">
        <is>
          <t>JOUR</t>
        </is>
      </c>
      <c r="F5" s="5" t="inlineStr">
        <is>
          <t>Rumhumha</t>
        </is>
      </c>
      <c r="G5" s="5" t="inlineStr">
        <is>
          <t>SA journal of radiology</t>
        </is>
      </c>
      <c r="H5" s="5" t="inlineStr">
        <is>
          <t>30(1):3366</t>
        </is>
      </c>
      <c r="I5" s="6" t="inlineStr">
        <is>
          <t>Splenic pathologies: A pictorial review of common, wandering, twisting and rare presentations.</t>
        </is>
      </c>
      <c r="J5" s="5" t="inlineStr">
        <is>
          <t>10.4102/sajr.v30i1.3366</t>
        </is>
      </c>
      <c r="K5" s="7" t="inlineStr">
        <is>
          <t>link</t>
        </is>
      </c>
      <c r="L5" s="7" t="inlineStr">
        <is>
          <t>link</t>
        </is>
      </c>
      <c r="M5" s="5" t="inlineStr">
        <is>
          <t>PMC13058552</t>
        </is>
      </c>
      <c r="N5" s="7" t="inlineStr">
        <is>
          <t>link</t>
        </is>
      </c>
      <c r="O5" s="5" t="inlineStr"/>
      <c r="P5" s="5" t="inlineStr"/>
      <c r="Q5" s="5" t="inlineStr"/>
      <c r="R5" s="5" t="inlineStr">
        <is>
          <t>1 PMC record exists</t>
        </is>
      </c>
      <c r="S5" s="5" t="inlineStr">
        <is>
          <t>Y</t>
        </is>
      </c>
      <c r="T5" s="5" t="inlineStr">
        <is>
          <t>WS0018.pdf</t>
        </is>
      </c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inlineStr">
        <is>
          <t>yes</t>
        </is>
      </c>
    </row>
    <row r="6">
      <c r="A6" s="5" t="n">
        <v>5</v>
      </c>
      <c r="B6" s="5" t="inlineStr">
        <is>
          <t>WS0031</t>
        </is>
      </c>
      <c r="C6" s="5" t="inlineStr">
        <is>
          <t>2025</t>
        </is>
      </c>
      <c r="D6" s="5" t="inlineStr">
        <is>
          <t>English</t>
        </is>
      </c>
      <c r="E6" s="5" t="inlineStr">
        <is>
          <t>JOUR</t>
        </is>
      </c>
      <c r="F6" s="5" t="inlineStr">
        <is>
          <t>Vasta</t>
        </is>
      </c>
      <c r="G6" s="5" t="inlineStr">
        <is>
          <t>Frontiers in pediatrics</t>
        </is>
      </c>
      <c r="H6" s="5" t="inlineStr">
        <is>
          <t>13:1705547</t>
        </is>
      </c>
      <c r="I6" s="6" t="inlineStr">
        <is>
          <t>Gastric volvulus and wandering spleen in Pitt-Hopkins syndrome: first paediatric case report.</t>
        </is>
      </c>
      <c r="J6" s="5" t="inlineStr">
        <is>
          <t>10.3389/fped.2025.1705547</t>
        </is>
      </c>
      <c r="K6" s="7" t="inlineStr">
        <is>
          <t>link</t>
        </is>
      </c>
      <c r="L6" s="7" t="inlineStr">
        <is>
          <t>link</t>
        </is>
      </c>
      <c r="M6" s="5" t="inlineStr">
        <is>
          <t>PMC12685921</t>
        </is>
      </c>
      <c r="N6" s="7" t="inlineStr">
        <is>
          <t>link</t>
        </is>
      </c>
      <c r="O6" s="5" t="inlineStr"/>
      <c r="P6" s="5" t="inlineStr"/>
      <c r="Q6" s="5" t="inlineStr"/>
      <c r="R6" s="5" t="inlineStr">
        <is>
          <t>1 PMC record exists</t>
        </is>
      </c>
      <c r="S6" s="5" t="inlineStr"/>
      <c r="T6" s="5" t="inlineStr">
        <is>
          <t>WS0031.pdf</t>
        </is>
      </c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inlineStr">
        <is>
          <t>yes</t>
        </is>
      </c>
    </row>
    <row r="7">
      <c r="A7" s="5" t="n">
        <v>6</v>
      </c>
      <c r="B7" s="5" t="inlineStr">
        <is>
          <t>WS0035</t>
        </is>
      </c>
      <c r="C7" s="5" t="inlineStr">
        <is>
          <t>2025</t>
        </is>
      </c>
      <c r="D7" s="5" t="inlineStr">
        <is>
          <t>English</t>
        </is>
      </c>
      <c r="E7" s="5" t="inlineStr">
        <is>
          <t>JOUR</t>
        </is>
      </c>
      <c r="F7" s="5" t="inlineStr">
        <is>
          <t>Layegh</t>
        </is>
      </c>
      <c r="G7" s="5" t="inlineStr">
        <is>
          <t>Clinical case reports</t>
        </is>
      </c>
      <c r="H7" s="5" t="inlineStr">
        <is>
          <t>13(10):e71007</t>
        </is>
      </c>
      <c r="I7" s="6" t="inlineStr">
        <is>
          <t>Gastric Volvulus, Pancreatic Volvulus, and Wandering Spleen: A Rare Emergency Triad Behind Acute Abdomen.</t>
        </is>
      </c>
      <c r="J7" s="5" t="inlineStr">
        <is>
          <t>10.1002/ccr3.71007</t>
        </is>
      </c>
      <c r="K7" s="7" t="inlineStr">
        <is>
          <t>link</t>
        </is>
      </c>
      <c r="L7" s="7" t="inlineStr">
        <is>
          <t>link</t>
        </is>
      </c>
      <c r="M7" s="5" t="inlineStr">
        <is>
          <t>PMC12528540</t>
        </is>
      </c>
      <c r="N7" s="7" t="inlineStr">
        <is>
          <t>link</t>
        </is>
      </c>
      <c r="O7" s="5" t="inlineStr"/>
      <c r="P7" s="5" t="inlineStr"/>
      <c r="Q7" s="5" t="inlineStr"/>
      <c r="R7" s="5" t="inlineStr">
        <is>
          <t>1 PMC record exists</t>
        </is>
      </c>
      <c r="S7" s="5" t="inlineStr"/>
      <c r="T7" s="5" t="inlineStr">
        <is>
          <t>WS0035.pdf</t>
        </is>
      </c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inlineStr">
        <is>
          <t>yes</t>
        </is>
      </c>
    </row>
    <row r="8">
      <c r="A8" s="5" t="n">
        <v>7</v>
      </c>
      <c r="B8" s="5" t="inlineStr">
        <is>
          <t>WS0038</t>
        </is>
      </c>
      <c r="C8" s="5" t="inlineStr">
        <is>
          <t>2025</t>
        </is>
      </c>
      <c r="D8" s="5" t="inlineStr">
        <is>
          <t>English</t>
        </is>
      </c>
      <c r="E8" s="5" t="inlineStr">
        <is>
          <t>JOUR</t>
        </is>
      </c>
      <c r="F8" s="5" t="inlineStr">
        <is>
          <t>Yambah</t>
        </is>
      </c>
      <c r="G8" s="5" t="inlineStr">
        <is>
          <t>Clinical case reports</t>
        </is>
      </c>
      <c r="H8" s="5" t="inlineStr">
        <is>
          <t>13(10):e71204</t>
        </is>
      </c>
      <c r="I8" s="6" t="inlineStr">
        <is>
          <t>Wandering Spleen, A Rare Cause of Acute Abdomen: A Case Report.</t>
        </is>
      </c>
      <c r="J8" s="5" t="inlineStr">
        <is>
          <t>10.1002/ccr3.71204</t>
        </is>
      </c>
      <c r="K8" s="7" t="inlineStr">
        <is>
          <t>link</t>
        </is>
      </c>
      <c r="L8" s="7" t="inlineStr">
        <is>
          <t>link</t>
        </is>
      </c>
      <c r="M8" s="5" t="inlineStr">
        <is>
          <t>PMC12507506</t>
        </is>
      </c>
      <c r="N8" s="7" t="inlineStr">
        <is>
          <t>link</t>
        </is>
      </c>
      <c r="O8" s="5" t="inlineStr"/>
      <c r="P8" s="5" t="inlineStr"/>
      <c r="Q8" s="5" t="inlineStr"/>
      <c r="R8" s="5" t="inlineStr">
        <is>
          <t>1 PMC record exists</t>
        </is>
      </c>
      <c r="S8" s="5" t="inlineStr"/>
      <c r="T8" s="5" t="inlineStr">
        <is>
          <t>WS0038.pdf</t>
        </is>
      </c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inlineStr">
        <is>
          <t>yes</t>
        </is>
      </c>
    </row>
    <row r="9">
      <c r="A9" s="5" t="n">
        <v>8</v>
      </c>
      <c r="B9" s="5" t="inlineStr">
        <is>
          <t>WS0040</t>
        </is>
      </c>
      <c r="C9" s="5" t="inlineStr">
        <is>
          <t>2025</t>
        </is>
      </c>
      <c r="D9" s="5" t="inlineStr">
        <is>
          <t>English</t>
        </is>
      </c>
      <c r="E9" s="5" t="inlineStr">
        <is>
          <t>JOUR</t>
        </is>
      </c>
      <c r="F9" s="5" t="inlineStr">
        <is>
          <t>M P</t>
        </is>
      </c>
      <c r="G9" s="5" t="inlineStr">
        <is>
          <t>Cureus</t>
        </is>
      </c>
      <c r="H9" s="5" t="inlineStr">
        <is>
          <t>17(8):e90043</t>
        </is>
      </c>
      <c r="I9" s="6" t="inlineStr">
        <is>
          <t>Splenic Pedicle Volvulus in a Wandering Spleen: A Rare Pediatric Emergency.</t>
        </is>
      </c>
      <c r="J9" s="5" t="inlineStr">
        <is>
          <t>10.7759/cureus.90043</t>
        </is>
      </c>
      <c r="K9" s="7" t="inlineStr">
        <is>
          <t>link</t>
        </is>
      </c>
      <c r="L9" s="7" t="inlineStr">
        <is>
          <t>link</t>
        </is>
      </c>
      <c r="M9" s="5" t="inlineStr">
        <is>
          <t>PMC12432479</t>
        </is>
      </c>
      <c r="N9" s="7" t="inlineStr">
        <is>
          <t>link</t>
        </is>
      </c>
      <c r="O9" s="5" t="inlineStr"/>
      <c r="P9" s="5" t="inlineStr"/>
      <c r="Q9" s="5" t="inlineStr"/>
      <c r="R9" s="5" t="inlineStr">
        <is>
          <t>1 PMC record exists</t>
        </is>
      </c>
      <c r="S9" s="5" t="inlineStr"/>
      <c r="T9" s="5" t="inlineStr">
        <is>
          <t>WS0040.pdf</t>
        </is>
      </c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inlineStr">
        <is>
          <t>yes</t>
        </is>
      </c>
    </row>
    <row r="10">
      <c r="A10" s="5" t="n">
        <v>9</v>
      </c>
      <c r="B10" s="5" t="inlineStr">
        <is>
          <t>WS0042</t>
        </is>
      </c>
      <c r="C10" s="5" t="inlineStr">
        <is>
          <t>2025</t>
        </is>
      </c>
      <c r="D10" s="5" t="inlineStr">
        <is>
          <t>English</t>
        </is>
      </c>
      <c r="E10" s="5" t="inlineStr">
        <is>
          <t>JOUR</t>
        </is>
      </c>
      <c r="F10" s="5" t="inlineStr">
        <is>
          <t>Liu</t>
        </is>
      </c>
      <c r="G10" s="5" t="inlineStr">
        <is>
          <t>Frontiers in medicine</t>
        </is>
      </c>
      <c r="H10" s="5" t="inlineStr">
        <is>
          <t>12:1646831</t>
        </is>
      </c>
      <c r="I10" s="6" t="inlineStr">
        <is>
          <t>Splenectomy for wandering spleen with pedicle torsion in a 17-year-old: a case report.</t>
        </is>
      </c>
      <c r="J10" s="5" t="inlineStr">
        <is>
          <t>10.3389/fmed.2025.1646831</t>
        </is>
      </c>
      <c r="K10" s="7" t="inlineStr">
        <is>
          <t>link</t>
        </is>
      </c>
      <c r="L10" s="7" t="inlineStr">
        <is>
          <t>link</t>
        </is>
      </c>
      <c r="M10" s="5" t="inlineStr">
        <is>
          <t>PMC12391071</t>
        </is>
      </c>
      <c r="N10" s="7" t="inlineStr">
        <is>
          <t>link</t>
        </is>
      </c>
      <c r="O10" s="5" t="inlineStr"/>
      <c r="P10" s="5" t="inlineStr"/>
      <c r="Q10" s="5" t="inlineStr"/>
      <c r="R10" s="5" t="inlineStr">
        <is>
          <t>1 PMC record exists</t>
        </is>
      </c>
      <c r="S10" s="5" t="inlineStr"/>
      <c r="T10" s="5" t="inlineStr">
        <is>
          <t>WS0042.pdf</t>
        </is>
      </c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inlineStr">
        <is>
          <t>yes</t>
        </is>
      </c>
    </row>
    <row r="11">
      <c r="A11" s="5" t="n">
        <v>10</v>
      </c>
      <c r="B11" s="5" t="inlineStr">
        <is>
          <t>WS0043</t>
        </is>
      </c>
      <c r="C11" s="5" t="inlineStr">
        <is>
          <t>2025</t>
        </is>
      </c>
      <c r="D11" s="5" t="inlineStr">
        <is>
          <t>English</t>
        </is>
      </c>
      <c r="E11" s="5" t="inlineStr">
        <is>
          <t>JOUR</t>
        </is>
      </c>
      <c r="F11" s="5" t="inlineStr">
        <is>
          <t>Innami</t>
        </is>
      </c>
      <c r="G11" s="5" t="inlineStr">
        <is>
          <t>Surgical case reports</t>
        </is>
      </c>
      <c r="H11" s="5" t="inlineStr">
        <is>
          <t>11(1)</t>
        </is>
      </c>
      <c r="I11" s="6" t="inlineStr">
        <is>
          <t>Detorsion of Wandering Spleen Causes Significant Hypersplenism Resulting in Thrombocytopenia and Spinal Cord Injury: A Case Report.</t>
        </is>
      </c>
      <c r="J11" s="5" t="inlineStr">
        <is>
          <t>10.70352/scrj.cr.25-0111</t>
        </is>
      </c>
      <c r="K11" s="7" t="inlineStr">
        <is>
          <t>link</t>
        </is>
      </c>
      <c r="L11" s="7" t="inlineStr">
        <is>
          <t>link</t>
        </is>
      </c>
      <c r="M11" s="5" t="inlineStr">
        <is>
          <t>PMC12377856</t>
        </is>
      </c>
      <c r="N11" s="7" t="inlineStr">
        <is>
          <t>link</t>
        </is>
      </c>
      <c r="O11" s="5" t="inlineStr"/>
      <c r="P11" s="5" t="inlineStr"/>
      <c r="Q11" s="5" t="inlineStr"/>
      <c r="R11" s="5" t="inlineStr">
        <is>
          <t>1 PMC record exists</t>
        </is>
      </c>
      <c r="S11" s="5" t="inlineStr"/>
      <c r="T11" s="5" t="inlineStr">
        <is>
          <t>WS0043.pdf</t>
        </is>
      </c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inlineStr">
        <is>
          <t>yes</t>
        </is>
      </c>
    </row>
    <row r="12">
      <c r="A12" s="5" t="n">
        <v>11</v>
      </c>
      <c r="B12" s="5" t="inlineStr">
        <is>
          <t>WS0044</t>
        </is>
      </c>
      <c r="C12" s="5" t="inlineStr">
        <is>
          <t>2025</t>
        </is>
      </c>
      <c r="D12" s="5" t="inlineStr">
        <is>
          <t>English</t>
        </is>
      </c>
      <c r="E12" s="5" t="inlineStr">
        <is>
          <t>JOUR</t>
        </is>
      </c>
      <c r="F12" s="5" t="inlineStr">
        <is>
          <t>Al Blooshi</t>
        </is>
      </c>
      <c r="G12" s="5" t="inlineStr">
        <is>
          <t>BMC pediatrics</t>
        </is>
      </c>
      <c r="H12" s="5" t="inlineStr">
        <is>
          <t>25(1):631</t>
        </is>
      </c>
      <c r="I12" s="6" t="inlineStr">
        <is>
          <t>The enigmatic wandering spleen: managing three cases in a tertiary setting.</t>
        </is>
      </c>
      <c r="J12" s="5" t="inlineStr">
        <is>
          <t>10.1186/s12887-025-06005-9</t>
        </is>
      </c>
      <c r="K12" s="7" t="inlineStr">
        <is>
          <t>link</t>
        </is>
      </c>
      <c r="L12" s="7" t="inlineStr">
        <is>
          <t>link</t>
        </is>
      </c>
      <c r="M12" s="5" t="inlineStr">
        <is>
          <t>PMC12366119</t>
        </is>
      </c>
      <c r="N12" s="7" t="inlineStr">
        <is>
          <t>link</t>
        </is>
      </c>
      <c r="O12" s="5" t="inlineStr"/>
      <c r="P12" s="5" t="inlineStr"/>
      <c r="Q12" s="5" t="inlineStr"/>
      <c r="R12" s="5" t="inlineStr">
        <is>
          <t>1 PMC record exists</t>
        </is>
      </c>
      <c r="S12" s="5" t="inlineStr"/>
      <c r="T12" s="5" t="inlineStr">
        <is>
          <t>WS0044.pdf</t>
        </is>
      </c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inlineStr">
        <is>
          <t>yes</t>
        </is>
      </c>
    </row>
    <row r="13">
      <c r="A13" s="5" t="n">
        <v>12</v>
      </c>
      <c r="B13" s="5" t="inlineStr">
        <is>
          <t>WS0045</t>
        </is>
      </c>
      <c r="C13" s="5" t="inlineStr">
        <is>
          <t>2025</t>
        </is>
      </c>
      <c r="D13" s="5" t="inlineStr">
        <is>
          <t>English</t>
        </is>
      </c>
      <c r="E13" s="5" t="inlineStr">
        <is>
          <t>JOUR</t>
        </is>
      </c>
      <c r="F13" s="5" t="inlineStr">
        <is>
          <t>Benbrahim</t>
        </is>
      </c>
      <c r="G13" s="5" t="inlineStr">
        <is>
          <t>Radiology case reports</t>
        </is>
      </c>
      <c r="H13" s="5" t="inlineStr">
        <is>
          <t>20(11):5474-5477</t>
        </is>
      </c>
      <c r="I13" s="6" t="inlineStr">
        <is>
          <t>Wandering spleen torsion with splenic vein thrombosis: A case report.</t>
        </is>
      </c>
      <c r="J13" s="5" t="inlineStr">
        <is>
          <t>10.1016/j.radcr.2025.05.050</t>
        </is>
      </c>
      <c r="K13" s="7" t="inlineStr">
        <is>
          <t>link</t>
        </is>
      </c>
      <c r="L13" s="7" t="inlineStr">
        <is>
          <t>link</t>
        </is>
      </c>
      <c r="M13" s="5" t="inlineStr">
        <is>
          <t>PMC12356290</t>
        </is>
      </c>
      <c r="N13" s="7" t="inlineStr">
        <is>
          <t>link</t>
        </is>
      </c>
      <c r="O13" s="5" t="inlineStr"/>
      <c r="P13" s="5" t="inlineStr"/>
      <c r="Q13" s="5" t="inlineStr"/>
      <c r="R13" s="5" t="inlineStr">
        <is>
          <t>1 PMC record exists</t>
        </is>
      </c>
      <c r="S13" s="5" t="inlineStr"/>
      <c r="T13" s="5" t="inlineStr">
        <is>
          <t>WS0045.pdf</t>
        </is>
      </c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inlineStr">
        <is>
          <t>yes</t>
        </is>
      </c>
    </row>
    <row r="14">
      <c r="A14" s="5" t="n">
        <v>13</v>
      </c>
      <c r="B14" s="5" t="inlineStr">
        <is>
          <t>WS0047</t>
        </is>
      </c>
      <c r="C14" s="5" t="inlineStr">
        <is>
          <t>2025</t>
        </is>
      </c>
      <c r="D14" s="5" t="inlineStr">
        <is>
          <t>English</t>
        </is>
      </c>
      <c r="E14" s="5" t="inlineStr">
        <is>
          <t>JOUR</t>
        </is>
      </c>
      <c r="F14" s="5" t="inlineStr">
        <is>
          <t>Sawaftah</t>
        </is>
      </c>
      <c r="G14" s="5" t="inlineStr">
        <is>
          <t>Case reports in pediatrics</t>
        </is>
      </c>
      <c r="H14" s="5" t="inlineStr">
        <is>
          <t>2025(1):9927034</t>
        </is>
      </c>
      <c r="I14" s="6" t="inlineStr">
        <is>
          <t>Massively Enlarged Wandering Spleen With Torsion and Infarction in a 10-Year-Old: Case Report and Comprehensive Literature Review.</t>
        </is>
      </c>
      <c r="J14" s="5" t="inlineStr">
        <is>
          <t>10.1155/crpe/9927034</t>
        </is>
      </c>
      <c r="K14" s="7" t="inlineStr">
        <is>
          <t>link</t>
        </is>
      </c>
      <c r="L14" s="7" t="inlineStr">
        <is>
          <t>link</t>
        </is>
      </c>
      <c r="M14" s="5" t="inlineStr">
        <is>
          <t>PMC12349995</t>
        </is>
      </c>
      <c r="N14" s="7" t="inlineStr">
        <is>
          <t>link</t>
        </is>
      </c>
      <c r="O14" s="5" t="inlineStr"/>
      <c r="P14" s="5" t="inlineStr"/>
      <c r="Q14" s="5" t="inlineStr"/>
      <c r="R14" s="5" t="inlineStr">
        <is>
          <t>1 PMC record exists</t>
        </is>
      </c>
      <c r="S14" s="5" t="inlineStr"/>
      <c r="T14" s="5" t="inlineStr">
        <is>
          <t>WS0047.pdf</t>
        </is>
      </c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inlineStr">
        <is>
          <t>yes</t>
        </is>
      </c>
    </row>
    <row r="15">
      <c r="A15" s="5" t="n">
        <v>14</v>
      </c>
      <c r="B15" s="5" t="inlineStr">
        <is>
          <t>WS0048</t>
        </is>
      </c>
      <c r="C15" s="5" t="inlineStr">
        <is>
          <t>2025</t>
        </is>
      </c>
      <c r="D15" s="5" t="inlineStr">
        <is>
          <t>English</t>
        </is>
      </c>
      <c r="E15" s="5" t="inlineStr">
        <is>
          <t>JOUR</t>
        </is>
      </c>
      <c r="F15" s="5" t="inlineStr">
        <is>
          <t>Knight</t>
        </is>
      </c>
      <c r="G15" s="5" t="inlineStr">
        <is>
          <t>Pediatric transplantation</t>
        </is>
      </c>
      <c r="H15" s="5" t="inlineStr">
        <is>
          <t>29(6):e70161</t>
        </is>
      </c>
      <c r="I15" s="6" t="inlineStr">
        <is>
          <t>Wandering Spleen in a Pediatric Lung Transplant Patient With Filamin A Deficiency: An Incidental Finding.</t>
        </is>
      </c>
      <c r="J15" s="5" t="inlineStr">
        <is>
          <t>10.1111/petr.70161</t>
        </is>
      </c>
      <c r="K15" s="7" t="inlineStr">
        <is>
          <t>link</t>
        </is>
      </c>
      <c r="L15" s="7" t="inlineStr">
        <is>
          <t>link</t>
        </is>
      </c>
      <c r="M15" s="5" t="inlineStr">
        <is>
          <t>PMC12350825</t>
        </is>
      </c>
      <c r="N15" s="7" t="inlineStr">
        <is>
          <t>link</t>
        </is>
      </c>
      <c r="O15" s="5" t="inlineStr"/>
      <c r="P15" s="5" t="inlineStr"/>
      <c r="Q15" s="5" t="inlineStr"/>
      <c r="R15" s="5" t="inlineStr">
        <is>
          <t>1 PMC record exists</t>
        </is>
      </c>
      <c r="S15" s="5" t="inlineStr"/>
      <c r="T15" s="5" t="inlineStr">
        <is>
          <t>WS0048.pdf</t>
        </is>
      </c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inlineStr">
        <is>
          <t>yes</t>
        </is>
      </c>
    </row>
    <row r="16">
      <c r="A16" s="5" t="n">
        <v>15</v>
      </c>
      <c r="B16" s="5" t="inlineStr">
        <is>
          <t>WS0053</t>
        </is>
      </c>
      <c r="C16" s="5" t="inlineStr">
        <is>
          <t>2025</t>
        </is>
      </c>
      <c r="D16" s="5" t="inlineStr">
        <is>
          <t>English</t>
        </is>
      </c>
      <c r="E16" s="5" t="inlineStr">
        <is>
          <t>JOUR</t>
        </is>
      </c>
      <c r="F16" s="5" t="inlineStr">
        <is>
          <t>Arkuszewski</t>
        </is>
      </c>
      <c r="G16" s="5" t="inlineStr">
        <is>
          <t>Journal of clinical medicine</t>
        </is>
      </c>
      <c r="H16" s="5" t="inlineStr">
        <is>
          <t>14(14)</t>
        </is>
      </c>
      <c r="I16" s="6" t="inlineStr">
        <is>
          <t>Splenic Torsion Following Blunt Abdominal Trauma.</t>
        </is>
      </c>
      <c r="J16" s="5" t="inlineStr">
        <is>
          <t>10.3390/jcm14145107</t>
        </is>
      </c>
      <c r="K16" s="7" t="inlineStr">
        <is>
          <t>link</t>
        </is>
      </c>
      <c r="L16" s="7" t="inlineStr">
        <is>
          <t>link</t>
        </is>
      </c>
      <c r="M16" s="5" t="inlineStr">
        <is>
          <t>PMC12295792</t>
        </is>
      </c>
      <c r="N16" s="7" t="inlineStr">
        <is>
          <t>link</t>
        </is>
      </c>
      <c r="O16" s="5" t="inlineStr"/>
      <c r="P16" s="5" t="inlineStr"/>
      <c r="Q16" s="5" t="inlineStr"/>
      <c r="R16" s="5" t="inlineStr">
        <is>
          <t>1 PMC record exists</t>
        </is>
      </c>
      <c r="S16" s="5" t="inlineStr"/>
      <c r="T16" s="5" t="inlineStr">
        <is>
          <t>WS0053.pdf</t>
        </is>
      </c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inlineStr">
        <is>
          <t>yes</t>
        </is>
      </c>
    </row>
    <row r="17">
      <c r="A17" s="5" t="n">
        <v>16</v>
      </c>
      <c r="B17" s="5" t="inlineStr">
        <is>
          <t>WS0055</t>
        </is>
      </c>
      <c r="C17" s="5" t="inlineStr">
        <is>
          <t>2025</t>
        </is>
      </c>
      <c r="D17" s="5" t="inlineStr">
        <is>
          <t>English</t>
        </is>
      </c>
      <c r="E17" s="5" t="inlineStr">
        <is>
          <t>JOUR</t>
        </is>
      </c>
      <c r="F17" s="5" t="inlineStr">
        <is>
          <t>Di</t>
        </is>
      </c>
      <c r="G17" s="5" t="inlineStr">
        <is>
          <t>Frontiers in surgery</t>
        </is>
      </c>
      <c r="H17" s="5" t="inlineStr">
        <is>
          <t>12:1586986</t>
        </is>
      </c>
      <c r="I17" s="6" t="inlineStr">
        <is>
          <t>Ultrasonographic diagnosis of splenic torsion: a case report.</t>
        </is>
      </c>
      <c r="J17" s="5" t="inlineStr">
        <is>
          <t>10.3389/fsurg.2025.1586986</t>
        </is>
      </c>
      <c r="K17" s="7" t="inlineStr">
        <is>
          <t>link</t>
        </is>
      </c>
      <c r="L17" s="7" t="inlineStr">
        <is>
          <t>link</t>
        </is>
      </c>
      <c r="M17" s="5" t="inlineStr">
        <is>
          <t>PMC12222168</t>
        </is>
      </c>
      <c r="N17" s="7" t="inlineStr">
        <is>
          <t>link</t>
        </is>
      </c>
      <c r="O17" s="5" t="inlineStr"/>
      <c r="P17" s="5" t="inlineStr"/>
      <c r="Q17" s="5" t="inlineStr"/>
      <c r="R17" s="5" t="inlineStr">
        <is>
          <t>1 PMC record exists</t>
        </is>
      </c>
      <c r="S17" s="5" t="inlineStr"/>
      <c r="T17" s="5" t="inlineStr">
        <is>
          <t>WS0055.pdf</t>
        </is>
      </c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inlineStr">
        <is>
          <t>yes</t>
        </is>
      </c>
    </row>
    <row r="18">
      <c r="A18" s="5" t="n">
        <v>17</v>
      </c>
      <c r="B18" s="5" t="inlineStr">
        <is>
          <t>WS0057</t>
        </is>
      </c>
      <c r="C18" s="5" t="inlineStr">
        <is>
          <t>2025</t>
        </is>
      </c>
      <c r="D18" s="5" t="inlineStr">
        <is>
          <t>English</t>
        </is>
      </c>
      <c r="E18" s="5" t="inlineStr">
        <is>
          <t>JOUR</t>
        </is>
      </c>
      <c r="F18" s="5" t="inlineStr">
        <is>
          <t>Siouri</t>
        </is>
      </c>
      <c r="G18" s="5" t="inlineStr">
        <is>
          <t>Radiology case reports</t>
        </is>
      </c>
      <c r="H18" s="5" t="inlineStr">
        <is>
          <t>20(9):4469-4473</t>
        </is>
      </c>
      <c r="I18" s="6" t="inlineStr">
        <is>
          <t>Wandering spleen presenting as a pelvic mass: A rare case report and literature review.</t>
        </is>
      </c>
      <c r="J18" s="5" t="inlineStr">
        <is>
          <t>10.1016/j.radcr.2025.05.063</t>
        </is>
      </c>
      <c r="K18" s="7" t="inlineStr">
        <is>
          <t>link</t>
        </is>
      </c>
      <c r="L18" s="7" t="inlineStr">
        <is>
          <t>link</t>
        </is>
      </c>
      <c r="M18" s="5" t="inlineStr">
        <is>
          <t>PMC12221586</t>
        </is>
      </c>
      <c r="N18" s="7" t="inlineStr">
        <is>
          <t>link</t>
        </is>
      </c>
      <c r="O18" s="5" t="inlineStr"/>
      <c r="P18" s="5" t="inlineStr"/>
      <c r="Q18" s="5" t="inlineStr"/>
      <c r="R18" s="5" t="inlineStr">
        <is>
          <t>1 PMC record exists</t>
        </is>
      </c>
      <c r="S18" s="5" t="inlineStr"/>
      <c r="T18" s="5" t="inlineStr">
        <is>
          <t>WS0057.pdf</t>
        </is>
      </c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inlineStr">
        <is>
          <t>yes</t>
        </is>
      </c>
    </row>
    <row r="19">
      <c r="A19" s="5" t="n">
        <v>18</v>
      </c>
      <c r="B19" s="5" t="inlineStr">
        <is>
          <t>WS0061</t>
        </is>
      </c>
      <c r="C19" s="5" t="inlineStr">
        <is>
          <t>2025</t>
        </is>
      </c>
      <c r="D19" s="5" t="inlineStr">
        <is>
          <t>English</t>
        </is>
      </c>
      <c r="E19" s="5" t="inlineStr">
        <is>
          <t>JOUR</t>
        </is>
      </c>
      <c r="F19" s="5" t="inlineStr">
        <is>
          <t>Lombardo</t>
        </is>
      </c>
      <c r="G19" s="5" t="inlineStr">
        <is>
          <t>Case reports in radiology</t>
        </is>
      </c>
      <c r="H19" s="5" t="inlineStr">
        <is>
          <t>2025:6697671</t>
        </is>
      </c>
      <c r="I19" s="6" t="inlineStr">
        <is>
          <t>The Wanderer: Acute Abdomen Secondary to a Wandering Spleen.</t>
        </is>
      </c>
      <c r="J19" s="5" t="inlineStr">
        <is>
          <t>10.1155/crra/6697671</t>
        </is>
      </c>
      <c r="K19" s="7" t="inlineStr">
        <is>
          <t>link</t>
        </is>
      </c>
      <c r="L19" s="7" t="inlineStr">
        <is>
          <t>link</t>
        </is>
      </c>
      <c r="M19" s="5" t="inlineStr">
        <is>
          <t>PMC12173544</t>
        </is>
      </c>
      <c r="N19" s="7" t="inlineStr">
        <is>
          <t>link</t>
        </is>
      </c>
      <c r="O19" s="5" t="inlineStr"/>
      <c r="P19" s="5" t="inlineStr"/>
      <c r="Q19" s="5" t="inlineStr"/>
      <c r="R19" s="5" t="inlineStr">
        <is>
          <t>1 PMC record exists</t>
        </is>
      </c>
      <c r="S19" s="5" t="inlineStr"/>
      <c r="T19" s="5" t="inlineStr">
        <is>
          <t>WS0061.pdf</t>
        </is>
      </c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inlineStr">
        <is>
          <t>yes</t>
        </is>
      </c>
    </row>
    <row r="20">
      <c r="A20" s="5" t="n">
        <v>19</v>
      </c>
      <c r="B20" s="5" t="inlineStr">
        <is>
          <t>WS0067</t>
        </is>
      </c>
      <c r="C20" s="5" t="inlineStr">
        <is>
          <t>2025</t>
        </is>
      </c>
      <c r="D20" s="5" t="inlineStr">
        <is>
          <t>English</t>
        </is>
      </c>
      <c r="E20" s="5" t="inlineStr">
        <is>
          <t>JOUR</t>
        </is>
      </c>
      <c r="F20" s="5" t="inlineStr">
        <is>
          <t>Aljuba</t>
        </is>
      </c>
      <c r="G20" s="5" t="inlineStr">
        <is>
          <t>International journal of surgery case reports</t>
        </is>
      </c>
      <c r="H20" s="5" t="inlineStr">
        <is>
          <t>131:111421</t>
        </is>
      </c>
      <c r="I20" s="6" t="inlineStr">
        <is>
          <t>A case of torsed wandering spleen presenting as perforated acute appendicitis: A case report and literature review.</t>
        </is>
      </c>
      <c r="J20" s="5" t="inlineStr">
        <is>
          <t>10.1016/j.ijscr.2025.111421</t>
        </is>
      </c>
      <c r="K20" s="7" t="inlineStr">
        <is>
          <t>link</t>
        </is>
      </c>
      <c r="L20" s="7" t="inlineStr">
        <is>
          <t>link</t>
        </is>
      </c>
      <c r="M20" s="5" t="inlineStr">
        <is>
          <t>PMC12139484</t>
        </is>
      </c>
      <c r="N20" s="7" t="inlineStr">
        <is>
          <t>link</t>
        </is>
      </c>
      <c r="O20" s="5" t="inlineStr"/>
      <c r="P20" s="5" t="inlineStr"/>
      <c r="Q20" s="5" t="inlineStr"/>
      <c r="R20" s="5" t="inlineStr">
        <is>
          <t>1 PMC record exists</t>
        </is>
      </c>
      <c r="S20" s="5" t="inlineStr"/>
      <c r="T20" s="5" t="inlineStr">
        <is>
          <t>WS0067.pdf</t>
        </is>
      </c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inlineStr">
        <is>
          <t>yes</t>
        </is>
      </c>
    </row>
    <row r="21">
      <c r="A21" s="5" t="n">
        <v>20</v>
      </c>
      <c r="B21" s="5" t="inlineStr">
        <is>
          <t>WS0068</t>
        </is>
      </c>
      <c r="C21" s="5" t="inlineStr">
        <is>
          <t>2025</t>
        </is>
      </c>
      <c r="D21" s="5" t="inlineStr">
        <is>
          <t>English</t>
        </is>
      </c>
      <c r="E21" s="5" t="inlineStr">
        <is>
          <t>JOUR</t>
        </is>
      </c>
      <c r="F21" s="5" t="inlineStr">
        <is>
          <t>Elnour</t>
        </is>
      </c>
      <c r="G21" s="5" t="inlineStr">
        <is>
          <t>International journal of surgery case reports</t>
        </is>
      </c>
      <c r="H21" s="5" t="inlineStr">
        <is>
          <t>131:111391</t>
        </is>
      </c>
      <c r="I21" s="6" t="inlineStr">
        <is>
          <t>A painful twist: Wandering spleen with torsion and infarction: A case report.</t>
        </is>
      </c>
      <c r="J21" s="5" t="inlineStr">
        <is>
          <t>10.1016/j.ijscr.2025.111391</t>
        </is>
      </c>
      <c r="K21" s="7" t="inlineStr">
        <is>
          <t>link</t>
        </is>
      </c>
      <c r="L21" s="7" t="inlineStr">
        <is>
          <t>link</t>
        </is>
      </c>
      <c r="M21" s="5" t="inlineStr">
        <is>
          <t>PMC12423696</t>
        </is>
      </c>
      <c r="N21" s="7" t="inlineStr">
        <is>
          <t>link</t>
        </is>
      </c>
      <c r="O21" s="5" t="inlineStr"/>
      <c r="P21" s="5" t="inlineStr"/>
      <c r="Q21" s="5" t="inlineStr"/>
      <c r="R21" s="5" t="inlineStr">
        <is>
          <t>1 PMC record exists</t>
        </is>
      </c>
      <c r="S21" s="5" t="inlineStr"/>
      <c r="T21" s="5" t="inlineStr">
        <is>
          <t>WS0068.pdf</t>
        </is>
      </c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inlineStr">
        <is>
          <t>yes</t>
        </is>
      </c>
    </row>
    <row r="22">
      <c r="A22" s="5" t="n">
        <v>21</v>
      </c>
      <c r="B22" s="5" t="inlineStr">
        <is>
          <t>WS0072</t>
        </is>
      </c>
      <c r="C22" s="5" t="inlineStr">
        <is>
          <t>2025</t>
        </is>
      </c>
      <c r="D22" s="5" t="inlineStr">
        <is>
          <t>English</t>
        </is>
      </c>
      <c r="E22" s="5" t="inlineStr">
        <is>
          <t>JOUR</t>
        </is>
      </c>
      <c r="F22" s="5" t="inlineStr">
        <is>
          <t>Melkamu</t>
        </is>
      </c>
      <c r="G22" s="5" t="inlineStr">
        <is>
          <t>International journal of surgery case reports</t>
        </is>
      </c>
      <c r="H22" s="5" t="inlineStr">
        <is>
          <t>129:111144</t>
        </is>
      </c>
      <c r="I22" s="6" t="inlineStr">
        <is>
          <t>Torsion of a wandering spleen, a rare cause of acute abdomen: A case report.</t>
        </is>
      </c>
      <c r="J22" s="5" t="inlineStr">
        <is>
          <t>10.1016/j.ijscr.2025.111144</t>
        </is>
      </c>
      <c r="K22" s="7" t="inlineStr">
        <is>
          <t>link</t>
        </is>
      </c>
      <c r="L22" s="7" t="inlineStr">
        <is>
          <t>link</t>
        </is>
      </c>
      <c r="M22" s="5" t="inlineStr">
        <is>
          <t>PMC11981770</t>
        </is>
      </c>
      <c r="N22" s="7" t="inlineStr">
        <is>
          <t>link</t>
        </is>
      </c>
      <c r="O22" s="5" t="inlineStr"/>
      <c r="P22" s="5" t="inlineStr"/>
      <c r="Q22" s="5" t="inlineStr"/>
      <c r="R22" s="5" t="inlineStr">
        <is>
          <t>1 PMC record exists</t>
        </is>
      </c>
      <c r="S22" s="5" t="inlineStr"/>
      <c r="T22" s="5" t="inlineStr">
        <is>
          <t>WS0072.pdf</t>
        </is>
      </c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inlineStr">
        <is>
          <t>yes</t>
        </is>
      </c>
    </row>
    <row r="23">
      <c r="A23" s="5" t="n">
        <v>22</v>
      </c>
      <c r="B23" s="5" t="inlineStr">
        <is>
          <t>WS0077</t>
        </is>
      </c>
      <c r="C23" s="5" t="inlineStr">
        <is>
          <t>2025</t>
        </is>
      </c>
      <c r="D23" s="5" t="inlineStr">
        <is>
          <t>English</t>
        </is>
      </c>
      <c r="E23" s="5" t="inlineStr">
        <is>
          <t>JOUR</t>
        </is>
      </c>
      <c r="F23" s="5" t="inlineStr">
        <is>
          <t>Mandarano</t>
        </is>
      </c>
      <c r="G23" s="5" t="inlineStr">
        <is>
          <t>Journal of Indian Association of Pediatric Surgeons</t>
        </is>
      </c>
      <c r="H23" s="5" t="inlineStr">
        <is>
          <t>30(1):81-86</t>
        </is>
      </c>
      <c r="I23" s="6" t="inlineStr">
        <is>
          <t>Acute Gastric Volvulus Associated with Wandering Spleen and Diaphragmatic Eventration in a 5-month-old Girl.</t>
        </is>
      </c>
      <c r="J23" s="5" t="inlineStr">
        <is>
          <t>10.4103/jiaps.jiaps_122_24</t>
        </is>
      </c>
      <c r="K23" s="7" t="inlineStr">
        <is>
          <t>link</t>
        </is>
      </c>
      <c r="L23" s="7" t="inlineStr">
        <is>
          <t>link</t>
        </is>
      </c>
      <c r="M23" s="5" t="inlineStr">
        <is>
          <t>PMC11832090</t>
        </is>
      </c>
      <c r="N23" s="7" t="inlineStr">
        <is>
          <t>link</t>
        </is>
      </c>
      <c r="O23" s="5" t="inlineStr"/>
      <c r="P23" s="5" t="inlineStr"/>
      <c r="Q23" s="5" t="inlineStr"/>
      <c r="R23" s="5" t="inlineStr">
        <is>
          <t>1 PMC record exists</t>
        </is>
      </c>
      <c r="S23" s="5" t="inlineStr"/>
      <c r="T23" s="5" t="inlineStr">
        <is>
          <t>WS0077.pdf</t>
        </is>
      </c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inlineStr">
        <is>
          <t>yes</t>
        </is>
      </c>
    </row>
    <row r="24">
      <c r="A24" s="5" t="n">
        <v>23</v>
      </c>
      <c r="B24" s="5" t="inlineStr">
        <is>
          <t>WS0079</t>
        </is>
      </c>
      <c r="C24" s="5" t="inlineStr">
        <is>
          <t>2025</t>
        </is>
      </c>
      <c r="D24" s="5" t="inlineStr">
        <is>
          <t>English</t>
        </is>
      </c>
      <c r="E24" s="5" t="inlineStr">
        <is>
          <t>JOUR</t>
        </is>
      </c>
      <c r="F24" s="5" t="inlineStr">
        <is>
          <t>Truong</t>
        </is>
      </c>
      <c r="G24" s="5" t="inlineStr">
        <is>
          <t>Radiology case reports</t>
        </is>
      </c>
      <c r="H24" s="5" t="inlineStr">
        <is>
          <t>20(4):1791-1794</t>
        </is>
      </c>
      <c r="I24" s="6" t="inlineStr">
        <is>
          <t>Wandering spleen with torsion in pelvic: A case report and literature review.</t>
        </is>
      </c>
      <c r="J24" s="5" t="inlineStr">
        <is>
          <t>10.1016/j.radcr.2024.12.047</t>
        </is>
      </c>
      <c r="K24" s="7" t="inlineStr">
        <is>
          <t>link</t>
        </is>
      </c>
      <c r="L24" s="7" t="inlineStr">
        <is>
          <t>link</t>
        </is>
      </c>
      <c r="M24" s="5" t="inlineStr">
        <is>
          <t>PMC11782806</t>
        </is>
      </c>
      <c r="N24" s="7" t="inlineStr">
        <is>
          <t>link</t>
        </is>
      </c>
      <c r="O24" s="5" t="inlineStr"/>
      <c r="P24" s="5" t="inlineStr"/>
      <c r="Q24" s="5" t="inlineStr"/>
      <c r="R24" s="5" t="inlineStr">
        <is>
          <t>1 PMC record exists</t>
        </is>
      </c>
      <c r="S24" s="5" t="inlineStr"/>
      <c r="T24" s="5" t="inlineStr">
        <is>
          <t>WS0079.pdf</t>
        </is>
      </c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inlineStr">
        <is>
          <t>yes</t>
        </is>
      </c>
    </row>
    <row r="25">
      <c r="A25" s="5" t="n">
        <v>24</v>
      </c>
      <c r="B25" s="5" t="inlineStr">
        <is>
          <t>WS0120</t>
        </is>
      </c>
      <c r="C25" s="5" t="inlineStr">
        <is>
          <t>2025</t>
        </is>
      </c>
      <c r="D25" s="5" t="inlineStr">
        <is>
          <t>English</t>
        </is>
      </c>
      <c r="E25" s="5" t="inlineStr">
        <is>
          <t>JOUR</t>
        </is>
      </c>
      <c r="F25" s="5" t="inlineStr">
        <is>
          <t>Merchant</t>
        </is>
      </c>
      <c r="G25" s="5" t="inlineStr">
        <is>
          <t>Journal of minimal access surgery</t>
        </is>
      </c>
      <c r="H25" s="5" t="inlineStr">
        <is>
          <t>21(1):77-79</t>
        </is>
      </c>
      <c r="I25" s="6" t="inlineStr">
        <is>
          <t>Totally laparoscopic partial splenectomy and gastropexy for a splenic cyst in a wandering spleen.</t>
        </is>
      </c>
      <c r="J25" s="5" t="inlineStr">
        <is>
          <t>10.4103/jmas.jmas_212_23</t>
        </is>
      </c>
      <c r="K25" s="7" t="inlineStr">
        <is>
          <t>link</t>
        </is>
      </c>
      <c r="L25" s="7" t="inlineStr">
        <is>
          <t>link</t>
        </is>
      </c>
      <c r="M25" s="5" t="inlineStr">
        <is>
          <t>PMC11838794</t>
        </is>
      </c>
      <c r="N25" s="7" t="inlineStr">
        <is>
          <t>link</t>
        </is>
      </c>
      <c r="O25" s="5" t="inlineStr"/>
      <c r="P25" s="5" t="inlineStr"/>
      <c r="Q25" s="5" t="inlineStr"/>
      <c r="R25" s="5" t="inlineStr">
        <is>
          <t>1 PMC record exists</t>
        </is>
      </c>
      <c r="S25" s="5" t="inlineStr">
        <is>
          <t>Y</t>
        </is>
      </c>
      <c r="T25" s="5" t="inlineStr">
        <is>
          <t>WS0120.pdf</t>
        </is>
      </c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inlineStr">
        <is>
          <t>yes</t>
        </is>
      </c>
    </row>
    <row r="26">
      <c r="A26" s="5" t="n">
        <v>25</v>
      </c>
      <c r="B26" s="5" t="inlineStr">
        <is>
          <t>WS0052</t>
        </is>
      </c>
      <c r="C26" s="5" t="inlineStr">
        <is>
          <t>2024</t>
        </is>
      </c>
      <c r="D26" s="5" t="inlineStr">
        <is>
          <t>English</t>
        </is>
      </c>
      <c r="E26" s="5" t="inlineStr">
        <is>
          <t>JOUR</t>
        </is>
      </c>
      <c r="F26" s="5" t="inlineStr">
        <is>
          <t>Inggriani</t>
        </is>
      </c>
      <c r="G26" s="5" t="inlineStr">
        <is>
          <t>Reports (MDPI)</t>
        </is>
      </c>
      <c r="H26" s="5" t="inlineStr">
        <is>
          <t>7(3)</t>
        </is>
      </c>
      <c r="I26" s="6" t="inlineStr">
        <is>
          <t>Wandering Spleen Complicated by Thrombocytopenia, Acute Appendicitis, and Sepsis: A Case Report and Literature Review.</t>
        </is>
      </c>
      <c r="J26" s="5" t="inlineStr">
        <is>
          <t>10.3390/reports7030073</t>
        </is>
      </c>
      <c r="K26" s="7" t="inlineStr">
        <is>
          <t>link</t>
        </is>
      </c>
      <c r="L26" s="7" t="inlineStr">
        <is>
          <t>link</t>
        </is>
      </c>
      <c r="M26" s="5" t="inlineStr">
        <is>
          <t>PMC12225254</t>
        </is>
      </c>
      <c r="N26" s="7" t="inlineStr">
        <is>
          <t>link</t>
        </is>
      </c>
      <c r="O26" s="5" t="inlineStr"/>
      <c r="P26" s="5" t="inlineStr"/>
      <c r="Q26" s="5" t="inlineStr"/>
      <c r="R26" s="5" t="inlineStr">
        <is>
          <t>1 PMC record exists</t>
        </is>
      </c>
      <c r="S26" s="5" t="inlineStr"/>
      <c r="T26" s="5" t="inlineStr">
        <is>
          <t>WS0052.pdf</t>
        </is>
      </c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inlineStr">
        <is>
          <t>yes</t>
        </is>
      </c>
    </row>
    <row r="27">
      <c r="A27" s="5" t="n">
        <v>26</v>
      </c>
      <c r="B27" s="5" t="inlineStr">
        <is>
          <t>WS0092</t>
        </is>
      </c>
      <c r="C27" s="5" t="inlineStr">
        <is>
          <t>2024</t>
        </is>
      </c>
      <c r="D27" s="5" t="inlineStr">
        <is>
          <t>English</t>
        </is>
      </c>
      <c r="E27" s="5" t="inlineStr">
        <is>
          <t>JOUR</t>
        </is>
      </c>
      <c r="F27" s="5" t="inlineStr">
        <is>
          <t>Cui</t>
        </is>
      </c>
      <c r="G27" s="5" t="inlineStr">
        <is>
          <t>Frontiers in pediatrics</t>
        </is>
      </c>
      <c r="H27" s="5" t="inlineStr">
        <is>
          <t>12:1429490</t>
        </is>
      </c>
      <c r="I27" s="6" t="inlineStr">
        <is>
          <t>Wandering spleen combined with pedicle torsion and splenic infarction: a rare case report and literature review.</t>
        </is>
      </c>
      <c r="J27" s="5" t="inlineStr">
        <is>
          <t>10.3389/fped.2024.1429490</t>
        </is>
      </c>
      <c r="K27" s="7" t="inlineStr">
        <is>
          <t>link</t>
        </is>
      </c>
      <c r="L27" s="7" t="inlineStr">
        <is>
          <t>link</t>
        </is>
      </c>
      <c r="M27" s="5" t="inlineStr">
        <is>
          <t>PMC11439698</t>
        </is>
      </c>
      <c r="N27" s="7" t="inlineStr">
        <is>
          <t>link</t>
        </is>
      </c>
      <c r="O27" s="5" t="inlineStr"/>
      <c r="P27" s="5" t="inlineStr"/>
      <c r="Q27" s="5" t="inlineStr"/>
      <c r="R27" s="5" t="inlineStr">
        <is>
          <t>1 PMC record exists</t>
        </is>
      </c>
      <c r="S27" s="5" t="inlineStr"/>
      <c r="T27" s="5" t="inlineStr">
        <is>
          <t>WS0092.pdf</t>
        </is>
      </c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inlineStr">
        <is>
          <t>yes</t>
        </is>
      </c>
    </row>
    <row r="28">
      <c r="A28" s="5" t="n">
        <v>27</v>
      </c>
      <c r="B28" s="5" t="inlineStr">
        <is>
          <t>WS0108</t>
        </is>
      </c>
      <c r="C28" s="5" t="inlineStr">
        <is>
          <t>2024</t>
        </is>
      </c>
      <c r="D28" s="5" t="inlineStr">
        <is>
          <t>English</t>
        </is>
      </c>
      <c r="E28" s="5" t="inlineStr">
        <is>
          <t>JOUR</t>
        </is>
      </c>
      <c r="F28" s="5" t="inlineStr">
        <is>
          <t>Ferrara</t>
        </is>
      </c>
      <c r="G28" s="5" t="inlineStr">
        <is>
          <t>Radiology case reports</t>
        </is>
      </c>
      <c r="H28" s="5" t="inlineStr">
        <is>
          <t>19(7):2864-2867</t>
        </is>
      </c>
      <c r="I28" s="6" t="inlineStr">
        <is>
          <t>Volvulus of a wandering spleen in a pediatric patient.</t>
        </is>
      </c>
      <c r="J28" s="5" t="inlineStr">
        <is>
          <t>10.1016/j.radcr.2024.03.004</t>
        </is>
      </c>
      <c r="K28" s="7" t="inlineStr">
        <is>
          <t>link</t>
        </is>
      </c>
      <c r="L28" s="7" t="inlineStr">
        <is>
          <t>link</t>
        </is>
      </c>
      <c r="M28" s="5" t="inlineStr">
        <is>
          <t>PMC11058064</t>
        </is>
      </c>
      <c r="N28" s="7" t="inlineStr">
        <is>
          <t>link</t>
        </is>
      </c>
      <c r="O28" s="5" t="inlineStr"/>
      <c r="P28" s="5" t="inlineStr"/>
      <c r="Q28" s="5" t="inlineStr"/>
      <c r="R28" s="5" t="inlineStr">
        <is>
          <t>1 PMC record exists</t>
        </is>
      </c>
      <c r="S28" s="5" t="inlineStr"/>
      <c r="T28" s="5" t="inlineStr">
        <is>
          <t>WS0108.pdf</t>
        </is>
      </c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inlineStr">
        <is>
          <t>yes</t>
        </is>
      </c>
    </row>
    <row r="29">
      <c r="A29" s="5" t="n">
        <v>28</v>
      </c>
      <c r="B29" s="5" t="inlineStr">
        <is>
          <t>WS0113</t>
        </is>
      </c>
      <c r="C29" s="5" t="inlineStr">
        <is>
          <t>2024</t>
        </is>
      </c>
      <c r="D29" s="5" t="inlineStr">
        <is>
          <t>English</t>
        </is>
      </c>
      <c r="E29" s="5" t="inlineStr">
        <is>
          <t>JOUR</t>
        </is>
      </c>
      <c r="F29" s="5" t="inlineStr">
        <is>
          <t>Xiao</t>
        </is>
      </c>
      <c r="G29" s="5" t="inlineStr">
        <is>
          <t>Frontiers in oncology</t>
        </is>
      </c>
      <c r="H29" s="5" t="inlineStr">
        <is>
          <t>14:1310394</t>
        </is>
      </c>
      <c r="I29" s="6" t="inlineStr">
        <is>
          <t>The imaging features of ectopic spleen: which modality is more consistent? A cases series report and literature reviews.</t>
        </is>
      </c>
      <c r="J29" s="5" t="inlineStr">
        <is>
          <t>10.3389/fonc.2024.1310394</t>
        </is>
      </c>
      <c r="K29" s="7" t="inlineStr">
        <is>
          <t>link</t>
        </is>
      </c>
      <c r="L29" s="7" t="inlineStr">
        <is>
          <t>link</t>
        </is>
      </c>
      <c r="M29" s="5" t="inlineStr">
        <is>
          <t>PMC10961413</t>
        </is>
      </c>
      <c r="N29" s="7" t="inlineStr">
        <is>
          <t>link</t>
        </is>
      </c>
      <c r="O29" s="5" t="inlineStr"/>
      <c r="P29" s="5" t="inlineStr"/>
      <c r="Q29" s="5" t="inlineStr"/>
      <c r="R29" s="5" t="inlineStr">
        <is>
          <t>1 PMC record exists</t>
        </is>
      </c>
      <c r="S29" s="5" t="inlineStr"/>
      <c r="T29" s="5" t="inlineStr">
        <is>
          <t>WS0113.pdf</t>
        </is>
      </c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inlineStr">
        <is>
          <t>yes</t>
        </is>
      </c>
    </row>
    <row r="30">
      <c r="A30" s="5" t="n">
        <v>29</v>
      </c>
      <c r="B30" s="5" t="inlineStr">
        <is>
          <t>WS0114</t>
        </is>
      </c>
      <c r="C30" s="5" t="inlineStr">
        <is>
          <t>2024</t>
        </is>
      </c>
      <c r="D30" s="5" t="inlineStr">
        <is>
          <t>English</t>
        </is>
      </c>
      <c r="E30" s="5" t="inlineStr">
        <is>
          <t>JOUR</t>
        </is>
      </c>
      <c r="F30" s="5" t="inlineStr">
        <is>
          <t>Eleiwi</t>
        </is>
      </c>
      <c r="G30" s="5" t="inlineStr">
        <is>
          <t>Cureus</t>
        </is>
      </c>
      <c r="H30" s="5" t="inlineStr">
        <is>
          <t>16(2):e53552</t>
        </is>
      </c>
      <c r="I30" s="6" t="inlineStr">
        <is>
          <t>Wandering Spleen Torsion: A Diagnostic Challenge.</t>
        </is>
      </c>
      <c r="J30" s="5" t="inlineStr">
        <is>
          <t>10.7759/cureus.53552</t>
        </is>
      </c>
      <c r="K30" s="7" t="inlineStr">
        <is>
          <t>link</t>
        </is>
      </c>
      <c r="L30" s="7" t="inlineStr">
        <is>
          <t>link</t>
        </is>
      </c>
      <c r="M30" s="5" t="inlineStr">
        <is>
          <t>PMC10913703</t>
        </is>
      </c>
      <c r="N30" s="7" t="inlineStr">
        <is>
          <t>link</t>
        </is>
      </c>
      <c r="O30" s="5" t="inlineStr"/>
      <c r="P30" s="5" t="inlineStr"/>
      <c r="Q30" s="5" t="inlineStr"/>
      <c r="R30" s="5" t="inlineStr">
        <is>
          <t>1 PMC record exists</t>
        </is>
      </c>
      <c r="S30" s="5" t="inlineStr"/>
      <c r="T30" s="5" t="inlineStr">
        <is>
          <t>WS0114.pdf</t>
        </is>
      </c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inlineStr">
        <is>
          <t>yes</t>
        </is>
      </c>
    </row>
    <row r="31">
      <c r="A31" s="5" t="n">
        <v>30</v>
      </c>
      <c r="B31" s="5" t="inlineStr">
        <is>
          <t>WS0117</t>
        </is>
      </c>
      <c r="C31" s="5" t="inlineStr">
        <is>
          <t>2024</t>
        </is>
      </c>
      <c r="D31" s="5" t="inlineStr">
        <is>
          <t>English</t>
        </is>
      </c>
      <c r="E31" s="5" t="inlineStr">
        <is>
          <t>JOUR</t>
        </is>
      </c>
      <c r="F31" s="5" t="inlineStr">
        <is>
          <t>Rafei</t>
        </is>
      </c>
      <c r="G31" s="5" t="inlineStr">
        <is>
          <t>Journal of surgical case reports</t>
        </is>
      </c>
      <c r="H31" s="5" t="inlineStr">
        <is>
          <t>2024(2):rjae059</t>
        </is>
      </c>
      <c r="I31" s="6" t="inlineStr">
        <is>
          <t>Laparoscopic exploration of a wandering spleen in a complex adolescent case with sigmoid volvulus and left-side portal hypertension: a case report.</t>
        </is>
      </c>
      <c r="J31" s="5" t="inlineStr">
        <is>
          <t>10.1093/jscr/rjae059</t>
        </is>
      </c>
      <c r="K31" s="7" t="inlineStr">
        <is>
          <t>link</t>
        </is>
      </c>
      <c r="L31" s="7" t="inlineStr">
        <is>
          <t>link</t>
        </is>
      </c>
      <c r="M31" s="5" t="inlineStr">
        <is>
          <t>PMC10871695</t>
        </is>
      </c>
      <c r="N31" s="7" t="inlineStr">
        <is>
          <t>link</t>
        </is>
      </c>
      <c r="O31" s="5" t="inlineStr"/>
      <c r="P31" s="5" t="inlineStr"/>
      <c r="Q31" s="5" t="inlineStr"/>
      <c r="R31" s="5" t="inlineStr">
        <is>
          <t>1 PMC record exists</t>
        </is>
      </c>
      <c r="S31" s="5" t="inlineStr"/>
      <c r="T31" s="5" t="inlineStr">
        <is>
          <t>WS0117.pdf</t>
        </is>
      </c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inlineStr">
        <is>
          <t>yes</t>
        </is>
      </c>
    </row>
    <row r="32">
      <c r="A32" s="5" t="n">
        <v>31</v>
      </c>
      <c r="B32" s="5" t="inlineStr">
        <is>
          <t>WS0122</t>
        </is>
      </c>
      <c r="C32" s="5" t="inlineStr">
        <is>
          <t>2023</t>
        </is>
      </c>
      <c r="D32" s="5" t="inlineStr">
        <is>
          <t>English</t>
        </is>
      </c>
      <c r="E32" s="5" t="inlineStr">
        <is>
          <t>JOUR</t>
        </is>
      </c>
      <c r="F32" s="5" t="inlineStr">
        <is>
          <t>Ghasemi</t>
        </is>
      </c>
      <c r="G32" s="5" t="inlineStr">
        <is>
          <t>Clinical case reports</t>
        </is>
      </c>
      <c r="H32" s="5" t="inlineStr">
        <is>
          <t>11(12):e8270</t>
        </is>
      </c>
      <c r="I32" s="6" t="inlineStr">
        <is>
          <t>Wandering spleen; a rare clinical presentation of chronic pain with acute torsion.</t>
        </is>
      </c>
      <c r="J32" s="5" t="inlineStr">
        <is>
          <t>10.1002/ccr3.8270</t>
        </is>
      </c>
      <c r="K32" s="7" t="inlineStr">
        <is>
          <t>link</t>
        </is>
      </c>
      <c r="L32" s="7" t="inlineStr">
        <is>
          <t>link</t>
        </is>
      </c>
      <c r="M32" s="5" t="inlineStr">
        <is>
          <t>PMC10682236</t>
        </is>
      </c>
      <c r="N32" s="7" t="inlineStr">
        <is>
          <t>link</t>
        </is>
      </c>
      <c r="O32" s="5" t="inlineStr"/>
      <c r="P32" s="5" t="inlineStr"/>
      <c r="Q32" s="5" t="inlineStr"/>
      <c r="R32" s="5" t="inlineStr">
        <is>
          <t>1 PMC record exists</t>
        </is>
      </c>
      <c r="S32" s="5" t="inlineStr"/>
      <c r="T32" s="5" t="inlineStr">
        <is>
          <t>WS0122.pdf</t>
        </is>
      </c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inlineStr">
        <is>
          <t>yes</t>
        </is>
      </c>
    </row>
    <row r="33">
      <c r="A33" s="5" t="n">
        <v>32</v>
      </c>
      <c r="B33" s="5" t="inlineStr">
        <is>
          <t>WS0141</t>
        </is>
      </c>
      <c r="C33" s="5" t="inlineStr">
        <is>
          <t>2023</t>
        </is>
      </c>
      <c r="D33" s="5" t="inlineStr">
        <is>
          <t>English</t>
        </is>
      </c>
      <c r="E33" s="5" t="inlineStr">
        <is>
          <t>JOUR</t>
        </is>
      </c>
      <c r="F33" s="5" t="inlineStr">
        <is>
          <t>Bhambu</t>
        </is>
      </c>
      <c r="G33" s="5" t="inlineStr">
        <is>
          <t>Cureus</t>
        </is>
      </c>
      <c r="H33" s="5" t="inlineStr">
        <is>
          <t>15(5):e38386</t>
        </is>
      </c>
      <c r="I33" s="6" t="inlineStr">
        <is>
          <t>Acute Gastric Volvulus With Wandering Spleen in a Two-Year-Old Child: A Rare Association.</t>
        </is>
      </c>
      <c r="J33" s="5" t="inlineStr">
        <is>
          <t>10.7759/cureus.38386</t>
        </is>
      </c>
      <c r="K33" s="7" t="inlineStr">
        <is>
          <t>link</t>
        </is>
      </c>
      <c r="L33" s="7" t="inlineStr">
        <is>
          <t>link</t>
        </is>
      </c>
      <c r="M33" s="5" t="inlineStr">
        <is>
          <t>PMC10231407</t>
        </is>
      </c>
      <c r="N33" s="7" t="inlineStr">
        <is>
          <t>link</t>
        </is>
      </c>
      <c r="O33" s="5" t="inlineStr"/>
      <c r="P33" s="5" t="inlineStr"/>
      <c r="Q33" s="5" t="inlineStr"/>
      <c r="R33" s="5" t="inlineStr">
        <is>
          <t>1 PMC record exists</t>
        </is>
      </c>
      <c r="S33" s="5" t="inlineStr"/>
      <c r="T33" s="5" t="inlineStr">
        <is>
          <t>WS0141.pdf</t>
        </is>
      </c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inlineStr">
        <is>
          <t>yes</t>
        </is>
      </c>
    </row>
    <row r="34">
      <c r="A34" s="5" t="n">
        <v>33</v>
      </c>
      <c r="B34" s="5" t="inlineStr">
        <is>
          <t>WS0142</t>
        </is>
      </c>
      <c r="C34" s="5" t="inlineStr">
        <is>
          <t>2023</t>
        </is>
      </c>
      <c r="D34" s="5" t="inlineStr">
        <is>
          <t>English</t>
        </is>
      </c>
      <c r="E34" s="5" t="inlineStr">
        <is>
          <t>JOUR</t>
        </is>
      </c>
      <c r="F34" s="5" t="inlineStr">
        <is>
          <t>Ahmad</t>
        </is>
      </c>
      <c r="G34" s="5" t="inlineStr">
        <is>
          <t>International journal of surgery case reports</t>
        </is>
      </c>
      <c r="H34" s="5" t="inlineStr">
        <is>
          <t>107:108319</t>
        </is>
      </c>
      <c r="I34" s="6" t="inlineStr">
        <is>
          <t>A wandering spleen with 720 degrees torsion and persistent ascending and descending mesocolon in a 5-year-old Syrian male: A case report.</t>
        </is>
      </c>
      <c r="J34" s="5" t="inlineStr">
        <is>
          <t>10.1016/j.ijscr.2023.108319</t>
        </is>
      </c>
      <c r="K34" s="7" t="inlineStr">
        <is>
          <t>link</t>
        </is>
      </c>
      <c r="L34" s="7" t="inlineStr">
        <is>
          <t>link</t>
        </is>
      </c>
      <c r="M34" s="5" t="inlineStr">
        <is>
          <t>PMC10310902</t>
        </is>
      </c>
      <c r="N34" s="7" t="inlineStr">
        <is>
          <t>link</t>
        </is>
      </c>
      <c r="O34" s="5" t="inlineStr"/>
      <c r="P34" s="5" t="inlineStr"/>
      <c r="Q34" s="5" t="inlineStr"/>
      <c r="R34" s="5" t="inlineStr">
        <is>
          <t>1 PMC record exists</t>
        </is>
      </c>
      <c r="S34" s="5" t="inlineStr"/>
      <c r="T34" s="5" t="inlineStr">
        <is>
          <t>WS0142.pdf</t>
        </is>
      </c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inlineStr">
        <is>
          <t>yes</t>
        </is>
      </c>
    </row>
    <row r="35">
      <c r="A35" s="5" t="n">
        <v>34</v>
      </c>
      <c r="B35" s="5" t="inlineStr">
        <is>
          <t>WS0151</t>
        </is>
      </c>
      <c r="C35" s="5" t="inlineStr">
        <is>
          <t>2023</t>
        </is>
      </c>
      <c r="D35" s="5" t="inlineStr">
        <is>
          <t>English</t>
        </is>
      </c>
      <c r="E35" s="5" t="inlineStr">
        <is>
          <t>JOUR</t>
        </is>
      </c>
      <c r="F35" s="5" t="inlineStr">
        <is>
          <t>Moore</t>
        </is>
      </c>
      <c r="G35" s="5" t="inlineStr">
        <is>
          <t>Annals of the Royal College of Surgeons of England</t>
        </is>
      </c>
      <c r="H35" s="5" t="inlineStr">
        <is>
          <t>105(6):501-506</t>
        </is>
      </c>
      <c r="I35" s="6" t="inlineStr">
        <is>
          <t>Gastric outlet obstruction secondary to a wandering spleen: systematic review and surgical management of a case.</t>
        </is>
      </c>
      <c r="J35" s="5" t="inlineStr">
        <is>
          <t>10.1308/rcsann.2022.0149</t>
        </is>
      </c>
      <c r="K35" s="7" t="inlineStr">
        <is>
          <t>link</t>
        </is>
      </c>
      <c r="L35" s="7" t="inlineStr">
        <is>
          <t>link</t>
        </is>
      </c>
      <c r="M35" s="5" t="inlineStr">
        <is>
          <t>PMC10313450</t>
        </is>
      </c>
      <c r="N35" s="7" t="inlineStr">
        <is>
          <t>link</t>
        </is>
      </c>
      <c r="O35" s="5" t="inlineStr"/>
      <c r="P35" s="5" t="inlineStr"/>
      <c r="Q35" s="5" t="inlineStr"/>
      <c r="R35" s="5" t="inlineStr">
        <is>
          <t>1 PMC record exists</t>
        </is>
      </c>
      <c r="S35" s="5" t="inlineStr"/>
      <c r="T35" s="5" t="inlineStr">
        <is>
          <t>WS0151.pdf</t>
        </is>
      </c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inlineStr">
        <is>
          <t>yes</t>
        </is>
      </c>
    </row>
    <row r="36">
      <c r="A36" s="5" t="n">
        <v>35</v>
      </c>
      <c r="B36" s="5" t="inlineStr">
        <is>
          <t>WS0150</t>
        </is>
      </c>
      <c r="C36" s="5" t="inlineStr">
        <is>
          <t>2022</t>
        </is>
      </c>
      <c r="D36" s="5" t="inlineStr">
        <is>
          <t>English</t>
        </is>
      </c>
      <c r="E36" s="5" t="inlineStr">
        <is>
          <t>JOUR</t>
        </is>
      </c>
      <c r="F36" s="5" t="inlineStr">
        <is>
          <t>Infantino</t>
        </is>
      </c>
      <c r="G36" s="5" t="inlineStr">
        <is>
          <t>Frontiers in pediatrics</t>
        </is>
      </c>
      <c r="H36" s="5" t="inlineStr">
        <is>
          <t>10:936732</t>
        </is>
      </c>
      <c r="I36" s="6" t="inlineStr">
        <is>
          <t>Case Report: Gut and spleen anomalies associated with DYRK1A syndrome.</t>
        </is>
      </c>
      <c r="J36" s="5" t="inlineStr">
        <is>
          <t>10.3389/fped.2022.936732</t>
        </is>
      </c>
      <c r="K36" s="7" t="inlineStr">
        <is>
          <t>link</t>
        </is>
      </c>
      <c r="L36" s="7" t="inlineStr">
        <is>
          <t>link</t>
        </is>
      </c>
      <c r="M36" s="5" t="inlineStr">
        <is>
          <t>PMC9890171</t>
        </is>
      </c>
      <c r="N36" s="7" t="inlineStr">
        <is>
          <t>link</t>
        </is>
      </c>
      <c r="O36" s="5" t="inlineStr"/>
      <c r="P36" s="5" t="inlineStr"/>
      <c r="Q36" s="5" t="inlineStr"/>
      <c r="R36" s="5" t="inlineStr">
        <is>
          <t>1 PMC record exists</t>
        </is>
      </c>
      <c r="S36" s="5" t="inlineStr"/>
      <c r="T36" s="5" t="inlineStr">
        <is>
          <t>WS0150.pdf</t>
        </is>
      </c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inlineStr">
        <is>
          <t>yes</t>
        </is>
      </c>
    </row>
    <row r="37">
      <c r="A37" s="5" t="n">
        <v>36</v>
      </c>
      <c r="B37" s="5" t="inlineStr">
        <is>
          <t>WS0156</t>
        </is>
      </c>
      <c r="C37" s="5" t="inlineStr">
        <is>
          <t>2022</t>
        </is>
      </c>
      <c r="D37" s="5" t="inlineStr">
        <is>
          <t>English</t>
        </is>
      </c>
      <c r="E37" s="5" t="inlineStr">
        <is>
          <t>JOUR</t>
        </is>
      </c>
      <c r="F37" s="5" t="inlineStr">
        <is>
          <t>Ahmed</t>
        </is>
      </c>
      <c r="G37" s="5" t="inlineStr">
        <is>
          <t>International medical case reports journal</t>
        </is>
      </c>
      <c r="H37" s="5" t="inlineStr">
        <is>
          <t>15:625-630</t>
        </is>
      </c>
      <c r="I37" s="6" t="inlineStr">
        <is>
          <t>Wandering Spleen with Splenic Torsion: Unusual Cause of Acute Abdomen.</t>
        </is>
      </c>
      <c r="J37" s="5" t="inlineStr">
        <is>
          <t>10.2147/imcrj.s388271</t>
        </is>
      </c>
      <c r="K37" s="7" t="inlineStr">
        <is>
          <t>link</t>
        </is>
      </c>
      <c r="L37" s="7" t="inlineStr">
        <is>
          <t>link</t>
        </is>
      </c>
      <c r="M37" s="5" t="inlineStr">
        <is>
          <t>PMC9642092</t>
        </is>
      </c>
      <c r="N37" s="7" t="inlineStr">
        <is>
          <t>link</t>
        </is>
      </c>
      <c r="O37" s="5" t="inlineStr"/>
      <c r="P37" s="5" t="inlineStr"/>
      <c r="Q37" s="5" t="inlineStr"/>
      <c r="R37" s="5" t="inlineStr">
        <is>
          <t>1 PMC record exists</t>
        </is>
      </c>
      <c r="S37" s="5" t="inlineStr"/>
      <c r="T37" s="5" t="inlineStr">
        <is>
          <t>WS0156.pdf</t>
        </is>
      </c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inlineStr">
        <is>
          <t>yes</t>
        </is>
      </c>
    </row>
    <row r="38">
      <c r="A38" s="5" t="n">
        <v>37</v>
      </c>
      <c r="B38" s="5" t="inlineStr">
        <is>
          <t>WS0159</t>
        </is>
      </c>
      <c r="C38" s="5" t="inlineStr">
        <is>
          <t>2022</t>
        </is>
      </c>
      <c r="D38" s="5" t="inlineStr">
        <is>
          <t>English</t>
        </is>
      </c>
      <c r="E38" s="5" t="inlineStr">
        <is>
          <t>JOUR</t>
        </is>
      </c>
      <c r="F38" s="5" t="inlineStr">
        <is>
          <t>Demir</t>
        </is>
      </c>
      <c r="G38" s="5" t="inlineStr">
        <is>
          <t>Sisli Etfal Hastanesi tip bulteni</t>
        </is>
      </c>
      <c r="H38" s="5" t="inlineStr">
        <is>
          <t>56(3):435-438</t>
        </is>
      </c>
      <c r="I38" s="6" t="inlineStr">
        <is>
          <t>The Cause of an Unusual Abdominal Pain in Children: Splenic Torsiyon - Three Case Report.</t>
        </is>
      </c>
      <c r="J38" s="5" t="inlineStr">
        <is>
          <t>10.14744/semb.2021.64872</t>
        </is>
      </c>
      <c r="K38" s="7" t="inlineStr">
        <is>
          <t>link</t>
        </is>
      </c>
      <c r="L38" s="7" t="inlineStr">
        <is>
          <t>link</t>
        </is>
      </c>
      <c r="M38" s="5" t="inlineStr">
        <is>
          <t>PMC9580979</t>
        </is>
      </c>
      <c r="N38" s="7" t="inlineStr">
        <is>
          <t>link</t>
        </is>
      </c>
      <c r="O38" s="5" t="inlineStr"/>
      <c r="P38" s="5" t="inlineStr"/>
      <c r="Q38" s="5" t="inlineStr"/>
      <c r="R38" s="5" t="inlineStr">
        <is>
          <t>1 PMC record exists</t>
        </is>
      </c>
      <c r="S38" s="5" t="inlineStr"/>
      <c r="T38" s="5" t="inlineStr">
        <is>
          <t>WS0159.pdf</t>
        </is>
      </c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inlineStr">
        <is>
          <t>yes</t>
        </is>
      </c>
    </row>
    <row r="39">
      <c r="A39" s="5" t="n">
        <v>38</v>
      </c>
      <c r="B39" s="5" t="inlineStr">
        <is>
          <t>WS0160</t>
        </is>
      </c>
      <c r="C39" s="5" t="inlineStr">
        <is>
          <t>2022</t>
        </is>
      </c>
      <c r="D39" s="5" t="inlineStr">
        <is>
          <t>English</t>
        </is>
      </c>
      <c r="E39" s="5" t="inlineStr">
        <is>
          <t>JOUR</t>
        </is>
      </c>
      <c r="F39" s="5" t="inlineStr">
        <is>
          <t>Ikeda</t>
        </is>
      </c>
      <c r="G39" s="5" t="inlineStr">
        <is>
          <t>Journal of surgical case reports</t>
        </is>
      </c>
      <c r="H39" s="5" t="inlineStr">
        <is>
          <t>2022(10):rjac483</t>
        </is>
      </c>
      <c r="I39" s="6" t="inlineStr">
        <is>
          <t>Successful laparoscopic-assisted partial splenectomy and splenopexy with umbilical approach to wandering spleen with an enlarged cyst in a pediatric patient.</t>
        </is>
      </c>
      <c r="J39" s="5" t="inlineStr">
        <is>
          <t>10.1093/jscr/rjac483</t>
        </is>
      </c>
      <c r="K39" s="7" t="inlineStr">
        <is>
          <t>link</t>
        </is>
      </c>
      <c r="L39" s="7" t="inlineStr">
        <is>
          <t>link</t>
        </is>
      </c>
      <c r="M39" s="5" t="inlineStr">
        <is>
          <t>PMC9584345</t>
        </is>
      </c>
      <c r="N39" s="7" t="inlineStr">
        <is>
          <t>link</t>
        </is>
      </c>
      <c r="O39" s="5" t="inlineStr"/>
      <c r="P39" s="5" t="inlineStr"/>
      <c r="Q39" s="5" t="inlineStr"/>
      <c r="R39" s="5" t="inlineStr">
        <is>
          <t>1 PMC record exists</t>
        </is>
      </c>
      <c r="S39" s="5" t="inlineStr"/>
      <c r="T39" s="5" t="inlineStr">
        <is>
          <t>WS0160.pdf</t>
        </is>
      </c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inlineStr">
        <is>
          <t>yes</t>
        </is>
      </c>
    </row>
    <row r="40">
      <c r="A40" s="5" t="n">
        <v>39</v>
      </c>
      <c r="B40" s="5" t="inlineStr">
        <is>
          <t>WS0161</t>
        </is>
      </c>
      <c r="C40" s="5" t="inlineStr">
        <is>
          <t>2022</t>
        </is>
      </c>
      <c r="D40" s="5" t="inlineStr">
        <is>
          <t>English</t>
        </is>
      </c>
      <c r="E40" s="5" t="inlineStr">
        <is>
          <t>JOUR</t>
        </is>
      </c>
      <c r="F40" s="5" t="inlineStr">
        <is>
          <t>Korbi</t>
        </is>
      </c>
      <c r="G40" s="5" t="inlineStr">
        <is>
          <t>International journal of surgery case reports</t>
        </is>
      </c>
      <c r="H40" s="5" t="inlineStr">
        <is>
          <t>99:107719</t>
        </is>
      </c>
      <c r="I40" s="6" t="inlineStr">
        <is>
          <t>Splenectomy for wandering splenomegaly in a patient with idiopathic thrombocytopenic purpura: A case report of a rare association.</t>
        </is>
      </c>
      <c r="J40" s="5" t="inlineStr">
        <is>
          <t>10.1016/j.ijscr.2022.107719</t>
        </is>
      </c>
      <c r="K40" s="7" t="inlineStr">
        <is>
          <t>link</t>
        </is>
      </c>
      <c r="L40" s="7" t="inlineStr">
        <is>
          <t>link</t>
        </is>
      </c>
      <c r="M40" s="5" t="inlineStr">
        <is>
          <t>PMC9568874</t>
        </is>
      </c>
      <c r="N40" s="7" t="inlineStr">
        <is>
          <t>link</t>
        </is>
      </c>
      <c r="O40" s="5" t="inlineStr"/>
      <c r="P40" s="5" t="inlineStr"/>
      <c r="Q40" s="5" t="inlineStr"/>
      <c r="R40" s="5" t="inlineStr">
        <is>
          <t>1 PMC record exists</t>
        </is>
      </c>
      <c r="S40" s="5" t="inlineStr"/>
      <c r="T40" s="5" t="inlineStr">
        <is>
          <t>WS0161.pdf</t>
        </is>
      </c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inlineStr">
        <is>
          <t>yes</t>
        </is>
      </c>
    </row>
    <row r="41">
      <c r="A41" s="5" t="n">
        <v>40</v>
      </c>
      <c r="B41" s="5" t="inlineStr">
        <is>
          <t>WS0164</t>
        </is>
      </c>
      <c r="C41" s="5" t="inlineStr">
        <is>
          <t>2022</t>
        </is>
      </c>
      <c r="D41" s="5" t="inlineStr">
        <is>
          <t>English</t>
        </is>
      </c>
      <c r="E41" s="5" t="inlineStr">
        <is>
          <t>JOUR</t>
        </is>
      </c>
      <c r="F41" s="5" t="inlineStr">
        <is>
          <t>Oyachi</t>
        </is>
      </c>
      <c r="G41" s="5" t="inlineStr">
        <is>
          <t>Surgical case reports</t>
        </is>
      </c>
      <c r="H41" s="5" t="inlineStr">
        <is>
          <t>8(1):178</t>
        </is>
      </c>
      <c r="I41" s="6" t="inlineStr">
        <is>
          <t>Volvulus of the stomach and wandering spleen after repair of congenital diaphragmatic hernia: unexpected manifestations in a neonate.</t>
        </is>
      </c>
      <c r="J41" s="5" t="inlineStr">
        <is>
          <t>10.1186/s40792-022-01537-z</t>
        </is>
      </c>
      <c r="K41" s="7" t="inlineStr">
        <is>
          <t>link</t>
        </is>
      </c>
      <c r="L41" s="7" t="inlineStr">
        <is>
          <t>link</t>
        </is>
      </c>
      <c r="M41" s="5" t="inlineStr">
        <is>
          <t>PMC9500137</t>
        </is>
      </c>
      <c r="N41" s="7" t="inlineStr">
        <is>
          <t>link</t>
        </is>
      </c>
      <c r="O41" s="5" t="inlineStr"/>
      <c r="P41" s="5" t="inlineStr"/>
      <c r="Q41" s="5" t="inlineStr"/>
      <c r="R41" s="5" t="inlineStr">
        <is>
          <t>1 PMC record exists</t>
        </is>
      </c>
      <c r="S41" s="5" t="inlineStr"/>
      <c r="T41" s="5" t="inlineStr">
        <is>
          <t>WS0164.pdf</t>
        </is>
      </c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inlineStr">
        <is>
          <t>yes</t>
        </is>
      </c>
    </row>
    <row r="42">
      <c r="A42" s="5" t="n">
        <v>41</v>
      </c>
      <c r="B42" s="5" t="inlineStr">
        <is>
          <t>WS0172</t>
        </is>
      </c>
      <c r="C42" s="5" t="inlineStr">
        <is>
          <t>2022</t>
        </is>
      </c>
      <c r="D42" s="5" t="inlineStr">
        <is>
          <t>English</t>
        </is>
      </c>
      <c r="E42" s="5" t="inlineStr">
        <is>
          <t>JOUR</t>
        </is>
      </c>
      <c r="F42" s="5" t="inlineStr">
        <is>
          <t>Lugo-Fagundo</t>
        </is>
      </c>
      <c r="G42" s="5" t="inlineStr">
        <is>
          <t>Radiology case reports</t>
        </is>
      </c>
      <c r="H42" s="5" t="inlineStr">
        <is>
          <t>17(9):3377-3379</t>
        </is>
      </c>
      <c r="I42" s="6" t="inlineStr">
        <is>
          <t>Wandering spleen with torsion and infarction: A case report.</t>
        </is>
      </c>
      <c r="J42" s="5" t="inlineStr">
        <is>
          <t>10.1016/j.radcr.2022.06.073</t>
        </is>
      </c>
      <c r="K42" s="7" t="inlineStr">
        <is>
          <t>link</t>
        </is>
      </c>
      <c r="L42" s="7" t="inlineStr">
        <is>
          <t>link</t>
        </is>
      </c>
      <c r="M42" s="5" t="inlineStr">
        <is>
          <t>PMC9304641</t>
        </is>
      </c>
      <c r="N42" s="7" t="inlineStr">
        <is>
          <t>link</t>
        </is>
      </c>
      <c r="O42" s="5" t="inlineStr"/>
      <c r="P42" s="5" t="inlineStr"/>
      <c r="Q42" s="5" t="inlineStr"/>
      <c r="R42" s="5" t="inlineStr">
        <is>
          <t>1 PMC record exists</t>
        </is>
      </c>
      <c r="S42" s="5" t="inlineStr"/>
      <c r="T42" s="5" t="inlineStr">
        <is>
          <t>WS0172.pdf</t>
        </is>
      </c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inlineStr">
        <is>
          <t>yes</t>
        </is>
      </c>
    </row>
    <row r="43">
      <c r="A43" s="5" t="n">
        <v>42</v>
      </c>
      <c r="B43" s="5" t="inlineStr">
        <is>
          <t>WS0173</t>
        </is>
      </c>
      <c r="C43" s="5" t="inlineStr">
        <is>
          <t>2022</t>
        </is>
      </c>
      <c r="D43" s="5" t="inlineStr">
        <is>
          <t>English</t>
        </is>
      </c>
      <c r="E43" s="5" t="inlineStr">
        <is>
          <t>JOUR</t>
        </is>
      </c>
      <c r="F43" s="5" t="inlineStr">
        <is>
          <t>Wang</t>
        </is>
      </c>
      <c r="G43" s="5" t="inlineStr">
        <is>
          <t>BMC pediatrics</t>
        </is>
      </c>
      <c r="H43" s="5" t="inlineStr">
        <is>
          <t>22(1):440</t>
        </is>
      </c>
      <c r="I43" s="6" t="inlineStr">
        <is>
          <t>Diagnosis and treatment of splenic torsion in children: preoperative thrombocytosis predicts splenic infarction.</t>
        </is>
      </c>
      <c r="J43" s="5" t="inlineStr">
        <is>
          <t>10.1186/s12887-022-03484-y</t>
        </is>
      </c>
      <c r="K43" s="7" t="inlineStr">
        <is>
          <t>link</t>
        </is>
      </c>
      <c r="L43" s="7" t="inlineStr">
        <is>
          <t>link</t>
        </is>
      </c>
      <c r="M43" s="5" t="inlineStr">
        <is>
          <t>PMC9306085</t>
        </is>
      </c>
      <c r="N43" s="7" t="inlineStr">
        <is>
          <t>link</t>
        </is>
      </c>
      <c r="O43" s="5" t="inlineStr"/>
      <c r="P43" s="5" t="inlineStr"/>
      <c r="Q43" s="5" t="inlineStr"/>
      <c r="R43" s="5" t="inlineStr">
        <is>
          <t>1 PMC record exists</t>
        </is>
      </c>
      <c r="S43" s="5" t="inlineStr"/>
      <c r="T43" s="5" t="inlineStr">
        <is>
          <t>WS0173.pdf</t>
        </is>
      </c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inlineStr">
        <is>
          <t>yes</t>
        </is>
      </c>
    </row>
    <row r="44">
      <c r="A44" s="5" t="n">
        <v>43</v>
      </c>
      <c r="B44" s="5" t="inlineStr">
        <is>
          <t>WS0176</t>
        </is>
      </c>
      <c r="C44" s="5" t="inlineStr">
        <is>
          <t>2022</t>
        </is>
      </c>
      <c r="D44" s="5" t="inlineStr">
        <is>
          <t>English</t>
        </is>
      </c>
      <c r="E44" s="5" t="inlineStr">
        <is>
          <t>JOUR</t>
        </is>
      </c>
      <c r="F44" s="5" t="inlineStr">
        <is>
          <t>Bairwa</t>
        </is>
      </c>
      <c r="G44" s="5" t="inlineStr">
        <is>
          <t>Archive of clinical cases</t>
        </is>
      </c>
      <c r="H44" s="5" t="inlineStr">
        <is>
          <t>9(2):56-61</t>
        </is>
      </c>
      <c r="I44" s="6" t="inlineStr">
        <is>
          <t>Wandering spleen with torsion: a rare cause of acute abdomen in a 14-year-old girl.</t>
        </is>
      </c>
      <c r="J44" s="5" t="inlineStr">
        <is>
          <t>10.22551/2022.35.0902.10204</t>
        </is>
      </c>
      <c r="K44" s="7" t="inlineStr">
        <is>
          <t>link</t>
        </is>
      </c>
      <c r="L44" s="7" t="inlineStr">
        <is>
          <t>link</t>
        </is>
      </c>
      <c r="M44" s="5" t="inlineStr">
        <is>
          <t>PMC9262086</t>
        </is>
      </c>
      <c r="N44" s="7" t="inlineStr">
        <is>
          <t>link</t>
        </is>
      </c>
      <c r="O44" s="5" t="inlineStr"/>
      <c r="P44" s="5" t="inlineStr"/>
      <c r="Q44" s="5" t="inlineStr"/>
      <c r="R44" s="5" t="inlineStr">
        <is>
          <t>1 PMC record exists</t>
        </is>
      </c>
      <c r="S44" s="5" t="inlineStr"/>
      <c r="T44" s="5" t="inlineStr">
        <is>
          <t>WS0176.pdf</t>
        </is>
      </c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inlineStr">
        <is>
          <t>yes</t>
        </is>
      </c>
    </row>
    <row r="45">
      <c r="A45" s="5" t="n">
        <v>44</v>
      </c>
      <c r="B45" s="5" t="inlineStr">
        <is>
          <t>WS0182</t>
        </is>
      </c>
      <c r="C45" s="5" t="inlineStr">
        <is>
          <t>2022</t>
        </is>
      </c>
      <c r="D45" s="5" t="inlineStr">
        <is>
          <t>English</t>
        </is>
      </c>
      <c r="E45" s="5" t="inlineStr">
        <is>
          <t>JOUR</t>
        </is>
      </c>
      <c r="F45" s="5" t="inlineStr">
        <is>
          <t>Petroianu</t>
        </is>
      </c>
      <c r="G45" s="5" t="inlineStr">
        <is>
          <t>Jornal vascular brasileiro</t>
        </is>
      </c>
      <c r="H45" s="5" t="inlineStr">
        <is>
          <t>21:e20210191</t>
        </is>
      </c>
      <c r="I45" s="6" t="inlineStr">
        <is>
          <t>The left gastro-omental vessels are able to maintain the entire spleen blood supply.</t>
        </is>
      </c>
      <c r="J45" s="5" t="inlineStr">
        <is>
          <t>10.1590/1677-5449.20210178</t>
        </is>
      </c>
      <c r="K45" s="7" t="inlineStr">
        <is>
          <t>link</t>
        </is>
      </c>
      <c r="L45" s="7" t="inlineStr">
        <is>
          <t>link</t>
        </is>
      </c>
      <c r="M45" s="5" t="inlineStr">
        <is>
          <t>PMC9083538</t>
        </is>
      </c>
      <c r="N45" s="7" t="inlineStr">
        <is>
          <t>link</t>
        </is>
      </c>
      <c r="O45" s="5" t="inlineStr"/>
      <c r="P45" s="5" t="inlineStr"/>
      <c r="Q45" s="5" t="inlineStr"/>
      <c r="R45" s="5" t="inlineStr">
        <is>
          <t>1 PMC record exists</t>
        </is>
      </c>
      <c r="S45" s="5" t="inlineStr"/>
      <c r="T45" s="5" t="inlineStr">
        <is>
          <t>WS0182.pdf</t>
        </is>
      </c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inlineStr">
        <is>
          <t>yes</t>
        </is>
      </c>
    </row>
    <row r="46">
      <c r="A46" s="5" t="n">
        <v>45</v>
      </c>
      <c r="B46" s="5" t="inlineStr">
        <is>
          <t>WS0183</t>
        </is>
      </c>
      <c r="C46" s="5" t="inlineStr">
        <is>
          <t>2022</t>
        </is>
      </c>
      <c r="D46" s="5" t="inlineStr">
        <is>
          <t>English</t>
        </is>
      </c>
      <c r="E46" s="5" t="inlineStr">
        <is>
          <t>JOUR</t>
        </is>
      </c>
      <c r="F46" s="5" t="inlineStr">
        <is>
          <t>Draghmeh</t>
        </is>
      </c>
      <c r="G46" s="5" t="inlineStr">
        <is>
          <t>Radiology case reports</t>
        </is>
      </c>
      <c r="H46" s="5" t="inlineStr">
        <is>
          <t>17(7):2373-2377</t>
        </is>
      </c>
      <c r="I46" s="6" t="inlineStr">
        <is>
          <t>Wandering spleen torsion in a patient with polysplenia syndrome.</t>
        </is>
      </c>
      <c r="J46" s="5" t="inlineStr">
        <is>
          <t>10.1016/j.radcr.2022.04.009</t>
        </is>
      </c>
      <c r="K46" s="7" t="inlineStr">
        <is>
          <t>link</t>
        </is>
      </c>
      <c r="L46" s="7" t="inlineStr">
        <is>
          <t>link</t>
        </is>
      </c>
      <c r="M46" s="5" t="inlineStr">
        <is>
          <t>PMC9096468</t>
        </is>
      </c>
      <c r="N46" s="7" t="inlineStr">
        <is>
          <t>link</t>
        </is>
      </c>
      <c r="O46" s="5" t="inlineStr"/>
      <c r="P46" s="5" t="inlineStr"/>
      <c r="Q46" s="5" t="inlineStr"/>
      <c r="R46" s="5" t="inlineStr">
        <is>
          <t>1 PMC record exists</t>
        </is>
      </c>
      <c r="S46" s="5" t="inlineStr"/>
      <c r="T46" s="5" t="inlineStr">
        <is>
          <t>WS0183.pdf</t>
        </is>
      </c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inlineStr">
        <is>
          <t>yes</t>
        </is>
      </c>
    </row>
    <row r="47">
      <c r="A47" s="5" t="n">
        <v>46</v>
      </c>
      <c r="B47" s="5" t="inlineStr">
        <is>
          <t>WS0188</t>
        </is>
      </c>
      <c r="C47" s="5" t="inlineStr">
        <is>
          <t>2022</t>
        </is>
      </c>
      <c r="D47" s="5" t="inlineStr">
        <is>
          <t>English</t>
        </is>
      </c>
      <c r="E47" s="5" t="inlineStr">
        <is>
          <t>JOUR</t>
        </is>
      </c>
      <c r="F47" s="5" t="inlineStr">
        <is>
          <t>Tang</t>
        </is>
      </c>
      <c r="G47" s="5" t="inlineStr">
        <is>
          <t>Radiology case reports</t>
        </is>
      </c>
      <c r="H47" s="5" t="inlineStr">
        <is>
          <t>17(5):1794-1797</t>
        </is>
      </c>
      <c r="I47" s="6" t="inlineStr">
        <is>
          <t>Torsed wandering spleen as a cause of recurrent abdominal pain in a child.</t>
        </is>
      </c>
      <c r="J47" s="5" t="inlineStr">
        <is>
          <t>10.1016/j.radcr.2022.03.017</t>
        </is>
      </c>
      <c r="K47" s="7" t="inlineStr">
        <is>
          <t>link</t>
        </is>
      </c>
      <c r="L47" s="7" t="inlineStr">
        <is>
          <t>link</t>
        </is>
      </c>
      <c r="M47" s="5" t="inlineStr">
        <is>
          <t>PMC8965025</t>
        </is>
      </c>
      <c r="N47" s="7" t="inlineStr">
        <is>
          <t>link</t>
        </is>
      </c>
      <c r="O47" s="5" t="inlineStr"/>
      <c r="P47" s="5" t="inlineStr"/>
      <c r="Q47" s="5" t="inlineStr"/>
      <c r="R47" s="5" t="inlineStr">
        <is>
          <t>1 PMC record exists</t>
        </is>
      </c>
      <c r="S47" s="5" t="inlineStr"/>
      <c r="T47" s="5" t="inlineStr">
        <is>
          <t>WS0188.pdf</t>
        </is>
      </c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inlineStr">
        <is>
          <t>yes</t>
        </is>
      </c>
    </row>
    <row r="48">
      <c r="A48" s="5" t="n">
        <v>47</v>
      </c>
      <c r="B48" s="5" t="inlineStr">
        <is>
          <t>WS0193</t>
        </is>
      </c>
      <c r="C48" s="5" t="inlineStr">
        <is>
          <t>2022</t>
        </is>
      </c>
      <c r="D48" s="5" t="inlineStr">
        <is>
          <t>English</t>
        </is>
      </c>
      <c r="E48" s="5" t="inlineStr">
        <is>
          <t>JOUR</t>
        </is>
      </c>
      <c r="F48" s="5" t="inlineStr">
        <is>
          <t>Petroianu</t>
        </is>
      </c>
      <c r="G48" s="5" t="inlineStr">
        <is>
          <t>Journal of surgical case reports</t>
        </is>
      </c>
      <c r="H48" s="5" t="inlineStr">
        <is>
          <t>2022(1):rjab558</t>
        </is>
      </c>
      <c r="I48" s="6" t="inlineStr">
        <is>
          <t>Dwarfism associated with wandering splenomegaly.</t>
        </is>
      </c>
      <c r="J48" s="5" t="inlineStr">
        <is>
          <t>10.1093/jscr/rjab558</t>
        </is>
      </c>
      <c r="K48" s="7" t="inlineStr">
        <is>
          <t>link</t>
        </is>
      </c>
      <c r="L48" s="7" t="inlineStr">
        <is>
          <t>link</t>
        </is>
      </c>
      <c r="M48" s="5" t="inlineStr">
        <is>
          <t>PMC8784172</t>
        </is>
      </c>
      <c r="N48" s="7" t="inlineStr">
        <is>
          <t>link</t>
        </is>
      </c>
      <c r="O48" s="5" t="inlineStr"/>
      <c r="P48" s="5" t="inlineStr"/>
      <c r="Q48" s="5" t="inlineStr"/>
      <c r="R48" s="5" t="inlineStr">
        <is>
          <t>1 PMC record exists</t>
        </is>
      </c>
      <c r="S48" s="5" t="inlineStr"/>
      <c r="T48" s="5" t="inlineStr">
        <is>
          <t>WS0193.pdf</t>
        </is>
      </c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inlineStr">
        <is>
          <t>yes</t>
        </is>
      </c>
    </row>
    <row r="49">
      <c r="A49" s="5" t="n">
        <v>48</v>
      </c>
      <c r="B49" s="5" t="inlineStr">
        <is>
          <t>WS0191</t>
        </is>
      </c>
      <c r="C49" s="5" t="inlineStr">
        <is>
          <t>2021</t>
        </is>
      </c>
      <c r="D49" s="5" t="inlineStr">
        <is>
          <t>English</t>
        </is>
      </c>
      <c r="E49" s="5" t="inlineStr">
        <is>
          <t>JOUR</t>
        </is>
      </c>
      <c r="F49" s="5" t="inlineStr">
        <is>
          <t>Bourusly</t>
        </is>
      </c>
      <c r="G49" s="5" t="inlineStr">
        <is>
          <t>Frontiers in pediatrics</t>
        </is>
      </c>
      <c r="H49" s="5" t="inlineStr">
        <is>
          <t>9:791932</t>
        </is>
      </c>
      <c r="I49" s="6" t="inlineStr">
        <is>
          <t>Case Report: Conservative Non-operative Management of a Neonate With Torted Wandering Spleen.</t>
        </is>
      </c>
      <c r="J49" s="5" t="inlineStr">
        <is>
          <t>10.3389/fped.2021.791932</t>
        </is>
      </c>
      <c r="K49" s="7" t="inlineStr">
        <is>
          <t>link</t>
        </is>
      </c>
      <c r="L49" s="7" t="inlineStr">
        <is>
          <t>link</t>
        </is>
      </c>
      <c r="M49" s="5" t="inlineStr">
        <is>
          <t>PMC8832051</t>
        </is>
      </c>
      <c r="N49" s="7" t="inlineStr">
        <is>
          <t>link</t>
        </is>
      </c>
      <c r="O49" s="5" t="inlineStr"/>
      <c r="P49" s="5" t="inlineStr"/>
      <c r="Q49" s="5" t="inlineStr"/>
      <c r="R49" s="5" t="inlineStr">
        <is>
          <t>1 PMC record exists</t>
        </is>
      </c>
      <c r="S49" s="5" t="inlineStr"/>
      <c r="T49" s="5" t="inlineStr">
        <is>
          <t>WS0191.pdf</t>
        </is>
      </c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8" t="inlineStr">
        <is>
          <t>yes</t>
        </is>
      </c>
    </row>
    <row r="50">
      <c r="A50" s="5" t="n">
        <v>49</v>
      </c>
      <c r="B50" s="5" t="inlineStr">
        <is>
          <t>WS0197</t>
        </is>
      </c>
      <c r="C50" s="5" t="inlineStr">
        <is>
          <t>2021</t>
        </is>
      </c>
      <c r="D50" s="5" t="inlineStr">
        <is>
          <t>English</t>
        </is>
      </c>
      <c r="E50" s="5" t="inlineStr">
        <is>
          <t>JOUR</t>
        </is>
      </c>
      <c r="F50" s="5" t="inlineStr">
        <is>
          <t>Hashiguchi</t>
        </is>
      </c>
      <c r="G50" s="5" t="inlineStr">
        <is>
          <t>Clinical case reports</t>
        </is>
      </c>
      <c r="H50" s="5" t="inlineStr">
        <is>
          <t>9(11):e05051</t>
        </is>
      </c>
      <c r="I50" s="6" t="inlineStr">
        <is>
          <t>Wandering spleen with splenic arteriovenous torsion.</t>
        </is>
      </c>
      <c r="J50" s="5" t="inlineStr">
        <is>
          <t>10.1002/ccr3.5051</t>
        </is>
      </c>
      <c r="K50" s="7" t="inlineStr">
        <is>
          <t>link</t>
        </is>
      </c>
      <c r="L50" s="7" t="inlineStr">
        <is>
          <t>link</t>
        </is>
      </c>
      <c r="M50" s="5" t="inlineStr">
        <is>
          <t>PMC8572348</t>
        </is>
      </c>
      <c r="N50" s="7" t="inlineStr">
        <is>
          <t>link</t>
        </is>
      </c>
      <c r="O50" s="5" t="inlineStr"/>
      <c r="P50" s="5" t="inlineStr"/>
      <c r="Q50" s="5" t="inlineStr"/>
      <c r="R50" s="5" t="inlineStr">
        <is>
          <t>1 PMC record exists</t>
        </is>
      </c>
      <c r="S50" s="5" t="inlineStr"/>
      <c r="T50" s="5" t="inlineStr">
        <is>
          <t>WS0197.pdf</t>
        </is>
      </c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inlineStr">
        <is>
          <t>yes</t>
        </is>
      </c>
    </row>
    <row r="51">
      <c r="A51" s="5" t="n">
        <v>50</v>
      </c>
      <c r="B51" s="5" t="inlineStr">
        <is>
          <t>WS0199</t>
        </is>
      </c>
      <c r="C51" s="5" t="inlineStr">
        <is>
          <t>2021</t>
        </is>
      </c>
      <c r="D51" s="5" t="inlineStr">
        <is>
          <t>English</t>
        </is>
      </c>
      <c r="E51" s="5" t="inlineStr">
        <is>
          <t>JOUR</t>
        </is>
      </c>
      <c r="F51" s="5" t="inlineStr">
        <is>
          <t>Sun</t>
        </is>
      </c>
      <c r="G51" s="5" t="inlineStr">
        <is>
          <t>World journal of clinical cases</t>
        </is>
      </c>
      <c r="H51" s="5" t="inlineStr">
        <is>
          <t>9(29):8812-8819</t>
        </is>
      </c>
      <c r="I51" s="6" t="inlineStr">
        <is>
          <t>Successful treatment of floating splenic volvulus: Two case reports and a literature review.</t>
        </is>
      </c>
      <c r="J51" s="5" t="inlineStr">
        <is>
          <t>10.12998/wjcc.v9.i29.8812</t>
        </is>
      </c>
      <c r="K51" s="7" t="inlineStr">
        <is>
          <t>link</t>
        </is>
      </c>
      <c r="L51" s="7" t="inlineStr">
        <is>
          <t>link</t>
        </is>
      </c>
      <c r="M51" s="5" t="inlineStr">
        <is>
          <t>PMC8546827</t>
        </is>
      </c>
      <c r="N51" s="7" t="inlineStr">
        <is>
          <t>link</t>
        </is>
      </c>
      <c r="O51" s="5" t="inlineStr"/>
      <c r="P51" s="5" t="inlineStr"/>
      <c r="Q51" s="5" t="inlineStr"/>
      <c r="R51" s="5" t="inlineStr">
        <is>
          <t>1 PMC record exists</t>
        </is>
      </c>
      <c r="S51" s="5" t="inlineStr"/>
      <c r="T51" s="5" t="inlineStr">
        <is>
          <t>WS0199.pdf</t>
        </is>
      </c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  <c r="AE51" s="8" t="inlineStr">
        <is>
          <t>yes</t>
        </is>
      </c>
    </row>
    <row r="52">
      <c r="A52" s="5" t="n">
        <v>51</v>
      </c>
      <c r="B52" s="5" t="inlineStr">
        <is>
          <t>WS0205</t>
        </is>
      </c>
      <c r="C52" s="5" t="inlineStr">
        <is>
          <t>2021</t>
        </is>
      </c>
      <c r="D52" s="5" t="inlineStr">
        <is>
          <t>English</t>
        </is>
      </c>
      <c r="E52" s="5" t="inlineStr">
        <is>
          <t>JOUR</t>
        </is>
      </c>
      <c r="F52" s="5" t="inlineStr">
        <is>
          <t>Petroianu</t>
        </is>
      </c>
      <c r="G52" s="5" t="inlineStr">
        <is>
          <t>International journal of surgery case reports</t>
        </is>
      </c>
      <c r="H52" s="5" t="inlineStr">
        <is>
          <t>85:106273</t>
        </is>
      </c>
      <c r="I52" s="6" t="inlineStr">
        <is>
          <t>Wandering splenomegaly reduction after splenopexy.</t>
        </is>
      </c>
      <c r="J52" s="5" t="inlineStr">
        <is>
          <t>10.1016/j.ijscr.2021.106273</t>
        </is>
      </c>
      <c r="K52" s="7" t="inlineStr">
        <is>
          <t>link</t>
        </is>
      </c>
      <c r="L52" s="7" t="inlineStr">
        <is>
          <t>link</t>
        </is>
      </c>
      <c r="M52" s="5" t="inlineStr">
        <is>
          <t>PMC8350494</t>
        </is>
      </c>
      <c r="N52" s="7" t="inlineStr">
        <is>
          <t>link</t>
        </is>
      </c>
      <c r="O52" s="5" t="inlineStr"/>
      <c r="P52" s="5" t="inlineStr"/>
      <c r="Q52" s="5" t="inlineStr"/>
      <c r="R52" s="5" t="inlineStr">
        <is>
          <t>1 PMC record exists</t>
        </is>
      </c>
      <c r="S52" s="5" t="inlineStr"/>
      <c r="T52" s="5" t="inlineStr">
        <is>
          <t>WS0205.pdf</t>
        </is>
      </c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inlineStr">
        <is>
          <t>yes</t>
        </is>
      </c>
    </row>
    <row r="53">
      <c r="A53" s="5" t="n">
        <v>52</v>
      </c>
      <c r="B53" s="5" t="inlineStr">
        <is>
          <t>WS0212</t>
        </is>
      </c>
      <c r="C53" s="5" t="inlineStr">
        <is>
          <t>2021</t>
        </is>
      </c>
      <c r="D53" s="5" t="inlineStr">
        <is>
          <t>English</t>
        </is>
      </c>
      <c r="E53" s="5" t="inlineStr">
        <is>
          <t>JOUR</t>
        </is>
      </c>
      <c r="F53" s="5" t="inlineStr">
        <is>
          <t>Kataria</t>
        </is>
      </c>
      <c r="G53" s="5" t="inlineStr">
        <is>
          <t>BMJ case reports</t>
        </is>
      </c>
      <c r="H53" s="5" t="inlineStr">
        <is>
          <t>14(6)</t>
        </is>
      </c>
      <c r="I53" s="6" t="inlineStr">
        <is>
          <t>Laparoscopic management of gastric volvulus, diaphragmatic eventration and wandering spleen in a child.</t>
        </is>
      </c>
      <c r="J53" s="5" t="inlineStr">
        <is>
          <t>10.1136/bcr-2021-242441</t>
        </is>
      </c>
      <c r="K53" s="7" t="inlineStr">
        <is>
          <t>link</t>
        </is>
      </c>
      <c r="L53" s="7" t="inlineStr">
        <is>
          <t>link</t>
        </is>
      </c>
      <c r="M53" s="5" t="inlineStr">
        <is>
          <t>PMC8231058</t>
        </is>
      </c>
      <c r="N53" s="7" t="inlineStr">
        <is>
          <t>link</t>
        </is>
      </c>
      <c r="O53" s="5" t="inlineStr"/>
      <c r="P53" s="5" t="inlineStr"/>
      <c r="Q53" s="5" t="inlineStr"/>
      <c r="R53" s="5" t="inlineStr">
        <is>
          <t>1 PMC record exists</t>
        </is>
      </c>
      <c r="S53" s="5" t="inlineStr"/>
      <c r="T53" s="5" t="inlineStr">
        <is>
          <t>WS0212.pdf</t>
        </is>
      </c>
      <c r="U53" s="8" t="n"/>
      <c r="V53" s="8" t="n"/>
      <c r="W53" s="8" t="n"/>
      <c r="X53" s="8" t="n"/>
      <c r="Y53" s="8" t="n"/>
      <c r="Z53" s="8" t="n"/>
      <c r="AA53" s="8" t="n"/>
      <c r="AB53" s="8" t="n"/>
      <c r="AC53" s="8" t="n"/>
      <c r="AD53" s="8" t="n"/>
      <c r="AE53" s="8" t="inlineStr">
        <is>
          <t>yes</t>
        </is>
      </c>
    </row>
    <row r="54">
      <c r="A54" s="5" t="n">
        <v>53</v>
      </c>
      <c r="B54" s="5" t="inlineStr">
        <is>
          <t>WS0216</t>
        </is>
      </c>
      <c r="C54" s="5" t="inlineStr">
        <is>
          <t>2021</t>
        </is>
      </c>
      <c r="D54" s="5" t="inlineStr">
        <is>
          <t>English</t>
        </is>
      </c>
      <c r="E54" s="5" t="inlineStr">
        <is>
          <t>JOUR</t>
        </is>
      </c>
      <c r="F54" s="5" t="inlineStr">
        <is>
          <t>Gordon</t>
        </is>
      </c>
      <c r="G54" s="5" t="inlineStr">
        <is>
          <t>BMJ case reports</t>
        </is>
      </c>
      <c r="H54" s="5" t="inlineStr">
        <is>
          <t>14(4)</t>
        </is>
      </c>
      <c r="I54" s="6" t="inlineStr">
        <is>
          <t>Challenge of diagnosing splenic torsion in a paediatric patient with gastroschisis.</t>
        </is>
      </c>
      <c r="J54" s="5" t="inlineStr">
        <is>
          <t>10.1136/bcr-2020-239520</t>
        </is>
      </c>
      <c r="K54" s="7" t="inlineStr">
        <is>
          <t>link</t>
        </is>
      </c>
      <c r="L54" s="7" t="inlineStr">
        <is>
          <t>link</t>
        </is>
      </c>
      <c r="M54" s="5" t="inlineStr">
        <is>
          <t>PMC8061818</t>
        </is>
      </c>
      <c r="N54" s="7" t="inlineStr">
        <is>
          <t>link</t>
        </is>
      </c>
      <c r="O54" s="5" t="inlineStr"/>
      <c r="P54" s="5" t="inlineStr"/>
      <c r="Q54" s="5" t="inlineStr"/>
      <c r="R54" s="5" t="inlineStr">
        <is>
          <t>1 PMC record exists</t>
        </is>
      </c>
      <c r="S54" s="5" t="inlineStr"/>
      <c r="T54" s="5" t="inlineStr">
        <is>
          <t>WS0216.pdf</t>
        </is>
      </c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inlineStr">
        <is>
          <t>yes</t>
        </is>
      </c>
    </row>
    <row r="55">
      <c r="A55" s="5" t="n">
        <v>54</v>
      </c>
      <c r="B55" s="5" t="inlineStr">
        <is>
          <t>WS0220</t>
        </is>
      </c>
      <c r="C55" s="5" t="inlineStr">
        <is>
          <t>2021</t>
        </is>
      </c>
      <c r="D55" s="5" t="inlineStr">
        <is>
          <t>English</t>
        </is>
      </c>
      <c r="E55" s="5" t="inlineStr">
        <is>
          <t>JOUR</t>
        </is>
      </c>
      <c r="F55" s="5" t="inlineStr">
        <is>
          <t>Guo</t>
        </is>
      </c>
      <c r="G55" s="5" t="inlineStr">
        <is>
          <t>The Journal of international medical research</t>
        </is>
      </c>
      <c r="H55" s="5" t="inlineStr">
        <is>
          <t>49(3):3000605211000511</t>
        </is>
      </c>
      <c r="I55" s="6" t="inlineStr">
        <is>
          <t>Abdominopelvic ectopic spleen with a comprehensive imaging examination: a case report.</t>
        </is>
      </c>
      <c r="J55" s="5" t="inlineStr">
        <is>
          <t>10.1177/03000605211000511</t>
        </is>
      </c>
      <c r="K55" s="7" t="inlineStr">
        <is>
          <t>link</t>
        </is>
      </c>
      <c r="L55" s="7" t="inlineStr">
        <is>
          <t>link</t>
        </is>
      </c>
      <c r="M55" s="5" t="inlineStr">
        <is>
          <t>PMC8166395</t>
        </is>
      </c>
      <c r="N55" s="7" t="inlineStr">
        <is>
          <t>link</t>
        </is>
      </c>
      <c r="O55" s="5" t="inlineStr"/>
      <c r="P55" s="5" t="inlineStr"/>
      <c r="Q55" s="5" t="inlineStr"/>
      <c r="R55" s="5" t="inlineStr">
        <is>
          <t>1 PMC record exists</t>
        </is>
      </c>
      <c r="S55" s="5" t="inlineStr"/>
      <c r="T55" s="5" t="inlineStr">
        <is>
          <t>WS0220.pdf</t>
        </is>
      </c>
      <c r="U55" s="8" t="n"/>
      <c r="V55" s="8" t="n"/>
      <c r="W55" s="8" t="n"/>
      <c r="X55" s="8" t="n"/>
      <c r="Y55" s="8" t="n"/>
      <c r="Z55" s="8" t="n"/>
      <c r="AA55" s="8" t="n"/>
      <c r="AB55" s="8" t="n"/>
      <c r="AC55" s="8" t="n"/>
      <c r="AD55" s="8" t="n"/>
      <c r="AE55" s="8" t="inlineStr">
        <is>
          <t>yes</t>
        </is>
      </c>
    </row>
    <row r="56">
      <c r="A56" s="5" t="n">
        <v>55</v>
      </c>
      <c r="B56" s="5" t="inlineStr">
        <is>
          <t>WS0222</t>
        </is>
      </c>
      <c r="C56" s="5" t="inlineStr">
        <is>
          <t>2021</t>
        </is>
      </c>
      <c r="D56" s="5" t="inlineStr">
        <is>
          <t>English</t>
        </is>
      </c>
      <c r="E56" s="5" t="inlineStr">
        <is>
          <t>JOUR</t>
        </is>
      </c>
      <c r="F56" s="5" t="inlineStr">
        <is>
          <t>Hamdy</t>
        </is>
      </c>
      <c r="G56" s="5" t="inlineStr">
        <is>
          <t>Annals of the Royal College of Surgeons of England</t>
        </is>
      </c>
      <c r="H56" s="5" t="inlineStr">
        <is>
          <t>103(4):e127-e130</t>
        </is>
      </c>
      <c r="I56" s="6" t="inlineStr">
        <is>
          <t>An infarcted wandering spleen leading to a sigmoid volvulus presenting with acute large bowel obstruction: a case report.</t>
        </is>
      </c>
      <c r="J56" s="5" t="inlineStr">
        <is>
          <t>10.1308/rcsann.2020.7144</t>
        </is>
      </c>
      <c r="K56" s="7" t="inlineStr">
        <is>
          <t>link</t>
        </is>
      </c>
      <c r="L56" s="7" t="inlineStr">
        <is>
          <t>link</t>
        </is>
      </c>
      <c r="M56" s="5" t="inlineStr">
        <is>
          <t>PMC10335255</t>
        </is>
      </c>
      <c r="N56" s="7" t="inlineStr">
        <is>
          <t>link</t>
        </is>
      </c>
      <c r="O56" s="5" t="inlineStr"/>
      <c r="P56" s="5" t="inlineStr"/>
      <c r="Q56" s="5" t="inlineStr"/>
      <c r="R56" s="5" t="inlineStr">
        <is>
          <t>1 PMC record exists</t>
        </is>
      </c>
      <c r="S56" s="5" t="inlineStr"/>
      <c r="T56" s="5" t="inlineStr">
        <is>
          <t>WS0222.pdf</t>
        </is>
      </c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inlineStr">
        <is>
          <t>yes</t>
        </is>
      </c>
    </row>
    <row r="57">
      <c r="A57" s="5" t="n">
        <v>56</v>
      </c>
      <c r="B57" s="5" t="inlineStr">
        <is>
          <t>WS0232</t>
        </is>
      </c>
      <c r="C57" s="5" t="inlineStr">
        <is>
          <t>2020</t>
        </is>
      </c>
      <c r="D57" s="5" t="inlineStr">
        <is>
          <t>English</t>
        </is>
      </c>
      <c r="E57" s="5" t="inlineStr">
        <is>
          <t>JOUR</t>
        </is>
      </c>
      <c r="F57" s="5" t="inlineStr">
        <is>
          <t>Skiba</t>
        </is>
      </c>
      <c r="G57" s="5" t="inlineStr">
        <is>
          <t>Journal of Indian Association of Pediatric Surgeons</t>
        </is>
      </c>
      <c r="H57" s="5" t="inlineStr">
        <is>
          <t>25(5):323-325</t>
        </is>
      </c>
      <c r="I57" s="6" t="inlineStr">
        <is>
          <t>Torsion of a Wandering Spleen Managed Conservatively: Rare and Interesting.</t>
        </is>
      </c>
      <c r="J57" s="5" t="inlineStr">
        <is>
          <t>10.4103/jiaps.jiaps_216_19</t>
        </is>
      </c>
      <c r="K57" s="7" t="inlineStr">
        <is>
          <t>link</t>
        </is>
      </c>
      <c r="L57" s="7" t="inlineStr">
        <is>
          <t>link</t>
        </is>
      </c>
      <c r="M57" s="5" t="inlineStr">
        <is>
          <t>PMC7732016</t>
        </is>
      </c>
      <c r="N57" s="7" t="inlineStr">
        <is>
          <t>link</t>
        </is>
      </c>
      <c r="O57" s="5" t="inlineStr"/>
      <c r="P57" s="5" t="inlineStr"/>
      <c r="Q57" s="5" t="inlineStr"/>
      <c r="R57" s="5" t="inlineStr">
        <is>
          <t>1 PMC record exists</t>
        </is>
      </c>
      <c r="S57" s="5" t="inlineStr"/>
      <c r="T57" s="5" t="inlineStr">
        <is>
          <t>WS0232.pdf</t>
        </is>
      </c>
      <c r="U57" s="8" t="n"/>
      <c r="V57" s="8" t="n"/>
      <c r="W57" s="8" t="n"/>
      <c r="X57" s="8" t="n"/>
      <c r="Y57" s="8" t="n"/>
      <c r="Z57" s="8" t="n"/>
      <c r="AA57" s="8" t="n"/>
      <c r="AB57" s="8" t="n"/>
      <c r="AC57" s="8" t="n"/>
      <c r="AD57" s="8" t="n"/>
      <c r="AE57" s="8" t="inlineStr">
        <is>
          <t>yes</t>
        </is>
      </c>
    </row>
    <row r="58">
      <c r="A58" s="5" t="n">
        <v>57</v>
      </c>
      <c r="B58" s="5" t="inlineStr">
        <is>
          <t>WS0235</t>
        </is>
      </c>
      <c r="C58" s="5" t="inlineStr">
        <is>
          <t>2020</t>
        </is>
      </c>
      <c r="D58" s="5" t="inlineStr">
        <is>
          <t>English</t>
        </is>
      </c>
      <c r="E58" s="5" t="inlineStr">
        <is>
          <t>JOUR</t>
        </is>
      </c>
      <c r="F58" s="5" t="inlineStr">
        <is>
          <t>Kaur</t>
        </is>
      </c>
      <c r="G58" s="5" t="inlineStr">
        <is>
          <t>The Indian journal of radiology &amp; imaging</t>
        </is>
      </c>
      <c r="H58" s="5" t="inlineStr">
        <is>
          <t>30(3):389-391</t>
        </is>
      </c>
      <c r="I58" s="6" t="inlineStr">
        <is>
          <t>Wandering spleen: A rare entity and a diagnostic dilemma.</t>
        </is>
      </c>
      <c r="J58" s="5" t="inlineStr">
        <is>
          <t>10.4103/ijri.ijri_46_20</t>
        </is>
      </c>
      <c r="K58" s="7" t="inlineStr">
        <is>
          <t>link</t>
        </is>
      </c>
      <c r="L58" s="7" t="inlineStr">
        <is>
          <t>link</t>
        </is>
      </c>
      <c r="M58" s="5" t="inlineStr">
        <is>
          <t>PMC7694723</t>
        </is>
      </c>
      <c r="N58" s="7" t="inlineStr">
        <is>
          <t>link</t>
        </is>
      </c>
      <c r="O58" s="5" t="inlineStr"/>
      <c r="P58" s="5" t="inlineStr"/>
      <c r="Q58" s="5" t="inlineStr"/>
      <c r="R58" s="5" t="inlineStr">
        <is>
          <t>1 PMC record exists</t>
        </is>
      </c>
      <c r="S58" s="5" t="inlineStr"/>
      <c r="T58" s="5" t="inlineStr">
        <is>
          <t>WS0235.pdf</t>
        </is>
      </c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inlineStr">
        <is>
          <t>yes</t>
        </is>
      </c>
    </row>
    <row r="59">
      <c r="A59" s="5" t="n">
        <v>58</v>
      </c>
      <c r="B59" s="5" t="inlineStr">
        <is>
          <t>WS0239</t>
        </is>
      </c>
      <c r="C59" s="5" t="inlineStr">
        <is>
          <t>2020</t>
        </is>
      </c>
      <c r="D59" s="5" t="inlineStr">
        <is>
          <t>English</t>
        </is>
      </c>
      <c r="E59" s="5" t="inlineStr">
        <is>
          <t>JOUR</t>
        </is>
      </c>
      <c r="F59" s="5" t="inlineStr">
        <is>
          <t>El-Helou</t>
        </is>
      </c>
      <c r="G59" s="5" t="inlineStr">
        <is>
          <t>International journal of surgery case reports</t>
        </is>
      </c>
      <c r="H59" s="5" t="inlineStr">
        <is>
          <t>77:214-218</t>
        </is>
      </c>
      <c r="I59" s="6" t="inlineStr">
        <is>
          <t>Splenoptosis in young female, case report.</t>
        </is>
      </c>
      <c r="J59" s="5" t="inlineStr">
        <is>
          <t>10.1016/j.ijscr.2020.11.001</t>
        </is>
      </c>
      <c r="K59" s="7" t="inlineStr">
        <is>
          <t>link</t>
        </is>
      </c>
      <c r="L59" s="7" t="inlineStr">
        <is>
          <t>link</t>
        </is>
      </c>
      <c r="M59" s="5" t="inlineStr">
        <is>
          <t>PMC7653206</t>
        </is>
      </c>
      <c r="N59" s="7" t="inlineStr">
        <is>
          <t>link</t>
        </is>
      </c>
      <c r="O59" s="5" t="inlineStr"/>
      <c r="P59" s="5" t="inlineStr"/>
      <c r="Q59" s="5" t="inlineStr"/>
      <c r="R59" s="5" t="inlineStr">
        <is>
          <t>1 PMC record exists</t>
        </is>
      </c>
      <c r="S59" s="5" t="inlineStr"/>
      <c r="T59" s="5" t="inlineStr">
        <is>
          <t>WS0239.pdf</t>
        </is>
      </c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  <c r="AD59" s="8" t="n"/>
      <c r="AE59" s="8" t="inlineStr">
        <is>
          <t>yes</t>
        </is>
      </c>
    </row>
    <row r="60">
      <c r="A60" s="5" t="n">
        <v>59</v>
      </c>
      <c r="B60" s="5" t="inlineStr">
        <is>
          <t>WS0240</t>
        </is>
      </c>
      <c r="C60" s="5" t="inlineStr">
        <is>
          <t>2020</t>
        </is>
      </c>
      <c r="D60" s="5" t="inlineStr">
        <is>
          <t>English</t>
        </is>
      </c>
      <c r="E60" s="5" t="inlineStr">
        <is>
          <t>JOUR</t>
        </is>
      </c>
      <c r="F60" s="5" t="inlineStr">
        <is>
          <t>Dangen</t>
        </is>
      </c>
      <c r="G60" s="5" t="inlineStr">
        <is>
          <t>International journal of surgery case reports</t>
        </is>
      </c>
      <c r="H60" s="5" t="inlineStr">
        <is>
          <t>77:32-35</t>
        </is>
      </c>
      <c r="I60" s="6" t="inlineStr">
        <is>
          <t>Treatment of a congenital diaphragmatic hernia with associated wandering spleen: Case report of a 17-year-old girl.</t>
        </is>
      </c>
      <c r="J60" s="5" t="inlineStr">
        <is>
          <t>10.1016/j.ijscr.2020.10.049</t>
        </is>
      </c>
      <c r="K60" s="7" t="inlineStr">
        <is>
          <t>link</t>
        </is>
      </c>
      <c r="L60" s="7" t="inlineStr">
        <is>
          <t>link</t>
        </is>
      </c>
      <c r="M60" s="5" t="inlineStr">
        <is>
          <t>PMC7610022</t>
        </is>
      </c>
      <c r="N60" s="7" t="inlineStr">
        <is>
          <t>link</t>
        </is>
      </c>
      <c r="O60" s="5" t="inlineStr"/>
      <c r="P60" s="5" t="inlineStr"/>
      <c r="Q60" s="5" t="inlineStr"/>
      <c r="R60" s="5" t="inlineStr">
        <is>
          <t>1 PMC record exists</t>
        </is>
      </c>
      <c r="S60" s="5" t="inlineStr"/>
      <c r="T60" s="5" t="inlineStr">
        <is>
          <t>WS0240.pdf</t>
        </is>
      </c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inlineStr">
        <is>
          <t>yes</t>
        </is>
      </c>
    </row>
    <row r="61">
      <c r="A61" s="5" t="n">
        <v>60</v>
      </c>
      <c r="B61" s="5" t="inlineStr">
        <is>
          <t>WS0241</t>
        </is>
      </c>
      <c r="C61" s="5" t="inlineStr">
        <is>
          <t>2020</t>
        </is>
      </c>
      <c r="D61" s="5" t="inlineStr">
        <is>
          <t>English</t>
        </is>
      </c>
      <c r="E61" s="5" t="inlineStr">
        <is>
          <t>JOUR</t>
        </is>
      </c>
      <c r="F61" s="5" t="inlineStr">
        <is>
          <t>Gulati</t>
        </is>
      </c>
      <c r="G61" s="5" t="inlineStr">
        <is>
          <t>Journal of radiology case reports</t>
        </is>
      </c>
      <c r="H61" s="5" t="inlineStr">
        <is>
          <t>14(7):10-18</t>
        </is>
      </c>
      <c r="I61" s="6" t="inlineStr">
        <is>
          <t>Torsion of Wandering Spleen and its adherence to the right ovary - An unusual cause of recurrent pain abdomen.</t>
        </is>
      </c>
      <c r="J61" s="5" t="inlineStr">
        <is>
          <t>10.3941/jrcr.v14i7.3752</t>
        </is>
      </c>
      <c r="K61" s="7" t="inlineStr">
        <is>
          <t>link</t>
        </is>
      </c>
      <c r="L61" s="7" t="inlineStr">
        <is>
          <t>link</t>
        </is>
      </c>
      <c r="M61" s="5" t="inlineStr">
        <is>
          <t>PMC7536009</t>
        </is>
      </c>
      <c r="N61" s="7" t="inlineStr">
        <is>
          <t>link</t>
        </is>
      </c>
      <c r="O61" s="5" t="inlineStr"/>
      <c r="P61" s="5" t="inlineStr"/>
      <c r="Q61" s="5" t="inlineStr"/>
      <c r="R61" s="5" t="inlineStr">
        <is>
          <t>1 PMC record exists</t>
        </is>
      </c>
      <c r="S61" s="5" t="inlineStr"/>
      <c r="T61" s="5" t="inlineStr">
        <is>
          <t>WS0241.pdf</t>
        </is>
      </c>
      <c r="U61" s="8" t="n"/>
      <c r="V61" s="8" t="n"/>
      <c r="W61" s="8" t="n"/>
      <c r="X61" s="8" t="n"/>
      <c r="Y61" s="8" t="n"/>
      <c r="Z61" s="8" t="n"/>
      <c r="AA61" s="8" t="n"/>
      <c r="AB61" s="8" t="n"/>
      <c r="AC61" s="8" t="n"/>
      <c r="AD61" s="8" t="n"/>
      <c r="AE61" s="8" t="inlineStr">
        <is>
          <t>yes</t>
        </is>
      </c>
    </row>
    <row r="62">
      <c r="A62" s="5" t="n">
        <v>61</v>
      </c>
      <c r="B62" s="5" t="inlineStr">
        <is>
          <t>WS0244</t>
        </is>
      </c>
      <c r="C62" s="5" t="inlineStr">
        <is>
          <t>2020</t>
        </is>
      </c>
      <c r="D62" s="5" t="inlineStr">
        <is>
          <t>English</t>
        </is>
      </c>
      <c r="E62" s="5" t="inlineStr">
        <is>
          <t>JOUR</t>
        </is>
      </c>
      <c r="F62" s="5" t="inlineStr">
        <is>
          <t>Wang</t>
        </is>
      </c>
      <c r="G62" s="5" t="inlineStr">
        <is>
          <t>Medicine</t>
        </is>
      </c>
      <c r="H62" s="5" t="inlineStr">
        <is>
          <t>99(37):e22063</t>
        </is>
      </c>
      <c r="I62" s="6" t="inlineStr">
        <is>
          <t>Wandering spleen with splenic torsion in a toddler: A case report and literature review.</t>
        </is>
      </c>
      <c r="J62" s="5" t="inlineStr">
        <is>
          <t>10.1097/md.0000000000022063</t>
        </is>
      </c>
      <c r="K62" s="7" t="inlineStr">
        <is>
          <t>link</t>
        </is>
      </c>
      <c r="L62" s="7" t="inlineStr">
        <is>
          <t>link</t>
        </is>
      </c>
      <c r="M62" s="5" t="inlineStr">
        <is>
          <t>PMC7489642</t>
        </is>
      </c>
      <c r="N62" s="7" t="inlineStr">
        <is>
          <t>link</t>
        </is>
      </c>
      <c r="O62" s="5" t="inlineStr"/>
      <c r="P62" s="5" t="inlineStr"/>
      <c r="Q62" s="5" t="inlineStr"/>
      <c r="R62" s="5" t="inlineStr">
        <is>
          <t>1 PMC record exists</t>
        </is>
      </c>
      <c r="S62" s="5" t="inlineStr"/>
      <c r="T62" s="5" t="inlineStr">
        <is>
          <t>WS0244.pdf</t>
        </is>
      </c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inlineStr">
        <is>
          <t>yes</t>
        </is>
      </c>
    </row>
    <row r="63">
      <c r="A63" s="5" t="n">
        <v>62</v>
      </c>
      <c r="B63" s="5" t="inlineStr">
        <is>
          <t>WS0248</t>
        </is>
      </c>
      <c r="C63" s="5" t="inlineStr">
        <is>
          <t>2020</t>
        </is>
      </c>
      <c r="D63" s="5" t="inlineStr">
        <is>
          <t>English</t>
        </is>
      </c>
      <c r="E63" s="5" t="inlineStr">
        <is>
          <t>JOUR</t>
        </is>
      </c>
      <c r="F63" s="5" t="inlineStr">
        <is>
          <t>Shimshoni</t>
        </is>
      </c>
      <c r="G63" s="5" t="inlineStr">
        <is>
          <t>Cureus</t>
        </is>
      </c>
      <c r="H63" s="5" t="inlineStr">
        <is>
          <t>12(7):e9176</t>
        </is>
      </c>
      <c r="I63" s="6" t="inlineStr">
        <is>
          <t>Rare Cause of Abdominal Pain in an Adolescent Patient: Splenic Infarction in Absence of Causative Underlying Hematologic Disorder.</t>
        </is>
      </c>
      <c r="J63" s="5" t="inlineStr">
        <is>
          <t>10.7759/cureus.9176</t>
        </is>
      </c>
      <c r="K63" s="7" t="inlineStr">
        <is>
          <t>link</t>
        </is>
      </c>
      <c r="L63" s="7" t="inlineStr">
        <is>
          <t>link</t>
        </is>
      </c>
      <c r="M63" s="5" t="inlineStr">
        <is>
          <t>PMC7425819</t>
        </is>
      </c>
      <c r="N63" s="7" t="inlineStr">
        <is>
          <t>link</t>
        </is>
      </c>
      <c r="O63" s="5" t="inlineStr"/>
      <c r="P63" s="5" t="inlineStr"/>
      <c r="Q63" s="5" t="inlineStr"/>
      <c r="R63" s="5" t="inlineStr">
        <is>
          <t>1 PMC record exists</t>
        </is>
      </c>
      <c r="S63" s="5" t="inlineStr"/>
      <c r="T63" s="5" t="inlineStr">
        <is>
          <t>WS0248.pdf</t>
        </is>
      </c>
      <c r="U63" s="8" t="n"/>
      <c r="V63" s="8" t="n"/>
      <c r="W63" s="8" t="n"/>
      <c r="X63" s="8" t="n"/>
      <c r="Y63" s="8" t="n"/>
      <c r="Z63" s="8" t="n"/>
      <c r="AA63" s="8" t="n"/>
      <c r="AB63" s="8" t="n"/>
      <c r="AC63" s="8" t="n"/>
      <c r="AD63" s="8" t="n"/>
      <c r="AE63" s="8" t="inlineStr">
        <is>
          <t>yes</t>
        </is>
      </c>
    </row>
    <row r="64">
      <c r="A64" s="5" t="n">
        <v>63</v>
      </c>
      <c r="B64" s="5" t="inlineStr">
        <is>
          <t>WS0253</t>
        </is>
      </c>
      <c r="C64" s="5" t="inlineStr">
        <is>
          <t>2020</t>
        </is>
      </c>
      <c r="D64" s="5" t="inlineStr">
        <is>
          <t>English</t>
        </is>
      </c>
      <c r="E64" s="5" t="inlineStr">
        <is>
          <t>JOUR</t>
        </is>
      </c>
      <c r="F64" s="5" t="inlineStr">
        <is>
          <t>Abaszadeh</t>
        </is>
      </c>
      <c r="G64" s="5" t="inlineStr">
        <is>
          <t>International journal of general medicine</t>
        </is>
      </c>
      <c r="H64" s="5" t="inlineStr">
        <is>
          <t>13:333-336</t>
        </is>
      </c>
      <c r="I64" s="6" t="inlineStr">
        <is>
          <t>Torsion of Wandering Spleen Attached to the Omentum: A Rare Case Report from Iran.</t>
        </is>
      </c>
      <c r="J64" s="5" t="inlineStr">
        <is>
          <t>10.2147/ijgm.s248259</t>
        </is>
      </c>
      <c r="K64" s="7" t="inlineStr">
        <is>
          <t>link</t>
        </is>
      </c>
      <c r="L64" s="7" t="inlineStr">
        <is>
          <t>link</t>
        </is>
      </c>
      <c r="M64" s="5" t="inlineStr">
        <is>
          <t>PMC7322114</t>
        </is>
      </c>
      <c r="N64" s="7" t="inlineStr">
        <is>
          <t>link</t>
        </is>
      </c>
      <c r="O64" s="5" t="inlineStr"/>
      <c r="P64" s="5" t="inlineStr"/>
      <c r="Q64" s="5" t="inlineStr"/>
      <c r="R64" s="5" t="inlineStr">
        <is>
          <t>1 PMC record exists</t>
        </is>
      </c>
      <c r="S64" s="5" t="inlineStr"/>
      <c r="T64" s="5" t="inlineStr">
        <is>
          <t>WS0253.pdf</t>
        </is>
      </c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inlineStr">
        <is>
          <t>yes</t>
        </is>
      </c>
    </row>
    <row r="65">
      <c r="A65" s="5" t="n">
        <v>64</v>
      </c>
      <c r="B65" s="5" t="inlineStr">
        <is>
          <t>WS0264</t>
        </is>
      </c>
      <c r="C65" s="5" t="inlineStr">
        <is>
          <t>2020</t>
        </is>
      </c>
      <c r="D65" s="5" t="inlineStr">
        <is>
          <t>English</t>
        </is>
      </c>
      <c r="E65" s="5" t="inlineStr">
        <is>
          <t>JOUR</t>
        </is>
      </c>
      <c r="F65" s="5" t="inlineStr">
        <is>
          <t>Assaf</t>
        </is>
      </c>
      <c r="G65" s="5" t="inlineStr">
        <is>
          <t>Journal of surgical case reports</t>
        </is>
      </c>
      <c r="H65" s="5" t="inlineStr">
        <is>
          <t>2020(2):rjz378</t>
        </is>
      </c>
      <c r="I65" s="6" t="inlineStr">
        <is>
          <t>Acute abdomen due to an infarction of wandering spleen: case report.</t>
        </is>
      </c>
      <c r="J65" s="5" t="inlineStr">
        <is>
          <t>10.1093/jscr/rjz378</t>
        </is>
      </c>
      <c r="K65" s="7" t="inlineStr">
        <is>
          <t>link</t>
        </is>
      </c>
      <c r="L65" s="7" t="inlineStr">
        <is>
          <t>link</t>
        </is>
      </c>
      <c r="M65" s="5" t="inlineStr">
        <is>
          <t>PMC7024078</t>
        </is>
      </c>
      <c r="N65" s="7" t="inlineStr">
        <is>
          <t>link</t>
        </is>
      </c>
      <c r="O65" s="5" t="inlineStr"/>
      <c r="P65" s="5" t="inlineStr"/>
      <c r="Q65" s="5" t="inlineStr"/>
      <c r="R65" s="5" t="inlineStr">
        <is>
          <t>1 PMC record exists</t>
        </is>
      </c>
      <c r="S65" s="5" t="inlineStr"/>
      <c r="T65" s="5" t="inlineStr">
        <is>
          <t>WS0264.pdf</t>
        </is>
      </c>
      <c r="U65" s="8" t="n"/>
      <c r="V65" s="8" t="n"/>
      <c r="W65" s="8" t="n"/>
      <c r="X65" s="8" t="n"/>
      <c r="Y65" s="8" t="n"/>
      <c r="Z65" s="8" t="n"/>
      <c r="AA65" s="8" t="n"/>
      <c r="AB65" s="8" t="n"/>
      <c r="AC65" s="8" t="n"/>
      <c r="AD65" s="8" t="n"/>
      <c r="AE65" s="8" t="inlineStr">
        <is>
          <t>yes</t>
        </is>
      </c>
    </row>
    <row r="66">
      <c r="A66" s="5" t="n">
        <v>65</v>
      </c>
      <c r="B66" s="5" t="inlineStr">
        <is>
          <t>WS0286</t>
        </is>
      </c>
      <c r="C66" s="5" t="inlineStr">
        <is>
          <t>2019</t>
        </is>
      </c>
      <c r="D66" s="5" t="inlineStr">
        <is>
          <t>English</t>
        </is>
      </c>
      <c r="E66" s="5" t="inlineStr">
        <is>
          <t>JOUR</t>
        </is>
      </c>
      <c r="F66" s="5" t="inlineStr">
        <is>
          <t>Taylor</t>
        </is>
      </c>
      <c r="G66" s="5" t="inlineStr">
        <is>
          <t>Radiology case reports</t>
        </is>
      </c>
      <c r="H66" s="5" t="inlineStr">
        <is>
          <t>14(10):1209-1213</t>
        </is>
      </c>
      <c r="I66" s="6" t="inlineStr">
        <is>
          <t>Wandering spleen with splenic torsion in a child with DiGeorge syndrome.</t>
        </is>
      </c>
      <c r="J66" s="5" t="inlineStr">
        <is>
          <t>10.1016/j.radcr.2019.06.018</t>
        </is>
      </c>
      <c r="K66" s="7" t="inlineStr">
        <is>
          <t>link</t>
        </is>
      </c>
      <c r="L66" s="7" t="inlineStr">
        <is>
          <t>link</t>
        </is>
      </c>
      <c r="M66" s="5" t="inlineStr">
        <is>
          <t>PMC6698723</t>
        </is>
      </c>
      <c r="N66" s="7" t="inlineStr">
        <is>
          <t>link</t>
        </is>
      </c>
      <c r="O66" s="5" t="inlineStr"/>
      <c r="P66" s="5" t="inlineStr"/>
      <c r="Q66" s="5" t="inlineStr"/>
      <c r="R66" s="5" t="inlineStr">
        <is>
          <t>1 PMC record exists</t>
        </is>
      </c>
      <c r="S66" s="5" t="inlineStr"/>
      <c r="T66" s="5" t="inlineStr">
        <is>
          <t>WS0286.pdf</t>
        </is>
      </c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inlineStr">
        <is>
          <t>yes</t>
        </is>
      </c>
    </row>
    <row r="67">
      <c r="A67" s="5" t="n">
        <v>66</v>
      </c>
      <c r="B67" s="5" t="inlineStr">
        <is>
          <t>WS0292</t>
        </is>
      </c>
      <c r="C67" s="5" t="inlineStr">
        <is>
          <t>2019</t>
        </is>
      </c>
      <c r="D67" s="5" t="inlineStr">
        <is>
          <t>English</t>
        </is>
      </c>
      <c r="E67" s="5" t="inlineStr">
        <is>
          <t>JOUR</t>
        </is>
      </c>
      <c r="F67" s="5" t="inlineStr">
        <is>
          <t>Asafu Adjaye Frimpong</t>
        </is>
      </c>
      <c r="G67" s="5" t="inlineStr">
        <is>
          <t>Radiology case reports</t>
        </is>
      </c>
      <c r="H67" s="5" t="inlineStr">
        <is>
          <t>14(8):946-951</t>
        </is>
      </c>
      <c r="I67" s="6" t="inlineStr">
        <is>
          <t>Concurrent occurrence of a wandering spleen, organoaxial gastric volvulus, pancreatic volvulus, and cholestasis - A rare cause of an acute abdomen.</t>
        </is>
      </c>
      <c r="J67" s="5" t="inlineStr">
        <is>
          <t>10.1016/j.radcr.2019.05.018</t>
        </is>
      </c>
      <c r="K67" s="7" t="inlineStr">
        <is>
          <t>link</t>
        </is>
      </c>
      <c r="L67" s="7" t="inlineStr">
        <is>
          <t>link</t>
        </is>
      </c>
      <c r="M67" s="5" t="inlineStr">
        <is>
          <t>PMC6543132</t>
        </is>
      </c>
      <c r="N67" s="7" t="inlineStr">
        <is>
          <t>link</t>
        </is>
      </c>
      <c r="O67" s="5" t="inlineStr"/>
      <c r="P67" s="5" t="inlineStr"/>
      <c r="Q67" s="5" t="inlineStr"/>
      <c r="R67" s="5" t="inlineStr">
        <is>
          <t>1 PMC record exists</t>
        </is>
      </c>
      <c r="S67" s="5" t="inlineStr"/>
      <c r="T67" s="5" t="inlineStr">
        <is>
          <t>WS0292.pdf</t>
        </is>
      </c>
      <c r="U67" s="8" t="n"/>
      <c r="V67" s="8" t="n"/>
      <c r="W67" s="8" t="n"/>
      <c r="X67" s="8" t="n"/>
      <c r="Y67" s="8" t="n"/>
      <c r="Z67" s="8" t="n"/>
      <c r="AA67" s="8" t="n"/>
      <c r="AB67" s="8" t="n"/>
      <c r="AC67" s="8" t="n"/>
      <c r="AD67" s="8" t="n"/>
      <c r="AE67" s="8" t="inlineStr">
        <is>
          <t>yes</t>
        </is>
      </c>
    </row>
    <row r="68">
      <c r="A68" s="5" t="n">
        <v>67</v>
      </c>
      <c r="B68" s="5" t="inlineStr">
        <is>
          <t>WS0293</t>
        </is>
      </c>
      <c r="C68" s="5" t="inlineStr">
        <is>
          <t>2019</t>
        </is>
      </c>
      <c r="D68" s="5" t="inlineStr">
        <is>
          <t>English</t>
        </is>
      </c>
      <c r="E68" s="5" t="inlineStr">
        <is>
          <t>JOUR</t>
        </is>
      </c>
      <c r="F68" s="5" t="inlineStr">
        <is>
          <t>Seif Amir Hosseini</t>
        </is>
      </c>
      <c r="G68" s="5" t="inlineStr">
        <is>
          <t>BJR case reports</t>
        </is>
      </c>
      <c r="H68" s="5" t="inlineStr">
        <is>
          <t>5(1):20180051</t>
        </is>
      </c>
      <c r="I68" s="6" t="inlineStr">
        <is>
          <t>Splenic torsion with involvement of pancreas and descending colon in a 9-year-old boy.</t>
        </is>
      </c>
      <c r="J68" s="5" t="inlineStr">
        <is>
          <t>10.1259/bjrcr.20180051</t>
        </is>
      </c>
      <c r="K68" s="7" t="inlineStr">
        <is>
          <t>link</t>
        </is>
      </c>
      <c r="L68" s="7" t="inlineStr">
        <is>
          <t>link</t>
        </is>
      </c>
      <c r="M68" s="5" t="inlineStr">
        <is>
          <t>PMC6519498</t>
        </is>
      </c>
      <c r="N68" s="7" t="inlineStr">
        <is>
          <t>link</t>
        </is>
      </c>
      <c r="O68" s="5" t="inlineStr"/>
      <c r="P68" s="5" t="inlineStr"/>
      <c r="Q68" s="5" t="inlineStr"/>
      <c r="R68" s="5" t="inlineStr">
        <is>
          <t>1 PMC record exists</t>
        </is>
      </c>
      <c r="S68" s="5" t="inlineStr"/>
      <c r="T68" s="5" t="inlineStr">
        <is>
          <t>WS0293.pdf</t>
        </is>
      </c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inlineStr">
        <is>
          <t>yes</t>
        </is>
      </c>
    </row>
    <row r="69">
      <c r="A69" s="5" t="n">
        <v>68</v>
      </c>
      <c r="B69" s="5" t="inlineStr">
        <is>
          <t>WS0324</t>
        </is>
      </c>
      <c r="C69" s="5" t="inlineStr">
        <is>
          <t>2019</t>
        </is>
      </c>
      <c r="D69" s="5" t="inlineStr">
        <is>
          <t>English</t>
        </is>
      </c>
      <c r="E69" s="5" t="inlineStr">
        <is>
          <t>JOUR</t>
        </is>
      </c>
      <c r="F69" s="5" t="inlineStr">
        <is>
          <t>Alqadi</t>
        </is>
      </c>
      <c r="G69" s="5" t="inlineStr">
        <is>
          <t>Journal of minimal access surgery</t>
        </is>
      </c>
      <c r="H69" s="5" t="inlineStr">
        <is>
          <t>15(2):93-97</t>
        </is>
      </c>
      <c r="I69" s="6" t="inlineStr">
        <is>
          <t>Is laparoscopic approach for wandering spleen in children an option?</t>
        </is>
      </c>
      <c r="J69" s="5" t="inlineStr">
        <is>
          <t>10.4103/jmas.jmas_14_18</t>
        </is>
      </c>
      <c r="K69" s="7" t="inlineStr">
        <is>
          <t>link</t>
        </is>
      </c>
      <c r="L69" s="7" t="inlineStr">
        <is>
          <t>link</t>
        </is>
      </c>
      <c r="M69" s="5" t="inlineStr">
        <is>
          <t>PMC6438076</t>
        </is>
      </c>
      <c r="N69" s="7" t="inlineStr">
        <is>
          <t>link</t>
        </is>
      </c>
      <c r="O69" s="5" t="inlineStr"/>
      <c r="P69" s="5" t="inlineStr"/>
      <c r="Q69" s="5" t="inlineStr"/>
      <c r="R69" s="5" t="inlineStr">
        <is>
          <t>1 PMC record exists</t>
        </is>
      </c>
      <c r="S69" s="5" t="inlineStr"/>
      <c r="T69" s="5" t="inlineStr">
        <is>
          <t>WS0324.pdf</t>
        </is>
      </c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  <c r="AE69" s="8" t="inlineStr">
        <is>
          <t>yes</t>
        </is>
      </c>
    </row>
    <row r="70">
      <c r="A70" s="5" t="n">
        <v>69</v>
      </c>
      <c r="B70" s="5" t="inlineStr">
        <is>
          <t>WS0330</t>
        </is>
      </c>
      <c r="C70" s="5" t="inlineStr">
        <is>
          <t>2018</t>
        </is>
      </c>
      <c r="D70" s="5" t="inlineStr">
        <is>
          <t>English</t>
        </is>
      </c>
      <c r="E70" s="5" t="inlineStr">
        <is>
          <t>JOUR</t>
        </is>
      </c>
      <c r="F70" s="5" t="inlineStr">
        <is>
          <t>Rizzuto</t>
        </is>
      </c>
      <c r="G70" s="5" t="inlineStr">
        <is>
          <t>International journal of surgery case reports</t>
        </is>
      </c>
      <c r="H70" s="5" t="inlineStr">
        <is>
          <t>43:36-40</t>
        </is>
      </c>
      <c r="I70" s="6" t="inlineStr">
        <is>
          <t>Laparoscopic splenectomy for a simultaneous wandering spleen along with an ectopic accessory spleen. Case report and review of the literature.</t>
        </is>
      </c>
      <c r="J70" s="5" t="inlineStr">
        <is>
          <t>10.1016/j.ijscr.2018.01.017</t>
        </is>
      </c>
      <c r="K70" s="7" t="inlineStr">
        <is>
          <t>link</t>
        </is>
      </c>
      <c r="L70" s="7" t="inlineStr">
        <is>
          <t>link</t>
        </is>
      </c>
      <c r="M70" s="5" t="inlineStr">
        <is>
          <t>PMC5907687</t>
        </is>
      </c>
      <c r="N70" s="7" t="inlineStr">
        <is>
          <t>link</t>
        </is>
      </c>
      <c r="O70" s="5" t="inlineStr"/>
      <c r="P70" s="5" t="inlineStr"/>
      <c r="Q70" s="5" t="inlineStr"/>
      <c r="R70" s="5" t="inlineStr">
        <is>
          <t>1 PMC record exists</t>
        </is>
      </c>
      <c r="S70" s="5" t="inlineStr"/>
      <c r="T70" s="5" t="inlineStr">
        <is>
          <t>WS0330.pdf</t>
        </is>
      </c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inlineStr">
        <is>
          <t>yes</t>
        </is>
      </c>
    </row>
    <row r="71">
      <c r="A71" s="5" t="n">
        <v>70</v>
      </c>
      <c r="B71" s="5" t="inlineStr">
        <is>
          <t>WS0400</t>
        </is>
      </c>
      <c r="C71" s="5" t="inlineStr">
        <is>
          <t>2017</t>
        </is>
      </c>
      <c r="D71" s="5" t="inlineStr">
        <is>
          <t>English</t>
        </is>
      </c>
      <c r="E71" s="5" t="inlineStr">
        <is>
          <t>JOUR</t>
        </is>
      </c>
      <c r="F71" s="5" t="inlineStr">
        <is>
          <t>Puranik</t>
        </is>
      </c>
      <c r="G71" s="5" t="inlineStr">
        <is>
          <t>Gastroenterology report</t>
        </is>
      </c>
      <c r="H71" s="5" t="inlineStr">
        <is>
          <t>5(3):241-243</t>
        </is>
      </c>
      <c r="I71" s="6" t="inlineStr">
        <is>
          <t>Wandering spleen: a surgical enigma.</t>
        </is>
      </c>
      <c r="J71" s="5" t="inlineStr">
        <is>
          <t>10.1093/gastro/gov034</t>
        </is>
      </c>
      <c r="K71" s="7" t="inlineStr">
        <is>
          <t>link</t>
        </is>
      </c>
      <c r="L71" s="7" t="inlineStr">
        <is>
          <t>link</t>
        </is>
      </c>
      <c r="M71" s="5" t="inlineStr">
        <is>
          <t>PMC5554386</t>
        </is>
      </c>
      <c r="N71" s="7" t="inlineStr">
        <is>
          <t>link</t>
        </is>
      </c>
      <c r="O71" s="5" t="inlineStr"/>
      <c r="P71" s="5" t="inlineStr"/>
      <c r="Q71" s="5" t="inlineStr"/>
      <c r="R71" s="5" t="inlineStr">
        <is>
          <t>1 PMC record exists</t>
        </is>
      </c>
      <c r="S71" s="5" t="inlineStr"/>
      <c r="T71" s="5" t="inlineStr">
        <is>
          <t>WS0400.pdf</t>
        </is>
      </c>
      <c r="U71" s="8" t="n"/>
      <c r="V71" s="8" t="n"/>
      <c r="W71" s="8" t="n"/>
      <c r="X71" s="8" t="n"/>
      <c r="Y71" s="8" t="n"/>
      <c r="Z71" s="8" t="n"/>
      <c r="AA71" s="8" t="n"/>
      <c r="AB71" s="8" t="n"/>
      <c r="AC71" s="8" t="n"/>
      <c r="AD71" s="8" t="n"/>
      <c r="AE71" s="8" t="inlineStr">
        <is>
          <t>yes</t>
        </is>
      </c>
    </row>
    <row r="72">
      <c r="A72" s="5" t="n">
        <v>71</v>
      </c>
      <c r="B72" s="5" t="inlineStr">
        <is>
          <t>WS0359</t>
        </is>
      </c>
      <c r="C72" s="5" t="inlineStr">
        <is>
          <t>2016</t>
        </is>
      </c>
      <c r="D72" s="5" t="inlineStr">
        <is>
          <t>English</t>
        </is>
      </c>
      <c r="E72" s="5" t="inlineStr">
        <is>
          <t>JOUR</t>
        </is>
      </c>
      <c r="F72" s="5" t="inlineStr">
        <is>
          <t>Cantone</t>
        </is>
      </c>
      <c r="G72" s="5" t="inlineStr">
        <is>
          <t>Case reports in surgery</t>
        </is>
      </c>
      <c r="H72" s="5" t="inlineStr">
        <is>
          <t>2016:6450765</t>
        </is>
      </c>
      <c r="I72" s="6" t="inlineStr">
        <is>
          <t>Wandering Spleen and Organoaxial Gastric Volvulus after Morgagni Hernia Repair: A Case Report and Review of the Literature.</t>
        </is>
      </c>
      <c r="J72" s="5" t="inlineStr">
        <is>
          <t>10.1155/2016/6450765</t>
        </is>
      </c>
      <c r="K72" s="7" t="inlineStr">
        <is>
          <t>link</t>
        </is>
      </c>
      <c r="L72" s="7" t="inlineStr">
        <is>
          <t>link</t>
        </is>
      </c>
      <c r="M72" s="5" t="inlineStr">
        <is>
          <t>PMC5039297</t>
        </is>
      </c>
      <c r="N72" s="7" t="inlineStr">
        <is>
          <t>link</t>
        </is>
      </c>
      <c r="O72" s="5" t="inlineStr"/>
      <c r="P72" s="5" t="inlineStr"/>
      <c r="Q72" s="5" t="inlineStr"/>
      <c r="R72" s="5" t="inlineStr">
        <is>
          <t>1 PMC record exists</t>
        </is>
      </c>
      <c r="S72" s="5" t="inlineStr"/>
      <c r="T72" s="5" t="inlineStr">
        <is>
          <t>WS0359.pdf</t>
        </is>
      </c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inlineStr">
        <is>
          <t>yes</t>
        </is>
      </c>
    </row>
    <row r="73">
      <c r="A73" s="5" t="n">
        <v>72</v>
      </c>
      <c r="B73" s="5" t="inlineStr">
        <is>
          <t>WS0363</t>
        </is>
      </c>
      <c r="C73" s="5" t="inlineStr">
        <is>
          <t>2016</t>
        </is>
      </c>
      <c r="D73" s="5" t="inlineStr">
        <is>
          <t>English</t>
        </is>
      </c>
      <c r="E73" s="5" t="inlineStr">
        <is>
          <t>JOUR</t>
        </is>
      </c>
      <c r="F73" s="5" t="inlineStr">
        <is>
          <t>Din</t>
        </is>
      </c>
      <c r="G73" s="5" t="inlineStr">
        <is>
          <t>Case reports in pediatrics</t>
        </is>
      </c>
      <c r="H73" s="5" t="inlineStr">
        <is>
          <t>2016:5437971</t>
        </is>
      </c>
      <c r="I73" s="6" t="inlineStr">
        <is>
          <t>A Physician's Nightmare: Fever of Unknown Origin.</t>
        </is>
      </c>
      <c r="J73" s="5" t="inlineStr">
        <is>
          <t>10.1155/2016/5437971</t>
        </is>
      </c>
      <c r="K73" s="7" t="inlineStr">
        <is>
          <t>link</t>
        </is>
      </c>
      <c r="L73" s="7" t="inlineStr">
        <is>
          <t>link</t>
        </is>
      </c>
      <c r="M73" s="5" t="inlineStr">
        <is>
          <t>PMC4940533</t>
        </is>
      </c>
      <c r="N73" s="7" t="inlineStr">
        <is>
          <t>link</t>
        </is>
      </c>
      <c r="O73" s="5" t="inlineStr"/>
      <c r="P73" s="5" t="inlineStr"/>
      <c r="Q73" s="5" t="inlineStr"/>
      <c r="R73" s="5" t="inlineStr">
        <is>
          <t>1 PMC record exists</t>
        </is>
      </c>
      <c r="S73" s="5" t="inlineStr"/>
      <c r="T73" s="5" t="inlineStr">
        <is>
          <t>WS0363.pdf</t>
        </is>
      </c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inlineStr">
        <is>
          <t>yes</t>
        </is>
      </c>
    </row>
    <row r="74">
      <c r="A74" s="5" t="n">
        <v>73</v>
      </c>
      <c r="B74" s="5" t="inlineStr">
        <is>
          <t>WS0380</t>
        </is>
      </c>
      <c r="C74" s="5" t="inlineStr">
        <is>
          <t>2016</t>
        </is>
      </c>
      <c r="D74" s="5" t="inlineStr">
        <is>
          <t>English</t>
        </is>
      </c>
      <c r="E74" s="5" t="inlineStr">
        <is>
          <t>JOUR</t>
        </is>
      </c>
      <c r="F74" s="5" t="inlineStr">
        <is>
          <t>Unal</t>
        </is>
      </c>
      <c r="G74" s="5" t="inlineStr">
        <is>
          <t>Insights into imaging</t>
        </is>
      </c>
      <c r="H74" s="5" t="inlineStr">
        <is>
          <t>7(2):215-22</t>
        </is>
      </c>
      <c r="I74" s="6" t="inlineStr">
        <is>
          <t>Imaging findings of splenic emergencies: a pictorial review.</t>
        </is>
      </c>
      <c r="J74" s="5" t="inlineStr">
        <is>
          <t>10.1007/s13244-016-0467-8</t>
        </is>
      </c>
      <c r="K74" s="7" t="inlineStr">
        <is>
          <t>link</t>
        </is>
      </c>
      <c r="L74" s="7" t="inlineStr">
        <is>
          <t>link</t>
        </is>
      </c>
      <c r="M74" s="5" t="inlineStr">
        <is>
          <t>PMC4805612</t>
        </is>
      </c>
      <c r="N74" s="7" t="inlineStr">
        <is>
          <t>link</t>
        </is>
      </c>
      <c r="O74" s="5" t="inlineStr"/>
      <c r="P74" s="5" t="inlineStr"/>
      <c r="Q74" s="5" t="inlineStr"/>
      <c r="R74" s="5" t="inlineStr">
        <is>
          <t>1 PMC record exists</t>
        </is>
      </c>
      <c r="S74" s="5" t="inlineStr"/>
      <c r="T74" s="5" t="inlineStr">
        <is>
          <t>WS0380.pdf</t>
        </is>
      </c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inlineStr">
        <is>
          <t>yes</t>
        </is>
      </c>
    </row>
    <row r="75">
      <c r="A75" s="5" t="n">
        <v>74</v>
      </c>
      <c r="B75" s="5" t="inlineStr">
        <is>
          <t>WS0404</t>
        </is>
      </c>
      <c r="C75" s="5" t="inlineStr">
        <is>
          <t>2016</t>
        </is>
      </c>
      <c r="D75" s="5" t="inlineStr">
        <is>
          <t>English</t>
        </is>
      </c>
      <c r="E75" s="5" t="inlineStr">
        <is>
          <t>JOUR</t>
        </is>
      </c>
      <c r="F75" s="5" t="inlineStr">
        <is>
          <t>Yoldas</t>
        </is>
      </c>
      <c r="G75" s="5" t="inlineStr">
        <is>
          <t>Ulusal cerrahi dergisi</t>
        </is>
      </c>
      <c r="H75" s="5" t="inlineStr">
        <is>
          <t>32(4):292-294</t>
        </is>
      </c>
      <c r="I75" s="6" t="inlineStr">
        <is>
          <t>Laparoscopic splenectomy for a wandering spleen causing chronic pelvic pain.</t>
        </is>
      </c>
      <c r="J75" s="5" t="inlineStr">
        <is>
          <t>10.5152/ucd.2015.2850</t>
        </is>
      </c>
      <c r="K75" s="7" t="inlineStr">
        <is>
          <t>link</t>
        </is>
      </c>
      <c r="L75" s="7" t="inlineStr">
        <is>
          <t>link</t>
        </is>
      </c>
      <c r="M75" s="5" t="inlineStr">
        <is>
          <t>PMC5245725</t>
        </is>
      </c>
      <c r="N75" s="7" t="inlineStr">
        <is>
          <t>link</t>
        </is>
      </c>
      <c r="O75" s="5" t="inlineStr"/>
      <c r="P75" s="5" t="inlineStr"/>
      <c r="Q75" s="5" t="inlineStr"/>
      <c r="R75" s="5" t="inlineStr">
        <is>
          <t>1 PMC record exists</t>
        </is>
      </c>
      <c r="S75" s="5" t="inlineStr"/>
      <c r="T75" s="5" t="inlineStr">
        <is>
          <t>WS0404.pdf</t>
        </is>
      </c>
      <c r="U75" s="8" t="n"/>
      <c r="V75" s="8" t="n"/>
      <c r="W75" s="8" t="n"/>
      <c r="X75" s="8" t="n"/>
      <c r="Y75" s="8" t="n"/>
      <c r="Z75" s="8" t="n"/>
      <c r="AA75" s="8" t="n"/>
      <c r="AB75" s="8" t="n"/>
      <c r="AC75" s="8" t="n"/>
      <c r="AD75" s="8" t="n"/>
      <c r="AE75" s="8" t="inlineStr">
        <is>
          <t>yes</t>
        </is>
      </c>
    </row>
    <row r="76">
      <c r="A76" s="5" t="n">
        <v>75</v>
      </c>
      <c r="B76" s="5" t="inlineStr">
        <is>
          <t>WS0388</t>
        </is>
      </c>
      <c r="C76" s="5" t="inlineStr">
        <is>
          <t>2015</t>
        </is>
      </c>
      <c r="D76" s="5" t="inlineStr">
        <is>
          <t>English</t>
        </is>
      </c>
      <c r="E76" s="5" t="inlineStr">
        <is>
          <t>JOUR</t>
        </is>
      </c>
      <c r="F76" s="5" t="inlineStr">
        <is>
          <t>Flores-Rios</t>
        </is>
      </c>
      <c r="G76" s="5" t="inlineStr">
        <is>
          <t>Journal of radiology case reports</t>
        </is>
      </c>
      <c r="H76" s="5" t="inlineStr">
        <is>
          <t>9(10):18-25</t>
        </is>
      </c>
      <c r="I76" s="6" t="inlineStr">
        <is>
          <t>Wandering spleen, gastric and pancreatic volvulus and right-sided descending and sigmoid colon.</t>
        </is>
      </c>
      <c r="J76" s="5" t="inlineStr">
        <is>
          <t>10.3941/jrcr.v9i10.2475</t>
        </is>
      </c>
      <c r="K76" s="7" t="inlineStr">
        <is>
          <t>link</t>
        </is>
      </c>
      <c r="L76" s="7" t="inlineStr">
        <is>
          <t>link</t>
        </is>
      </c>
      <c r="M76" s="5" t="inlineStr">
        <is>
          <t>PMC4638397</t>
        </is>
      </c>
      <c r="N76" s="7" t="inlineStr">
        <is>
          <t>link</t>
        </is>
      </c>
      <c r="O76" s="5" t="inlineStr"/>
      <c r="P76" s="5" t="inlineStr"/>
      <c r="Q76" s="5" t="inlineStr"/>
      <c r="R76" s="5" t="inlineStr">
        <is>
          <t>1 PMC record exists</t>
        </is>
      </c>
      <c r="S76" s="5" t="inlineStr"/>
      <c r="T76" s="5" t="inlineStr">
        <is>
          <t>WS0388.pdf</t>
        </is>
      </c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inlineStr">
        <is>
          <t>yes</t>
        </is>
      </c>
    </row>
    <row r="77">
      <c r="A77" s="5" t="n">
        <v>76</v>
      </c>
      <c r="B77" s="5" t="inlineStr">
        <is>
          <t>WS0393</t>
        </is>
      </c>
      <c r="C77" s="5" t="inlineStr">
        <is>
          <t>2015</t>
        </is>
      </c>
      <c r="D77" s="5" t="inlineStr">
        <is>
          <t>English</t>
        </is>
      </c>
      <c r="E77" s="5" t="inlineStr">
        <is>
          <t>JOUR</t>
        </is>
      </c>
      <c r="F77" s="5" t="inlineStr">
        <is>
          <t>Rajaram</t>
        </is>
      </c>
      <c r="G77" s="5" t="inlineStr">
        <is>
          <t>Journal of clinical and diagnostic research : JCDR</t>
        </is>
      </c>
      <c r="H77" s="5" t="inlineStr">
        <is>
          <t>9(9):PD26-7</t>
        </is>
      </c>
      <c r="I77" s="6" t="inlineStr">
        <is>
          <t>Ectopic Spleen Presenting as Lump Abdomen: A Rare Case Report and Review of Literature.</t>
        </is>
      </c>
      <c r="J77" s="5" t="inlineStr">
        <is>
          <t>10.7860/jcdr/2015/13135.6541</t>
        </is>
      </c>
      <c r="K77" s="7" t="inlineStr">
        <is>
          <t>link</t>
        </is>
      </c>
      <c r="L77" s="7" t="inlineStr">
        <is>
          <t>link</t>
        </is>
      </c>
      <c r="M77" s="5" t="inlineStr">
        <is>
          <t>PMC4606285</t>
        </is>
      </c>
      <c r="N77" s="7" t="inlineStr">
        <is>
          <t>link</t>
        </is>
      </c>
      <c r="O77" s="5" t="inlineStr"/>
      <c r="P77" s="5" t="inlineStr"/>
      <c r="Q77" s="5" t="inlineStr"/>
      <c r="R77" s="5" t="inlineStr">
        <is>
          <t>1 PMC record exists</t>
        </is>
      </c>
      <c r="S77" s="5" t="inlineStr"/>
      <c r="T77" s="5" t="inlineStr">
        <is>
          <t>WS0393.pdf</t>
        </is>
      </c>
      <c r="U77" s="8" t="n"/>
      <c r="V77" s="8" t="n"/>
      <c r="W77" s="8" t="n"/>
      <c r="X77" s="8" t="n"/>
      <c r="Y77" s="8" t="n"/>
      <c r="Z77" s="8" t="n"/>
      <c r="AA77" s="8" t="n"/>
      <c r="AB77" s="8" t="n"/>
      <c r="AC77" s="8" t="n"/>
      <c r="AD77" s="8" t="n"/>
      <c r="AE77" s="8" t="inlineStr">
        <is>
          <t>yes</t>
        </is>
      </c>
    </row>
    <row r="78">
      <c r="A78" s="5" t="n">
        <v>77</v>
      </c>
      <c r="B78" s="5" t="inlineStr">
        <is>
          <t>WS0396</t>
        </is>
      </c>
      <c r="C78" s="5" t="inlineStr">
        <is>
          <t>2015</t>
        </is>
      </c>
      <c r="D78" s="5" t="inlineStr">
        <is>
          <t>English</t>
        </is>
      </c>
      <c r="E78" s="5" t="inlineStr">
        <is>
          <t>JOUR</t>
        </is>
      </c>
      <c r="F78" s="5" t="inlineStr">
        <is>
          <t>Jiang</t>
        </is>
      </c>
      <c r="G78" s="5" t="inlineStr">
        <is>
          <t>International journal of clinical and experimental medicine</t>
        </is>
      </c>
      <c r="H78" s="5" t="inlineStr">
        <is>
          <t>8(7):11621-3</t>
        </is>
      </c>
      <c r="I78" s="6" t="inlineStr">
        <is>
          <t>Acute torsion of wandering spleen in a 17-year-old girl.</t>
        </is>
      </c>
      <c r="J78" s="5" t="inlineStr"/>
      <c r="K78" s="5" t="inlineStr"/>
      <c r="L78" s="7" t="inlineStr">
        <is>
          <t>link</t>
        </is>
      </c>
      <c r="M78" s="5" t="inlineStr">
        <is>
          <t>PMC4565377</t>
        </is>
      </c>
      <c r="N78" s="7" t="inlineStr">
        <is>
          <t>link</t>
        </is>
      </c>
      <c r="O78" s="5" t="inlineStr"/>
      <c r="P78" s="5" t="inlineStr"/>
      <c r="Q78" s="5" t="inlineStr"/>
      <c r="R78" s="5" t="inlineStr">
        <is>
          <t>1 PMC record exists</t>
        </is>
      </c>
      <c r="S78" s="5" t="inlineStr"/>
      <c r="T78" s="5" t="inlineStr">
        <is>
          <t>WS0396.pdf</t>
        </is>
      </c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inlineStr">
        <is>
          <t>yes</t>
        </is>
      </c>
    </row>
    <row r="79">
      <c r="A79" s="5" t="n">
        <v>78</v>
      </c>
      <c r="B79" s="5" t="inlineStr">
        <is>
          <t>WS0411</t>
        </is>
      </c>
      <c r="C79" s="5" t="inlineStr">
        <is>
          <t>2014</t>
        </is>
      </c>
      <c r="D79" s="5" t="inlineStr">
        <is>
          <t>English</t>
        </is>
      </c>
      <c r="E79" s="5" t="inlineStr">
        <is>
          <t>JOUR</t>
        </is>
      </c>
      <c r="F79" s="5" t="inlineStr">
        <is>
          <t>Rellum</t>
        </is>
      </c>
      <c r="G79" s="5" t="inlineStr">
        <is>
          <t>European journal of pediatric surgery reports</t>
        </is>
      </c>
      <c r="H79" s="5" t="inlineStr">
        <is>
          <t>2(1):26-8</t>
        </is>
      </c>
      <c r="I79" s="6" t="inlineStr">
        <is>
          <t>Splenorenal collaterals as hallmark for a twisted wandering spleen in a 14-year-old girl with abdominal pain: a case report.</t>
        </is>
      </c>
      <c r="J79" s="5" t="inlineStr">
        <is>
          <t>10.1055/s-0034-1370776</t>
        </is>
      </c>
      <c r="K79" s="7" t="inlineStr">
        <is>
          <t>link</t>
        </is>
      </c>
      <c r="L79" s="7" t="inlineStr">
        <is>
          <t>link</t>
        </is>
      </c>
      <c r="M79" s="5" t="inlineStr">
        <is>
          <t>PMC4336078</t>
        </is>
      </c>
      <c r="N79" s="7" t="inlineStr">
        <is>
          <t>link</t>
        </is>
      </c>
      <c r="O79" s="5" t="inlineStr"/>
      <c r="P79" s="5" t="inlineStr"/>
      <c r="Q79" s="5" t="inlineStr"/>
      <c r="R79" s="5" t="inlineStr">
        <is>
          <t>1 PMC record exists</t>
        </is>
      </c>
      <c r="S79" s="5" t="inlineStr"/>
      <c r="T79" s="5" t="inlineStr">
        <is>
          <t>WS0411.pdf</t>
        </is>
      </c>
      <c r="U79" s="8" t="n"/>
      <c r="V79" s="8" t="n"/>
      <c r="W79" s="8" t="n"/>
      <c r="X79" s="8" t="n"/>
      <c r="Y79" s="8" t="n"/>
      <c r="Z79" s="8" t="n"/>
      <c r="AA79" s="8" t="n"/>
      <c r="AB79" s="8" t="n"/>
      <c r="AC79" s="8" t="n"/>
      <c r="AD79" s="8" t="n"/>
      <c r="AE79" s="8" t="inlineStr">
        <is>
          <t>yes</t>
        </is>
      </c>
    </row>
    <row r="80">
      <c r="A80" s="5" t="n">
        <v>79</v>
      </c>
      <c r="B80" s="5" t="inlineStr">
        <is>
          <t>WS0412</t>
        </is>
      </c>
      <c r="C80" s="5" t="inlineStr">
        <is>
          <t>2014</t>
        </is>
      </c>
      <c r="D80" s="5" t="inlineStr">
        <is>
          <t>English</t>
        </is>
      </c>
      <c r="E80" s="5" t="inlineStr">
        <is>
          <t>JOUR</t>
        </is>
      </c>
      <c r="F80" s="5" t="inlineStr">
        <is>
          <t>Katsura</t>
        </is>
      </c>
      <c r="G80" s="5" t="inlineStr">
        <is>
          <t>European journal of pediatric surgery reports</t>
        </is>
      </c>
      <c r="H80" s="5" t="inlineStr">
        <is>
          <t>2(1):23-5</t>
        </is>
      </c>
      <c r="I80" s="6" t="inlineStr">
        <is>
          <t>Single-incision laparoscopic splenectomy and splenic autotransplantation for an enlarged wandering spleen with torsion.</t>
        </is>
      </c>
      <c r="J80" s="5" t="inlineStr">
        <is>
          <t>10.1055/s-0033-1357262</t>
        </is>
      </c>
      <c r="K80" s="7" t="inlineStr">
        <is>
          <t>link</t>
        </is>
      </c>
      <c r="L80" s="7" t="inlineStr">
        <is>
          <t>link</t>
        </is>
      </c>
      <c r="M80" s="5" t="inlineStr">
        <is>
          <t>PMC4336060</t>
        </is>
      </c>
      <c r="N80" s="7" t="inlineStr">
        <is>
          <t>link</t>
        </is>
      </c>
      <c r="O80" s="5" t="inlineStr"/>
      <c r="P80" s="5" t="inlineStr"/>
      <c r="Q80" s="5" t="inlineStr"/>
      <c r="R80" s="5" t="inlineStr">
        <is>
          <t>1 PMC record exists</t>
        </is>
      </c>
      <c r="S80" s="5" t="inlineStr"/>
      <c r="T80" s="5" t="inlineStr">
        <is>
          <t>WS0412.pdf</t>
        </is>
      </c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inlineStr">
        <is>
          <t>yes</t>
        </is>
      </c>
    </row>
    <row r="81">
      <c r="A81" s="5" t="n">
        <v>80</v>
      </c>
      <c r="B81" s="5" t="inlineStr">
        <is>
          <t>WS0420</t>
        </is>
      </c>
      <c r="C81" s="5" t="inlineStr">
        <is>
          <t>2014</t>
        </is>
      </c>
      <c r="D81" s="5" t="inlineStr">
        <is>
          <t>English</t>
        </is>
      </c>
      <c r="E81" s="5" t="inlineStr">
        <is>
          <t>JOUR</t>
        </is>
      </c>
      <c r="F81" s="5" t="inlineStr">
        <is>
          <t>Maksoud</t>
        </is>
      </c>
      <c r="G81" s="5" t="inlineStr">
        <is>
          <t>Journal of radiology case reports</t>
        </is>
      </c>
      <c r="H81" s="5" t="inlineStr">
        <is>
          <t>8(6):18-26</t>
        </is>
      </c>
      <c r="I81" s="6" t="inlineStr">
        <is>
          <t>Tale of a wandering spleen: 1800 degree torsion with infarcted spleen and secondary involvement of liver.</t>
        </is>
      </c>
      <c r="J81" s="5" t="inlineStr">
        <is>
          <t>10.3941/jrcr.v8i6.1534</t>
        </is>
      </c>
      <c r="K81" s="7" t="inlineStr">
        <is>
          <t>link</t>
        </is>
      </c>
      <c r="L81" s="7" t="inlineStr">
        <is>
          <t>link</t>
        </is>
      </c>
      <c r="M81" s="5" t="inlineStr">
        <is>
          <t>PMC4242138</t>
        </is>
      </c>
      <c r="N81" s="7" t="inlineStr">
        <is>
          <t>link</t>
        </is>
      </c>
      <c r="O81" s="5" t="inlineStr"/>
      <c r="P81" s="5" t="inlineStr"/>
      <c r="Q81" s="5" t="inlineStr"/>
      <c r="R81" s="5" t="inlineStr">
        <is>
          <t>1 PMC record exists</t>
        </is>
      </c>
      <c r="S81" s="5" t="inlineStr"/>
      <c r="T81" s="5" t="inlineStr">
        <is>
          <t>WS0420.pdf</t>
        </is>
      </c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  <c r="AD81" s="8" t="n"/>
      <c r="AE81" s="8" t="inlineStr">
        <is>
          <t>yes</t>
        </is>
      </c>
    </row>
    <row r="82">
      <c r="A82" s="5" t="n">
        <v>81</v>
      </c>
      <c r="B82" s="5" t="inlineStr">
        <is>
          <t>WS0427</t>
        </is>
      </c>
      <c r="C82" s="5" t="inlineStr">
        <is>
          <t>2014</t>
        </is>
      </c>
      <c r="D82" s="5" t="inlineStr">
        <is>
          <t>English</t>
        </is>
      </c>
      <c r="E82" s="5" t="inlineStr">
        <is>
          <t>JOUR</t>
        </is>
      </c>
      <c r="F82" s="5" t="inlineStr">
        <is>
          <t>Gorsi</t>
        </is>
      </c>
      <c r="G82" s="5" t="inlineStr">
        <is>
          <t>Saudi journal of gastroenterology : official journal of the Saudi Gastroenterology Association</t>
        </is>
      </c>
      <c r="H82" s="5" t="inlineStr">
        <is>
          <t>20(3):195-8</t>
        </is>
      </c>
      <c r="I82" s="6" t="inlineStr">
        <is>
          <t>Pancreatic volvulus with wandering spleen and gastric volvulus: an unusual triad for acute abdomen in a surgical emergency.</t>
        </is>
      </c>
      <c r="J82" s="5" t="inlineStr">
        <is>
          <t>10.4103/1319-3767.133026</t>
        </is>
      </c>
      <c r="K82" s="7" t="inlineStr">
        <is>
          <t>link</t>
        </is>
      </c>
      <c r="L82" s="7" t="inlineStr">
        <is>
          <t>link</t>
        </is>
      </c>
      <c r="M82" s="5" t="inlineStr">
        <is>
          <t>PMC4067917</t>
        </is>
      </c>
      <c r="N82" s="7" t="inlineStr">
        <is>
          <t>link</t>
        </is>
      </c>
      <c r="O82" s="5" t="inlineStr"/>
      <c r="P82" s="5" t="inlineStr"/>
      <c r="Q82" s="5" t="inlineStr"/>
      <c r="R82" s="5" t="inlineStr">
        <is>
          <t>1 PMC record exists</t>
        </is>
      </c>
      <c r="S82" s="5" t="inlineStr"/>
      <c r="T82" s="5" t="inlineStr">
        <is>
          <t>WS0427.pdf</t>
        </is>
      </c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inlineStr">
        <is>
          <t>yes</t>
        </is>
      </c>
    </row>
    <row r="83">
      <c r="A83" s="5" t="n">
        <v>82</v>
      </c>
      <c r="B83" s="5" t="inlineStr">
        <is>
          <t>WS0428</t>
        </is>
      </c>
      <c r="C83" s="5" t="inlineStr">
        <is>
          <t>2014</t>
        </is>
      </c>
      <c r="D83" s="5" t="inlineStr">
        <is>
          <t>English</t>
        </is>
      </c>
      <c r="E83" s="5" t="inlineStr">
        <is>
          <t>JOUR</t>
        </is>
      </c>
      <c r="F83" s="5" t="inlineStr">
        <is>
          <t>Blouhos</t>
        </is>
      </c>
      <c r="G83" s="5" t="inlineStr">
        <is>
          <t>International journal of surgery case reports</t>
        </is>
      </c>
      <c r="H83" s="5" t="inlineStr">
        <is>
          <t>5(8):451-4</t>
        </is>
      </c>
      <c r="I83" s="6" t="inlineStr">
        <is>
          <t>Ectopic spleen: An easily identifiable but commonly undiagnosed entity until manifestation of complications.</t>
        </is>
      </c>
      <c r="J83" s="5" t="inlineStr">
        <is>
          <t>10.1016/j.ijscr.2014.05.010</t>
        </is>
      </c>
      <c r="K83" s="7" t="inlineStr">
        <is>
          <t>link</t>
        </is>
      </c>
      <c r="L83" s="7" t="inlineStr">
        <is>
          <t>link</t>
        </is>
      </c>
      <c r="M83" s="5" t="inlineStr">
        <is>
          <t>PMC4147574</t>
        </is>
      </c>
      <c r="N83" s="7" t="inlineStr">
        <is>
          <t>link</t>
        </is>
      </c>
      <c r="O83" s="5" t="inlineStr"/>
      <c r="P83" s="5" t="inlineStr"/>
      <c r="Q83" s="5" t="inlineStr"/>
      <c r="R83" s="5" t="inlineStr">
        <is>
          <t>1 PMC record exists</t>
        </is>
      </c>
      <c r="S83" s="5" t="inlineStr"/>
      <c r="T83" s="5" t="inlineStr">
        <is>
          <t>WS0428.pdf</t>
        </is>
      </c>
      <c r="U83" s="8" t="n"/>
      <c r="V83" s="8" t="n"/>
      <c r="W83" s="8" t="n"/>
      <c r="X83" s="8" t="n"/>
      <c r="Y83" s="8" t="n"/>
      <c r="Z83" s="8" t="n"/>
      <c r="AA83" s="8" t="n"/>
      <c r="AB83" s="8" t="n"/>
      <c r="AC83" s="8" t="n"/>
      <c r="AD83" s="8" t="n"/>
      <c r="AE83" s="8" t="inlineStr">
        <is>
          <t>yes</t>
        </is>
      </c>
    </row>
    <row r="84">
      <c r="A84" s="5" t="n">
        <v>83</v>
      </c>
      <c r="B84" s="5" t="inlineStr">
        <is>
          <t>WS0432</t>
        </is>
      </c>
      <c r="C84" s="5" t="inlineStr">
        <is>
          <t>2014</t>
        </is>
      </c>
      <c r="D84" s="5" t="inlineStr">
        <is>
          <t>English</t>
        </is>
      </c>
      <c r="E84" s="5" t="inlineStr">
        <is>
          <t>JOUR</t>
        </is>
      </c>
      <c r="F84" s="5" t="inlineStr">
        <is>
          <t>Goyal</t>
        </is>
      </c>
      <c r="G84" s="5" t="inlineStr">
        <is>
          <t>APSP journal of case reports</t>
        </is>
      </c>
      <c r="H84" s="5" t="inlineStr">
        <is>
          <t>5(1):4</t>
        </is>
      </c>
      <c r="I84" s="6" t="inlineStr">
        <is>
          <t>Salvage splenopexy for torsion of wandering spleen in a child.</t>
        </is>
      </c>
      <c r="J84" s="5" t="inlineStr"/>
      <c r="K84" s="5" t="inlineStr"/>
      <c r="L84" s="7" t="inlineStr">
        <is>
          <t>link</t>
        </is>
      </c>
      <c r="M84" s="5" t="inlineStr">
        <is>
          <t>PMC4005091</t>
        </is>
      </c>
      <c r="N84" s="7" t="inlineStr">
        <is>
          <t>link</t>
        </is>
      </c>
      <c r="O84" s="5" t="inlineStr"/>
      <c r="P84" s="5" t="inlineStr"/>
      <c r="Q84" s="5" t="inlineStr"/>
      <c r="R84" s="5" t="inlineStr">
        <is>
          <t>1 PMC record exists</t>
        </is>
      </c>
      <c r="S84" s="5" t="inlineStr"/>
      <c r="T84" s="5" t="inlineStr">
        <is>
          <t>WS0432.pdf</t>
        </is>
      </c>
      <c r="U84" s="8" t="n"/>
      <c r="V84" s="8" t="n"/>
      <c r="W84" s="8" t="n"/>
      <c r="X84" s="8" t="n"/>
      <c r="Y84" s="8" t="n"/>
      <c r="Z84" s="8" t="n"/>
      <c r="AA84" s="8" t="n"/>
      <c r="AB84" s="8" t="n"/>
      <c r="AC84" s="8" t="n"/>
      <c r="AD84" s="8" t="n"/>
      <c r="AE84" s="8" t="inlineStr">
        <is>
          <t>yes</t>
        </is>
      </c>
    </row>
    <row r="85">
      <c r="A85" s="5" t="n">
        <v>84</v>
      </c>
      <c r="B85" s="5" t="inlineStr">
        <is>
          <t>WS0441</t>
        </is>
      </c>
      <c r="C85" s="5" t="inlineStr">
        <is>
          <t>2014</t>
        </is>
      </c>
      <c r="D85" s="5" t="inlineStr">
        <is>
          <t>English</t>
        </is>
      </c>
      <c r="E85" s="5" t="inlineStr">
        <is>
          <t>JOUR</t>
        </is>
      </c>
      <c r="F85" s="5" t="inlineStr">
        <is>
          <t>Sheikh</t>
        </is>
      </c>
      <c r="G85" s="5" t="inlineStr">
        <is>
          <t>Patient safety in surgery</t>
        </is>
      </c>
      <c r="H85" s="5" t="inlineStr">
        <is>
          <t>8(1):12</t>
        </is>
      </c>
      <c r="I85" s="6" t="inlineStr">
        <is>
          <t>Non-operative management of a rare diagnosis of splenic torsion in a child with a history of giant omphalocele: a case report and literature review.</t>
        </is>
      </c>
      <c r="J85" s="5" t="inlineStr">
        <is>
          <t>10.1186/1754-9493-8-12</t>
        </is>
      </c>
      <c r="K85" s="7" t="inlineStr">
        <is>
          <t>link</t>
        </is>
      </c>
      <c r="L85" s="7" t="inlineStr">
        <is>
          <t>link</t>
        </is>
      </c>
      <c r="M85" s="5" t="inlineStr">
        <is>
          <t>PMC3973840</t>
        </is>
      </c>
      <c r="N85" s="7" t="inlineStr">
        <is>
          <t>link</t>
        </is>
      </c>
      <c r="O85" s="5" t="inlineStr"/>
      <c r="P85" s="5" t="inlineStr"/>
      <c r="Q85" s="5" t="inlineStr"/>
      <c r="R85" s="5" t="inlineStr">
        <is>
          <t>1 PMC record exists</t>
        </is>
      </c>
      <c r="S85" s="5" t="inlineStr"/>
      <c r="T85" s="5" t="inlineStr">
        <is>
          <t>WS0441.pdf</t>
        </is>
      </c>
      <c r="U85" s="8" t="n"/>
      <c r="V85" s="8" t="n"/>
      <c r="W85" s="8" t="n"/>
      <c r="X85" s="8" t="n"/>
      <c r="Y85" s="8" t="n"/>
      <c r="Z85" s="8" t="n"/>
      <c r="AA85" s="8" t="n"/>
      <c r="AB85" s="8" t="n"/>
      <c r="AC85" s="8" t="n"/>
      <c r="AD85" s="8" t="n"/>
      <c r="AE85" s="8" t="inlineStr">
        <is>
          <t>yes</t>
        </is>
      </c>
    </row>
    <row r="86">
      <c r="A86" s="5" t="n">
        <v>85</v>
      </c>
      <c r="B86" s="5" t="inlineStr">
        <is>
          <t>WS0423</t>
        </is>
      </c>
      <c r="C86" s="5" t="inlineStr">
        <is>
          <t>2013</t>
        </is>
      </c>
      <c r="D86" s="5" t="inlineStr">
        <is>
          <t>English</t>
        </is>
      </c>
      <c r="E86" s="5" t="inlineStr">
        <is>
          <t>JOUR</t>
        </is>
      </c>
      <c r="F86" s="5" t="inlineStr">
        <is>
          <t>McBrearty</t>
        </is>
      </c>
      <c r="G86" s="5" t="inlineStr">
        <is>
          <t>Clinical case reports</t>
        </is>
      </c>
      <c r="H86" s="5" t="inlineStr">
        <is>
          <t>1(1):42-3</t>
        </is>
      </c>
      <c r="I86" s="6" t="inlineStr">
        <is>
          <t>Wandering spleen: a potential abdominal catastrophe.</t>
        </is>
      </c>
      <c r="J86" s="5" t="inlineStr">
        <is>
          <t>10.1002/ccr3.9</t>
        </is>
      </c>
      <c r="K86" s="7" t="inlineStr">
        <is>
          <t>link</t>
        </is>
      </c>
      <c r="L86" s="7" t="inlineStr">
        <is>
          <t>link</t>
        </is>
      </c>
      <c r="M86" s="5" t="inlineStr">
        <is>
          <t>PMC4184540</t>
        </is>
      </c>
      <c r="N86" s="7" t="inlineStr">
        <is>
          <t>link</t>
        </is>
      </c>
      <c r="O86" s="5" t="inlineStr"/>
      <c r="P86" s="5" t="inlineStr"/>
      <c r="Q86" s="5" t="inlineStr"/>
      <c r="R86" s="5" t="inlineStr">
        <is>
          <t>1 PMC record exists</t>
        </is>
      </c>
      <c r="S86" s="5" t="inlineStr"/>
      <c r="T86" s="5" t="inlineStr">
        <is>
          <t>WS0423.pdf</t>
        </is>
      </c>
      <c r="U86" s="8" t="n"/>
      <c r="V86" s="8" t="n"/>
      <c r="W86" s="8" t="n"/>
      <c r="X86" s="8" t="n"/>
      <c r="Y86" s="8" t="n"/>
      <c r="Z86" s="8" t="n"/>
      <c r="AA86" s="8" t="n"/>
      <c r="AB86" s="8" t="n"/>
      <c r="AC86" s="8" t="n"/>
      <c r="AD86" s="8" t="n"/>
      <c r="AE86" s="8" t="inlineStr">
        <is>
          <t>yes</t>
        </is>
      </c>
    </row>
    <row r="87">
      <c r="A87" s="5" t="n">
        <v>86</v>
      </c>
      <c r="B87" s="5" t="inlineStr">
        <is>
          <t>WS0460</t>
        </is>
      </c>
      <c r="C87" s="5" t="inlineStr">
        <is>
          <t>2013</t>
        </is>
      </c>
      <c r="D87" s="5" t="inlineStr">
        <is>
          <t>English</t>
        </is>
      </c>
      <c r="E87" s="5" t="inlineStr">
        <is>
          <t>JOUR</t>
        </is>
      </c>
      <c r="F87" s="5" t="inlineStr">
        <is>
          <t>Leci-Tahiri</t>
        </is>
      </c>
      <c r="G87" s="5" t="inlineStr">
        <is>
          <t>World journal of emergency surgery : WJES</t>
        </is>
      </c>
      <c r="H87" s="5" t="inlineStr">
        <is>
          <t>8(1):30</t>
        </is>
      </c>
      <c r="I87" s="6" t="inlineStr">
        <is>
          <t>Acute abdomen due to torsion of the wandering spleen in a patient with Marfan Syndrome.</t>
        </is>
      </c>
      <c r="J87" s="5" t="inlineStr">
        <is>
          <t>10.1186/1749-7922-8-30</t>
        </is>
      </c>
      <c r="K87" s="7" t="inlineStr">
        <is>
          <t>link</t>
        </is>
      </c>
      <c r="L87" s="7" t="inlineStr">
        <is>
          <t>link</t>
        </is>
      </c>
      <c r="M87" s="5" t="inlineStr">
        <is>
          <t>PMC3751152</t>
        </is>
      </c>
      <c r="N87" s="7" t="inlineStr">
        <is>
          <t>link</t>
        </is>
      </c>
      <c r="O87" s="5" t="inlineStr"/>
      <c r="P87" s="5" t="inlineStr"/>
      <c r="Q87" s="5" t="inlineStr"/>
      <c r="R87" s="5" t="inlineStr">
        <is>
          <t>1 PMC record exists</t>
        </is>
      </c>
      <c r="S87" s="5" t="inlineStr"/>
      <c r="T87" s="5" t="inlineStr">
        <is>
          <t>WS0460.pdf</t>
        </is>
      </c>
      <c r="U87" s="8" t="n"/>
      <c r="V87" s="8" t="n"/>
      <c r="W87" s="8" t="n"/>
      <c r="X87" s="8" t="n"/>
      <c r="Y87" s="8" t="n"/>
      <c r="Z87" s="8" t="n"/>
      <c r="AA87" s="8" t="n"/>
      <c r="AB87" s="8" t="n"/>
      <c r="AC87" s="8" t="n"/>
      <c r="AD87" s="8" t="n"/>
      <c r="AE87" s="8" t="inlineStr">
        <is>
          <t>yes</t>
        </is>
      </c>
    </row>
    <row r="88">
      <c r="A88" s="5" t="n">
        <v>87</v>
      </c>
      <c r="B88" s="5" t="inlineStr">
        <is>
          <t>WS0486</t>
        </is>
      </c>
      <c r="C88" s="5" t="inlineStr">
        <is>
          <t>2013</t>
        </is>
      </c>
      <c r="D88" s="5" t="inlineStr">
        <is>
          <t>English</t>
        </is>
      </c>
      <c r="E88" s="5" t="inlineStr">
        <is>
          <t>JOUR</t>
        </is>
      </c>
      <c r="F88" s="5" t="inlineStr">
        <is>
          <t>Yilmaz</t>
        </is>
      </c>
      <c r="G88" s="5" t="inlineStr">
        <is>
          <t>Ulusal cerrahi dergisi</t>
        </is>
      </c>
      <c r="H88" s="5" t="inlineStr">
        <is>
          <t>29(4):200-2</t>
        </is>
      </c>
      <c r="I88" s="6" t="inlineStr">
        <is>
          <t>Torsion of wandering spleen as a rare reason for acute abdomen: A presentation of two cases.</t>
        </is>
      </c>
      <c r="J88" s="5" t="inlineStr">
        <is>
          <t>10.5152/ucd.2013.47</t>
        </is>
      </c>
      <c r="K88" s="7" t="inlineStr">
        <is>
          <t>link</t>
        </is>
      </c>
      <c r="L88" s="7" t="inlineStr">
        <is>
          <t>link</t>
        </is>
      </c>
      <c r="M88" s="5" t="inlineStr">
        <is>
          <t>PMC4382814</t>
        </is>
      </c>
      <c r="N88" s="7" t="inlineStr">
        <is>
          <t>link</t>
        </is>
      </c>
      <c r="O88" s="5" t="inlineStr"/>
      <c r="P88" s="5" t="inlineStr"/>
      <c r="Q88" s="5" t="inlineStr"/>
      <c r="R88" s="5" t="inlineStr">
        <is>
          <t>1 PMC record exists</t>
        </is>
      </c>
      <c r="S88" s="5" t="inlineStr"/>
      <c r="T88" s="5" t="inlineStr">
        <is>
          <t>WS0486.pdf</t>
        </is>
      </c>
      <c r="U88" s="8" t="n"/>
      <c r="V88" s="8" t="n"/>
      <c r="W88" s="8" t="n"/>
      <c r="X88" s="8" t="n"/>
      <c r="Y88" s="8" t="n"/>
      <c r="Z88" s="8" t="n"/>
      <c r="AA88" s="8" t="n"/>
      <c r="AB88" s="8" t="n"/>
      <c r="AC88" s="8" t="n"/>
      <c r="AD88" s="8" t="n"/>
      <c r="AE88" s="8" t="inlineStr">
        <is>
          <t>yes</t>
        </is>
      </c>
    </row>
    <row r="89">
      <c r="A89" s="5" t="n">
        <v>88</v>
      </c>
      <c r="B89" s="5" t="inlineStr">
        <is>
          <t>WS0489</t>
        </is>
      </c>
      <c r="C89" s="5" t="inlineStr">
        <is>
          <t>2013</t>
        </is>
      </c>
      <c r="D89" s="5" t="inlineStr">
        <is>
          <t>English</t>
        </is>
      </c>
      <c r="E89" s="5" t="inlineStr">
        <is>
          <t>JOUR</t>
        </is>
      </c>
      <c r="F89" s="5" t="inlineStr">
        <is>
          <t>Magowska</t>
        </is>
      </c>
      <c r="G89" s="5" t="inlineStr">
        <is>
          <t>World journal of surgery</t>
        </is>
      </c>
      <c r="H89" s="5" t="inlineStr">
        <is>
          <t>37(3):545-50</t>
        </is>
      </c>
      <c r="I89" s="6" t="inlineStr">
        <is>
          <t>Wandering spleen: a medical enigma, its natural history and rationalization.</t>
        </is>
      </c>
      <c r="J89" s="5" t="inlineStr">
        <is>
          <t>10.1007/s00268-012-1880-x</t>
        </is>
      </c>
      <c r="K89" s="7" t="inlineStr">
        <is>
          <t>link</t>
        </is>
      </c>
      <c r="L89" s="7" t="inlineStr">
        <is>
          <t>link</t>
        </is>
      </c>
      <c r="M89" s="5" t="inlineStr">
        <is>
          <t>PMC3566390</t>
        </is>
      </c>
      <c r="N89" s="7" t="inlineStr">
        <is>
          <t>link</t>
        </is>
      </c>
      <c r="O89" s="5" t="inlineStr"/>
      <c r="P89" s="5" t="inlineStr"/>
      <c r="Q89" s="5" t="inlineStr"/>
      <c r="R89" s="5" t="inlineStr">
        <is>
          <t>1 PMC record exists</t>
        </is>
      </c>
      <c r="S89" s="5" t="inlineStr"/>
      <c r="T89" s="5" t="inlineStr">
        <is>
          <t>WS0489.pdf</t>
        </is>
      </c>
      <c r="U89" s="8" t="n"/>
      <c r="V89" s="8" t="n"/>
      <c r="W89" s="8" t="n"/>
      <c r="X89" s="8" t="n"/>
      <c r="Y89" s="8" t="n"/>
      <c r="Z89" s="8" t="n"/>
      <c r="AA89" s="8" t="n"/>
      <c r="AB89" s="8" t="n"/>
      <c r="AC89" s="8" t="n"/>
      <c r="AD89" s="8" t="n"/>
      <c r="AE89" s="8" t="inlineStr">
        <is>
          <t>yes</t>
        </is>
      </c>
    </row>
    <row r="90">
      <c r="A90" s="5" t="n">
        <v>89</v>
      </c>
      <c r="B90" s="5" t="inlineStr">
        <is>
          <t>WS0520</t>
        </is>
      </c>
      <c r="C90" s="5" t="inlineStr">
        <is>
          <t>2012</t>
        </is>
      </c>
      <c r="D90" s="5" t="inlineStr">
        <is>
          <t>English</t>
        </is>
      </c>
      <c r="E90" s="5" t="inlineStr">
        <is>
          <t>JOUR</t>
        </is>
      </c>
      <c r="F90" s="5" t="inlineStr">
        <is>
          <t>Lemke</t>
        </is>
      </c>
      <c r="G90" s="5" t="inlineStr">
        <is>
          <t>GMS Interdisciplinary plastic and reconstructive surgery DGPW</t>
        </is>
      </c>
      <c r="H90" s="5" t="inlineStr">
        <is>
          <t>1:Doc14</t>
        </is>
      </c>
      <c r="I90" s="6" t="inlineStr">
        <is>
          <t>Laparoscopic splenectomy of a wandering spleen with coincidental enormous splenomegaly.</t>
        </is>
      </c>
      <c r="J90" s="5" t="inlineStr">
        <is>
          <t>10.3205/iprs000014</t>
        </is>
      </c>
      <c r="K90" s="7" t="inlineStr">
        <is>
          <t>link</t>
        </is>
      </c>
      <c r="L90" s="7" t="inlineStr">
        <is>
          <t>link</t>
        </is>
      </c>
      <c r="M90" s="5" t="inlineStr">
        <is>
          <t>PMC4582471</t>
        </is>
      </c>
      <c r="N90" s="7" t="inlineStr">
        <is>
          <t>link</t>
        </is>
      </c>
      <c r="O90" s="5" t="inlineStr"/>
      <c r="P90" s="5" t="inlineStr"/>
      <c r="Q90" s="5" t="inlineStr"/>
      <c r="R90" s="5" t="inlineStr">
        <is>
          <t>1 PMC record exists</t>
        </is>
      </c>
      <c r="S90" s="5" t="inlineStr"/>
      <c r="T90" s="5" t="inlineStr">
        <is>
          <t>WS0520.pdf</t>
        </is>
      </c>
      <c r="U90" s="8" t="n"/>
      <c r="V90" s="8" t="n"/>
      <c r="W90" s="8" t="n"/>
      <c r="X90" s="8" t="n"/>
      <c r="Y90" s="8" t="n"/>
      <c r="Z90" s="8" t="n"/>
      <c r="AA90" s="8" t="n"/>
      <c r="AB90" s="8" t="n"/>
      <c r="AC90" s="8" t="n"/>
      <c r="AD90" s="8" t="n"/>
      <c r="AE90" s="8" t="inlineStr">
        <is>
          <t>yes</t>
        </is>
      </c>
    </row>
    <row r="91">
      <c r="A91" s="5" t="n">
        <v>90</v>
      </c>
      <c r="B91" s="5" t="inlineStr">
        <is>
          <t>WS0541</t>
        </is>
      </c>
      <c r="C91" s="5" t="inlineStr">
        <is>
          <t>2011</t>
        </is>
      </c>
      <c r="D91" s="5" t="inlineStr">
        <is>
          <t>English</t>
        </is>
      </c>
      <c r="E91" s="5" t="inlineStr">
        <is>
          <t>JOUR</t>
        </is>
      </c>
      <c r="F91" s="5" t="inlineStr">
        <is>
          <t>Parisinos</t>
        </is>
      </c>
      <c r="G91" s="5" t="inlineStr">
        <is>
          <t>BMJ case reports</t>
        </is>
      </c>
      <c r="H91" s="5" t="inlineStr">
        <is>
          <t>2011</t>
        </is>
      </c>
      <c r="I91" s="6" t="inlineStr">
        <is>
          <t>Right abdominal mass in a 2 year-old child.</t>
        </is>
      </c>
      <c r="J91" s="5" t="inlineStr">
        <is>
          <t>10.1136/bcr.08.2011.4676</t>
        </is>
      </c>
      <c r="K91" s="7" t="inlineStr">
        <is>
          <t>link</t>
        </is>
      </c>
      <c r="L91" s="7" t="inlineStr">
        <is>
          <t>link</t>
        </is>
      </c>
      <c r="M91" s="5" t="inlineStr">
        <is>
          <t>PMC3207771</t>
        </is>
      </c>
      <c r="N91" s="7" t="inlineStr">
        <is>
          <t>link</t>
        </is>
      </c>
      <c r="O91" s="5" t="inlineStr"/>
      <c r="P91" s="5" t="inlineStr"/>
      <c r="Q91" s="5" t="inlineStr"/>
      <c r="R91" s="5" t="inlineStr">
        <is>
          <t>1 PMC record exists</t>
        </is>
      </c>
      <c r="S91" s="5" t="inlineStr"/>
      <c r="T91" s="5" t="inlineStr">
        <is>
          <t>WS0541.pdf</t>
        </is>
      </c>
      <c r="U91" s="8" t="n"/>
      <c r="V91" s="8" t="n"/>
      <c r="W91" s="8" t="n"/>
      <c r="X91" s="8" t="n"/>
      <c r="Y91" s="8" t="n"/>
      <c r="Z91" s="8" t="n"/>
      <c r="AA91" s="8" t="n"/>
      <c r="AB91" s="8" t="n"/>
      <c r="AC91" s="8" t="n"/>
      <c r="AD91" s="8" t="n"/>
      <c r="AE91" s="8" t="inlineStr">
        <is>
          <t>yes</t>
        </is>
      </c>
    </row>
    <row r="92">
      <c r="A92" s="5" t="n">
        <v>91</v>
      </c>
      <c r="B92" s="5" t="inlineStr">
        <is>
          <t>WS0545</t>
        </is>
      </c>
      <c r="C92" s="5" t="inlineStr">
        <is>
          <t>2010</t>
        </is>
      </c>
      <c r="D92" s="5" t="inlineStr">
        <is>
          <t>English</t>
        </is>
      </c>
      <c r="E92" s="5" t="inlineStr">
        <is>
          <t>JOUR</t>
        </is>
      </c>
      <c r="F92" s="5" t="inlineStr">
        <is>
          <t>El Bouhaddouti</t>
        </is>
      </c>
      <c r="G92" s="5" t="inlineStr">
        <is>
          <t>Saudi journal of gastroenterology : official journal of the Saudi Gastroenterology Association</t>
        </is>
      </c>
      <c r="H92" s="5" t="inlineStr">
        <is>
          <t>16(4):288-91</t>
        </is>
      </c>
      <c r="I92" s="6" t="inlineStr">
        <is>
          <t>Torsion of a wandering spleen.</t>
        </is>
      </c>
      <c r="J92" s="5" t="inlineStr">
        <is>
          <t>10.4103/1319-3767.70618</t>
        </is>
      </c>
      <c r="K92" s="7" t="inlineStr">
        <is>
          <t>link</t>
        </is>
      </c>
      <c r="L92" s="7" t="inlineStr">
        <is>
          <t>link</t>
        </is>
      </c>
      <c r="M92" s="5" t="inlineStr">
        <is>
          <t>PMC2995100</t>
        </is>
      </c>
      <c r="N92" s="7" t="inlineStr">
        <is>
          <t>link</t>
        </is>
      </c>
      <c r="O92" s="5" t="inlineStr"/>
      <c r="P92" s="5" t="inlineStr"/>
      <c r="Q92" s="5" t="inlineStr"/>
      <c r="R92" s="5" t="inlineStr">
        <is>
          <t>1 PMC record exists</t>
        </is>
      </c>
      <c r="S92" s="5" t="inlineStr"/>
      <c r="T92" s="5" t="inlineStr">
        <is>
          <t>WS0545.pdf</t>
        </is>
      </c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  <c r="AE92" s="8" t="inlineStr">
        <is>
          <t>yes</t>
        </is>
      </c>
    </row>
    <row r="93">
      <c r="A93" s="5" t="n">
        <v>92</v>
      </c>
      <c r="B93" s="5" t="inlineStr">
        <is>
          <t>WS0562</t>
        </is>
      </c>
      <c r="C93" s="5" t="inlineStr">
        <is>
          <t>2010</t>
        </is>
      </c>
      <c r="D93" s="5" t="inlineStr">
        <is>
          <t>English</t>
        </is>
      </c>
      <c r="E93" s="5" t="inlineStr">
        <is>
          <t>JOUR</t>
        </is>
      </c>
      <c r="F93" s="5" t="inlineStr">
        <is>
          <t>Turhan</t>
        </is>
      </c>
      <c r="G93" s="5" t="inlineStr">
        <is>
          <t>International medical case reports journal</t>
        </is>
      </c>
      <c r="H93" s="5" t="inlineStr">
        <is>
          <t>3(1):19-22</t>
        </is>
      </c>
      <c r="I93" s="6" t="inlineStr">
        <is>
          <t>Wandering spleen: Report of two cases.</t>
        </is>
      </c>
      <c r="J93" s="5" t="inlineStr">
        <is>
          <t>10.2147/imcrj.s8937</t>
        </is>
      </c>
      <c r="K93" s="7" t="inlineStr">
        <is>
          <t>link</t>
        </is>
      </c>
      <c r="L93" s="7" t="inlineStr">
        <is>
          <t>link</t>
        </is>
      </c>
      <c r="M93" s="5" t="inlineStr">
        <is>
          <t>PMC3658214</t>
        </is>
      </c>
      <c r="N93" s="7" t="inlineStr">
        <is>
          <t>link</t>
        </is>
      </c>
      <c r="O93" s="5" t="inlineStr"/>
      <c r="P93" s="5" t="inlineStr"/>
      <c r="Q93" s="5" t="inlineStr"/>
      <c r="R93" s="5" t="inlineStr">
        <is>
          <t>1 PMC record exists</t>
        </is>
      </c>
      <c r="S93" s="5" t="inlineStr"/>
      <c r="T93" s="5" t="inlineStr">
        <is>
          <t>WS0562.pdf</t>
        </is>
      </c>
      <c r="U93" s="8" t="n"/>
      <c r="V93" s="8" t="n"/>
      <c r="W93" s="8" t="n"/>
      <c r="X93" s="8" t="n"/>
      <c r="Y93" s="8" t="n"/>
      <c r="Z93" s="8" t="n"/>
      <c r="AA93" s="8" t="n"/>
      <c r="AB93" s="8" t="n"/>
      <c r="AC93" s="8" t="n"/>
      <c r="AD93" s="8" t="n"/>
      <c r="AE93" s="8" t="inlineStr">
        <is>
          <t>yes</t>
        </is>
      </c>
    </row>
    <row r="94">
      <c r="A94" s="5" t="n">
        <v>93</v>
      </c>
      <c r="B94" s="5" t="inlineStr">
        <is>
          <t>WS0595</t>
        </is>
      </c>
      <c r="C94" s="5" t="inlineStr">
        <is>
          <t>2008</t>
        </is>
      </c>
      <c r="D94" s="5" t="inlineStr">
        <is>
          <t>English</t>
        </is>
      </c>
      <c r="E94" s="5" t="inlineStr">
        <is>
          <t>JOUR</t>
        </is>
      </c>
      <c r="F94" s="5" t="inlineStr">
        <is>
          <t>Feroci</t>
        </is>
      </c>
      <c r="G94" s="5" t="inlineStr">
        <is>
          <t>Cases journal</t>
        </is>
      </c>
      <c r="H94" s="5" t="inlineStr">
        <is>
          <t>1(1):149</t>
        </is>
      </c>
      <c r="I94" s="6" t="inlineStr">
        <is>
          <t>The torsion of a wandering pelvic spleen: A case report.</t>
        </is>
      </c>
      <c r="J94" s="5" t="inlineStr">
        <is>
          <t>10.1186/1757-1626-1-149</t>
        </is>
      </c>
      <c r="K94" s="7" t="inlineStr">
        <is>
          <t>link</t>
        </is>
      </c>
      <c r="L94" s="7" t="inlineStr">
        <is>
          <t>link</t>
        </is>
      </c>
      <c r="M94" s="5" t="inlineStr">
        <is>
          <t>PMC2553057</t>
        </is>
      </c>
      <c r="N94" s="7" t="inlineStr">
        <is>
          <t>link</t>
        </is>
      </c>
      <c r="O94" s="5" t="inlineStr"/>
      <c r="P94" s="5" t="inlineStr"/>
      <c r="Q94" s="5" t="inlineStr"/>
      <c r="R94" s="5" t="inlineStr">
        <is>
          <t>1 PMC record exists</t>
        </is>
      </c>
      <c r="S94" s="5" t="inlineStr"/>
      <c r="T94" s="5" t="inlineStr">
        <is>
          <t>WS0595.pdf</t>
        </is>
      </c>
      <c r="U94" s="8" t="n"/>
      <c r="V94" s="8" t="n"/>
      <c r="W94" s="8" t="n"/>
      <c r="X94" s="8" t="n"/>
      <c r="Y94" s="8" t="n"/>
      <c r="Z94" s="8" t="n"/>
      <c r="AA94" s="8" t="n"/>
      <c r="AB94" s="8" t="n"/>
      <c r="AC94" s="8" t="n"/>
      <c r="AD94" s="8" t="n"/>
      <c r="AE94" s="8" t="inlineStr">
        <is>
          <t>yes</t>
        </is>
      </c>
    </row>
    <row r="95">
      <c r="A95" s="5" t="n">
        <v>94</v>
      </c>
      <c r="B95" s="5" t="inlineStr">
        <is>
          <t>WS0612</t>
        </is>
      </c>
      <c r="C95" s="5" t="inlineStr">
        <is>
          <t>2008</t>
        </is>
      </c>
      <c r="D95" s="5" t="inlineStr">
        <is>
          <t>English</t>
        </is>
      </c>
      <c r="E95" s="5" t="inlineStr">
        <is>
          <t>JOUR</t>
        </is>
      </c>
      <c r="F95" s="5" t="inlineStr">
        <is>
          <t>DeJohn</t>
        </is>
      </c>
      <c r="G95" s="5" t="inlineStr">
        <is>
          <t>Radiology case reports</t>
        </is>
      </c>
      <c r="H95" s="5" t="inlineStr">
        <is>
          <t>3(4):229</t>
        </is>
      </c>
      <c r="I95" s="6" t="inlineStr">
        <is>
          <t>Wandering Spleen: A Rare Diagnosis with Variable Presentation.</t>
        </is>
      </c>
      <c r="J95" s="5" t="inlineStr">
        <is>
          <t>10.2484/rcr.v3i4.229</t>
        </is>
      </c>
      <c r="K95" s="7" t="inlineStr">
        <is>
          <t>link</t>
        </is>
      </c>
      <c r="L95" s="7" t="inlineStr">
        <is>
          <t>link</t>
        </is>
      </c>
      <c r="M95" s="5" t="inlineStr">
        <is>
          <t>PMC4897094</t>
        </is>
      </c>
      <c r="N95" s="7" t="inlineStr">
        <is>
          <t>link</t>
        </is>
      </c>
      <c r="O95" s="5" t="inlineStr"/>
      <c r="P95" s="5" t="inlineStr"/>
      <c r="Q95" s="5" t="inlineStr"/>
      <c r="R95" s="5" t="inlineStr">
        <is>
          <t>1 PMC record exists</t>
        </is>
      </c>
      <c r="S95" s="5" t="inlineStr"/>
      <c r="T95" s="5" t="inlineStr">
        <is>
          <t>WS0612.pdf</t>
        </is>
      </c>
      <c r="U95" s="8" t="n"/>
      <c r="V95" s="8" t="n"/>
      <c r="W95" s="8" t="n"/>
      <c r="X95" s="8" t="n"/>
      <c r="Y95" s="8" t="n"/>
      <c r="Z95" s="8" t="n"/>
      <c r="AA95" s="8" t="n"/>
      <c r="AB95" s="8" t="n"/>
      <c r="AC95" s="8" t="n"/>
      <c r="AD95" s="8" t="n"/>
      <c r="AE95" s="8" t="inlineStr">
        <is>
          <t>yes</t>
        </is>
      </c>
    </row>
    <row r="96">
      <c r="A96" s="5" t="n">
        <v>95</v>
      </c>
      <c r="B96" s="5" t="inlineStr">
        <is>
          <t>WS0618</t>
        </is>
      </c>
      <c r="C96" s="5" t="inlineStr">
        <is>
          <t>2007</t>
        </is>
      </c>
      <c r="D96" s="5" t="inlineStr">
        <is>
          <t>English</t>
        </is>
      </c>
      <c r="E96" s="5" t="inlineStr">
        <is>
          <t>JOUR</t>
        </is>
      </c>
      <c r="F96" s="5" t="inlineStr">
        <is>
          <t>Palanivelu</t>
        </is>
      </c>
      <c r="G96" s="5" t="inlineStr">
        <is>
          <t>JSLS : Journal of the Society of Laparoendoscopic Surgeons</t>
        </is>
      </c>
      <c r="H96" s="5" t="inlineStr">
        <is>
          <t>11(2):246-51</t>
        </is>
      </c>
      <c r="I96" s="6" t="inlineStr">
        <is>
          <t>Laparoscopic mesh splenopexy (sandwich technique) for wandering spleen.</t>
        </is>
      </c>
      <c r="J96" s="5" t="inlineStr"/>
      <c r="K96" s="5" t="inlineStr"/>
      <c r="L96" s="7" t="inlineStr">
        <is>
          <t>link</t>
        </is>
      </c>
      <c r="M96" s="5" t="inlineStr">
        <is>
          <t>PMC3015717</t>
        </is>
      </c>
      <c r="N96" s="7" t="inlineStr">
        <is>
          <t>link</t>
        </is>
      </c>
      <c r="O96" s="5" t="inlineStr"/>
      <c r="P96" s="5" t="inlineStr"/>
      <c r="Q96" s="5" t="inlineStr"/>
      <c r="R96" s="5" t="inlineStr">
        <is>
          <t>1 PMC record exists</t>
        </is>
      </c>
      <c r="S96" s="5" t="inlineStr"/>
      <c r="T96" s="5" t="inlineStr">
        <is>
          <t>WS0618.pdf</t>
        </is>
      </c>
      <c r="U96" s="8" t="n"/>
      <c r="V96" s="8" t="n"/>
      <c r="W96" s="8" t="n"/>
      <c r="X96" s="8" t="n"/>
      <c r="Y96" s="8" t="n"/>
      <c r="Z96" s="8" t="n"/>
      <c r="AA96" s="8" t="n"/>
      <c r="AB96" s="8" t="n"/>
      <c r="AC96" s="8" t="n"/>
      <c r="AD96" s="8" t="n"/>
      <c r="AE96" s="8" t="inlineStr">
        <is>
          <t>yes</t>
        </is>
      </c>
    </row>
    <row r="97">
      <c r="A97" s="5" t="n">
        <v>96</v>
      </c>
      <c r="B97" s="5" t="inlineStr">
        <is>
          <t>WS0011</t>
        </is>
      </c>
      <c r="C97" s="5" t="inlineStr">
        <is>
          <t>2026</t>
        </is>
      </c>
      <c r="D97" s="5" t="inlineStr">
        <is>
          <t>English</t>
        </is>
      </c>
      <c r="E97" s="5" t="inlineStr">
        <is>
          <t>JOUR</t>
        </is>
      </c>
      <c r="F97" s="5" t="inlineStr">
        <is>
          <t>Malik</t>
        </is>
      </c>
      <c r="G97" s="5" t="inlineStr">
        <is>
          <t>Journal of minimal access surgery</t>
        </is>
      </c>
      <c r="H97" s="5" t="inlineStr"/>
      <c r="I97" s="6" t="inlineStr">
        <is>
          <t>Laparoscopic splenopexy for splenic torsion in a patient with heterotaxy and single ventricle physiology: A rare case report.</t>
        </is>
      </c>
      <c r="J97" s="5" t="inlineStr">
        <is>
          <t>10.4103/jmas.jmas_586_25</t>
        </is>
      </c>
      <c r="K97" s="7" t="inlineStr">
        <is>
          <t>link</t>
        </is>
      </c>
      <c r="L97" s="7" t="inlineStr">
        <is>
          <t>link</t>
        </is>
      </c>
      <c r="M97" s="5" t="inlineStr"/>
      <c r="N97" s="5" t="inlineStr"/>
      <c r="O97" s="5" t="inlineStr"/>
      <c r="P97" s="5" t="inlineStr"/>
      <c r="Q97" s="5" t="inlineStr"/>
      <c r="R97" s="5" t="inlineStr">
        <is>
          <t>2 English, DOI or PubMed link</t>
        </is>
      </c>
      <c r="S97" s="5" t="inlineStr"/>
      <c r="T97" s="5" t="inlineStr">
        <is>
          <t>WS0011.pdf</t>
        </is>
      </c>
      <c r="U97" s="8" t="n"/>
      <c r="V97" s="8" t="n"/>
      <c r="W97" s="8" t="n"/>
      <c r="X97" s="8" t="n"/>
      <c r="Y97" s="8" t="n"/>
      <c r="Z97" s="8" t="n"/>
      <c r="AA97" s="8" t="n"/>
      <c r="AB97" s="8" t="n"/>
      <c r="AC97" s="8" t="n"/>
      <c r="AD97" s="8" t="n"/>
      <c r="AE97" s="8" t="inlineStr">
        <is>
          <t>yes</t>
        </is>
      </c>
    </row>
    <row r="98">
      <c r="A98" s="5" t="n">
        <v>97</v>
      </c>
      <c r="B98" s="5" t="inlineStr">
        <is>
          <t>WS0016</t>
        </is>
      </c>
      <c r="C98" s="5" t="inlineStr">
        <is>
          <t>2026</t>
        </is>
      </c>
      <c r="D98" s="5" t="inlineStr">
        <is>
          <t>English</t>
        </is>
      </c>
      <c r="E98" s="5" t="inlineStr">
        <is>
          <t>JOUR</t>
        </is>
      </c>
      <c r="F98" s="5" t="inlineStr">
        <is>
          <t>Liu</t>
        </is>
      </c>
      <c r="G98" s="5" t="inlineStr">
        <is>
          <t>Updates in surgery</t>
        </is>
      </c>
      <c r="H98" s="5" t="inlineStr"/>
      <c r="I98" s="6" t="inlineStr">
        <is>
          <t>Surgical management of pediatric primary splenic lesions: safety and feasibility of transumbilical single-port laparoscopic partial splenectomy.</t>
        </is>
      </c>
      <c r="J98" s="5" t="inlineStr">
        <is>
          <t>10.1007/s13304-026-02552-7</t>
        </is>
      </c>
      <c r="K98" s="7" t="inlineStr">
        <is>
          <t>link</t>
        </is>
      </c>
      <c r="L98" s="7" t="inlineStr">
        <is>
          <t>link</t>
        </is>
      </c>
      <c r="M98" s="5" t="inlineStr"/>
      <c r="N98" s="5" t="inlineStr"/>
      <c r="O98" s="5" t="inlineStr"/>
      <c r="P98" s="5" t="inlineStr"/>
      <c r="Q98" s="5" t="inlineStr"/>
      <c r="R98" s="5" t="inlineStr">
        <is>
          <t>2 English, DOI or PubMed link</t>
        </is>
      </c>
      <c r="S98" s="5" t="inlineStr"/>
      <c r="T98" s="5" t="inlineStr">
        <is>
          <t>WS0016.pdf</t>
        </is>
      </c>
      <c r="U98" s="8" t="n"/>
      <c r="V98" s="8" t="n"/>
      <c r="W98" s="8" t="n"/>
      <c r="X98" s="8" t="n"/>
      <c r="Y98" s="8" t="n"/>
      <c r="Z98" s="8" t="n"/>
      <c r="AA98" s="8" t="n"/>
      <c r="AB98" s="8" t="n"/>
      <c r="AC98" s="8" t="n"/>
      <c r="AD98" s="8" t="n"/>
      <c r="AE98" s="8" t="inlineStr">
        <is>
          <t>yes</t>
        </is>
      </c>
    </row>
    <row r="99">
      <c r="A99" s="5" t="n">
        <v>98</v>
      </c>
      <c r="B99" s="5" t="inlineStr">
        <is>
          <t>WS1283</t>
        </is>
      </c>
      <c r="C99" s="5" t="inlineStr">
        <is>
          <t>2026</t>
        </is>
      </c>
      <c r="D99" s="5" t="inlineStr">
        <is>
          <t>English</t>
        </is>
      </c>
      <c r="E99" s="5" t="inlineStr">
        <is>
          <t>JOUR</t>
        </is>
      </c>
      <c r="F99" s="5" t="inlineStr">
        <is>
          <t>Khan</t>
        </is>
      </c>
      <c r="G99" s="5" t="inlineStr">
        <is>
          <t>Journal of Pediatric Surgery Case Reports</t>
        </is>
      </c>
      <c r="H99" s="5" t="inlineStr">
        <is>
          <t>133</t>
        </is>
      </c>
      <c r="I99" s="6" t="inlineStr">
        <is>
          <t>Splenic torsion of a wandering spleen and polysplenia syndrome in a 10-year-old boy with cyanotic congenital heart disease: A case report</t>
        </is>
      </c>
      <c r="J99" s="5" t="inlineStr">
        <is>
          <t>10.1016/j.epsc.2026.103340</t>
        </is>
      </c>
      <c r="K99" s="7" t="inlineStr">
        <is>
          <t>link</t>
        </is>
      </c>
      <c r="L99" s="5" t="inlineStr"/>
      <c r="M99" s="5" t="inlineStr"/>
      <c r="N99" s="5" t="inlineStr"/>
      <c r="O99" s="5" t="inlineStr"/>
      <c r="P99" s="5" t="inlineStr"/>
      <c r="Q99" s="7" t="inlineStr">
        <is>
          <t>link</t>
        </is>
      </c>
      <c r="R99" s="5" t="inlineStr">
        <is>
          <t>2 English, DOI or PubMed link</t>
        </is>
      </c>
      <c r="S99" s="5" t="inlineStr"/>
      <c r="T99" s="5" t="inlineStr">
        <is>
          <t>WS1283.pdf</t>
        </is>
      </c>
      <c r="U99" s="8" t="n"/>
      <c r="V99" s="8" t="n"/>
      <c r="W99" s="8" t="n"/>
      <c r="X99" s="8" t="n"/>
      <c r="Y99" s="8" t="n"/>
      <c r="Z99" s="8" t="n"/>
      <c r="AA99" s="8" t="n"/>
      <c r="AB99" s="8" t="n"/>
      <c r="AC99" s="8" t="n"/>
      <c r="AD99" s="8" t="n"/>
      <c r="AE99" s="8" t="inlineStr">
        <is>
          <t>yes</t>
        </is>
      </c>
    </row>
    <row r="100">
      <c r="A100" s="5" t="n">
        <v>99</v>
      </c>
      <c r="B100" s="5" t="inlineStr">
        <is>
          <t>WS1574</t>
        </is>
      </c>
      <c r="C100" s="5" t="inlineStr">
        <is>
          <t>2026</t>
        </is>
      </c>
      <c r="D100" s="5" t="inlineStr">
        <is>
          <t>English</t>
        </is>
      </c>
      <c r="E100" s="5" t="inlineStr">
        <is>
          <t>JOUR</t>
        </is>
      </c>
      <c r="F100" s="5" t="inlineStr">
        <is>
          <t>Zhou</t>
        </is>
      </c>
      <c r="G100" s="5" t="inlineStr">
        <is>
          <t>Frontiers in Oncology</t>
        </is>
      </c>
      <c r="H100" s="5" t="inlineStr">
        <is>
          <t>16</t>
        </is>
      </c>
      <c r="I100" s="6" t="inlineStr">
        <is>
          <t>Giant solid pseudopapillary neoplasm of the pancreas in an adolescent girl: a case report with narrative review</t>
        </is>
      </c>
      <c r="J100" s="5" t="inlineStr">
        <is>
          <t>10.3389/fonc.2026.1871126</t>
        </is>
      </c>
      <c r="K100" s="7" t="inlineStr">
        <is>
          <t>link</t>
        </is>
      </c>
      <c r="L100" s="5" t="inlineStr"/>
      <c r="M100" s="5" t="inlineStr"/>
      <c r="N100" s="5" t="inlineStr"/>
      <c r="O100" s="5" t="inlineStr"/>
      <c r="P100" s="5" t="inlineStr"/>
      <c r="Q100" s="7" t="inlineStr">
        <is>
          <t>link</t>
        </is>
      </c>
      <c r="R100" s="5" t="inlineStr">
        <is>
          <t>2 English, DOI or PubMed link</t>
        </is>
      </c>
      <c r="S100" s="5" t="inlineStr"/>
      <c r="T100" s="5" t="inlineStr">
        <is>
          <t>WS1574.pdf</t>
        </is>
      </c>
      <c r="U100" s="8" t="n"/>
      <c r="V100" s="8" t="n"/>
      <c r="W100" s="8" t="n"/>
      <c r="X100" s="8" t="n"/>
      <c r="Y100" s="8" t="n"/>
      <c r="Z100" s="8" t="n"/>
      <c r="AA100" s="8" t="n"/>
      <c r="AB100" s="8" t="n"/>
      <c r="AC100" s="8" t="n"/>
      <c r="AD100" s="8" t="n"/>
      <c r="AE100" s="8" t="inlineStr">
        <is>
          <t>yes</t>
        </is>
      </c>
    </row>
    <row r="101">
      <c r="A101" s="5" t="n">
        <v>100</v>
      </c>
      <c r="B101" s="5" t="inlineStr">
        <is>
          <t>WS0071</t>
        </is>
      </c>
      <c r="C101" s="5" t="inlineStr">
        <is>
          <t>2025</t>
        </is>
      </c>
      <c r="D101" s="5" t="inlineStr">
        <is>
          <t>English</t>
        </is>
      </c>
      <c r="E101" s="5" t="inlineStr">
        <is>
          <t>JOUR</t>
        </is>
      </c>
      <c r="F101" s="5" t="inlineStr">
        <is>
          <t>Cesana</t>
        </is>
      </c>
      <c r="G101" s="5" t="inlineStr">
        <is>
          <t>Updates in surgery</t>
        </is>
      </c>
      <c r="H101" s="5" t="inlineStr">
        <is>
          <t>77(4):1261-1264</t>
        </is>
      </c>
      <c r="I101" s="6" t="inlineStr">
        <is>
          <t>Case report: laparoscopic keyhole splenopexy with composite mesh for wandering spleen.</t>
        </is>
      </c>
      <c r="J101" s="5" t="inlineStr">
        <is>
          <t>10.1007/s13304-025-02181-6</t>
        </is>
      </c>
      <c r="K101" s="7" t="inlineStr">
        <is>
          <t>link</t>
        </is>
      </c>
      <c r="L101" s="7" t="inlineStr">
        <is>
          <t>link</t>
        </is>
      </c>
      <c r="M101" s="5" t="inlineStr"/>
      <c r="N101" s="5" t="inlineStr"/>
      <c r="O101" s="5" t="inlineStr"/>
      <c r="P101" s="5" t="inlineStr"/>
      <c r="Q101" s="5" t="inlineStr"/>
      <c r="R101" s="5" t="inlineStr">
        <is>
          <t>2 English, DOI or PubMed link</t>
        </is>
      </c>
      <c r="S101" s="5" t="inlineStr"/>
      <c r="T101" s="5" t="inlineStr">
        <is>
          <t>WS0071.pdf</t>
        </is>
      </c>
      <c r="U101" s="8" t="n"/>
      <c r="V101" s="8" t="n"/>
      <c r="W101" s="8" t="n"/>
      <c r="X101" s="8" t="n"/>
      <c r="Y101" s="8" t="n"/>
      <c r="Z101" s="8" t="n"/>
      <c r="AA101" s="8" t="n"/>
      <c r="AB101" s="8" t="n"/>
      <c r="AC101" s="8" t="n"/>
      <c r="AD101" s="8" t="n"/>
      <c r="AE101" s="8" t="inlineStr">
        <is>
          <t>yes</t>
        </is>
      </c>
    </row>
    <row r="102">
      <c r="A102" s="5" t="n">
        <v>101</v>
      </c>
      <c r="B102" s="5" t="inlineStr">
        <is>
          <t>WS1293</t>
        </is>
      </c>
      <c r="C102" s="5" t="inlineStr">
        <is>
          <t>2025</t>
        </is>
      </c>
      <c r="D102" s="5" t="inlineStr">
        <is>
          <t>English</t>
        </is>
      </c>
      <c r="E102" s="5" t="inlineStr">
        <is>
          <t>JOUR</t>
        </is>
      </c>
      <c r="F102" s="5" t="inlineStr">
        <is>
          <t>Amine</t>
        </is>
      </c>
      <c r="G102" s="5" t="inlineStr">
        <is>
          <t>Journal of Pediatric Surgery Case Reports</t>
        </is>
      </c>
      <c r="H102" s="5" t="inlineStr">
        <is>
          <t>120</t>
        </is>
      </c>
      <c r="I102" s="6" t="inlineStr">
        <is>
          <t>Wandering spleen and intestinal malrotation in a 14-year-old female: a case report</t>
        </is>
      </c>
      <c r="J102" s="5" t="inlineStr">
        <is>
          <t>10.1016/j.epsc.2025.103046</t>
        </is>
      </c>
      <c r="K102" s="7" t="inlineStr">
        <is>
          <t>link</t>
        </is>
      </c>
      <c r="L102" s="5" t="inlineStr"/>
      <c r="M102" s="5" t="inlineStr"/>
      <c r="N102" s="5" t="inlineStr"/>
      <c r="O102" s="5" t="inlineStr"/>
      <c r="P102" s="5" t="inlineStr"/>
      <c r="Q102" s="7" t="inlineStr">
        <is>
          <t>link</t>
        </is>
      </c>
      <c r="R102" s="5" t="inlineStr">
        <is>
          <t>2 English, DOI or PubMed link</t>
        </is>
      </c>
      <c r="S102" s="5" t="inlineStr"/>
      <c r="T102" s="5" t="inlineStr">
        <is>
          <t>WS1293.pdf</t>
        </is>
      </c>
      <c r="U102" s="8" t="n"/>
      <c r="V102" s="8" t="n"/>
      <c r="W102" s="8" t="n"/>
      <c r="X102" s="8" t="n"/>
      <c r="Y102" s="8" t="n"/>
      <c r="Z102" s="8" t="n"/>
      <c r="AA102" s="8" t="n"/>
      <c r="AB102" s="8" t="n"/>
      <c r="AC102" s="8" t="n"/>
      <c r="AD102" s="8" t="n"/>
      <c r="AE102" s="8" t="inlineStr">
        <is>
          <t>yes</t>
        </is>
      </c>
    </row>
    <row r="103">
      <c r="A103" s="5" t="n">
        <v>102</v>
      </c>
      <c r="B103" s="5" t="inlineStr">
        <is>
          <t>WS1303</t>
        </is>
      </c>
      <c r="C103" s="5" t="inlineStr">
        <is>
          <t>2025</t>
        </is>
      </c>
      <c r="D103" s="5" t="inlineStr">
        <is>
          <t>English</t>
        </is>
      </c>
      <c r="E103" s="5" t="inlineStr">
        <is>
          <t>JOUR</t>
        </is>
      </c>
      <c r="F103" s="5" t="inlineStr">
        <is>
          <t>Mantawil</t>
        </is>
      </c>
      <c r="G103" s="5" t="inlineStr">
        <is>
          <t>INTERNATIONAL JOURNAL OF HEPATOBILIARY AND PANCREATIC DISEASES</t>
        </is>
      </c>
      <c r="H103" s="5" t="inlineStr">
        <is>
          <t>15(2)</t>
        </is>
      </c>
      <c r="I103" s="6" t="inlineStr">
        <is>
          <t>Splenic torsion with partial colonic obstruction caused by a wandering spleen in a teenager: A case report</t>
        </is>
      </c>
      <c r="J103" s="5" t="inlineStr">
        <is>
          <t>10.5348/100108z04am2025ra</t>
        </is>
      </c>
      <c r="K103" s="7" t="inlineStr">
        <is>
          <t>link</t>
        </is>
      </c>
      <c r="L103" s="5" t="inlineStr"/>
      <c r="M103" s="5" t="inlineStr"/>
      <c r="N103" s="5" t="inlineStr"/>
      <c r="O103" s="5" t="inlineStr"/>
      <c r="P103" s="5" t="inlineStr"/>
      <c r="Q103" s="5" t="inlineStr"/>
      <c r="R103" s="5" t="inlineStr">
        <is>
          <t>2 English, DOI or PubMed link</t>
        </is>
      </c>
      <c r="S103" s="5" t="inlineStr"/>
      <c r="T103" s="5" t="inlineStr">
        <is>
          <t>WS1303.pdf</t>
        </is>
      </c>
      <c r="U103" s="8" t="n"/>
      <c r="V103" s="8" t="n"/>
      <c r="W103" s="8" t="n"/>
      <c r="X103" s="8" t="n"/>
      <c r="Y103" s="8" t="n"/>
      <c r="Z103" s="8" t="n"/>
      <c r="AA103" s="8" t="n"/>
      <c r="AB103" s="8" t="n"/>
      <c r="AC103" s="8" t="n"/>
      <c r="AD103" s="8" t="n"/>
      <c r="AE103" s="8" t="inlineStr">
        <is>
          <t>yes</t>
        </is>
      </c>
    </row>
    <row r="104">
      <c r="A104" s="5" t="n">
        <v>103</v>
      </c>
      <c r="B104" s="5" t="inlineStr">
        <is>
          <t>WS1367</t>
        </is>
      </c>
      <c r="C104" s="5" t="inlineStr">
        <is>
          <t>2025</t>
        </is>
      </c>
      <c r="D104" s="5" t="inlineStr">
        <is>
          <t>English</t>
        </is>
      </c>
      <c r="E104" s="5" t="inlineStr">
        <is>
          <t>JOUR</t>
        </is>
      </c>
      <c r="F104" s="5" t="inlineStr">
        <is>
          <t>Inggriani</t>
        </is>
      </c>
      <c r="G104" s="5" t="inlineStr">
        <is>
          <t>Egyptian Journal of Radiology and Nuclear Medicine</t>
        </is>
      </c>
      <c r="H104" s="5" t="inlineStr">
        <is>
          <t>56(1)</t>
        </is>
      </c>
      <c r="I104" s="6" t="inlineStr">
        <is>
          <t>Beyond the usual: three unique cases of wandering spleen in Indonesia</t>
        </is>
      </c>
      <c r="J104" s="5" t="inlineStr">
        <is>
          <t>10.1186/s43055-025-01488-z</t>
        </is>
      </c>
      <c r="K104" s="7" t="inlineStr">
        <is>
          <t>link</t>
        </is>
      </c>
      <c r="L104" s="5" t="inlineStr"/>
      <c r="M104" s="5" t="inlineStr"/>
      <c r="N104" s="5" t="inlineStr"/>
      <c r="O104" s="5" t="inlineStr"/>
      <c r="P104" s="5" t="inlineStr"/>
      <c r="Q104" s="7" t="inlineStr">
        <is>
          <t>link</t>
        </is>
      </c>
      <c r="R104" s="5" t="inlineStr">
        <is>
          <t>2 English, DOI or PubMed link</t>
        </is>
      </c>
      <c r="S104" s="5" t="inlineStr">
        <is>
          <t>Y</t>
        </is>
      </c>
      <c r="T104" s="5" t="inlineStr">
        <is>
          <t>WS1367.pdf</t>
        </is>
      </c>
      <c r="U104" s="8" t="n"/>
      <c r="V104" s="8" t="n"/>
      <c r="W104" s="8" t="n"/>
      <c r="X104" s="8" t="n"/>
      <c r="Y104" s="8" t="n"/>
      <c r="Z104" s="8" t="n"/>
      <c r="AA104" s="8" t="n"/>
      <c r="AB104" s="8" t="n"/>
      <c r="AC104" s="8" t="n"/>
      <c r="AD104" s="8" t="n"/>
      <c r="AE104" s="8" t="inlineStr">
        <is>
          <t>yes</t>
        </is>
      </c>
    </row>
    <row r="105">
      <c r="A105" s="5" t="n">
        <v>104</v>
      </c>
      <c r="B105" s="5" t="inlineStr">
        <is>
          <t>WS1431</t>
        </is>
      </c>
      <c r="C105" s="5" t="inlineStr">
        <is>
          <t>2025</t>
        </is>
      </c>
      <c r="D105" s="5" t="inlineStr">
        <is>
          <t>English</t>
        </is>
      </c>
      <c r="E105" s="5" t="inlineStr">
        <is>
          <t>JOUR</t>
        </is>
      </c>
      <c r="F105" s="5" t="inlineStr">
        <is>
          <t>Gripp</t>
        </is>
      </c>
      <c r="G105" s="5" t="inlineStr">
        <is>
          <t>CASE REPORTS IN PATHOLOGY</t>
        </is>
      </c>
      <c r="H105" s="5" t="inlineStr">
        <is>
          <t>2025(1)</t>
        </is>
      </c>
      <c r="I105" s="6" t="inlineStr">
        <is>
          <t>"Sneaky Spleen": Three Cases of Ectopic Splenic Tissue Mimicking Neoplasia</t>
        </is>
      </c>
      <c r="J105" s="5" t="inlineStr">
        <is>
          <t>10.1155/crip/6644516</t>
        </is>
      </c>
      <c r="K105" s="7" t="inlineStr">
        <is>
          <t>link</t>
        </is>
      </c>
      <c r="L105" s="5" t="inlineStr"/>
      <c r="M105" s="5" t="inlineStr"/>
      <c r="N105" s="5" t="inlineStr"/>
      <c r="O105" s="5" t="inlineStr"/>
      <c r="P105" s="5" t="inlineStr"/>
      <c r="Q105" s="5" t="inlineStr"/>
      <c r="R105" s="5" t="inlineStr">
        <is>
          <t>2 English, DOI or PubMed link</t>
        </is>
      </c>
      <c r="S105" s="5" t="inlineStr"/>
      <c r="T105" s="5" t="inlineStr">
        <is>
          <t>WS1431.pdf</t>
        </is>
      </c>
      <c r="U105" s="8" t="n"/>
      <c r="V105" s="8" t="n"/>
      <c r="W105" s="8" t="n"/>
      <c r="X105" s="8" t="n"/>
      <c r="Y105" s="8" t="n"/>
      <c r="Z105" s="8" t="n"/>
      <c r="AA105" s="8" t="n"/>
      <c r="AB105" s="8" t="n"/>
      <c r="AC105" s="8" t="n"/>
      <c r="AD105" s="8" t="n"/>
      <c r="AE105" s="8" t="inlineStr">
        <is>
          <t>yes</t>
        </is>
      </c>
    </row>
    <row r="106">
      <c r="A106" s="5" t="n">
        <v>105</v>
      </c>
      <c r="B106" s="5" t="inlineStr">
        <is>
          <t>WS1589</t>
        </is>
      </c>
      <c r="C106" s="5" t="inlineStr">
        <is>
          <t>2025</t>
        </is>
      </c>
      <c r="D106" s="5" t="inlineStr">
        <is>
          <t>English</t>
        </is>
      </c>
      <c r="E106" s="5" t="inlineStr">
        <is>
          <t>JOUR</t>
        </is>
      </c>
      <c r="F106" s="5" t="inlineStr">
        <is>
          <t>Ogоrоdnikоva</t>
        </is>
      </c>
      <c r="G106" s="5" t="inlineStr">
        <is>
          <t>Medical News of North Caucasus</t>
        </is>
      </c>
      <c r="H106" s="5" t="inlineStr">
        <is>
          <t>20(2):173-175</t>
        </is>
      </c>
      <c r="I106" s="6" t="inlineStr">
        <is>
          <t>CLINICAL CASE OF COMBINATION OF ACUTE APPENDICITIS WITH SPLEEN TORSION IN A CHILD</t>
        </is>
      </c>
      <c r="J106" s="5" t="inlineStr">
        <is>
          <t>10.14300/mnnc.2025.20040</t>
        </is>
      </c>
      <c r="K106" s="7" t="inlineStr">
        <is>
          <t>link</t>
        </is>
      </c>
      <c r="L106" s="5" t="inlineStr"/>
      <c r="M106" s="5" t="inlineStr"/>
      <c r="N106" s="5" t="inlineStr"/>
      <c r="O106" s="5" t="inlineStr"/>
      <c r="P106" s="5" t="inlineStr"/>
      <c r="Q106" s="7" t="inlineStr">
        <is>
          <t>link</t>
        </is>
      </c>
      <c r="R106" s="5" t="inlineStr">
        <is>
          <t>2 English, DOI or PubMed link</t>
        </is>
      </c>
      <c r="S106" s="5" t="inlineStr"/>
      <c r="T106" s="5" t="inlineStr">
        <is>
          <t>WS1589.pdf</t>
        </is>
      </c>
      <c r="U106" s="8" t="n"/>
      <c r="V106" s="8" t="n"/>
      <c r="W106" s="8" t="n"/>
      <c r="X106" s="8" t="n"/>
      <c r="Y106" s="8" t="n"/>
      <c r="Z106" s="8" t="n"/>
      <c r="AA106" s="8" t="n"/>
      <c r="AB106" s="8" t="n"/>
      <c r="AC106" s="8" t="n"/>
      <c r="AD106" s="8" t="n"/>
      <c r="AE106" s="8" t="inlineStr">
        <is>
          <t>yes</t>
        </is>
      </c>
    </row>
    <row r="107">
      <c r="A107" s="5" t="n">
        <v>106</v>
      </c>
      <c r="B107" s="5" t="inlineStr">
        <is>
          <t>WS0100</t>
        </is>
      </c>
      <c r="C107" s="5" t="inlineStr">
        <is>
          <t>2024</t>
        </is>
      </c>
      <c r="D107" s="5" t="inlineStr">
        <is>
          <t>English</t>
        </is>
      </c>
      <c r="E107" s="5" t="inlineStr">
        <is>
          <t>JOUR</t>
        </is>
      </c>
      <c r="F107" s="5" t="inlineStr">
        <is>
          <t>Poirier</t>
        </is>
      </c>
      <c r="G107" s="5" t="inlineStr">
        <is>
          <t>Journal of visceral surgery</t>
        </is>
      </c>
      <c r="H107" s="5" t="inlineStr">
        <is>
          <t>161(6):402-403</t>
        </is>
      </c>
      <c r="I107" s="6" t="inlineStr">
        <is>
          <t>Wandering spleen: Diagnosis and treatment.</t>
        </is>
      </c>
      <c r="J107" s="5" t="inlineStr">
        <is>
          <t>10.1016/j.jviscsurg.2024.05.005</t>
        </is>
      </c>
      <c r="K107" s="7" t="inlineStr">
        <is>
          <t>link</t>
        </is>
      </c>
      <c r="L107" s="7" t="inlineStr">
        <is>
          <t>link</t>
        </is>
      </c>
      <c r="M107" s="5" t="inlineStr"/>
      <c r="N107" s="5" t="inlineStr"/>
      <c r="O107" s="5" t="inlineStr"/>
      <c r="P107" s="5" t="inlineStr"/>
      <c r="Q107" s="5" t="inlineStr"/>
      <c r="R107" s="5" t="inlineStr">
        <is>
          <t>2 English, DOI or PubMed link</t>
        </is>
      </c>
      <c r="S107" s="5" t="inlineStr"/>
      <c r="T107" s="5" t="inlineStr">
        <is>
          <t>WS0100.pdf</t>
        </is>
      </c>
      <c r="U107" s="8" t="n"/>
      <c r="V107" s="8" t="n"/>
      <c r="W107" s="8" t="n"/>
      <c r="X107" s="8" t="n"/>
      <c r="Y107" s="8" t="n"/>
      <c r="Z107" s="8" t="n"/>
      <c r="AA107" s="8" t="n"/>
      <c r="AB107" s="8" t="n"/>
      <c r="AC107" s="8" t="n"/>
      <c r="AD107" s="8" t="n"/>
      <c r="AE107" s="8" t="inlineStr">
        <is>
          <t>yes</t>
        </is>
      </c>
    </row>
    <row r="108">
      <c r="A108" s="5" t="n">
        <v>107</v>
      </c>
      <c r="B108" s="5" t="inlineStr">
        <is>
          <t>WS1311</t>
        </is>
      </c>
      <c r="C108" s="5" t="inlineStr">
        <is>
          <t>2024</t>
        </is>
      </c>
      <c r="D108" s="5" t="inlineStr">
        <is>
          <t>English</t>
        </is>
      </c>
      <c r="E108" s="5" t="inlineStr">
        <is>
          <t>JOUR</t>
        </is>
      </c>
      <c r="F108" s="5" t="inlineStr">
        <is>
          <t>Rahimi</t>
        </is>
      </c>
      <c r="G108" s="5" t="inlineStr">
        <is>
          <t>Journal of Pediatric Surgery Case Reports</t>
        </is>
      </c>
      <c r="H108" s="5" t="inlineStr">
        <is>
          <t>103</t>
        </is>
      </c>
      <c r="I108" s="6" t="inlineStr">
        <is>
          <t>Splenic infarction following recurrent torsion of a wandering spleen: A case report</t>
        </is>
      </c>
      <c r="J108" s="5" t="inlineStr">
        <is>
          <t>10.1016/j.epsc.2024.102793</t>
        </is>
      </c>
      <c r="K108" s="7" t="inlineStr">
        <is>
          <t>link</t>
        </is>
      </c>
      <c r="L108" s="5" t="inlineStr"/>
      <c r="M108" s="5" t="inlineStr"/>
      <c r="N108" s="5" t="inlineStr"/>
      <c r="O108" s="5" t="inlineStr"/>
      <c r="P108" s="5" t="inlineStr"/>
      <c r="Q108" s="7" t="inlineStr">
        <is>
          <t>link</t>
        </is>
      </c>
      <c r="R108" s="5" t="inlineStr">
        <is>
          <t>2 English, DOI or PubMed link</t>
        </is>
      </c>
      <c r="S108" s="5" t="inlineStr"/>
      <c r="T108" s="5" t="inlineStr">
        <is>
          <t>WS1311.pdf</t>
        </is>
      </c>
      <c r="U108" s="8" t="n"/>
      <c r="V108" s="8" t="n"/>
      <c r="W108" s="8" t="n"/>
      <c r="X108" s="8" t="n"/>
      <c r="Y108" s="8" t="n"/>
      <c r="Z108" s="8" t="n"/>
      <c r="AA108" s="8" t="n"/>
      <c r="AB108" s="8" t="n"/>
      <c r="AC108" s="8" t="n"/>
      <c r="AD108" s="8" t="n"/>
      <c r="AE108" s="8" t="inlineStr">
        <is>
          <t>yes</t>
        </is>
      </c>
    </row>
    <row r="109">
      <c r="A109" s="5" t="n">
        <v>108</v>
      </c>
      <c r="B109" s="5" t="inlineStr">
        <is>
          <t>WS1339</t>
        </is>
      </c>
      <c r="C109" s="5" t="inlineStr">
        <is>
          <t>2024</t>
        </is>
      </c>
      <c r="D109" s="5" t="inlineStr">
        <is>
          <t>English</t>
        </is>
      </c>
      <c r="E109" s="5" t="inlineStr">
        <is>
          <t>JOUR</t>
        </is>
      </c>
      <c r="F109" s="5" t="inlineStr">
        <is>
          <t>Annesi</t>
        </is>
      </c>
      <c r="G109" s="5" t="inlineStr">
        <is>
          <t>Journal of Pediatric Surgery Case Reports</t>
        </is>
      </c>
      <c r="H109" s="5" t="inlineStr">
        <is>
          <t>107</t>
        </is>
      </c>
      <c r="I109" s="6" t="inlineStr">
        <is>
          <t>Wandering spleen resulting in gastric volvulus in a child with vanishing gastroschisis: A case report</t>
        </is>
      </c>
      <c r="J109" s="5" t="inlineStr">
        <is>
          <t>10.1016/j.epsc.2024.102840</t>
        </is>
      </c>
      <c r="K109" s="7" t="inlineStr">
        <is>
          <t>link</t>
        </is>
      </c>
      <c r="L109" s="5" t="inlineStr"/>
      <c r="M109" s="5" t="inlineStr"/>
      <c r="N109" s="5" t="inlineStr"/>
      <c r="O109" s="5" t="inlineStr"/>
      <c r="P109" s="5" t="inlineStr"/>
      <c r="Q109" s="7" t="inlineStr">
        <is>
          <t>link</t>
        </is>
      </c>
      <c r="R109" s="5" t="inlineStr">
        <is>
          <t>2 English, DOI or PubMed link</t>
        </is>
      </c>
      <c r="S109" s="5" t="inlineStr">
        <is>
          <t>Y</t>
        </is>
      </c>
      <c r="T109" s="5" t="inlineStr">
        <is>
          <t>WS1339.pdf</t>
        </is>
      </c>
      <c r="U109" s="8" t="n"/>
      <c r="V109" s="8" t="n"/>
      <c r="W109" s="8" t="n"/>
      <c r="X109" s="8" t="n"/>
      <c r="Y109" s="8" t="n"/>
      <c r="Z109" s="8" t="n"/>
      <c r="AA109" s="8" t="n"/>
      <c r="AB109" s="8" t="n"/>
      <c r="AC109" s="8" t="n"/>
      <c r="AD109" s="8" t="n"/>
      <c r="AE109" s="8" t="inlineStr">
        <is>
          <t>yes</t>
        </is>
      </c>
    </row>
    <row r="110">
      <c r="A110" s="5" t="n">
        <v>109</v>
      </c>
      <c r="B110" s="5" t="inlineStr">
        <is>
          <t>WS1388</t>
        </is>
      </c>
      <c r="C110" s="5" t="inlineStr">
        <is>
          <t>2024</t>
        </is>
      </c>
      <c r="D110" s="5" t="inlineStr">
        <is>
          <t>English</t>
        </is>
      </c>
      <c r="E110" s="5" t="inlineStr">
        <is>
          <t>JOUR</t>
        </is>
      </c>
      <c r="F110" s="5" t="inlineStr">
        <is>
          <t>Sommer</t>
        </is>
      </c>
      <c r="G110" s="5" t="inlineStr">
        <is>
          <t>Journal of Pediatric Surgery Case Reports</t>
        </is>
      </c>
      <c r="H110" s="5" t="inlineStr">
        <is>
          <t>110</t>
        </is>
      </c>
      <c r="I110" s="6" t="inlineStr">
        <is>
          <t>Recurrent splenic volvulus after splenopexy in an 11-year-old child: A case report</t>
        </is>
      </c>
      <c r="J110" s="5" t="inlineStr">
        <is>
          <t>10.1016/j.epsc.2024.102877</t>
        </is>
      </c>
      <c r="K110" s="7" t="inlineStr">
        <is>
          <t>link</t>
        </is>
      </c>
      <c r="L110" s="5" t="inlineStr"/>
      <c r="M110" s="5" t="inlineStr"/>
      <c r="N110" s="5" t="inlineStr"/>
      <c r="O110" s="5" t="inlineStr"/>
      <c r="P110" s="5" t="inlineStr"/>
      <c r="Q110" s="7" t="inlineStr">
        <is>
          <t>link</t>
        </is>
      </c>
      <c r="R110" s="5" t="inlineStr">
        <is>
          <t>2 English, DOI or PubMed link</t>
        </is>
      </c>
      <c r="S110" s="5" t="inlineStr">
        <is>
          <t>Y</t>
        </is>
      </c>
      <c r="T110" s="5" t="inlineStr">
        <is>
          <t>WS1388.pdf</t>
        </is>
      </c>
      <c r="U110" s="8" t="n"/>
      <c r="V110" s="8" t="n"/>
      <c r="W110" s="8" t="n"/>
      <c r="X110" s="8" t="n"/>
      <c r="Y110" s="8" t="n"/>
      <c r="Z110" s="8" t="n"/>
      <c r="AA110" s="8" t="n"/>
      <c r="AB110" s="8" t="n"/>
      <c r="AC110" s="8" t="n"/>
      <c r="AD110" s="8" t="n"/>
      <c r="AE110" s="8" t="inlineStr">
        <is>
          <t>yes</t>
        </is>
      </c>
    </row>
    <row r="111">
      <c r="A111" s="5" t="n">
        <v>110</v>
      </c>
      <c r="B111" s="5" t="inlineStr">
        <is>
          <t>WS1432</t>
        </is>
      </c>
      <c r="C111" s="5" t="inlineStr">
        <is>
          <t>2024</t>
        </is>
      </c>
      <c r="D111" s="5" t="inlineStr">
        <is>
          <t>English</t>
        </is>
      </c>
      <c r="E111" s="5" t="inlineStr">
        <is>
          <t>JOUR</t>
        </is>
      </c>
      <c r="F111" s="5" t="inlineStr">
        <is>
          <t>Jacob</t>
        </is>
      </c>
      <c r="G111" s="5" t="inlineStr">
        <is>
          <t>JOURNAL OF THE SCIENTIFIC SOCIETY</t>
        </is>
      </c>
      <c r="H111" s="5" t="inlineStr">
        <is>
          <t>51(3):484-486</t>
        </is>
      </c>
      <c r="I111" s="6" t="inlineStr">
        <is>
          <t>Dual Heterotropic Tissue Associated with a Type IV A Choledochal Cyst: A Rare Case Report</t>
        </is>
      </c>
      <c r="J111" s="5" t="inlineStr">
        <is>
          <t>10.4103/jss.jss_109_24</t>
        </is>
      </c>
      <c r="K111" s="7" t="inlineStr">
        <is>
          <t>link</t>
        </is>
      </c>
      <c r="L111" s="5" t="inlineStr"/>
      <c r="M111" s="5" t="inlineStr"/>
      <c r="N111" s="5" t="inlineStr"/>
      <c r="O111" s="5" t="inlineStr"/>
      <c r="P111" s="5" t="inlineStr"/>
      <c r="Q111" s="5" t="inlineStr"/>
      <c r="R111" s="5" t="inlineStr">
        <is>
          <t>2 English, DOI or PubMed link</t>
        </is>
      </c>
      <c r="S111" s="5" t="inlineStr"/>
      <c r="T111" s="5" t="inlineStr">
        <is>
          <t>WS1432.pdf</t>
        </is>
      </c>
      <c r="U111" s="8" t="n"/>
      <c r="V111" s="8" t="n"/>
      <c r="W111" s="8" t="n"/>
      <c r="X111" s="8" t="n"/>
      <c r="Y111" s="8" t="n"/>
      <c r="Z111" s="8" t="n"/>
      <c r="AA111" s="8" t="n"/>
      <c r="AB111" s="8" t="n"/>
      <c r="AC111" s="8" t="n"/>
      <c r="AD111" s="8" t="n"/>
      <c r="AE111" s="8" t="inlineStr">
        <is>
          <t>yes</t>
        </is>
      </c>
    </row>
    <row r="112">
      <c r="A112" s="5" t="n">
        <v>111</v>
      </c>
      <c r="B112" s="5" t="inlineStr">
        <is>
          <t>WS1602</t>
        </is>
      </c>
      <c r="C112" s="5" t="inlineStr">
        <is>
          <t>2024</t>
        </is>
      </c>
      <c r="D112" s="5" t="inlineStr">
        <is>
          <t>English</t>
        </is>
      </c>
      <c r="E112" s="5" t="inlineStr">
        <is>
          <t>JOUR</t>
        </is>
      </c>
      <c r="F112" s="5" t="inlineStr">
        <is>
          <t>Johan</t>
        </is>
      </c>
      <c r="G112" s="5" t="inlineStr">
        <is>
          <t>Gulhane Medical Journal</t>
        </is>
      </c>
      <c r="H112" s="5" t="inlineStr">
        <is>
          <t>66(2):104-107</t>
        </is>
      </c>
      <c r="I112" s="6" t="inlineStr">
        <is>
          <t>Massively enlarged wandering spleen with ruptured epidermoid cyst</t>
        </is>
      </c>
      <c r="J112" s="5" t="inlineStr">
        <is>
          <t>10.4274/gulhane.galenos.2023.72677</t>
        </is>
      </c>
      <c r="K112" s="7" t="inlineStr">
        <is>
          <t>link</t>
        </is>
      </c>
      <c r="L112" s="5" t="inlineStr"/>
      <c r="M112" s="5" t="inlineStr"/>
      <c r="N112" s="5" t="inlineStr"/>
      <c r="O112" s="5" t="inlineStr"/>
      <c r="P112" s="5" t="inlineStr"/>
      <c r="Q112" s="7" t="inlineStr">
        <is>
          <t>link</t>
        </is>
      </c>
      <c r="R112" s="5" t="inlineStr">
        <is>
          <t>2 English, DOI or PubMed link</t>
        </is>
      </c>
      <c r="S112" s="5" t="inlineStr"/>
      <c r="T112" s="5" t="inlineStr">
        <is>
          <t>WS1602.pdf</t>
        </is>
      </c>
      <c r="U112" s="8" t="n"/>
      <c r="V112" s="8" t="n"/>
      <c r="W112" s="8" t="n"/>
      <c r="X112" s="8" t="n"/>
      <c r="Y112" s="8" t="n"/>
      <c r="Z112" s="8" t="n"/>
      <c r="AA112" s="8" t="n"/>
      <c r="AB112" s="8" t="n"/>
      <c r="AC112" s="8" t="n"/>
      <c r="AD112" s="8" t="n"/>
      <c r="AE112" s="8" t="inlineStr">
        <is>
          <t>yes</t>
        </is>
      </c>
    </row>
    <row r="113">
      <c r="A113" s="5" t="n">
        <v>112</v>
      </c>
      <c r="B113" s="5" t="inlineStr">
        <is>
          <t>WS0132</t>
        </is>
      </c>
      <c r="C113" s="5" t="inlineStr">
        <is>
          <t>2023</t>
        </is>
      </c>
      <c r="D113" s="5" t="inlineStr">
        <is>
          <t>English</t>
        </is>
      </c>
      <c r="E113" s="5" t="inlineStr">
        <is>
          <t>JOUR</t>
        </is>
      </c>
      <c r="F113" s="5" t="inlineStr">
        <is>
          <t>Wu</t>
        </is>
      </c>
      <c r="G113" s="5" t="inlineStr">
        <is>
          <t>The Journal of emergency medicine</t>
        </is>
      </c>
      <c r="H113" s="5" t="inlineStr">
        <is>
          <t>65(4):e330-e334</t>
        </is>
      </c>
      <c r="I113" s="6" t="inlineStr">
        <is>
          <t>IMAGING MANIFESTATIONS OF WANDERING SPLEEN WITH TORSION.</t>
        </is>
      </c>
      <c r="J113" s="5" t="inlineStr">
        <is>
          <t>10.1016/j.jemermed.2023.06.003</t>
        </is>
      </c>
      <c r="K113" s="7" t="inlineStr">
        <is>
          <t>link</t>
        </is>
      </c>
      <c r="L113" s="7" t="inlineStr">
        <is>
          <t>link</t>
        </is>
      </c>
      <c r="M113" s="5" t="inlineStr"/>
      <c r="N113" s="5" t="inlineStr"/>
      <c r="O113" s="5" t="inlineStr"/>
      <c r="P113" s="5" t="inlineStr"/>
      <c r="Q113" s="5" t="inlineStr"/>
      <c r="R113" s="5" t="inlineStr">
        <is>
          <t>2 English, DOI or PubMed link</t>
        </is>
      </c>
      <c r="S113" s="5" t="inlineStr"/>
      <c r="T113" s="5" t="inlineStr">
        <is>
          <t>WS0132.pdf</t>
        </is>
      </c>
      <c r="U113" s="8" t="n"/>
      <c r="V113" s="8" t="n"/>
      <c r="W113" s="8" t="n"/>
      <c r="X113" s="8" t="n"/>
      <c r="Y113" s="8" t="n"/>
      <c r="Z113" s="8" t="n"/>
      <c r="AA113" s="8" t="n"/>
      <c r="AB113" s="8" t="n"/>
      <c r="AC113" s="8" t="n"/>
      <c r="AD113" s="8" t="n"/>
      <c r="AE113" s="8" t="inlineStr">
        <is>
          <t>yes</t>
        </is>
      </c>
    </row>
    <row r="114">
      <c r="A114" s="5" t="n">
        <v>113</v>
      </c>
      <c r="B114" s="5" t="inlineStr">
        <is>
          <t>WS0148</t>
        </is>
      </c>
      <c r="C114" s="5" t="inlineStr">
        <is>
          <t>2023</t>
        </is>
      </c>
      <c r="D114" s="5" t="inlineStr">
        <is>
          <t>English</t>
        </is>
      </c>
      <c r="E114" s="5" t="inlineStr">
        <is>
          <t>JOUR</t>
        </is>
      </c>
      <c r="F114" s="5" t="inlineStr">
        <is>
          <t>Caruso</t>
        </is>
      </c>
      <c r="G114" s="5" t="inlineStr">
        <is>
          <t>Abdominal radiology (New York)</t>
        </is>
      </c>
      <c r="H114" s="5" t="inlineStr">
        <is>
          <t>48(5):1854-1861</t>
        </is>
      </c>
      <c r="I114" s="6" t="inlineStr">
        <is>
          <t>Wandering liver, spleen, and kidney: what the radiologist needs to know.</t>
        </is>
      </c>
      <c r="J114" s="5" t="inlineStr">
        <is>
          <t>10.1007/s00261-022-03789-7</t>
        </is>
      </c>
      <c r="K114" s="7" t="inlineStr">
        <is>
          <t>link</t>
        </is>
      </c>
      <c r="L114" s="7" t="inlineStr">
        <is>
          <t>link</t>
        </is>
      </c>
      <c r="M114" s="5" t="inlineStr"/>
      <c r="N114" s="5" t="inlineStr"/>
      <c r="O114" s="5" t="inlineStr"/>
      <c r="P114" s="5" t="inlineStr"/>
      <c r="Q114" s="5" t="inlineStr"/>
      <c r="R114" s="5" t="inlineStr">
        <is>
          <t>2 English, DOI or PubMed link</t>
        </is>
      </c>
      <c r="S114" s="5" t="inlineStr"/>
      <c r="T114" s="5" t="inlineStr">
        <is>
          <t>WS0148.pdf</t>
        </is>
      </c>
      <c r="U114" s="8" t="n"/>
      <c r="V114" s="8" t="n"/>
      <c r="W114" s="8" t="n"/>
      <c r="X114" s="8" t="n"/>
      <c r="Y114" s="8" t="n"/>
      <c r="Z114" s="8" t="n"/>
      <c r="AA114" s="8" t="n"/>
      <c r="AB114" s="8" t="n"/>
      <c r="AC114" s="8" t="n"/>
      <c r="AD114" s="8" t="n"/>
      <c r="AE114" s="8" t="inlineStr">
        <is>
          <t>yes</t>
        </is>
      </c>
    </row>
    <row r="115">
      <c r="A115" s="5" t="n">
        <v>114</v>
      </c>
      <c r="B115" s="5" t="inlineStr">
        <is>
          <t>WS0179</t>
        </is>
      </c>
      <c r="C115" s="5" t="inlineStr">
        <is>
          <t>2023</t>
        </is>
      </c>
      <c r="D115" s="5" t="inlineStr">
        <is>
          <t>English</t>
        </is>
      </c>
      <c r="E115" s="5" t="inlineStr">
        <is>
          <t>JOUR</t>
        </is>
      </c>
      <c r="F115" s="5" t="inlineStr">
        <is>
          <t>Miyamura</t>
        </is>
      </c>
      <c r="G115" s="5" t="inlineStr">
        <is>
          <t>Cardiology in the young</t>
        </is>
      </c>
      <c r="H115" s="5" t="inlineStr">
        <is>
          <t>33(6):862-863</t>
        </is>
      </c>
      <c r="I115" s="6" t="inlineStr">
        <is>
          <t>Torsion of wandering spleen after Fontan operation in a patient with situs inversus: a rare complication.</t>
        </is>
      </c>
      <c r="J115" s="5" t="inlineStr">
        <is>
          <t>10.1017/s1047951122001755</t>
        </is>
      </c>
      <c r="K115" s="7" t="inlineStr">
        <is>
          <t>link</t>
        </is>
      </c>
      <c r="L115" s="7" t="inlineStr">
        <is>
          <t>link</t>
        </is>
      </c>
      <c r="M115" s="5" t="inlineStr"/>
      <c r="N115" s="5" t="inlineStr"/>
      <c r="O115" s="5" t="inlineStr"/>
      <c r="P115" s="5" t="inlineStr"/>
      <c r="Q115" s="5" t="inlineStr"/>
      <c r="R115" s="5" t="inlineStr">
        <is>
          <t>2 English, DOI or PubMed link</t>
        </is>
      </c>
      <c r="S115" s="5" t="inlineStr"/>
      <c r="T115" s="5" t="inlineStr">
        <is>
          <t>WS0179.pdf</t>
        </is>
      </c>
      <c r="U115" s="8" t="n"/>
      <c r="V115" s="8" t="n"/>
      <c r="W115" s="8" t="n"/>
      <c r="X115" s="8" t="n"/>
      <c r="Y115" s="8" t="n"/>
      <c r="Z115" s="8" t="n"/>
      <c r="AA115" s="8" t="n"/>
      <c r="AB115" s="8" t="n"/>
      <c r="AC115" s="8" t="n"/>
      <c r="AD115" s="8" t="n"/>
      <c r="AE115" s="8" t="inlineStr">
        <is>
          <t>yes</t>
        </is>
      </c>
    </row>
    <row r="116">
      <c r="A116" s="5" t="n">
        <v>115</v>
      </c>
      <c r="B116" s="5" t="inlineStr">
        <is>
          <t>WS1368</t>
        </is>
      </c>
      <c r="C116" s="5" t="inlineStr">
        <is>
          <t>2023</t>
        </is>
      </c>
      <c r="D116" s="5" t="inlineStr">
        <is>
          <t>English</t>
        </is>
      </c>
      <c r="E116" s="5" t="inlineStr">
        <is>
          <t>JOUR</t>
        </is>
      </c>
      <c r="F116" s="5" t="inlineStr">
        <is>
          <t>Dillberger</t>
        </is>
      </c>
      <c r="G116" s="5" t="inlineStr">
        <is>
          <t>Veterinary Record Case Reports</t>
        </is>
      </c>
      <c r="H116" s="5" t="inlineStr">
        <is>
          <t>11(2)</t>
        </is>
      </c>
      <c r="I116" s="6" t="inlineStr">
        <is>
          <t>Wandering, twisted spleen in a deerhound</t>
        </is>
      </c>
      <c r="J116" s="5" t="inlineStr">
        <is>
          <t>10.1002/vrc2.564</t>
        </is>
      </c>
      <c r="K116" s="7" t="inlineStr">
        <is>
          <t>link</t>
        </is>
      </c>
      <c r="L116" s="5" t="inlineStr"/>
      <c r="M116" s="5" t="inlineStr"/>
      <c r="N116" s="5" t="inlineStr"/>
      <c r="O116" s="5" t="inlineStr"/>
      <c r="P116" s="5" t="inlineStr"/>
      <c r="Q116" s="7" t="inlineStr">
        <is>
          <t>link</t>
        </is>
      </c>
      <c r="R116" s="5" t="inlineStr">
        <is>
          <t>2 English, DOI or PubMed link</t>
        </is>
      </c>
      <c r="S116" s="5" t="inlineStr"/>
      <c r="T116" s="5" t="inlineStr">
        <is>
          <t>WS1368.pdf</t>
        </is>
      </c>
      <c r="U116" s="8" t="n"/>
      <c r="V116" s="8" t="n"/>
      <c r="W116" s="8" t="n"/>
      <c r="X116" s="8" t="n"/>
      <c r="Y116" s="8" t="n"/>
      <c r="Z116" s="8" t="n"/>
      <c r="AA116" s="8" t="n"/>
      <c r="AB116" s="8" t="n"/>
      <c r="AC116" s="8" t="n"/>
      <c r="AD116" s="8" t="n"/>
      <c r="AE116" s="8" t="inlineStr">
        <is>
          <t>yes</t>
        </is>
      </c>
    </row>
    <row r="117">
      <c r="A117" s="5" t="n">
        <v>116</v>
      </c>
      <c r="B117" s="5" t="inlineStr">
        <is>
          <t>WS1537</t>
        </is>
      </c>
      <c r="C117" s="5" t="inlineStr">
        <is>
          <t>2023</t>
        </is>
      </c>
      <c r="D117" s="5" t="inlineStr">
        <is>
          <t>English</t>
        </is>
      </c>
      <c r="E117" s="5" t="inlineStr">
        <is>
          <t>JOUR</t>
        </is>
      </c>
      <c r="F117" s="5" t="inlineStr">
        <is>
          <t>Butt</t>
        </is>
      </c>
      <c r="G117" s="5" t="inlineStr">
        <is>
          <t>Global Pediatrics</t>
        </is>
      </c>
      <c r="H117" s="5" t="inlineStr">
        <is>
          <t>6</t>
        </is>
      </c>
      <c r="I117" s="6" t="inlineStr">
        <is>
          <t>Surgical crossroads: Unravelling mesenteroaxial volvulus and diaphragmatic eventration</t>
        </is>
      </c>
      <c r="J117" s="5" t="inlineStr">
        <is>
          <t>10.1016/j.gpeds.2023.100090</t>
        </is>
      </c>
      <c r="K117" s="7" t="inlineStr">
        <is>
          <t>link</t>
        </is>
      </c>
      <c r="L117" s="5" t="inlineStr"/>
      <c r="M117" s="5" t="inlineStr"/>
      <c r="N117" s="5" t="inlineStr"/>
      <c r="O117" s="5" t="inlineStr"/>
      <c r="P117" s="5" t="inlineStr"/>
      <c r="Q117" s="7" t="inlineStr">
        <is>
          <t>link</t>
        </is>
      </c>
      <c r="R117" s="5" t="inlineStr">
        <is>
          <t>2 English, DOI or PubMed link</t>
        </is>
      </c>
      <c r="S117" s="5" t="inlineStr"/>
      <c r="T117" s="5" t="inlineStr">
        <is>
          <t>WS1537.pdf</t>
        </is>
      </c>
      <c r="U117" s="8" t="n"/>
      <c r="V117" s="8" t="n"/>
      <c r="W117" s="8" t="n"/>
      <c r="X117" s="8" t="n"/>
      <c r="Y117" s="8" t="n"/>
      <c r="Z117" s="8" t="n"/>
      <c r="AA117" s="8" t="n"/>
      <c r="AB117" s="8" t="n"/>
      <c r="AC117" s="8" t="n"/>
      <c r="AD117" s="8" t="n"/>
      <c r="AE117" s="8" t="inlineStr">
        <is>
          <t>yes</t>
        </is>
      </c>
    </row>
    <row r="118">
      <c r="A118" s="5" t="n">
        <v>117</v>
      </c>
      <c r="B118" s="5" t="inlineStr">
        <is>
          <t>WS1555</t>
        </is>
      </c>
      <c r="C118" s="5" t="inlineStr">
        <is>
          <t>2023</t>
        </is>
      </c>
      <c r="D118" s="5" t="inlineStr">
        <is>
          <t>English</t>
        </is>
      </c>
      <c r="E118" s="5" t="inlineStr">
        <is>
          <t>CHAP</t>
        </is>
      </c>
      <c r="F118" s="5" t="inlineStr">
        <is>
          <t>Peng</t>
        </is>
      </c>
      <c r="G118" s="5" t="inlineStr">
        <is>
          <t>Natural Orifice Specimen Extraction Surgery</t>
        </is>
      </c>
      <c r="H118" s="5" t="inlineStr">
        <is>
          <t>501-506</t>
        </is>
      </c>
      <c r="I118" s="6" t="inlineStr">
        <is>
          <t>Laparoscopic Splenectomy with Transvaginal Specimen Extraction</t>
        </is>
      </c>
      <c r="J118" s="5" t="inlineStr">
        <is>
          <t>10.1007/978-981-99-2750-0_35</t>
        </is>
      </c>
      <c r="K118" s="7" t="inlineStr">
        <is>
          <t>link</t>
        </is>
      </c>
      <c r="L118" s="5" t="inlineStr"/>
      <c r="M118" s="5" t="inlineStr"/>
      <c r="N118" s="5" t="inlineStr"/>
      <c r="O118" s="5" t="inlineStr"/>
      <c r="P118" s="5" t="inlineStr"/>
      <c r="Q118" s="7" t="inlineStr">
        <is>
          <t>link</t>
        </is>
      </c>
      <c r="R118" s="5" t="inlineStr">
        <is>
          <t>2 English, DOI or PubMed link</t>
        </is>
      </c>
      <c r="S118" s="5" t="inlineStr"/>
      <c r="T118" s="5" t="inlineStr">
        <is>
          <t>WS1555.pdf</t>
        </is>
      </c>
      <c r="U118" s="8" t="n"/>
      <c r="V118" s="8" t="n"/>
      <c r="W118" s="8" t="n"/>
      <c r="X118" s="8" t="n"/>
      <c r="Y118" s="8" t="n"/>
      <c r="Z118" s="8" t="n"/>
      <c r="AA118" s="8" t="n"/>
      <c r="AB118" s="8" t="n"/>
      <c r="AC118" s="8" t="n"/>
      <c r="AD118" s="8" t="n"/>
      <c r="AE118" s="8" t="inlineStr">
        <is>
          <t>yes</t>
        </is>
      </c>
    </row>
    <row r="119">
      <c r="A119" s="5" t="n">
        <v>118</v>
      </c>
      <c r="B119" s="5" t="inlineStr">
        <is>
          <t>WS0186</t>
        </is>
      </c>
      <c r="C119" s="5" t="inlineStr">
        <is>
          <t>2022</t>
        </is>
      </c>
      <c r="D119" s="5" t="inlineStr">
        <is>
          <t>English</t>
        </is>
      </c>
      <c r="E119" s="5" t="inlineStr">
        <is>
          <t>JOUR</t>
        </is>
      </c>
      <c r="F119" s="5" t="inlineStr">
        <is>
          <t>Nakagawa</t>
        </is>
      </c>
      <c r="G119" s="5" t="inlineStr">
        <is>
          <t>Pediatric surgery international</t>
        </is>
      </c>
      <c r="H119" s="5" t="inlineStr">
        <is>
          <t>38(6):875-881</t>
        </is>
      </c>
      <c r="I119" s="6" t="inlineStr">
        <is>
          <t>Patients with gastric volvulus recurrence have high incidence of wandering spleen requiring laparoscopic gastropexy and splenopexy.</t>
        </is>
      </c>
      <c r="J119" s="5" t="inlineStr">
        <is>
          <t>10.1007/s00383-022-05125-y</t>
        </is>
      </c>
      <c r="K119" s="7" t="inlineStr">
        <is>
          <t>link</t>
        </is>
      </c>
      <c r="L119" s="7" t="inlineStr">
        <is>
          <t>link</t>
        </is>
      </c>
      <c r="M119" s="5" t="inlineStr"/>
      <c r="N119" s="5" t="inlineStr"/>
      <c r="O119" s="5" t="inlineStr"/>
      <c r="P119" s="5" t="inlineStr"/>
      <c r="Q119" s="5" t="inlineStr"/>
      <c r="R119" s="5" t="inlineStr">
        <is>
          <t>2 English, DOI or PubMed link</t>
        </is>
      </c>
      <c r="S119" s="5" t="inlineStr"/>
      <c r="T119" s="5" t="inlineStr">
        <is>
          <t>WS0186.pdf</t>
        </is>
      </c>
      <c r="U119" s="8" t="n"/>
      <c r="V119" s="8" t="n"/>
      <c r="W119" s="8" t="n"/>
      <c r="X119" s="8" t="n"/>
      <c r="Y119" s="8" t="n"/>
      <c r="Z119" s="8" t="n"/>
      <c r="AA119" s="8" t="n"/>
      <c r="AB119" s="8" t="n"/>
      <c r="AC119" s="8" t="n"/>
      <c r="AD119" s="8" t="n"/>
      <c r="AE119" s="8" t="inlineStr">
        <is>
          <t>yes</t>
        </is>
      </c>
    </row>
    <row r="120">
      <c r="A120" s="5" t="n">
        <v>119</v>
      </c>
      <c r="B120" s="5" t="inlineStr">
        <is>
          <t>WS1340</t>
        </is>
      </c>
      <c r="C120" s="5" t="inlineStr">
        <is>
          <t>2022</t>
        </is>
      </c>
      <c r="D120" s="5" t="inlineStr">
        <is>
          <t>English</t>
        </is>
      </c>
      <c r="E120" s="5" t="inlineStr">
        <is>
          <t>JOUR</t>
        </is>
      </c>
      <c r="F120" s="5" t="inlineStr">
        <is>
          <t>Mehrnahad</t>
        </is>
      </c>
      <c r="G120" s="5" t="inlineStr">
        <is>
          <t>Trauma Monthly</t>
        </is>
      </c>
      <c r="H120" s="5" t="inlineStr">
        <is>
          <t>27(4):513-516</t>
        </is>
      </c>
      <c r="I120" s="6" t="inlineStr">
        <is>
          <t>Assessment of Two Cases with Wandering Spleen</t>
        </is>
      </c>
      <c r="J120" s="5" t="inlineStr">
        <is>
          <t>10.30491/tm.2022.351616.1497</t>
        </is>
      </c>
      <c r="K120" s="7" t="inlineStr">
        <is>
          <t>link</t>
        </is>
      </c>
      <c r="L120" s="5" t="inlineStr"/>
      <c r="M120" s="5" t="inlineStr"/>
      <c r="N120" s="5" t="inlineStr"/>
      <c r="O120" s="5" t="inlineStr"/>
      <c r="P120" s="5" t="inlineStr"/>
      <c r="Q120" s="7" t="inlineStr">
        <is>
          <t>link</t>
        </is>
      </c>
      <c r="R120" s="5" t="inlineStr">
        <is>
          <t>2 English, DOI or PubMed link</t>
        </is>
      </c>
      <c r="S120" s="5" t="inlineStr"/>
      <c r="T120" s="5" t="inlineStr">
        <is>
          <t>WS1340.pdf</t>
        </is>
      </c>
      <c r="U120" s="8" t="n"/>
      <c r="V120" s="8" t="n"/>
      <c r="W120" s="8" t="n"/>
      <c r="X120" s="8" t="n"/>
      <c r="Y120" s="8" t="n"/>
      <c r="Z120" s="8" t="n"/>
      <c r="AA120" s="8" t="n"/>
      <c r="AB120" s="8" t="n"/>
      <c r="AC120" s="8" t="n"/>
      <c r="AD120" s="8" t="n"/>
      <c r="AE120" s="8" t="inlineStr">
        <is>
          <t>yes</t>
        </is>
      </c>
    </row>
    <row r="121">
      <c r="A121" s="5" t="n">
        <v>120</v>
      </c>
      <c r="B121" s="5" t="inlineStr">
        <is>
          <t>WS1477</t>
        </is>
      </c>
      <c r="C121" s="5" t="inlineStr">
        <is>
          <t>2022</t>
        </is>
      </c>
      <c r="D121" s="5" t="inlineStr">
        <is>
          <t>English</t>
        </is>
      </c>
      <c r="E121" s="5" t="inlineStr">
        <is>
          <t>CHAP</t>
        </is>
      </c>
      <c r="F121" s="5" t="inlineStr">
        <is>
          <t>Lessin</t>
        </is>
      </c>
      <c r="G121" s="5" t="inlineStr">
        <is>
          <t>Pediatric Surgery: Diagnosis and Treatment</t>
        </is>
      </c>
      <c r="H121" s="5" t="inlineStr">
        <is>
          <t>639-652</t>
        </is>
      </c>
      <c r="I121" s="6" t="inlineStr">
        <is>
          <t>Non-malignant splenic disorders</t>
        </is>
      </c>
      <c r="J121" s="5" t="inlineStr">
        <is>
          <t>10.1007/978-3-030-96542-6_57</t>
        </is>
      </c>
      <c r="K121" s="7" t="inlineStr">
        <is>
          <t>link</t>
        </is>
      </c>
      <c r="L121" s="5" t="inlineStr"/>
      <c r="M121" s="5" t="inlineStr"/>
      <c r="N121" s="5" t="inlineStr"/>
      <c r="O121" s="5" t="inlineStr"/>
      <c r="P121" s="5" t="inlineStr"/>
      <c r="Q121" s="7" t="inlineStr">
        <is>
          <t>link</t>
        </is>
      </c>
      <c r="R121" s="5" t="inlineStr">
        <is>
          <t>2 English, DOI or PubMed link</t>
        </is>
      </c>
      <c r="S121" s="5" t="inlineStr"/>
      <c r="T121" s="5" t="inlineStr">
        <is>
          <t>WS1477.pdf</t>
        </is>
      </c>
      <c r="U121" s="8" t="n"/>
      <c r="V121" s="8" t="n"/>
      <c r="W121" s="8" t="n"/>
      <c r="X121" s="8" t="n"/>
      <c r="Y121" s="8" t="n"/>
      <c r="Z121" s="8" t="n"/>
      <c r="AA121" s="8" t="n"/>
      <c r="AB121" s="8" t="n"/>
      <c r="AC121" s="8" t="n"/>
      <c r="AD121" s="8" t="n"/>
      <c r="AE121" s="8" t="inlineStr">
        <is>
          <t>yes</t>
        </is>
      </c>
    </row>
    <row r="122">
      <c r="A122" s="5" t="n">
        <v>121</v>
      </c>
      <c r="B122" s="5" t="inlineStr">
        <is>
          <t>WS1552</t>
        </is>
      </c>
      <c r="C122" s="5" t="inlineStr">
        <is>
          <t>2022</t>
        </is>
      </c>
      <c r="D122" s="5" t="inlineStr">
        <is>
          <t>English</t>
        </is>
      </c>
      <c r="E122" s="5" t="inlineStr">
        <is>
          <t>CHAP</t>
        </is>
      </c>
      <c r="F122" s="5" t="inlineStr">
        <is>
          <t>Tivers</t>
        </is>
      </c>
      <c r="G122" s="5" t="inlineStr">
        <is>
          <t>Small Animal Surgical Emergencies, Second Edition</t>
        </is>
      </c>
      <c r="H122" s="5" t="inlineStr">
        <is>
          <t>93-107</t>
        </is>
      </c>
      <c r="I122" s="6" t="inlineStr">
        <is>
          <t>Gastric Dilatation and Volvulus</t>
        </is>
      </c>
      <c r="J122" s="5" t="inlineStr">
        <is>
          <t>10.1002/9781118487181.ch8</t>
        </is>
      </c>
      <c r="K122" s="7" t="inlineStr">
        <is>
          <t>link</t>
        </is>
      </c>
      <c r="L122" s="5" t="inlineStr"/>
      <c r="M122" s="5" t="inlineStr"/>
      <c r="N122" s="5" t="inlineStr"/>
      <c r="O122" s="5" t="inlineStr"/>
      <c r="P122" s="5" t="inlineStr"/>
      <c r="Q122" s="7" t="inlineStr">
        <is>
          <t>link</t>
        </is>
      </c>
      <c r="R122" s="5" t="inlineStr">
        <is>
          <t>2 English, DOI or PubMed link</t>
        </is>
      </c>
      <c r="S122" s="5" t="inlineStr"/>
      <c r="T122" s="5" t="inlineStr">
        <is>
          <t>WS1552.pdf</t>
        </is>
      </c>
      <c r="U122" s="8" t="n"/>
      <c r="V122" s="8" t="n"/>
      <c r="W122" s="8" t="n"/>
      <c r="X122" s="8" t="n"/>
      <c r="Y122" s="8" t="n"/>
      <c r="Z122" s="8" t="n"/>
      <c r="AA122" s="8" t="n"/>
      <c r="AB122" s="8" t="n"/>
      <c r="AC122" s="8" t="n"/>
      <c r="AD122" s="8" t="n"/>
      <c r="AE122" s="8" t="inlineStr">
        <is>
          <t>yes</t>
        </is>
      </c>
    </row>
    <row r="123">
      <c r="A123" s="5" t="n">
        <v>122</v>
      </c>
      <c r="B123" s="5" t="inlineStr">
        <is>
          <t>WS0228</t>
        </is>
      </c>
      <c r="C123" s="5" t="inlineStr">
        <is>
          <t>2021</t>
        </is>
      </c>
      <c r="D123" s="5" t="inlineStr">
        <is>
          <t>English</t>
        </is>
      </c>
      <c r="E123" s="5" t="inlineStr">
        <is>
          <t>JOUR</t>
        </is>
      </c>
      <c r="F123" s="5" t="inlineStr">
        <is>
          <t>Ganarin</t>
        </is>
      </c>
      <c r="G123" s="5" t="inlineStr">
        <is>
          <t>Journal of laparoendoscopic &amp; advanced surgical techniques. Part A</t>
        </is>
      </c>
      <c r="H123" s="5" t="inlineStr">
        <is>
          <t>31(4):468-477</t>
        </is>
      </c>
      <c r="I123" s="6" t="inlineStr">
        <is>
          <t>Surgical Approach of Wandering Spleen in Infants and Children: A Systematic Review.</t>
        </is>
      </c>
      <c r="J123" s="5" t="inlineStr">
        <is>
          <t>10.1089/lap.2020.0759</t>
        </is>
      </c>
      <c r="K123" s="7" t="inlineStr">
        <is>
          <t>link</t>
        </is>
      </c>
      <c r="L123" s="7" t="inlineStr">
        <is>
          <t>link</t>
        </is>
      </c>
      <c r="M123" s="5" t="inlineStr"/>
      <c r="N123" s="5" t="inlineStr"/>
      <c r="O123" s="5" t="inlineStr"/>
      <c r="P123" s="5" t="inlineStr"/>
      <c r="Q123" s="5" t="inlineStr"/>
      <c r="R123" s="5" t="inlineStr">
        <is>
          <t>2 English, DOI or PubMed link</t>
        </is>
      </c>
      <c r="S123" s="5" t="inlineStr"/>
      <c r="T123" s="5" t="inlineStr">
        <is>
          <t>WS0228.pdf</t>
        </is>
      </c>
      <c r="U123" s="8" t="n"/>
      <c r="V123" s="8" t="n"/>
      <c r="W123" s="8" t="n"/>
      <c r="X123" s="8" t="n"/>
      <c r="Y123" s="8" t="n"/>
      <c r="Z123" s="8" t="n"/>
      <c r="AA123" s="8" t="n"/>
      <c r="AB123" s="8" t="n"/>
      <c r="AC123" s="8" t="n"/>
      <c r="AD123" s="8" t="n"/>
      <c r="AE123" s="8" t="inlineStr">
        <is>
          <t>yes</t>
        </is>
      </c>
    </row>
    <row r="124">
      <c r="A124" s="5" t="n">
        <v>123</v>
      </c>
      <c r="B124" s="5" t="inlineStr">
        <is>
          <t>WS0229</t>
        </is>
      </c>
      <c r="C124" s="5" t="inlineStr">
        <is>
          <t>2021</t>
        </is>
      </c>
      <c r="D124" s="5" t="inlineStr">
        <is>
          <t>English</t>
        </is>
      </c>
      <c r="E124" s="5" t="inlineStr">
        <is>
          <t>JOUR</t>
        </is>
      </c>
      <c r="F124" s="5" t="inlineStr">
        <is>
          <t>Thomas</t>
        </is>
      </c>
      <c r="G124" s="5" t="inlineStr">
        <is>
          <t>Emergency radiology</t>
        </is>
      </c>
      <c r="H124" s="5" t="inlineStr">
        <is>
          <t>28(2):431-435</t>
        </is>
      </c>
      <c r="I124" s="6" t="inlineStr">
        <is>
          <t>The likely association between wandering spleen and absent left kidney.</t>
        </is>
      </c>
      <c r="J124" s="5" t="inlineStr">
        <is>
          <t>10.1007/s10140-020-01895-x</t>
        </is>
      </c>
      <c r="K124" s="7" t="inlineStr">
        <is>
          <t>link</t>
        </is>
      </c>
      <c r="L124" s="7" t="inlineStr">
        <is>
          <t>link</t>
        </is>
      </c>
      <c r="M124" s="5" t="inlineStr"/>
      <c r="N124" s="5" t="inlineStr"/>
      <c r="O124" s="5" t="inlineStr"/>
      <c r="P124" s="5" t="inlineStr"/>
      <c r="Q124" s="5" t="inlineStr"/>
      <c r="R124" s="5" t="inlineStr">
        <is>
          <t>2 English, DOI or PubMed link</t>
        </is>
      </c>
      <c r="S124" s="5" t="inlineStr"/>
      <c r="T124" s="5" t="inlineStr">
        <is>
          <t>WS0229.pdf</t>
        </is>
      </c>
      <c r="U124" s="8" t="n"/>
      <c r="V124" s="8" t="n"/>
      <c r="W124" s="8" t="n"/>
      <c r="X124" s="8" t="n"/>
      <c r="Y124" s="8" t="n"/>
      <c r="Z124" s="8" t="n"/>
      <c r="AA124" s="8" t="n"/>
      <c r="AB124" s="8" t="n"/>
      <c r="AC124" s="8" t="n"/>
      <c r="AD124" s="8" t="n"/>
      <c r="AE124" s="8" t="inlineStr">
        <is>
          <t>yes</t>
        </is>
      </c>
    </row>
    <row r="125">
      <c r="A125" s="5" t="n">
        <v>124</v>
      </c>
      <c r="B125" s="5" t="inlineStr">
        <is>
          <t>WS0237</t>
        </is>
      </c>
      <c r="C125" s="5" t="inlineStr">
        <is>
          <t>2021</t>
        </is>
      </c>
      <c r="D125" s="5" t="inlineStr">
        <is>
          <t>English</t>
        </is>
      </c>
      <c r="E125" s="5" t="inlineStr">
        <is>
          <t>JOUR</t>
        </is>
      </c>
      <c r="F125" s="5" t="inlineStr">
        <is>
          <t>Umeda</t>
        </is>
      </c>
      <c r="G125" s="5" t="inlineStr">
        <is>
          <t>Asian journal of endoscopic surgery</t>
        </is>
      </c>
      <c r="H125" s="5" t="inlineStr">
        <is>
          <t>14(3):644-647</t>
        </is>
      </c>
      <c r="I125" s="6" t="inlineStr">
        <is>
          <t>Laparoscopic retroperitoneal splenopexy for wandering spleen: A novel technique using a three-incision retroperitoneal pouch.</t>
        </is>
      </c>
      <c r="J125" s="5" t="inlineStr">
        <is>
          <t>10.1111/ases.12894</t>
        </is>
      </c>
      <c r="K125" s="7" t="inlineStr">
        <is>
          <t>link</t>
        </is>
      </c>
      <c r="L125" s="7" t="inlineStr">
        <is>
          <t>link</t>
        </is>
      </c>
      <c r="M125" s="5" t="inlineStr"/>
      <c r="N125" s="5" t="inlineStr"/>
      <c r="O125" s="5" t="inlineStr"/>
      <c r="P125" s="5" t="inlineStr"/>
      <c r="Q125" s="5" t="inlineStr"/>
      <c r="R125" s="5" t="inlineStr">
        <is>
          <t>2 English, DOI or PubMed link</t>
        </is>
      </c>
      <c r="S125" s="5" t="inlineStr"/>
      <c r="T125" s="5" t="inlineStr">
        <is>
          <t>WS0237.pdf</t>
        </is>
      </c>
      <c r="U125" s="8" t="n"/>
      <c r="V125" s="8" t="n"/>
      <c r="W125" s="8" t="n"/>
      <c r="X125" s="8" t="n"/>
      <c r="Y125" s="8" t="n"/>
      <c r="Z125" s="8" t="n"/>
      <c r="AA125" s="8" t="n"/>
      <c r="AB125" s="8" t="n"/>
      <c r="AC125" s="8" t="n"/>
      <c r="AD125" s="8" t="n"/>
      <c r="AE125" s="8" t="inlineStr">
        <is>
          <t>yes</t>
        </is>
      </c>
    </row>
    <row r="126">
      <c r="A126" s="5" t="n">
        <v>125</v>
      </c>
      <c r="B126" s="5" t="inlineStr">
        <is>
          <t>WS1267</t>
        </is>
      </c>
      <c r="C126" s="5" t="inlineStr">
        <is>
          <t>2021</t>
        </is>
      </c>
      <c r="D126" s="5" t="inlineStr">
        <is>
          <t>English</t>
        </is>
      </c>
      <c r="E126" s="5" t="inlineStr">
        <is>
          <t>JOUR</t>
        </is>
      </c>
      <c r="F126" s="5" t="inlineStr">
        <is>
          <t>Aaqib</t>
        </is>
      </c>
      <c r="G126" s="5" t="inlineStr">
        <is>
          <t>Journal of Pediatric Surgery Case Reports</t>
        </is>
      </c>
      <c r="H126" s="5" t="inlineStr">
        <is>
          <t>65</t>
        </is>
      </c>
      <c r="I126" s="6" t="inlineStr">
        <is>
          <t>Wandering spleen with torsion of splenic vein and gastric varicies</t>
        </is>
      </c>
      <c r="J126" s="5" t="inlineStr">
        <is>
          <t>10.1016/j.epsc.2020.101756</t>
        </is>
      </c>
      <c r="K126" s="7" t="inlineStr">
        <is>
          <t>link</t>
        </is>
      </c>
      <c r="L126" s="5" t="inlineStr"/>
      <c r="M126" s="5" t="inlineStr"/>
      <c r="N126" s="5" t="inlineStr"/>
      <c r="O126" s="5" t="inlineStr"/>
      <c r="P126" s="5" t="inlineStr"/>
      <c r="Q126" s="7" t="inlineStr">
        <is>
          <t>link</t>
        </is>
      </c>
      <c r="R126" s="5" t="inlineStr">
        <is>
          <t>2 English, DOI or PubMed link</t>
        </is>
      </c>
      <c r="S126" s="5" t="inlineStr"/>
      <c r="T126" s="5" t="inlineStr">
        <is>
          <t>WS1267.pdf</t>
        </is>
      </c>
      <c r="U126" s="8" t="n"/>
      <c r="V126" s="8" t="n"/>
      <c r="W126" s="8" t="n"/>
      <c r="X126" s="8" t="n"/>
      <c r="Y126" s="8" t="n"/>
      <c r="Z126" s="8" t="n"/>
      <c r="AA126" s="8" t="n"/>
      <c r="AB126" s="8" t="n"/>
      <c r="AC126" s="8" t="n"/>
      <c r="AD126" s="8" t="n"/>
      <c r="AE126" s="8" t="inlineStr">
        <is>
          <t>yes</t>
        </is>
      </c>
    </row>
    <row r="127">
      <c r="A127" s="5" t="n">
        <v>126</v>
      </c>
      <c r="B127" s="5" t="inlineStr">
        <is>
          <t>WS1289</t>
        </is>
      </c>
      <c r="C127" s="5" t="inlineStr">
        <is>
          <t>2021</t>
        </is>
      </c>
      <c r="D127" s="5" t="inlineStr">
        <is>
          <t>English</t>
        </is>
      </c>
      <c r="E127" s="5" t="inlineStr">
        <is>
          <t>JOUR</t>
        </is>
      </c>
      <c r="F127" s="5" t="inlineStr">
        <is>
          <t>AlSaleh</t>
        </is>
      </c>
      <c r="G127" s="5" t="inlineStr">
        <is>
          <t>Journal of Pediatric Surgery Case Reports</t>
        </is>
      </c>
      <c r="H127" s="5" t="inlineStr">
        <is>
          <t>64</t>
        </is>
      </c>
      <c r="I127" s="6" t="inlineStr">
        <is>
          <t>Splenic infarction: Torsion of a wandering spleen in a child</t>
        </is>
      </c>
      <c r="J127" s="5" t="inlineStr">
        <is>
          <t>10.1016/j.epsc.2020.101702</t>
        </is>
      </c>
      <c r="K127" s="7" t="inlineStr">
        <is>
          <t>link</t>
        </is>
      </c>
      <c r="L127" s="5" t="inlineStr"/>
      <c r="M127" s="5" t="inlineStr"/>
      <c r="N127" s="5" t="inlineStr"/>
      <c r="O127" s="5" t="inlineStr"/>
      <c r="P127" s="5" t="inlineStr"/>
      <c r="Q127" s="7" t="inlineStr">
        <is>
          <t>link</t>
        </is>
      </c>
      <c r="R127" s="5" t="inlineStr">
        <is>
          <t>2 English, DOI or PubMed link</t>
        </is>
      </c>
      <c r="S127" s="5" t="inlineStr"/>
      <c r="T127" s="5" t="inlineStr">
        <is>
          <t>WS1289.pdf</t>
        </is>
      </c>
      <c r="U127" s="8" t="n"/>
      <c r="V127" s="8" t="n"/>
      <c r="W127" s="8" t="n"/>
      <c r="X127" s="8" t="n"/>
      <c r="Y127" s="8" t="n"/>
      <c r="Z127" s="8" t="n"/>
      <c r="AA127" s="8" t="n"/>
      <c r="AB127" s="8" t="n"/>
      <c r="AC127" s="8" t="n"/>
      <c r="AD127" s="8" t="n"/>
      <c r="AE127" s="8" t="inlineStr">
        <is>
          <t>yes</t>
        </is>
      </c>
    </row>
    <row r="128">
      <c r="A128" s="5" t="n">
        <v>127</v>
      </c>
      <c r="B128" s="5" t="inlineStr">
        <is>
          <t>WS1338</t>
        </is>
      </c>
      <c r="C128" s="5" t="inlineStr">
        <is>
          <t>2021</t>
        </is>
      </c>
      <c r="D128" s="5" t="inlineStr">
        <is>
          <t>English</t>
        </is>
      </c>
      <c r="E128" s="5" t="inlineStr">
        <is>
          <t>JOUR</t>
        </is>
      </c>
      <c r="F128" s="5" t="inlineStr">
        <is>
          <t>Ilgar</t>
        </is>
      </c>
      <c r="G128" s="5" t="inlineStr">
        <is>
          <t>JOURNAL OF EMERGENCY MEDICINE CASE REPORTS</t>
        </is>
      </c>
      <c r="H128" s="5" t="inlineStr">
        <is>
          <t>12(1):4-6</t>
        </is>
      </c>
      <c r="I128" s="6" t="inlineStr">
        <is>
          <t>An Unexpected Acute Abdomen Case: Torsion of a Wandering Spleen Treated with Splenopexy</t>
        </is>
      </c>
      <c r="J128" s="5" t="inlineStr">
        <is>
          <t>10.33706/jemcr.811390</t>
        </is>
      </c>
      <c r="K128" s="7" t="inlineStr">
        <is>
          <t>link</t>
        </is>
      </c>
      <c r="L128" s="5" t="inlineStr"/>
      <c r="M128" s="5" t="inlineStr"/>
      <c r="N128" s="5" t="inlineStr"/>
      <c r="O128" s="5" t="inlineStr"/>
      <c r="P128" s="5" t="inlineStr"/>
      <c r="Q128" s="5" t="inlineStr"/>
      <c r="R128" s="5" t="inlineStr">
        <is>
          <t>2 English, DOI or PubMed link</t>
        </is>
      </c>
      <c r="S128" s="5" t="inlineStr"/>
      <c r="T128" s="5" t="inlineStr">
        <is>
          <t>WS1338.pdf</t>
        </is>
      </c>
      <c r="U128" s="8" t="n"/>
      <c r="V128" s="8" t="n"/>
      <c r="W128" s="8" t="n"/>
      <c r="X128" s="8" t="n"/>
      <c r="Y128" s="8" t="n"/>
      <c r="Z128" s="8" t="n"/>
      <c r="AA128" s="8" t="n"/>
      <c r="AB128" s="8" t="n"/>
      <c r="AC128" s="8" t="n"/>
      <c r="AD128" s="8" t="n"/>
      <c r="AE128" s="8" t="inlineStr">
        <is>
          <t>yes</t>
        </is>
      </c>
    </row>
    <row r="129">
      <c r="A129" s="5" t="n">
        <v>128</v>
      </c>
      <c r="B129" s="5" t="inlineStr">
        <is>
          <t>WS1361</t>
        </is>
      </c>
      <c r="C129" s="5" t="inlineStr">
        <is>
          <t>2021</t>
        </is>
      </c>
      <c r="D129" s="5" t="inlineStr">
        <is>
          <t>English</t>
        </is>
      </c>
      <c r="E129" s="5" t="inlineStr">
        <is>
          <t>JOUR</t>
        </is>
      </c>
      <c r="F129" s="5" t="inlineStr">
        <is>
          <t>Ioannis</t>
        </is>
      </c>
      <c r="G129" s="5" t="inlineStr">
        <is>
          <t>Journal of Pediatric Surgery Case Reports</t>
        </is>
      </c>
      <c r="H129" s="5" t="inlineStr">
        <is>
          <t>71</t>
        </is>
      </c>
      <c r="I129" s="6" t="inlineStr">
        <is>
          <t>Torsion of wandering spleen, splenectomy and autotransplantation of splenic slices</t>
        </is>
      </c>
      <c r="J129" s="5" t="inlineStr">
        <is>
          <t>10.1016/j.epsc.2021.101848</t>
        </is>
      </c>
      <c r="K129" s="7" t="inlineStr">
        <is>
          <t>link</t>
        </is>
      </c>
      <c r="L129" s="5" t="inlineStr"/>
      <c r="M129" s="5" t="inlineStr"/>
      <c r="N129" s="5" t="inlineStr"/>
      <c r="O129" s="5" t="inlineStr"/>
      <c r="P129" s="5" t="inlineStr"/>
      <c r="Q129" s="7" t="inlineStr">
        <is>
          <t>link</t>
        </is>
      </c>
      <c r="R129" s="5" t="inlineStr">
        <is>
          <t>2 English, DOI or PubMed link</t>
        </is>
      </c>
      <c r="S129" s="5" t="inlineStr"/>
      <c r="T129" s="5" t="inlineStr">
        <is>
          <t>WS1361.pdf</t>
        </is>
      </c>
      <c r="U129" s="8" t="n"/>
      <c r="V129" s="8" t="n"/>
      <c r="W129" s="8" t="n"/>
      <c r="X129" s="8" t="n"/>
      <c r="Y129" s="8" t="n"/>
      <c r="Z129" s="8" t="n"/>
      <c r="AA129" s="8" t="n"/>
      <c r="AB129" s="8" t="n"/>
      <c r="AC129" s="8" t="n"/>
      <c r="AD129" s="8" t="n"/>
      <c r="AE129" s="8" t="inlineStr">
        <is>
          <t>yes</t>
        </is>
      </c>
    </row>
    <row r="130">
      <c r="A130" s="5" t="n">
        <v>129</v>
      </c>
      <c r="B130" s="5" t="inlineStr">
        <is>
          <t>WS1419</t>
        </is>
      </c>
      <c r="C130" s="5" t="inlineStr">
        <is>
          <t>2021</t>
        </is>
      </c>
      <c r="D130" s="5" t="inlineStr">
        <is>
          <t>English</t>
        </is>
      </c>
      <c r="E130" s="5" t="inlineStr">
        <is>
          <t>JOUR</t>
        </is>
      </c>
      <c r="F130" s="5" t="inlineStr">
        <is>
          <t>Mladenovic</t>
        </is>
      </c>
      <c r="G130" s="5" t="inlineStr">
        <is>
          <t>Indian Journal of Surgery</t>
        </is>
      </c>
      <c r="H130" s="5" t="inlineStr">
        <is>
          <t>83(1):362-363</t>
        </is>
      </c>
      <c r="I130" s="6" t="inlineStr">
        <is>
          <t>Acute Gastric Volvulus in Eight-Year-Old Male</t>
        </is>
      </c>
      <c r="J130" s="5" t="inlineStr">
        <is>
          <t>10.1007/s12262-020-02308-6</t>
        </is>
      </c>
      <c r="K130" s="7" t="inlineStr">
        <is>
          <t>link</t>
        </is>
      </c>
      <c r="L130" s="5" t="inlineStr"/>
      <c r="M130" s="5" t="inlineStr"/>
      <c r="N130" s="5" t="inlineStr"/>
      <c r="O130" s="5" t="inlineStr"/>
      <c r="P130" s="5" t="inlineStr"/>
      <c r="Q130" s="7" t="inlineStr">
        <is>
          <t>link</t>
        </is>
      </c>
      <c r="R130" s="5" t="inlineStr">
        <is>
          <t>2 English, DOI or PubMed link</t>
        </is>
      </c>
      <c r="S130" s="5" t="inlineStr"/>
      <c r="T130" s="5" t="inlineStr">
        <is>
          <t>WS1419.pdf</t>
        </is>
      </c>
      <c r="U130" s="8" t="n"/>
      <c r="V130" s="8" t="n"/>
      <c r="W130" s="8" t="n"/>
      <c r="X130" s="8" t="n"/>
      <c r="Y130" s="8" t="n"/>
      <c r="Z130" s="8" t="n"/>
      <c r="AA130" s="8" t="n"/>
      <c r="AB130" s="8" t="n"/>
      <c r="AC130" s="8" t="n"/>
      <c r="AD130" s="8" t="n"/>
      <c r="AE130" s="8" t="inlineStr">
        <is>
          <t>yes</t>
        </is>
      </c>
    </row>
    <row r="131">
      <c r="A131" s="5" t="n">
        <v>130</v>
      </c>
      <c r="B131" s="5" t="inlineStr">
        <is>
          <t>WS1614</t>
        </is>
      </c>
      <c r="C131" s="5" t="inlineStr">
        <is>
          <t>2021</t>
        </is>
      </c>
      <c r="D131" s="5" t="inlineStr">
        <is>
          <t>English</t>
        </is>
      </c>
      <c r="E131" s="5" t="inlineStr">
        <is>
          <t>JOUR</t>
        </is>
      </c>
      <c r="F131" s="5" t="inlineStr">
        <is>
          <t>Markovic</t>
        </is>
      </c>
      <c r="G131" s="5" t="inlineStr">
        <is>
          <t>Serbian Journal of Experimental and Clinical Research</t>
        </is>
      </c>
      <c r="H131" s="5" t="inlineStr">
        <is>
          <t>22(3):271-275</t>
        </is>
      </c>
      <c r="I131" s="6" t="inlineStr">
        <is>
          <t>Wandering spleen-a possible cause of adrenal ”mass“-case report</t>
        </is>
      </c>
      <c r="J131" s="5" t="inlineStr">
        <is>
          <t>10.2478/sjecr-2019-0004</t>
        </is>
      </c>
      <c r="K131" s="7" t="inlineStr">
        <is>
          <t>link</t>
        </is>
      </c>
      <c r="L131" s="5" t="inlineStr"/>
      <c r="M131" s="5" t="inlineStr"/>
      <c r="N131" s="5" t="inlineStr"/>
      <c r="O131" s="5" t="inlineStr"/>
      <c r="P131" s="5" t="inlineStr"/>
      <c r="Q131" s="7" t="inlineStr">
        <is>
          <t>link</t>
        </is>
      </c>
      <c r="R131" s="5" t="inlineStr">
        <is>
          <t>2 English, DOI or PubMed link</t>
        </is>
      </c>
      <c r="S131" s="5" t="inlineStr"/>
      <c r="T131" s="5" t="inlineStr">
        <is>
          <t>WS1614.pdf</t>
        </is>
      </c>
      <c r="U131" s="8" t="n"/>
      <c r="V131" s="8" t="n"/>
      <c r="W131" s="8" t="n"/>
      <c r="X131" s="8" t="n"/>
      <c r="Y131" s="8" t="n"/>
      <c r="Z131" s="8" t="n"/>
      <c r="AA131" s="8" t="n"/>
      <c r="AB131" s="8" t="n"/>
      <c r="AC131" s="8" t="n"/>
      <c r="AD131" s="8" t="n"/>
      <c r="AE131" s="8" t="inlineStr">
        <is>
          <t>yes</t>
        </is>
      </c>
    </row>
    <row r="132">
      <c r="A132" s="5" t="n">
        <v>131</v>
      </c>
      <c r="B132" s="5" t="inlineStr">
        <is>
          <t>WS0257</t>
        </is>
      </c>
      <c r="C132" s="5" t="inlineStr">
        <is>
          <t>2020</t>
        </is>
      </c>
      <c r="D132" s="5" t="inlineStr">
        <is>
          <t>English</t>
        </is>
      </c>
      <c r="E132" s="5" t="inlineStr">
        <is>
          <t>JOUR</t>
        </is>
      </c>
      <c r="F132" s="5" t="inlineStr">
        <is>
          <t>Parada Blazquez</t>
        </is>
      </c>
      <c r="G132" s="5" t="inlineStr">
        <is>
          <t>Emergency radiology</t>
        </is>
      </c>
      <c r="H132" s="5" t="inlineStr">
        <is>
          <t>27(5):555-560</t>
        </is>
      </c>
      <c r="I132" s="6" t="inlineStr">
        <is>
          <t>Torsion of wandering spleen: radiological findings.</t>
        </is>
      </c>
      <c r="J132" s="5" t="inlineStr">
        <is>
          <t>10.1007/s10140-020-01786-1</t>
        </is>
      </c>
      <c r="K132" s="7" t="inlineStr">
        <is>
          <t>link</t>
        </is>
      </c>
      <c r="L132" s="7" t="inlineStr">
        <is>
          <t>link</t>
        </is>
      </c>
      <c r="M132" s="5" t="inlineStr"/>
      <c r="N132" s="5" t="inlineStr"/>
      <c r="O132" s="5" t="inlineStr"/>
      <c r="P132" s="5" t="inlineStr"/>
      <c r="Q132" s="5" t="inlineStr"/>
      <c r="R132" s="5" t="inlineStr">
        <is>
          <t>2 English, DOI or PubMed link</t>
        </is>
      </c>
      <c r="S132" s="5" t="inlineStr"/>
      <c r="T132" s="5" t="inlineStr">
        <is>
          <t>WS0257.pdf</t>
        </is>
      </c>
      <c r="U132" s="8" t="n"/>
      <c r="V132" s="8" t="n"/>
      <c r="W132" s="8" t="n"/>
      <c r="X132" s="8" t="n"/>
      <c r="Y132" s="8" t="n"/>
      <c r="Z132" s="8" t="n"/>
      <c r="AA132" s="8" t="n"/>
      <c r="AB132" s="8" t="n"/>
      <c r="AC132" s="8" t="n"/>
      <c r="AD132" s="8" t="n"/>
      <c r="AE132" s="8" t="inlineStr">
        <is>
          <t>yes</t>
        </is>
      </c>
    </row>
    <row r="133">
      <c r="A133" s="5" t="n">
        <v>132</v>
      </c>
      <c r="B133" s="5" t="inlineStr">
        <is>
          <t>WS0268</t>
        </is>
      </c>
      <c r="C133" s="5" t="inlineStr">
        <is>
          <t>2020</t>
        </is>
      </c>
      <c r="D133" s="5" t="inlineStr">
        <is>
          <t>English</t>
        </is>
      </c>
      <c r="E133" s="5" t="inlineStr">
        <is>
          <t>JOUR</t>
        </is>
      </c>
      <c r="F133" s="5" t="inlineStr">
        <is>
          <t>Cetinoglu</t>
        </is>
      </c>
      <c r="G133" s="5" t="inlineStr">
        <is>
          <t>Current medical imaging reviews</t>
        </is>
      </c>
      <c r="H133" s="5" t="inlineStr">
        <is>
          <t>16(1):88-93</t>
        </is>
      </c>
      <c r="I133" s="6" t="inlineStr">
        <is>
          <t>Torsion of Wandering Spleen: Importance of Splenic Density and Liver-to- Spleen Attenuation Ratio on CT.</t>
        </is>
      </c>
      <c r="J133" s="5" t="inlineStr">
        <is>
          <t>10.2174/1573405614666181009142322</t>
        </is>
      </c>
      <c r="K133" s="7" t="inlineStr">
        <is>
          <t>link</t>
        </is>
      </c>
      <c r="L133" s="7" t="inlineStr">
        <is>
          <t>link</t>
        </is>
      </c>
      <c r="M133" s="5" t="inlineStr"/>
      <c r="N133" s="5" t="inlineStr"/>
      <c r="O133" s="5" t="inlineStr"/>
      <c r="P133" s="5" t="inlineStr"/>
      <c r="Q133" s="5" t="inlineStr"/>
      <c r="R133" s="5" t="inlineStr">
        <is>
          <t>2 English, DOI or PubMed link</t>
        </is>
      </c>
      <c r="S133" s="5" t="inlineStr"/>
      <c r="T133" s="5" t="inlineStr">
        <is>
          <t>WS0268.pdf</t>
        </is>
      </c>
      <c r="U133" s="8" t="n"/>
      <c r="V133" s="8" t="n"/>
      <c r="W133" s="8" t="n"/>
      <c r="X133" s="8" t="n"/>
      <c r="Y133" s="8" t="n"/>
      <c r="Z133" s="8" t="n"/>
      <c r="AA133" s="8" t="n"/>
      <c r="AB133" s="8" t="n"/>
      <c r="AC133" s="8" t="n"/>
      <c r="AD133" s="8" t="n"/>
      <c r="AE133" s="8" t="inlineStr">
        <is>
          <t>yes</t>
        </is>
      </c>
    </row>
    <row r="134">
      <c r="A134" s="5" t="n">
        <v>133</v>
      </c>
      <c r="B134" s="5" t="inlineStr">
        <is>
          <t>WS1439</t>
        </is>
      </c>
      <c r="C134" s="5" t="inlineStr">
        <is>
          <t>2020</t>
        </is>
      </c>
      <c r="D134" s="5" t="inlineStr">
        <is>
          <t>English</t>
        </is>
      </c>
      <c r="E134" s="5" t="inlineStr">
        <is>
          <t>JOUR</t>
        </is>
      </c>
      <c r="F134" s="5" t="inlineStr">
        <is>
          <t>Gómez-Ramos</t>
        </is>
      </c>
      <c r="G134" s="5" t="inlineStr">
        <is>
          <t>Pediatric Emergency Care</t>
        </is>
      </c>
      <c r="H134" s="5" t="inlineStr">
        <is>
          <t>36(12):E737-E741</t>
        </is>
      </c>
      <c r="I134" s="6" t="inlineStr">
        <is>
          <t>Adolescent with Spontaneous Splenic Rupture as a Cause of Hemoperitoneum in the Emergency Department: Case Report and Literature Review</t>
        </is>
      </c>
      <c r="J134" s="5" t="inlineStr">
        <is>
          <t>10.1097/pec.0000000000001520</t>
        </is>
      </c>
      <c r="K134" s="7" t="inlineStr">
        <is>
          <t>link</t>
        </is>
      </c>
      <c r="L134" s="5" t="inlineStr"/>
      <c r="M134" s="5" t="inlineStr"/>
      <c r="N134" s="5" t="inlineStr"/>
      <c r="O134" s="5" t="inlineStr"/>
      <c r="P134" s="5" t="inlineStr"/>
      <c r="Q134" s="7" t="inlineStr">
        <is>
          <t>link</t>
        </is>
      </c>
      <c r="R134" s="5" t="inlineStr">
        <is>
          <t>2 English, DOI or PubMed link</t>
        </is>
      </c>
      <c r="S134" s="5" t="inlineStr"/>
      <c r="T134" s="5" t="inlineStr">
        <is>
          <t>WS1439.pdf</t>
        </is>
      </c>
      <c r="U134" s="8" t="n"/>
      <c r="V134" s="8" t="n"/>
      <c r="W134" s="8" t="n"/>
      <c r="X134" s="8" t="n"/>
      <c r="Y134" s="8" t="n"/>
      <c r="Z134" s="8" t="n"/>
      <c r="AA134" s="8" t="n"/>
      <c r="AB134" s="8" t="n"/>
      <c r="AC134" s="8" t="n"/>
      <c r="AD134" s="8" t="n"/>
      <c r="AE134" s="8" t="inlineStr">
        <is>
          <t>yes</t>
        </is>
      </c>
    </row>
    <row r="135">
      <c r="A135" s="5" t="n">
        <v>134</v>
      </c>
      <c r="B135" s="5" t="inlineStr">
        <is>
          <t>WS1587</t>
        </is>
      </c>
      <c r="C135" s="5" t="inlineStr">
        <is>
          <t>2020</t>
        </is>
      </c>
      <c r="D135" s="5" t="inlineStr">
        <is>
          <t>English</t>
        </is>
      </c>
      <c r="E135" s="5" t="inlineStr">
        <is>
          <t>JOUR</t>
        </is>
      </c>
      <c r="F135" s="5" t="inlineStr">
        <is>
          <t>Bhutani</t>
        </is>
      </c>
      <c r="G135" s="5" t="inlineStr">
        <is>
          <t>Journal of Pediatric Surgery Case Reports</t>
        </is>
      </c>
      <c r="H135" s="5" t="inlineStr">
        <is>
          <t>59</t>
        </is>
      </c>
      <c r="I135" s="6" t="inlineStr">
        <is>
          <t>Splenogonadal fusion</t>
        </is>
      </c>
      <c r="J135" s="5" t="inlineStr">
        <is>
          <t>10.1016/j.epsc.2020.101514</t>
        </is>
      </c>
      <c r="K135" s="7" t="inlineStr">
        <is>
          <t>link</t>
        </is>
      </c>
      <c r="L135" s="5" t="inlineStr"/>
      <c r="M135" s="5" t="inlineStr"/>
      <c r="N135" s="5" t="inlineStr"/>
      <c r="O135" s="5" t="inlineStr"/>
      <c r="P135" s="5" t="inlineStr"/>
      <c r="Q135" s="7" t="inlineStr">
        <is>
          <t>link</t>
        </is>
      </c>
      <c r="R135" s="5" t="inlineStr">
        <is>
          <t>2 English, DOI or PubMed link</t>
        </is>
      </c>
      <c r="S135" s="5" t="inlineStr"/>
      <c r="T135" s="5" t="inlineStr">
        <is>
          <t>WS1587.pdf</t>
        </is>
      </c>
      <c r="U135" s="8" t="n"/>
      <c r="V135" s="8" t="n"/>
      <c r="W135" s="8" t="n"/>
      <c r="X135" s="8" t="n"/>
      <c r="Y135" s="8" t="n"/>
      <c r="Z135" s="8" t="n"/>
      <c r="AA135" s="8" t="n"/>
      <c r="AB135" s="8" t="n"/>
      <c r="AC135" s="8" t="n"/>
      <c r="AD135" s="8" t="n"/>
      <c r="AE135" s="8" t="inlineStr">
        <is>
          <t>yes</t>
        </is>
      </c>
    </row>
    <row r="136">
      <c r="A136" s="5" t="n">
        <v>135</v>
      </c>
      <c r="B136" s="5" t="inlineStr">
        <is>
          <t>WS0270</t>
        </is>
      </c>
      <c r="C136" s="5" t="inlineStr">
        <is>
          <t>2019</t>
        </is>
      </c>
      <c r="D136" s="5" t="inlineStr">
        <is>
          <t>English</t>
        </is>
      </c>
      <c r="E136" s="5" t="inlineStr">
        <is>
          <t>JOUR</t>
        </is>
      </c>
      <c r="F136" s="5" t="inlineStr">
        <is>
          <t>Frybova</t>
        </is>
      </c>
      <c r="G136" s="5" t="inlineStr">
        <is>
          <t>Rozhledy v chirurgii : mesicnik Ceskoslovenske chirurgicke spolecnosti</t>
        </is>
      </c>
      <c r="H136" s="5" t="inlineStr">
        <is>
          <t>98(12):509-512</t>
        </is>
      </c>
      <c r="I136" s="6" t="inlineStr">
        <is>
          <t>Extraperitoneal pocket splenopexy is a suitable solution for wandering spleen in children and adolescents - case report.</t>
        </is>
      </c>
      <c r="J136" s="5" t="inlineStr">
        <is>
          <t>10.33699/pis.2019.98.12.509-512</t>
        </is>
      </c>
      <c r="K136" s="7" t="inlineStr">
        <is>
          <t>link</t>
        </is>
      </c>
      <c r="L136" s="7" t="inlineStr">
        <is>
          <t>link</t>
        </is>
      </c>
      <c r="M136" s="5" t="inlineStr"/>
      <c r="N136" s="5" t="inlineStr"/>
      <c r="O136" s="5" t="inlineStr"/>
      <c r="P136" s="5" t="inlineStr"/>
      <c r="Q136" s="5" t="inlineStr"/>
      <c r="R136" s="5" t="inlineStr">
        <is>
          <t>2 English, DOI or PubMed link</t>
        </is>
      </c>
      <c r="S136" s="5" t="inlineStr"/>
      <c r="T136" s="5" t="inlineStr">
        <is>
          <t>WS0270.pdf</t>
        </is>
      </c>
      <c r="U136" s="8" t="n"/>
      <c r="V136" s="8" t="n"/>
      <c r="W136" s="8" t="n"/>
      <c r="X136" s="8" t="n"/>
      <c r="Y136" s="8" t="n"/>
      <c r="Z136" s="8" t="n"/>
      <c r="AA136" s="8" t="n"/>
      <c r="AB136" s="8" t="n"/>
      <c r="AC136" s="8" t="n"/>
      <c r="AD136" s="8" t="n"/>
      <c r="AE136" s="8" t="inlineStr">
        <is>
          <t>yes</t>
        </is>
      </c>
    </row>
    <row r="137">
      <c r="A137" s="5" t="n">
        <v>136</v>
      </c>
      <c r="B137" s="5" t="inlineStr">
        <is>
          <t>WS0272</t>
        </is>
      </c>
      <c r="C137" s="5" t="inlineStr">
        <is>
          <t>2019</t>
        </is>
      </c>
      <c r="D137" s="5" t="inlineStr">
        <is>
          <t>English</t>
        </is>
      </c>
      <c r="E137" s="5" t="inlineStr">
        <is>
          <t>JOUR</t>
        </is>
      </c>
      <c r="F137" s="5" t="inlineStr">
        <is>
          <t>Lim</t>
        </is>
      </c>
      <c r="G137" s="5" t="inlineStr">
        <is>
          <t>South Dakota medicine : the journal of the South Dakota State Medical Association</t>
        </is>
      </c>
      <c r="H137" s="5" t="inlineStr">
        <is>
          <t>72(10):459-463</t>
        </is>
      </c>
      <c r="I137" s="6" t="inlineStr">
        <is>
          <t>Wandering Spleen in a 1-Year-Old Girl: An Enigmatic Journey to Find the Hiding Necrotic Spleen.</t>
        </is>
      </c>
      <c r="J137" s="5" t="inlineStr"/>
      <c r="K137" s="5" t="inlineStr"/>
      <c r="L137" s="7" t="inlineStr">
        <is>
          <t>link</t>
        </is>
      </c>
      <c r="M137" s="5" t="inlineStr"/>
      <c r="N137" s="5" t="inlineStr"/>
      <c r="O137" s="5" t="inlineStr"/>
      <c r="P137" s="5" t="inlineStr"/>
      <c r="Q137" s="5" t="inlineStr"/>
      <c r="R137" s="5" t="inlineStr">
        <is>
          <t>2 English, DOI or PubMed link</t>
        </is>
      </c>
      <c r="S137" s="5" t="inlineStr"/>
      <c r="T137" s="5" t="inlineStr">
        <is>
          <t>WS0272.pdf</t>
        </is>
      </c>
      <c r="U137" s="8" t="n"/>
      <c r="V137" s="8" t="n"/>
      <c r="W137" s="8" t="n"/>
      <c r="X137" s="8" t="n"/>
      <c r="Y137" s="8" t="n"/>
      <c r="Z137" s="8" t="n"/>
      <c r="AA137" s="8" t="n"/>
      <c r="AB137" s="8" t="n"/>
      <c r="AC137" s="8" t="n"/>
      <c r="AD137" s="8" t="n"/>
      <c r="AE137" s="8" t="inlineStr">
        <is>
          <t>yes</t>
        </is>
      </c>
    </row>
    <row r="138">
      <c r="A138" s="5" t="n">
        <v>137</v>
      </c>
      <c r="B138" s="5" t="inlineStr">
        <is>
          <t>WS1527</t>
        </is>
      </c>
      <c r="C138" s="5" t="inlineStr">
        <is>
          <t>2019</t>
        </is>
      </c>
      <c r="D138" s="5" t="inlineStr">
        <is>
          <t>English</t>
        </is>
      </c>
      <c r="E138" s="5" t="inlineStr">
        <is>
          <t>JOUR</t>
        </is>
      </c>
      <c r="F138" s="5" t="inlineStr">
        <is>
          <t>Taher</t>
        </is>
      </c>
      <c r="G138" s="5" t="inlineStr">
        <is>
          <t>Journal of Pediatric Surgery Case Reports</t>
        </is>
      </c>
      <c r="H138" s="5" t="inlineStr">
        <is>
          <t>40:13-16</t>
        </is>
      </c>
      <c r="I138" s="6" t="inlineStr">
        <is>
          <t>Torsion of wandering spleen in an infant associated with hamartomatous vascular malformation</t>
        </is>
      </c>
      <c r="J138" s="5" t="inlineStr">
        <is>
          <t>10.1016/j.epsc.2018.10.001</t>
        </is>
      </c>
      <c r="K138" s="7" t="inlineStr">
        <is>
          <t>link</t>
        </is>
      </c>
      <c r="L138" s="5" t="inlineStr"/>
      <c r="M138" s="5" t="inlineStr"/>
      <c r="N138" s="5" t="inlineStr"/>
      <c r="O138" s="5" t="inlineStr"/>
      <c r="P138" s="5" t="inlineStr"/>
      <c r="Q138" s="7" t="inlineStr">
        <is>
          <t>link</t>
        </is>
      </c>
      <c r="R138" s="5" t="inlineStr">
        <is>
          <t>2 English, DOI or PubMed link</t>
        </is>
      </c>
      <c r="S138" s="5" t="inlineStr"/>
      <c r="T138" s="5" t="inlineStr">
        <is>
          <t>WS1527.pdf</t>
        </is>
      </c>
      <c r="U138" s="8" t="n"/>
      <c r="V138" s="8" t="n"/>
      <c r="W138" s="8" t="n"/>
      <c r="X138" s="8" t="n"/>
      <c r="Y138" s="8" t="n"/>
      <c r="Z138" s="8" t="n"/>
      <c r="AA138" s="8" t="n"/>
      <c r="AB138" s="8" t="n"/>
      <c r="AC138" s="8" t="n"/>
      <c r="AD138" s="8" t="n"/>
      <c r="AE138" s="8" t="inlineStr">
        <is>
          <t>yes</t>
        </is>
      </c>
    </row>
    <row r="139">
      <c r="A139" s="5" t="n">
        <v>138</v>
      </c>
      <c r="B139" s="5" t="inlineStr">
        <is>
          <t>WS1578</t>
        </is>
      </c>
      <c r="C139" s="5" t="inlineStr">
        <is>
          <t>2019</t>
        </is>
      </c>
      <c r="D139" s="5" t="inlineStr">
        <is>
          <t>English</t>
        </is>
      </c>
      <c r="E139" s="5" t="inlineStr">
        <is>
          <t>JOUR</t>
        </is>
      </c>
      <c r="F139" s="5" t="inlineStr">
        <is>
          <t>Bond</t>
        </is>
      </c>
      <c r="G139" s="5" t="inlineStr">
        <is>
          <t>Journal of Pediatric Surgery Case Reports</t>
        </is>
      </c>
      <c r="H139" s="5" t="inlineStr">
        <is>
          <t>48</t>
        </is>
      </c>
      <c r="I139" s="6" t="inlineStr">
        <is>
          <t>Acute presentation of pediatric splenic torsion</t>
        </is>
      </c>
      <c r="J139" s="5" t="inlineStr">
        <is>
          <t>10.1016/j.epsc.2019.101267</t>
        </is>
      </c>
      <c r="K139" s="7" t="inlineStr">
        <is>
          <t>link</t>
        </is>
      </c>
      <c r="L139" s="5" t="inlineStr"/>
      <c r="M139" s="5" t="inlineStr"/>
      <c r="N139" s="5" t="inlineStr"/>
      <c r="O139" s="5" t="inlineStr"/>
      <c r="P139" s="5" t="inlineStr"/>
      <c r="Q139" s="7" t="inlineStr">
        <is>
          <t>link</t>
        </is>
      </c>
      <c r="R139" s="5" t="inlineStr">
        <is>
          <t>2 English, DOI or PubMed link</t>
        </is>
      </c>
      <c r="S139" s="5" t="inlineStr"/>
      <c r="T139" s="5" t="inlineStr">
        <is>
          <t>WS1578.pdf</t>
        </is>
      </c>
      <c r="U139" s="8" t="n"/>
      <c r="V139" s="8" t="n"/>
      <c r="W139" s="8" t="n"/>
      <c r="X139" s="8" t="n"/>
      <c r="Y139" s="8" t="n"/>
      <c r="Z139" s="8" t="n"/>
      <c r="AA139" s="8" t="n"/>
      <c r="AB139" s="8" t="n"/>
      <c r="AC139" s="8" t="n"/>
      <c r="AD139" s="8" t="n"/>
      <c r="AE139" s="8" t="inlineStr">
        <is>
          <t>yes</t>
        </is>
      </c>
    </row>
    <row r="140">
      <c r="A140" s="5" t="n">
        <v>139</v>
      </c>
      <c r="B140" s="5" t="inlineStr">
        <is>
          <t>WS1592</t>
        </is>
      </c>
      <c r="C140" s="5" t="inlineStr">
        <is>
          <t>2019</t>
        </is>
      </c>
      <c r="D140" s="5" t="inlineStr">
        <is>
          <t>English</t>
        </is>
      </c>
      <c r="E140" s="5" t="inlineStr">
        <is>
          <t>JOUR</t>
        </is>
      </c>
      <c r="F140" s="5" t="inlineStr">
        <is>
          <t>Elhady</t>
        </is>
      </c>
      <c r="G140" s="5" t="inlineStr">
        <is>
          <t>Formosan Journal of Surgery</t>
        </is>
      </c>
      <c r="H140" s="5" t="inlineStr">
        <is>
          <t>52(5):189-192</t>
        </is>
      </c>
      <c r="I140" s="6" t="inlineStr">
        <is>
          <t>Recurrent abdominal pain with thrombocytosis:A presentation of wandering spleen</t>
        </is>
      </c>
      <c r="J140" s="5" t="inlineStr">
        <is>
          <t>10.4103/fjs.fjs_34_19</t>
        </is>
      </c>
      <c r="K140" s="7" t="inlineStr">
        <is>
          <t>link</t>
        </is>
      </c>
      <c r="L140" s="5" t="inlineStr"/>
      <c r="M140" s="5" t="inlineStr"/>
      <c r="N140" s="5" t="inlineStr"/>
      <c r="O140" s="5" t="inlineStr"/>
      <c r="P140" s="5" t="inlineStr"/>
      <c r="Q140" s="7" t="inlineStr">
        <is>
          <t>link</t>
        </is>
      </c>
      <c r="R140" s="5" t="inlineStr">
        <is>
          <t>2 English, DOI or PubMed link</t>
        </is>
      </c>
      <c r="S140" s="5" t="inlineStr"/>
      <c r="T140" s="5" t="inlineStr">
        <is>
          <t>WS1592.pdf</t>
        </is>
      </c>
      <c r="U140" s="8" t="n"/>
      <c r="V140" s="8" t="n"/>
      <c r="W140" s="8" t="n"/>
      <c r="X140" s="8" t="n"/>
      <c r="Y140" s="8" t="n"/>
      <c r="Z140" s="8" t="n"/>
      <c r="AA140" s="8" t="n"/>
      <c r="AB140" s="8" t="n"/>
      <c r="AC140" s="8" t="n"/>
      <c r="AD140" s="8" t="n"/>
      <c r="AE140" s="8" t="inlineStr">
        <is>
          <t>yes</t>
        </is>
      </c>
    </row>
    <row r="141">
      <c r="A141" s="5" t="n">
        <v>140</v>
      </c>
      <c r="B141" s="5" t="inlineStr">
        <is>
          <t>WS0321</t>
        </is>
      </c>
      <c r="C141" s="5" t="inlineStr">
        <is>
          <t>2018</t>
        </is>
      </c>
      <c r="D141" s="5" t="inlineStr">
        <is>
          <t>English</t>
        </is>
      </c>
      <c r="E141" s="5" t="inlineStr">
        <is>
          <t>JOUR</t>
        </is>
      </c>
      <c r="F141" s="5" t="inlineStr">
        <is>
          <t>Cohen</t>
        </is>
      </c>
      <c r="G141" s="5" t="inlineStr">
        <is>
          <t>ISRAEL MEDICAL ASSOCIATION JOURNAL</t>
        </is>
      </c>
      <c r="H141" s="5" t="inlineStr">
        <is>
          <t>20(6):354-357</t>
        </is>
      </c>
      <c r="I141" s="6" t="inlineStr">
        <is>
          <t>Emergencies in the Treatment of Wandering Spleen</t>
        </is>
      </c>
      <c r="J141" s="5" t="inlineStr">
        <is>
          <t>10.1073/pnas.1719264115</t>
        </is>
      </c>
      <c r="K141" s="7" t="inlineStr">
        <is>
          <t>link</t>
        </is>
      </c>
      <c r="L141" s="7" t="inlineStr">
        <is>
          <t>link</t>
        </is>
      </c>
      <c r="M141" s="5" t="inlineStr"/>
      <c r="N141" s="5" t="inlineStr"/>
      <c r="O141" s="5" t="inlineStr"/>
      <c r="P141" s="5" t="inlineStr"/>
      <c r="Q141" s="5" t="inlineStr"/>
      <c r="R141" s="5" t="inlineStr">
        <is>
          <t>2 English, DOI or PubMed link</t>
        </is>
      </c>
      <c r="S141" s="5" t="inlineStr"/>
      <c r="T141" s="5" t="inlineStr">
        <is>
          <t>WS0321.pdf</t>
        </is>
      </c>
      <c r="U141" s="8" t="n"/>
      <c r="V141" s="8" t="n"/>
      <c r="W141" s="8" t="n"/>
      <c r="X141" s="8" t="n"/>
      <c r="Y141" s="8" t="n"/>
      <c r="Z141" s="8" t="n"/>
      <c r="AA141" s="8" t="n"/>
      <c r="AB141" s="8" t="n"/>
      <c r="AC141" s="8" t="n"/>
      <c r="AD141" s="8" t="n"/>
      <c r="AE141" s="8" t="inlineStr">
        <is>
          <t>yes</t>
        </is>
      </c>
    </row>
    <row r="142">
      <c r="A142" s="5" t="n">
        <v>141</v>
      </c>
      <c r="B142" s="5" t="inlineStr">
        <is>
          <t>WS0329</t>
        </is>
      </c>
      <c r="C142" s="5" t="inlineStr">
        <is>
          <t>2018</t>
        </is>
      </c>
      <c r="D142" s="5" t="inlineStr">
        <is>
          <t>English</t>
        </is>
      </c>
      <c r="E142" s="5" t="inlineStr">
        <is>
          <t>JOUR</t>
        </is>
      </c>
      <c r="F142" s="5" t="inlineStr">
        <is>
          <t>Freund</t>
        </is>
      </c>
      <c r="G142" s="5" t="inlineStr">
        <is>
          <t>Surgical laparoscopy, endoscopy &amp; percutaneous techniques</t>
        </is>
      </c>
      <c r="H142" s="5" t="inlineStr">
        <is>
          <t>28(2):86-89</t>
        </is>
      </c>
      <c r="I142" s="6" t="inlineStr">
        <is>
          <t>Splenectomy in Gaucher Disease: A Call for Minimally Invasive Surgery.</t>
        </is>
      </c>
      <c r="J142" s="5" t="inlineStr">
        <is>
          <t>10.1097/sle.0000000000000518</t>
        </is>
      </c>
      <c r="K142" s="7" t="inlineStr">
        <is>
          <t>link</t>
        </is>
      </c>
      <c r="L142" s="7" t="inlineStr">
        <is>
          <t>link</t>
        </is>
      </c>
      <c r="M142" s="5" t="inlineStr"/>
      <c r="N142" s="5" t="inlineStr"/>
      <c r="O142" s="5" t="inlineStr"/>
      <c r="P142" s="5" t="inlineStr"/>
      <c r="Q142" s="5" t="inlineStr"/>
      <c r="R142" s="5" t="inlineStr">
        <is>
          <t>2 English, DOI or PubMed link</t>
        </is>
      </c>
      <c r="S142" s="5" t="inlineStr"/>
      <c r="T142" s="5" t="inlineStr">
        <is>
          <t>WS0329.pdf</t>
        </is>
      </c>
      <c r="U142" s="8" t="n"/>
      <c r="V142" s="8" t="n"/>
      <c r="W142" s="8" t="n"/>
      <c r="X142" s="8" t="n"/>
      <c r="Y142" s="8" t="n"/>
      <c r="Z142" s="8" t="n"/>
      <c r="AA142" s="8" t="n"/>
      <c r="AB142" s="8" t="n"/>
      <c r="AC142" s="8" t="n"/>
      <c r="AD142" s="8" t="n"/>
      <c r="AE142" s="8" t="inlineStr">
        <is>
          <t>yes</t>
        </is>
      </c>
    </row>
    <row r="143">
      <c r="A143" s="5" t="n">
        <v>142</v>
      </c>
      <c r="B143" s="5" t="inlineStr">
        <is>
          <t>WS0336</t>
        </is>
      </c>
      <c r="C143" s="5" t="inlineStr">
        <is>
          <t>2018</t>
        </is>
      </c>
      <c r="D143" s="5" t="inlineStr">
        <is>
          <t>English</t>
        </is>
      </c>
      <c r="E143" s="5" t="inlineStr">
        <is>
          <t>JOUR</t>
        </is>
      </c>
      <c r="F143" s="5" t="inlineStr">
        <is>
          <t>Hui Lian</t>
        </is>
      </c>
      <c r="G143" s="5" t="inlineStr">
        <is>
          <t>Folia morphologica</t>
        </is>
      </c>
      <c r="H143" s="5" t="inlineStr">
        <is>
          <t>77(2):400-402</t>
        </is>
      </c>
      <c r="I143" s="6" t="inlineStr">
        <is>
          <t>Wandering spleen: a unique cause of acute abdomen.</t>
        </is>
      </c>
      <c r="J143" s="5" t="inlineStr">
        <is>
          <t>10.5603/fm.a2017.0097</t>
        </is>
      </c>
      <c r="K143" s="7" t="inlineStr">
        <is>
          <t>link</t>
        </is>
      </c>
      <c r="L143" s="7" t="inlineStr">
        <is>
          <t>link</t>
        </is>
      </c>
      <c r="M143" s="5" t="inlineStr"/>
      <c r="N143" s="5" t="inlineStr"/>
      <c r="O143" s="5" t="inlineStr"/>
      <c r="P143" s="5" t="inlineStr"/>
      <c r="Q143" s="5" t="inlineStr"/>
      <c r="R143" s="5" t="inlineStr">
        <is>
          <t>2 English, DOI or PubMed link</t>
        </is>
      </c>
      <c r="S143" s="5" t="inlineStr"/>
      <c r="T143" s="5" t="inlineStr">
        <is>
          <t>WS0336.pdf</t>
        </is>
      </c>
      <c r="U143" s="8" t="n"/>
      <c r="V143" s="8" t="n"/>
      <c r="W143" s="8" t="n"/>
      <c r="X143" s="8" t="n"/>
      <c r="Y143" s="8" t="n"/>
      <c r="Z143" s="8" t="n"/>
      <c r="AA143" s="8" t="n"/>
      <c r="AB143" s="8" t="n"/>
      <c r="AC143" s="8" t="n"/>
      <c r="AD143" s="8" t="n"/>
      <c r="AE143" s="8" t="inlineStr">
        <is>
          <t>yes</t>
        </is>
      </c>
    </row>
    <row r="144">
      <c r="A144" s="5" t="n">
        <v>143</v>
      </c>
      <c r="B144" s="5" t="inlineStr">
        <is>
          <t>WS0342</t>
        </is>
      </c>
      <c r="C144" s="5" t="inlineStr">
        <is>
          <t>2017</t>
        </is>
      </c>
      <c r="D144" s="5" t="inlineStr">
        <is>
          <t>English</t>
        </is>
      </c>
      <c r="E144" s="5" t="inlineStr">
        <is>
          <t>JOUR</t>
        </is>
      </c>
      <c r="F144" s="5" t="inlineStr">
        <is>
          <t>Morgan</t>
        </is>
      </c>
      <c r="G144" s="5" t="inlineStr">
        <is>
          <t>Surgical endoscopy</t>
        </is>
      </c>
      <c r="H144" s="5" t="inlineStr">
        <is>
          <t>31(12):5427-5428</t>
        </is>
      </c>
      <c r="I144" s="6" t="inlineStr">
        <is>
          <t>Laparoscopic splenopexy for wandering spleen, a video demonstration of technique by encircling the spleen with polyglactin 910 woven mesh.</t>
        </is>
      </c>
      <c r="J144" s="5" t="inlineStr">
        <is>
          <t>10.1007/s00464-017-5630-x</t>
        </is>
      </c>
      <c r="K144" s="7" t="inlineStr">
        <is>
          <t>link</t>
        </is>
      </c>
      <c r="L144" s="7" t="inlineStr">
        <is>
          <t>link</t>
        </is>
      </c>
      <c r="M144" s="5" t="inlineStr"/>
      <c r="N144" s="5" t="inlineStr"/>
      <c r="O144" s="5" t="inlineStr"/>
      <c r="P144" s="5" t="inlineStr"/>
      <c r="Q144" s="5" t="inlineStr"/>
      <c r="R144" s="5" t="inlineStr">
        <is>
          <t>2 English, DOI or PubMed link</t>
        </is>
      </c>
      <c r="S144" s="5" t="inlineStr"/>
      <c r="T144" s="5" t="inlineStr">
        <is>
          <t>WS0342.pdf</t>
        </is>
      </c>
      <c r="U144" s="8" t="n"/>
      <c r="V144" s="8" t="n"/>
      <c r="W144" s="8" t="n"/>
      <c r="X144" s="8" t="n"/>
      <c r="Y144" s="8" t="n"/>
      <c r="Z144" s="8" t="n"/>
      <c r="AA144" s="8" t="n"/>
      <c r="AB144" s="8" t="n"/>
      <c r="AC144" s="8" t="n"/>
      <c r="AD144" s="8" t="n"/>
      <c r="AE144" s="8" t="inlineStr">
        <is>
          <t>yes</t>
        </is>
      </c>
    </row>
    <row r="145">
      <c r="A145" s="5" t="n">
        <v>144</v>
      </c>
      <c r="B145" s="5" t="inlineStr">
        <is>
          <t>WS0344</t>
        </is>
      </c>
      <c r="C145" s="5" t="inlineStr">
        <is>
          <t>2017</t>
        </is>
      </c>
      <c r="D145" s="5" t="inlineStr">
        <is>
          <t>English</t>
        </is>
      </c>
      <c r="E145" s="5" t="inlineStr">
        <is>
          <t>JOUR</t>
        </is>
      </c>
      <c r="F145" s="5" t="inlineStr">
        <is>
          <t>Gungor</t>
        </is>
      </c>
      <c r="G145" s="5" t="inlineStr">
        <is>
          <t>The Turkish journal of gastroenterology : the official journal of Turkish Society of Gastroenterology</t>
        </is>
      </c>
      <c r="H145" s="5" t="inlineStr">
        <is>
          <t>28(4):303-306</t>
        </is>
      </c>
      <c r="I145" s="6" t="inlineStr">
        <is>
          <t>Torsion of a wandering spleen in an adolescent with Gaucher disease.</t>
        </is>
      </c>
      <c r="J145" s="5" t="inlineStr">
        <is>
          <t>10.5152/tjg.2017.17035</t>
        </is>
      </c>
      <c r="K145" s="7" t="inlineStr">
        <is>
          <t>link</t>
        </is>
      </c>
      <c r="L145" s="7" t="inlineStr">
        <is>
          <t>link</t>
        </is>
      </c>
      <c r="M145" s="5" t="inlineStr"/>
      <c r="N145" s="5" t="inlineStr"/>
      <c r="O145" s="5" t="inlineStr"/>
      <c r="P145" s="5" t="inlineStr"/>
      <c r="Q145" s="5" t="inlineStr"/>
      <c r="R145" s="5" t="inlineStr">
        <is>
          <t>2 English, DOI or PubMed link</t>
        </is>
      </c>
      <c r="S145" s="5" t="inlineStr"/>
      <c r="T145" s="5" t="inlineStr">
        <is>
          <t>WS0344.pdf</t>
        </is>
      </c>
      <c r="U145" s="8" t="n"/>
      <c r="V145" s="8" t="n"/>
      <c r="W145" s="8" t="n"/>
      <c r="X145" s="8" t="n"/>
      <c r="Y145" s="8" t="n"/>
      <c r="Z145" s="8" t="n"/>
      <c r="AA145" s="8" t="n"/>
      <c r="AB145" s="8" t="n"/>
      <c r="AC145" s="8" t="n"/>
      <c r="AD145" s="8" t="n"/>
      <c r="AE145" s="8" t="inlineStr">
        <is>
          <t>yes</t>
        </is>
      </c>
    </row>
    <row r="146">
      <c r="A146" s="5" t="n">
        <v>145</v>
      </c>
      <c r="B146" s="5" t="inlineStr">
        <is>
          <t>WS0355</t>
        </is>
      </c>
      <c r="C146" s="5" t="inlineStr">
        <is>
          <t>2017</t>
        </is>
      </c>
      <c r="D146" s="5" t="inlineStr">
        <is>
          <t>English</t>
        </is>
      </c>
      <c r="E146" s="5" t="inlineStr">
        <is>
          <t>JOUR</t>
        </is>
      </c>
      <c r="F146" s="5" t="inlineStr">
        <is>
          <t>Yilmaz</t>
        </is>
      </c>
      <c r="G146" s="5" t="inlineStr">
        <is>
          <t>Nigerian journal of clinical practice</t>
        </is>
      </c>
      <c r="H146" s="5" t="inlineStr">
        <is>
          <t>20(3):394-396</t>
        </is>
      </c>
      <c r="I146" s="6" t="inlineStr">
        <is>
          <t>Portal venous thrombosis developing after torsion of a wandering spleen.</t>
        </is>
      </c>
      <c r="J146" s="5" t="inlineStr">
        <is>
          <t>10.4103/1119-3077.201431</t>
        </is>
      </c>
      <c r="K146" s="7" t="inlineStr">
        <is>
          <t>link</t>
        </is>
      </c>
      <c r="L146" s="7" t="inlineStr">
        <is>
          <t>link</t>
        </is>
      </c>
      <c r="M146" s="5" t="inlineStr"/>
      <c r="N146" s="5" t="inlineStr"/>
      <c r="O146" s="5" t="inlineStr"/>
      <c r="P146" s="5" t="inlineStr"/>
      <c r="Q146" s="5" t="inlineStr"/>
      <c r="R146" s="5" t="inlineStr">
        <is>
          <t>2 English, DOI or PubMed link</t>
        </is>
      </c>
      <c r="S146" s="5" t="inlineStr"/>
      <c r="T146" s="5" t="inlineStr">
        <is>
          <t>WS0355.pdf</t>
        </is>
      </c>
      <c r="U146" s="8" t="n"/>
      <c r="V146" s="8" t="n"/>
      <c r="W146" s="8" t="n"/>
      <c r="X146" s="8" t="n"/>
      <c r="Y146" s="8" t="n"/>
      <c r="Z146" s="8" t="n"/>
      <c r="AA146" s="8" t="n"/>
      <c r="AB146" s="8" t="n"/>
      <c r="AC146" s="8" t="n"/>
      <c r="AD146" s="8" t="n"/>
      <c r="AE146" s="8" t="inlineStr">
        <is>
          <t>yes</t>
        </is>
      </c>
    </row>
    <row r="147">
      <c r="A147" s="5" t="n">
        <v>146</v>
      </c>
      <c r="B147" s="5" t="inlineStr">
        <is>
          <t>WS1507</t>
        </is>
      </c>
      <c r="C147" s="5" t="inlineStr">
        <is>
          <t>2017</t>
        </is>
      </c>
      <c r="D147" s="5" t="inlineStr">
        <is>
          <t>English</t>
        </is>
      </c>
      <c r="E147" s="5" t="inlineStr">
        <is>
          <t>JOUR</t>
        </is>
      </c>
      <c r="F147" s="5" t="inlineStr">
        <is>
          <t>Masui</t>
        </is>
      </c>
      <c r="G147" s="5" t="inlineStr">
        <is>
          <t>Journal of Pediatric Surgery Case Reports</t>
        </is>
      </c>
      <c r="H147" s="5" t="inlineStr">
        <is>
          <t>24:8-11</t>
        </is>
      </c>
      <c r="I147" s="6" t="inlineStr">
        <is>
          <t>Wandering spleen associated with omphalocele in a neonate: An unusual case with non-operative management</t>
        </is>
      </c>
      <c r="J147" s="5" t="inlineStr">
        <is>
          <t>10.1016/j.epsc.2017.06.003</t>
        </is>
      </c>
      <c r="K147" s="7" t="inlineStr">
        <is>
          <t>link</t>
        </is>
      </c>
      <c r="L147" s="5" t="inlineStr"/>
      <c r="M147" s="5" t="inlineStr"/>
      <c r="N147" s="5" t="inlineStr"/>
      <c r="O147" s="5" t="inlineStr"/>
      <c r="P147" s="5" t="inlineStr"/>
      <c r="Q147" s="7" t="inlineStr">
        <is>
          <t>link</t>
        </is>
      </c>
      <c r="R147" s="5" t="inlineStr">
        <is>
          <t>2 English, DOI or PubMed link</t>
        </is>
      </c>
      <c r="S147" s="5" t="inlineStr"/>
      <c r="T147" s="5" t="inlineStr">
        <is>
          <t>WS1507.pdf</t>
        </is>
      </c>
      <c r="U147" s="8" t="n"/>
      <c r="V147" s="8" t="n"/>
      <c r="W147" s="8" t="n"/>
      <c r="X147" s="8" t="n"/>
      <c r="Y147" s="8" t="n"/>
      <c r="Z147" s="8" t="n"/>
      <c r="AA147" s="8" t="n"/>
      <c r="AB147" s="8" t="n"/>
      <c r="AC147" s="8" t="n"/>
      <c r="AD147" s="8" t="n"/>
      <c r="AE147" s="8" t="inlineStr">
        <is>
          <t>yes</t>
        </is>
      </c>
    </row>
    <row r="148">
      <c r="A148" s="5" t="n">
        <v>147</v>
      </c>
      <c r="B148" s="5" t="inlineStr">
        <is>
          <t>WS1512</t>
        </is>
      </c>
      <c r="C148" s="5" t="inlineStr">
        <is>
          <t>2017</t>
        </is>
      </c>
      <c r="D148" s="5" t="inlineStr">
        <is>
          <t>English</t>
        </is>
      </c>
      <c r="E148" s="5" t="inlineStr">
        <is>
          <t>JOUR</t>
        </is>
      </c>
      <c r="F148" s="5" t="inlineStr">
        <is>
          <t>Flippin</t>
        </is>
      </c>
      <c r="G148" s="5" t="inlineStr">
        <is>
          <t>Journal of Pediatric Surgery Case Reports</t>
        </is>
      </c>
      <c r="H148" s="5" t="inlineStr">
        <is>
          <t>18:13-15</t>
        </is>
      </c>
      <c r="I148" s="6" t="inlineStr">
        <is>
          <t>Splenic torsion presenting as splenic vein thrombosis</t>
        </is>
      </c>
      <c r="J148" s="5" t="inlineStr">
        <is>
          <t>10.1016/j.epsc.2016.04.024</t>
        </is>
      </c>
      <c r="K148" s="7" t="inlineStr">
        <is>
          <t>link</t>
        </is>
      </c>
      <c r="L148" s="5" t="inlineStr"/>
      <c r="M148" s="5" t="inlineStr"/>
      <c r="N148" s="5" t="inlineStr"/>
      <c r="O148" s="5" t="inlineStr"/>
      <c r="P148" s="5" t="inlineStr"/>
      <c r="Q148" s="7" t="inlineStr">
        <is>
          <t>link</t>
        </is>
      </c>
      <c r="R148" s="5" t="inlineStr">
        <is>
          <t>2 English, DOI or PubMed link</t>
        </is>
      </c>
      <c r="S148" s="5" t="inlineStr"/>
      <c r="T148" s="5" t="inlineStr">
        <is>
          <t>WS1512.pdf</t>
        </is>
      </c>
      <c r="U148" s="8" t="n"/>
      <c r="V148" s="8" t="n"/>
      <c r="W148" s="8" t="n"/>
      <c r="X148" s="8" t="n"/>
      <c r="Y148" s="8" t="n"/>
      <c r="Z148" s="8" t="n"/>
      <c r="AA148" s="8" t="n"/>
      <c r="AB148" s="8" t="n"/>
      <c r="AC148" s="8" t="n"/>
      <c r="AD148" s="8" t="n"/>
      <c r="AE148" s="8" t="inlineStr">
        <is>
          <t>yes</t>
        </is>
      </c>
    </row>
    <row r="149">
      <c r="A149" s="5" t="n">
        <v>148</v>
      </c>
      <c r="B149" s="5" t="inlineStr">
        <is>
          <t>WS1524</t>
        </is>
      </c>
      <c r="C149" s="5" t="inlineStr">
        <is>
          <t>2017</t>
        </is>
      </c>
      <c r="D149" s="5" t="inlineStr">
        <is>
          <t>English</t>
        </is>
      </c>
      <c r="E149" s="5" t="inlineStr">
        <is>
          <t>CHAP</t>
        </is>
      </c>
      <c r="F149" s="5" t="inlineStr">
        <is>
          <t>Elmalik</t>
        </is>
      </c>
      <c r="G149" s="5" t="inlineStr">
        <is>
          <t>Color Atlas of Pediatric Anatomy, Laparoscopy, and Thoracoscopy</t>
        </is>
      </c>
      <c r="H149" s="5" t="inlineStr">
        <is>
          <t>173-181</t>
        </is>
      </c>
      <c r="I149" s="6" t="inlineStr">
        <is>
          <t>Laparoscopic Splenectomy</t>
        </is>
      </c>
      <c r="J149" s="5" t="inlineStr">
        <is>
          <t>10.1007/978-3-662-53085-6_25</t>
        </is>
      </c>
      <c r="K149" s="7" t="inlineStr">
        <is>
          <t>link</t>
        </is>
      </c>
      <c r="L149" s="5" t="inlineStr"/>
      <c r="M149" s="5" t="inlineStr"/>
      <c r="N149" s="5" t="inlineStr"/>
      <c r="O149" s="5" t="inlineStr"/>
      <c r="P149" s="5" t="inlineStr"/>
      <c r="Q149" s="7" t="inlineStr">
        <is>
          <t>link</t>
        </is>
      </c>
      <c r="R149" s="5" t="inlineStr">
        <is>
          <t>2 English, DOI or PubMed link</t>
        </is>
      </c>
      <c r="S149" s="5" t="inlineStr"/>
      <c r="T149" s="5" t="inlineStr">
        <is>
          <t>WS1524.pdf</t>
        </is>
      </c>
      <c r="U149" s="8" t="n"/>
      <c r="V149" s="8" t="n"/>
      <c r="W149" s="8" t="n"/>
      <c r="X149" s="8" t="n"/>
      <c r="Y149" s="8" t="n"/>
      <c r="Z149" s="8" t="n"/>
      <c r="AA149" s="8" t="n"/>
      <c r="AB149" s="8" t="n"/>
      <c r="AC149" s="8" t="n"/>
      <c r="AD149" s="8" t="n"/>
      <c r="AE149" s="8" t="inlineStr">
        <is>
          <t>yes</t>
        </is>
      </c>
    </row>
    <row r="150">
      <c r="A150" s="5" t="n">
        <v>149</v>
      </c>
      <c r="B150" s="5" t="inlineStr">
        <is>
          <t>WS0357</t>
        </is>
      </c>
      <c r="C150" s="5" t="inlineStr">
        <is>
          <t>2016</t>
        </is>
      </c>
      <c r="D150" s="5" t="inlineStr">
        <is>
          <t>English</t>
        </is>
      </c>
      <c r="E150" s="5" t="inlineStr">
        <is>
          <t>JOUR</t>
        </is>
      </c>
      <c r="F150" s="5" t="inlineStr">
        <is>
          <t>Peretti</t>
        </is>
      </c>
      <c r="G150" s="5" t="inlineStr">
        <is>
          <t>La Pediatria medica e chirurgica : Medical and surgical pediatrics</t>
        </is>
      </c>
      <c r="H150" s="5" t="inlineStr">
        <is>
          <t>38(3):119</t>
        </is>
      </c>
      <c r="I150" s="6" t="inlineStr">
        <is>
          <t>Wandering spleen with a ten-time twisted vascular pedicle.</t>
        </is>
      </c>
      <c r="J150" s="5" t="inlineStr">
        <is>
          <t>10.4081/pmc.2016.119</t>
        </is>
      </c>
      <c r="K150" s="7" t="inlineStr">
        <is>
          <t>link</t>
        </is>
      </c>
      <c r="L150" s="7" t="inlineStr">
        <is>
          <t>link</t>
        </is>
      </c>
      <c r="M150" s="5" t="inlineStr"/>
      <c r="N150" s="5" t="inlineStr"/>
      <c r="O150" s="5" t="inlineStr"/>
      <c r="P150" s="5" t="inlineStr"/>
      <c r="Q150" s="5" t="inlineStr"/>
      <c r="R150" s="5" t="inlineStr">
        <is>
          <t>2 English, DOI or PubMed link</t>
        </is>
      </c>
      <c r="S150" s="5" t="inlineStr"/>
      <c r="T150" s="5" t="inlineStr">
        <is>
          <t>WS0357.pdf</t>
        </is>
      </c>
      <c r="U150" s="8" t="n"/>
      <c r="V150" s="8" t="n"/>
      <c r="W150" s="8" t="n"/>
      <c r="X150" s="8" t="n"/>
      <c r="Y150" s="8" t="n"/>
      <c r="Z150" s="8" t="n"/>
      <c r="AA150" s="8" t="n"/>
      <c r="AB150" s="8" t="n"/>
      <c r="AC150" s="8" t="n"/>
      <c r="AD150" s="8" t="n"/>
      <c r="AE150" s="8" t="inlineStr">
        <is>
          <t>yes</t>
        </is>
      </c>
    </row>
    <row r="151">
      <c r="A151" s="5" t="n">
        <v>150</v>
      </c>
      <c r="B151" s="5" t="inlineStr">
        <is>
          <t>WS0368</t>
        </is>
      </c>
      <c r="C151" s="5" t="inlineStr">
        <is>
          <t>2016</t>
        </is>
      </c>
      <c r="D151" s="5" t="inlineStr">
        <is>
          <t>English</t>
        </is>
      </c>
      <c r="E151" s="5" t="inlineStr">
        <is>
          <t>JOUR</t>
        </is>
      </c>
      <c r="F151" s="5" t="inlineStr">
        <is>
          <t>Radillo</t>
        </is>
      </c>
      <c r="G151" s="5" t="inlineStr">
        <is>
          <t>Pediatric emergency care</t>
        </is>
      </c>
      <c r="H151" s="5" t="inlineStr">
        <is>
          <t>32(9):619-22</t>
        </is>
      </c>
      <c r="I151" s="6" t="inlineStr">
        <is>
          <t>The Great Pretender: Pediatric Wandering Spleen: Two Case Reports and Review of the Literature.</t>
        </is>
      </c>
      <c r="J151" s="5" t="inlineStr">
        <is>
          <t>10.1097/pec.0000000000000642</t>
        </is>
      </c>
      <c r="K151" s="7" t="inlineStr">
        <is>
          <t>link</t>
        </is>
      </c>
      <c r="L151" s="7" t="inlineStr">
        <is>
          <t>link</t>
        </is>
      </c>
      <c r="M151" s="5" t="inlineStr"/>
      <c r="N151" s="5" t="inlineStr"/>
      <c r="O151" s="5" t="inlineStr"/>
      <c r="P151" s="5" t="inlineStr"/>
      <c r="Q151" s="5" t="inlineStr"/>
      <c r="R151" s="5" t="inlineStr">
        <is>
          <t>2 English, DOI or PubMed link</t>
        </is>
      </c>
      <c r="S151" s="5" t="inlineStr"/>
      <c r="T151" s="5" t="inlineStr">
        <is>
          <t>WS0368.pdf</t>
        </is>
      </c>
      <c r="U151" s="8" t="n"/>
      <c r="V151" s="8" t="n"/>
      <c r="W151" s="8" t="n"/>
      <c r="X151" s="8" t="n"/>
      <c r="Y151" s="8" t="n"/>
      <c r="Z151" s="8" t="n"/>
      <c r="AA151" s="8" t="n"/>
      <c r="AB151" s="8" t="n"/>
      <c r="AC151" s="8" t="n"/>
      <c r="AD151" s="8" t="n"/>
      <c r="AE151" s="8" t="inlineStr">
        <is>
          <t>yes</t>
        </is>
      </c>
    </row>
    <row r="152">
      <c r="A152" s="5" t="n">
        <v>151</v>
      </c>
      <c r="B152" s="5" t="inlineStr">
        <is>
          <t>WS0381</t>
        </is>
      </c>
      <c r="C152" s="5" t="inlineStr">
        <is>
          <t>2016</t>
        </is>
      </c>
      <c r="D152" s="5" t="inlineStr">
        <is>
          <t>English</t>
        </is>
      </c>
      <c r="E152" s="5" t="inlineStr">
        <is>
          <t>JOUR</t>
        </is>
      </c>
      <c r="F152" s="5" t="inlineStr">
        <is>
          <t>Ahmadi</t>
        </is>
      </c>
      <c r="G152" s="5" t="inlineStr">
        <is>
          <t>Acta medica Iranica</t>
        </is>
      </c>
      <c r="H152" s="5" t="inlineStr">
        <is>
          <t>54(1):72-5</t>
        </is>
      </c>
      <c r="I152" s="6" t="inlineStr">
        <is>
          <t>A Rare Case of Splenic Torsion with Sigmoid Volvulus in a 14-Year-Old Girl.</t>
        </is>
      </c>
      <c r="J152" s="5" t="inlineStr"/>
      <c r="K152" s="5" t="inlineStr"/>
      <c r="L152" s="7" t="inlineStr">
        <is>
          <t>link</t>
        </is>
      </c>
      <c r="M152" s="5" t="inlineStr"/>
      <c r="N152" s="5" t="inlineStr"/>
      <c r="O152" s="5" t="inlineStr"/>
      <c r="P152" s="5" t="inlineStr"/>
      <c r="Q152" s="5" t="inlineStr"/>
      <c r="R152" s="5" t="inlineStr">
        <is>
          <t>2 English, DOI or PubMed link</t>
        </is>
      </c>
      <c r="S152" s="5" t="inlineStr"/>
      <c r="T152" s="5" t="inlineStr">
        <is>
          <t>WS0381.pdf</t>
        </is>
      </c>
      <c r="U152" s="8" t="n"/>
      <c r="V152" s="8" t="n"/>
      <c r="W152" s="8" t="n"/>
      <c r="X152" s="8" t="n"/>
      <c r="Y152" s="8" t="n"/>
      <c r="Z152" s="8" t="n"/>
      <c r="AA152" s="8" t="n"/>
      <c r="AB152" s="8" t="n"/>
      <c r="AC152" s="8" t="n"/>
      <c r="AD152" s="8" t="n"/>
      <c r="AE152" s="8" t="inlineStr">
        <is>
          <t>yes</t>
        </is>
      </c>
    </row>
    <row r="153">
      <c r="A153" s="5" t="n">
        <v>152</v>
      </c>
      <c r="B153" s="5" t="inlineStr">
        <is>
          <t>WS0392</t>
        </is>
      </c>
      <c r="C153" s="5" t="inlineStr">
        <is>
          <t>2015</t>
        </is>
      </c>
      <c r="D153" s="5" t="inlineStr">
        <is>
          <t>English</t>
        </is>
      </c>
      <c r="E153" s="5" t="inlineStr">
        <is>
          <t>JOUR</t>
        </is>
      </c>
      <c r="F153" s="5" t="inlineStr">
        <is>
          <t>Karaosmanoglu</t>
        </is>
      </c>
      <c r="G153" s="5" t="inlineStr">
        <is>
          <t>Journal of medical ultrasonics (2001)</t>
        </is>
      </c>
      <c r="H153" s="5" t="inlineStr">
        <is>
          <t>42(3):413-6</t>
        </is>
      </c>
      <c r="I153" s="6" t="inlineStr">
        <is>
          <t>Wandering spleen with volvulus of pancreas.</t>
        </is>
      </c>
      <c r="J153" s="5" t="inlineStr">
        <is>
          <t>10.1007/s10396-015-0622-8</t>
        </is>
      </c>
      <c r="K153" s="7" t="inlineStr">
        <is>
          <t>link</t>
        </is>
      </c>
      <c r="L153" s="7" t="inlineStr">
        <is>
          <t>link</t>
        </is>
      </c>
      <c r="M153" s="5" t="inlineStr"/>
      <c r="N153" s="5" t="inlineStr"/>
      <c r="O153" s="5" t="inlineStr"/>
      <c r="P153" s="5" t="inlineStr"/>
      <c r="Q153" s="5" t="inlineStr"/>
      <c r="R153" s="5" t="inlineStr">
        <is>
          <t>2 English, DOI or PubMed link</t>
        </is>
      </c>
      <c r="S153" s="5" t="inlineStr"/>
      <c r="T153" s="5" t="inlineStr">
        <is>
          <t>WS0392.pdf</t>
        </is>
      </c>
      <c r="U153" s="8" t="n"/>
      <c r="V153" s="8" t="n"/>
      <c r="W153" s="8" t="n"/>
      <c r="X153" s="8" t="n"/>
      <c r="Y153" s="8" t="n"/>
      <c r="Z153" s="8" t="n"/>
      <c r="AA153" s="8" t="n"/>
      <c r="AB153" s="8" t="n"/>
      <c r="AC153" s="8" t="n"/>
      <c r="AD153" s="8" t="n"/>
      <c r="AE153" s="8" t="inlineStr">
        <is>
          <t>yes</t>
        </is>
      </c>
    </row>
    <row r="154">
      <c r="A154" s="5" t="n">
        <v>153</v>
      </c>
      <c r="B154" s="5" t="inlineStr">
        <is>
          <t>WS0399</t>
        </is>
      </c>
      <c r="C154" s="5" t="inlineStr">
        <is>
          <t>2015</t>
        </is>
      </c>
      <c r="D154" s="5" t="inlineStr">
        <is>
          <t>English</t>
        </is>
      </c>
      <c r="E154" s="5" t="inlineStr">
        <is>
          <t>JOUR</t>
        </is>
      </c>
      <c r="F154" s="5" t="inlineStr">
        <is>
          <t>Torri</t>
        </is>
      </c>
      <c r="G154" s="5" t="inlineStr">
        <is>
          <t>Asian journal of endoscopic surgery</t>
        </is>
      </c>
      <c r="H154" s="5" t="inlineStr">
        <is>
          <t>8(3):350-3</t>
        </is>
      </c>
      <c r="I154" s="6" t="inlineStr">
        <is>
          <t>Urgent laparoscopic mesh splenopexy for torsion of wandering spleen and distal pancreas: A case report.</t>
        </is>
      </c>
      <c r="J154" s="5" t="inlineStr">
        <is>
          <t>10.1111/ases.12188</t>
        </is>
      </c>
      <c r="K154" s="7" t="inlineStr">
        <is>
          <t>link</t>
        </is>
      </c>
      <c r="L154" s="7" t="inlineStr">
        <is>
          <t>link</t>
        </is>
      </c>
      <c r="M154" s="5" t="inlineStr"/>
      <c r="N154" s="5" t="inlineStr"/>
      <c r="O154" s="5" t="inlineStr"/>
      <c r="P154" s="5" t="inlineStr"/>
      <c r="Q154" s="5" t="inlineStr"/>
      <c r="R154" s="5" t="inlineStr">
        <is>
          <t>2 English, DOI or PubMed link</t>
        </is>
      </c>
      <c r="S154" s="5" t="inlineStr"/>
      <c r="T154" s="5" t="inlineStr">
        <is>
          <t>WS0399.pdf</t>
        </is>
      </c>
      <c r="U154" s="8" t="n"/>
      <c r="V154" s="8" t="n"/>
      <c r="W154" s="8" t="n"/>
      <c r="X154" s="8" t="n"/>
      <c r="Y154" s="8" t="n"/>
      <c r="Z154" s="8" t="n"/>
      <c r="AA154" s="8" t="n"/>
      <c r="AB154" s="8" t="n"/>
      <c r="AC154" s="8" t="n"/>
      <c r="AD154" s="8" t="n"/>
      <c r="AE154" s="8" t="inlineStr">
        <is>
          <t>yes</t>
        </is>
      </c>
    </row>
    <row r="155">
      <c r="A155" s="5" t="n">
        <v>154</v>
      </c>
      <c r="B155" s="5" t="inlineStr">
        <is>
          <t>WS1635</t>
        </is>
      </c>
      <c r="C155" s="5" t="inlineStr">
        <is>
          <t>2015</t>
        </is>
      </c>
      <c r="D155" s="5" t="inlineStr">
        <is>
          <t>English</t>
        </is>
      </c>
      <c r="E155" s="5" t="inlineStr">
        <is>
          <t>CHAP</t>
        </is>
      </c>
      <c r="F155" s="5" t="inlineStr">
        <is>
          <t>Franke</t>
        </is>
      </c>
      <c r="G155" s="5" t="inlineStr">
        <is>
          <t>Doppler Sonography in Infancy and Childhood</t>
        </is>
      </c>
      <c r="H155" s="5" t="inlineStr">
        <is>
          <t>379-414</t>
        </is>
      </c>
      <c r="I155" s="6" t="inlineStr">
        <is>
          <t>Doppler sonography of the spleen</t>
        </is>
      </c>
      <c r="J155" s="5" t="inlineStr">
        <is>
          <t>10.1007/978-3-319-03506-2_7</t>
        </is>
      </c>
      <c r="K155" s="7" t="inlineStr">
        <is>
          <t>link</t>
        </is>
      </c>
      <c r="L155" s="5" t="inlineStr"/>
      <c r="M155" s="5" t="inlineStr"/>
      <c r="N155" s="5" t="inlineStr"/>
      <c r="O155" s="5" t="inlineStr"/>
      <c r="P155" s="5" t="inlineStr"/>
      <c r="Q155" s="7" t="inlineStr">
        <is>
          <t>link</t>
        </is>
      </c>
      <c r="R155" s="5" t="inlineStr">
        <is>
          <t>2 English, DOI or PubMed link</t>
        </is>
      </c>
      <c r="S155" s="5" t="inlineStr"/>
      <c r="T155" s="5" t="inlineStr">
        <is>
          <t>WS1635.pdf</t>
        </is>
      </c>
      <c r="U155" s="8" t="n"/>
      <c r="V155" s="8" t="n"/>
      <c r="W155" s="8" t="n"/>
      <c r="X155" s="8" t="n"/>
      <c r="Y155" s="8" t="n"/>
      <c r="Z155" s="8" t="n"/>
      <c r="AA155" s="8" t="n"/>
      <c r="AB155" s="8" t="n"/>
      <c r="AC155" s="8" t="n"/>
      <c r="AD155" s="8" t="n"/>
      <c r="AE155" s="8" t="inlineStr">
        <is>
          <t>yes</t>
        </is>
      </c>
    </row>
    <row r="156">
      <c r="A156" s="5" t="n">
        <v>155</v>
      </c>
      <c r="B156" s="5" t="inlineStr">
        <is>
          <t>WS0416</t>
        </is>
      </c>
      <c r="C156" s="5" t="inlineStr">
        <is>
          <t>2014</t>
        </is>
      </c>
      <c r="D156" s="5" t="inlineStr">
        <is>
          <t>English</t>
        </is>
      </c>
      <c r="E156" s="5" t="inlineStr">
        <is>
          <t>JOUR</t>
        </is>
      </c>
      <c r="F156" s="5" t="inlineStr">
        <is>
          <t>Riaz ul Haq</t>
        </is>
      </c>
      <c r="G156" s="5" t="inlineStr">
        <is>
          <t>Journal of the College of Physicians and Surgeons--Pakistan : JCPSP</t>
        </is>
      </c>
      <c r="H156" s="5" t="inlineStr">
        <is>
          <t>24 Suppl 3:S245-6</t>
        </is>
      </c>
      <c r="I156" s="6" t="inlineStr">
        <is>
          <t>Torsion of a wandering spleen: an unusual abdominal catastrophe.</t>
        </is>
      </c>
      <c r="J156" s="5" t="inlineStr"/>
      <c r="K156" s="5" t="inlineStr"/>
      <c r="L156" s="7" t="inlineStr">
        <is>
          <t>link</t>
        </is>
      </c>
      <c r="M156" s="5" t="inlineStr"/>
      <c r="N156" s="5" t="inlineStr"/>
      <c r="O156" s="5" t="inlineStr"/>
      <c r="P156" s="5" t="inlineStr"/>
      <c r="Q156" s="5" t="inlineStr"/>
      <c r="R156" s="5" t="inlineStr">
        <is>
          <t>2 English, DOI or PubMed link</t>
        </is>
      </c>
      <c r="S156" s="5" t="inlineStr"/>
      <c r="T156" s="5" t="inlineStr">
        <is>
          <t>WS0416.pdf</t>
        </is>
      </c>
      <c r="U156" s="8" t="n"/>
      <c r="V156" s="8" t="n"/>
      <c r="W156" s="8" t="n"/>
      <c r="X156" s="8" t="n"/>
      <c r="Y156" s="8" t="n"/>
      <c r="Z156" s="8" t="n"/>
      <c r="AA156" s="8" t="n"/>
      <c r="AB156" s="8" t="n"/>
      <c r="AC156" s="8" t="n"/>
      <c r="AD156" s="8" t="n"/>
      <c r="AE156" s="8" t="inlineStr">
        <is>
          <t>yes</t>
        </is>
      </c>
    </row>
    <row r="157">
      <c r="A157" s="5" t="n">
        <v>156</v>
      </c>
      <c r="B157" s="5" t="inlineStr">
        <is>
          <t>WS0424</t>
        </is>
      </c>
      <c r="C157" s="5" t="inlineStr">
        <is>
          <t>2014</t>
        </is>
      </c>
      <c r="D157" s="5" t="inlineStr">
        <is>
          <t>English</t>
        </is>
      </c>
      <c r="E157" s="5" t="inlineStr">
        <is>
          <t>JOUR</t>
        </is>
      </c>
      <c r="F157" s="5" t="inlineStr">
        <is>
          <t>Olasehinde</t>
        </is>
      </c>
      <c r="G157" s="5" t="inlineStr">
        <is>
          <t>African journal of medicine and medical sciences</t>
        </is>
      </c>
      <c r="H157" s="5" t="inlineStr">
        <is>
          <t>43(1):75-8</t>
        </is>
      </c>
      <c r="I157" s="6" t="inlineStr">
        <is>
          <t>Torsion of wandering spleen, an unusual cause of acute abdomen; a report of two cases.</t>
        </is>
      </c>
      <c r="J157" s="5" t="inlineStr"/>
      <c r="K157" s="5" t="inlineStr"/>
      <c r="L157" s="7" t="inlineStr">
        <is>
          <t>link</t>
        </is>
      </c>
      <c r="M157" s="5" t="inlineStr"/>
      <c r="N157" s="5" t="inlineStr"/>
      <c r="O157" s="5" t="inlineStr"/>
      <c r="P157" s="5" t="inlineStr"/>
      <c r="Q157" s="5" t="inlineStr"/>
      <c r="R157" s="5" t="inlineStr">
        <is>
          <t>2 English, DOI or PubMed link</t>
        </is>
      </c>
      <c r="S157" s="5" t="inlineStr"/>
      <c r="T157" s="5" t="inlineStr">
        <is>
          <t>WS0424.pdf</t>
        </is>
      </c>
      <c r="U157" s="8" t="n"/>
      <c r="V157" s="8" t="n"/>
      <c r="W157" s="8" t="n"/>
      <c r="X157" s="8" t="n"/>
      <c r="Y157" s="8" t="n"/>
      <c r="Z157" s="8" t="n"/>
      <c r="AA157" s="8" t="n"/>
      <c r="AB157" s="8" t="n"/>
      <c r="AC157" s="8" t="n"/>
      <c r="AD157" s="8" t="n"/>
      <c r="AE157" s="8" t="inlineStr">
        <is>
          <t>yes</t>
        </is>
      </c>
    </row>
    <row r="158">
      <c r="A158" s="5" t="n">
        <v>157</v>
      </c>
      <c r="B158" s="5" t="inlineStr">
        <is>
          <t>WS0426</t>
        </is>
      </c>
      <c r="C158" s="5" t="inlineStr">
        <is>
          <t>2014</t>
        </is>
      </c>
      <c r="D158" s="5" t="inlineStr">
        <is>
          <t>English</t>
        </is>
      </c>
      <c r="E158" s="5" t="inlineStr">
        <is>
          <t>JOUR</t>
        </is>
      </c>
      <c r="F158" s="5" t="inlineStr">
        <is>
          <t>Kaabar</t>
        </is>
      </c>
      <c r="G158" s="5" t="inlineStr">
        <is>
          <t>La Tunisie medicale</t>
        </is>
      </c>
      <c r="H158" s="5" t="inlineStr">
        <is>
          <t>92(4):275-7</t>
        </is>
      </c>
      <c r="I158" s="6" t="inlineStr">
        <is>
          <t>Torsion of a wandering spleen: a case report.</t>
        </is>
      </c>
      <c r="J158" s="5" t="inlineStr"/>
      <c r="K158" s="5" t="inlineStr"/>
      <c r="L158" s="7" t="inlineStr">
        <is>
          <t>link</t>
        </is>
      </c>
      <c r="M158" s="5" t="inlineStr"/>
      <c r="N158" s="5" t="inlineStr"/>
      <c r="O158" s="5" t="inlineStr"/>
      <c r="P158" s="5" t="inlineStr"/>
      <c r="Q158" s="5" t="inlineStr"/>
      <c r="R158" s="5" t="inlineStr">
        <is>
          <t>2 English, DOI or PubMed link</t>
        </is>
      </c>
      <c r="S158" s="5" t="inlineStr"/>
      <c r="T158" s="5" t="inlineStr">
        <is>
          <t>WS0426.pdf</t>
        </is>
      </c>
      <c r="U158" s="8" t="n"/>
      <c r="V158" s="8" t="n"/>
      <c r="W158" s="8" t="n"/>
      <c r="X158" s="8" t="n"/>
      <c r="Y158" s="8" t="n"/>
      <c r="Z158" s="8" t="n"/>
      <c r="AA158" s="8" t="n"/>
      <c r="AB158" s="8" t="n"/>
      <c r="AC158" s="8" t="n"/>
      <c r="AD158" s="8" t="n"/>
      <c r="AE158" s="8" t="inlineStr">
        <is>
          <t>yes</t>
        </is>
      </c>
    </row>
    <row r="159">
      <c r="A159" s="5" t="n">
        <v>158</v>
      </c>
      <c r="B159" s="5" t="inlineStr">
        <is>
          <t>WS0431</t>
        </is>
      </c>
      <c r="C159" s="5" t="inlineStr">
        <is>
          <t>2014</t>
        </is>
      </c>
      <c r="D159" s="5" t="inlineStr">
        <is>
          <t>English</t>
        </is>
      </c>
      <c r="E159" s="5" t="inlineStr">
        <is>
          <t>JOUR</t>
        </is>
      </c>
      <c r="F159" s="5" t="inlineStr">
        <is>
          <t>Alabousi</t>
        </is>
      </c>
      <c r="G159" s="5" t="inlineStr">
        <is>
          <t>Current problems in diagnostic radiology</t>
        </is>
      </c>
      <c r="H159" s="5" t="inlineStr">
        <is>
          <t>43(5):254-67</t>
        </is>
      </c>
      <c r="I159" s="6" t="inlineStr">
        <is>
          <t>Cross-sectional imaging of nontraumatic emergencies of the spleen.</t>
        </is>
      </c>
      <c r="J159" s="5" t="inlineStr">
        <is>
          <t>10.1067/j.cpradiol.2014.04.002</t>
        </is>
      </c>
      <c r="K159" s="7" t="inlineStr">
        <is>
          <t>link</t>
        </is>
      </c>
      <c r="L159" s="7" t="inlineStr">
        <is>
          <t>link</t>
        </is>
      </c>
      <c r="M159" s="5" t="inlineStr"/>
      <c r="N159" s="5" t="inlineStr"/>
      <c r="O159" s="5" t="inlineStr"/>
      <c r="P159" s="5" t="inlineStr"/>
      <c r="Q159" s="5" t="inlineStr"/>
      <c r="R159" s="5" t="inlineStr">
        <is>
          <t>2 English, DOI or PubMed link</t>
        </is>
      </c>
      <c r="S159" s="5" t="inlineStr"/>
      <c r="T159" s="5" t="inlineStr">
        <is>
          <t>WS0431.pdf</t>
        </is>
      </c>
      <c r="U159" s="8" t="n"/>
      <c r="V159" s="8" t="n"/>
      <c r="W159" s="8" t="n"/>
      <c r="X159" s="8" t="n"/>
      <c r="Y159" s="8" t="n"/>
      <c r="Z159" s="8" t="n"/>
      <c r="AA159" s="8" t="n"/>
      <c r="AB159" s="8" t="n"/>
      <c r="AC159" s="8" t="n"/>
      <c r="AD159" s="8" t="n"/>
      <c r="AE159" s="8" t="inlineStr">
        <is>
          <t>yes</t>
        </is>
      </c>
    </row>
    <row r="160">
      <c r="A160" s="5" t="n">
        <v>159</v>
      </c>
      <c r="B160" s="5" t="inlineStr">
        <is>
          <t>WS0433</t>
        </is>
      </c>
      <c r="C160" s="5" t="inlineStr">
        <is>
          <t>2014</t>
        </is>
      </c>
      <c r="D160" s="5" t="inlineStr">
        <is>
          <t>English</t>
        </is>
      </c>
      <c r="E160" s="5" t="inlineStr">
        <is>
          <t>JOUR</t>
        </is>
      </c>
      <c r="F160" s="5" t="inlineStr">
        <is>
          <t>Llorens Marina</t>
        </is>
      </c>
      <c r="G160" s="5" t="inlineStr">
        <is>
          <t>Boletin de la Asociacion Medica de Puerto Rico</t>
        </is>
      </c>
      <c r="H160" s="5" t="inlineStr">
        <is>
          <t>106(1):57-9</t>
        </is>
      </c>
      <c r="I160" s="6" t="inlineStr">
        <is>
          <t>Wandering spleen torsion causing acute abdominal pain in a child: case report and review of literature.</t>
        </is>
      </c>
      <c r="J160" s="5" t="inlineStr"/>
      <c r="K160" s="5" t="inlineStr"/>
      <c r="L160" s="7" t="inlineStr">
        <is>
          <t>link</t>
        </is>
      </c>
      <c r="M160" s="5" t="inlineStr"/>
      <c r="N160" s="5" t="inlineStr"/>
      <c r="O160" s="5" t="inlineStr"/>
      <c r="P160" s="5" t="inlineStr"/>
      <c r="Q160" s="5" t="inlineStr"/>
      <c r="R160" s="5" t="inlineStr">
        <is>
          <t>2 English, DOI or PubMed link</t>
        </is>
      </c>
      <c r="S160" s="5" t="inlineStr"/>
      <c r="T160" s="5" t="inlineStr">
        <is>
          <t>WS0433.pdf</t>
        </is>
      </c>
      <c r="U160" s="8" t="n"/>
      <c r="V160" s="8" t="n"/>
      <c r="W160" s="8" t="n"/>
      <c r="X160" s="8" t="n"/>
      <c r="Y160" s="8" t="n"/>
      <c r="Z160" s="8" t="n"/>
      <c r="AA160" s="8" t="n"/>
      <c r="AB160" s="8" t="n"/>
      <c r="AC160" s="8" t="n"/>
      <c r="AD160" s="8" t="n"/>
      <c r="AE160" s="8" t="inlineStr">
        <is>
          <t>yes</t>
        </is>
      </c>
    </row>
    <row r="161">
      <c r="A161" s="5" t="n">
        <v>160</v>
      </c>
      <c r="B161" s="5" t="inlineStr">
        <is>
          <t>WS0444</t>
        </is>
      </c>
      <c r="C161" s="5" t="inlineStr">
        <is>
          <t>2014</t>
        </is>
      </c>
      <c r="D161" s="5" t="inlineStr">
        <is>
          <t>English</t>
        </is>
      </c>
      <c r="E161" s="5" t="inlineStr">
        <is>
          <t>JOUR</t>
        </is>
      </c>
      <c r="F161" s="5" t="inlineStr">
        <is>
          <t>Tchidjou</t>
        </is>
      </c>
      <c r="G161" s="5" t="inlineStr">
        <is>
          <t>Blood coagulation &amp; fibrinolysis : an international journal in haemostasis and thrombosis</t>
        </is>
      </c>
      <c r="H161" s="5" t="inlineStr">
        <is>
          <t>25(5):530-3</t>
        </is>
      </c>
      <c r="I161" s="6" t="inlineStr">
        <is>
          <t>Wandering spleen: 'presentation in adolescent with high thrombotic risk'.</t>
        </is>
      </c>
      <c r="J161" s="5" t="inlineStr">
        <is>
          <t>10.1097/mbc.0000000000000081</t>
        </is>
      </c>
      <c r="K161" s="7" t="inlineStr">
        <is>
          <t>link</t>
        </is>
      </c>
      <c r="L161" s="7" t="inlineStr">
        <is>
          <t>link</t>
        </is>
      </c>
      <c r="M161" s="5" t="inlineStr"/>
      <c r="N161" s="5" t="inlineStr"/>
      <c r="O161" s="5" t="inlineStr"/>
      <c r="P161" s="5" t="inlineStr"/>
      <c r="Q161" s="5" t="inlineStr"/>
      <c r="R161" s="5" t="inlineStr">
        <is>
          <t>2 English, DOI or PubMed link</t>
        </is>
      </c>
      <c r="S161" s="5" t="inlineStr">
        <is>
          <t>Y</t>
        </is>
      </c>
      <c r="T161" s="5" t="inlineStr">
        <is>
          <t>WS0444.pdf</t>
        </is>
      </c>
      <c r="U161" s="8" t="n"/>
      <c r="V161" s="8" t="n"/>
      <c r="W161" s="8" t="n"/>
      <c r="X161" s="8" t="n"/>
      <c r="Y161" s="8" t="n"/>
      <c r="Z161" s="8" t="n"/>
      <c r="AA161" s="8" t="n"/>
      <c r="AB161" s="8" t="n"/>
      <c r="AC161" s="8" t="n"/>
      <c r="AD161" s="8" t="n"/>
      <c r="AE161" s="8" t="inlineStr">
        <is>
          <t>yes</t>
        </is>
      </c>
    </row>
    <row r="162">
      <c r="A162" s="5" t="n">
        <v>161</v>
      </c>
      <c r="B162" s="5" t="inlineStr">
        <is>
          <t>WS0449</t>
        </is>
      </c>
      <c r="C162" s="5" t="inlineStr">
        <is>
          <t>2014</t>
        </is>
      </c>
      <c r="D162" s="5" t="inlineStr">
        <is>
          <t>English</t>
        </is>
      </c>
      <c r="E162" s="5" t="inlineStr">
        <is>
          <t>JOUR</t>
        </is>
      </c>
      <c r="F162" s="5" t="inlineStr">
        <is>
          <t>Lombardi</t>
        </is>
      </c>
      <c r="G162" s="5" t="inlineStr">
        <is>
          <t>Pediatric radiology</t>
        </is>
      </c>
      <c r="H162" s="5" t="inlineStr">
        <is>
          <t>44(3):279-88</t>
        </is>
      </c>
      <c r="I162" s="6" t="inlineStr">
        <is>
          <t>Wandering spleen in children: a report of 3 cases and a brief literature review underlining the importance of diagnostic imaging.</t>
        </is>
      </c>
      <c r="J162" s="5" t="inlineStr">
        <is>
          <t>10.1007/s00247-013-2851-6</t>
        </is>
      </c>
      <c r="K162" s="7" t="inlineStr">
        <is>
          <t>link</t>
        </is>
      </c>
      <c r="L162" s="7" t="inlineStr">
        <is>
          <t>link</t>
        </is>
      </c>
      <c r="M162" s="5" t="inlineStr"/>
      <c r="N162" s="5" t="inlineStr"/>
      <c r="O162" s="5" t="inlineStr"/>
      <c r="P162" s="5" t="inlineStr"/>
      <c r="Q162" s="5" t="inlineStr"/>
      <c r="R162" s="5" t="inlineStr">
        <is>
          <t>2 English, DOI or PubMed link</t>
        </is>
      </c>
      <c r="S162" s="5" t="inlineStr"/>
      <c r="T162" s="5" t="inlineStr">
        <is>
          <t>WS0449.pdf</t>
        </is>
      </c>
      <c r="U162" s="8" t="n"/>
      <c r="V162" s="8" t="n"/>
      <c r="W162" s="8" t="n"/>
      <c r="X162" s="8" t="n"/>
      <c r="Y162" s="8" t="n"/>
      <c r="Z162" s="8" t="n"/>
      <c r="AA162" s="8" t="n"/>
      <c r="AB162" s="8" t="n"/>
      <c r="AC162" s="8" t="n"/>
      <c r="AD162" s="8" t="n"/>
      <c r="AE162" s="8" t="inlineStr">
        <is>
          <t>yes</t>
        </is>
      </c>
    </row>
    <row r="163">
      <c r="A163" s="5" t="n">
        <v>162</v>
      </c>
      <c r="B163" s="5" t="inlineStr">
        <is>
          <t>WS0451</t>
        </is>
      </c>
      <c r="C163" s="5" t="inlineStr">
        <is>
          <t>2013</t>
        </is>
      </c>
      <c r="D163" s="5" t="inlineStr">
        <is>
          <t>English</t>
        </is>
      </c>
      <c r="E163" s="5" t="inlineStr">
        <is>
          <t>JOUR</t>
        </is>
      </c>
      <c r="F163" s="5" t="inlineStr">
        <is>
          <t>Cotes</t>
        </is>
      </c>
      <c r="G163" s="5" t="inlineStr">
        <is>
          <t>Pediatric emergency care</t>
        </is>
      </c>
      <c r="H163" s="5" t="inlineStr">
        <is>
          <t>29(9):1009-10</t>
        </is>
      </c>
      <c r="I163" s="6" t="inlineStr">
        <is>
          <t>Left upper quadrant pain: upside down spleen.</t>
        </is>
      </c>
      <c r="J163" s="5" t="inlineStr">
        <is>
          <t>10.1097/pec.0b013e3182a32079</t>
        </is>
      </c>
      <c r="K163" s="7" t="inlineStr">
        <is>
          <t>link</t>
        </is>
      </c>
      <c r="L163" s="7" t="inlineStr">
        <is>
          <t>link</t>
        </is>
      </c>
      <c r="M163" s="5" t="inlineStr"/>
      <c r="N163" s="5" t="inlineStr"/>
      <c r="O163" s="5" t="inlineStr"/>
      <c r="P163" s="5" t="inlineStr"/>
      <c r="Q163" s="5" t="inlineStr"/>
      <c r="R163" s="5" t="inlineStr">
        <is>
          <t>2 English, DOI or PubMed link</t>
        </is>
      </c>
      <c r="S163" s="5" t="inlineStr"/>
      <c r="T163" s="5" t="inlineStr">
        <is>
          <t>WS0451.pdf</t>
        </is>
      </c>
      <c r="U163" s="8" t="n"/>
      <c r="V163" s="8" t="n"/>
      <c r="W163" s="8" t="n"/>
      <c r="X163" s="8" t="n"/>
      <c r="Y163" s="8" t="n"/>
      <c r="Z163" s="8" t="n"/>
      <c r="AA163" s="8" t="n"/>
      <c r="AB163" s="8" t="n"/>
      <c r="AC163" s="8" t="n"/>
      <c r="AD163" s="8" t="n"/>
      <c r="AE163" s="8" t="inlineStr">
        <is>
          <t>yes</t>
        </is>
      </c>
    </row>
    <row r="164">
      <c r="A164" s="5" t="n">
        <v>163</v>
      </c>
      <c r="B164" s="5" t="inlineStr">
        <is>
          <t>WS0461</t>
        </is>
      </c>
      <c r="C164" s="5" t="inlineStr">
        <is>
          <t>2013</t>
        </is>
      </c>
      <c r="D164" s="5" t="inlineStr">
        <is>
          <t>English</t>
        </is>
      </c>
      <c r="E164" s="5" t="inlineStr">
        <is>
          <t>JOUR</t>
        </is>
      </c>
      <c r="F164" s="5" t="inlineStr">
        <is>
          <t>Oegema</t>
        </is>
      </c>
      <c r="G164" s="5" t="inlineStr">
        <is>
          <t>American journal of medical genetics. Part A</t>
        </is>
      </c>
      <c r="H164" s="5" t="inlineStr">
        <is>
          <t>161A(9):2376-84</t>
        </is>
      </c>
      <c r="I164" s="6" t="inlineStr">
        <is>
          <t>Novel no-stop FLNA mutation causes multi-organ involvement in males.</t>
        </is>
      </c>
      <c r="J164" s="5" t="inlineStr">
        <is>
          <t>10.1002/ajmg.a.36109</t>
        </is>
      </c>
      <c r="K164" s="7" t="inlineStr">
        <is>
          <t>link</t>
        </is>
      </c>
      <c r="L164" s="7" t="inlineStr">
        <is>
          <t>link</t>
        </is>
      </c>
      <c r="M164" s="5" t="inlineStr"/>
      <c r="N164" s="5" t="inlineStr"/>
      <c r="O164" s="5" t="inlineStr"/>
      <c r="P164" s="5" t="inlineStr"/>
      <c r="Q164" s="5" t="inlineStr"/>
      <c r="R164" s="5" t="inlineStr">
        <is>
          <t>2 English, DOI or PubMed link</t>
        </is>
      </c>
      <c r="S164" s="5" t="inlineStr"/>
      <c r="T164" s="5" t="inlineStr">
        <is>
          <t>WS0461.pdf</t>
        </is>
      </c>
      <c r="U164" s="8" t="n"/>
      <c r="V164" s="8" t="n"/>
      <c r="W164" s="8" t="n"/>
      <c r="X164" s="8" t="n"/>
      <c r="Y164" s="8" t="n"/>
      <c r="Z164" s="8" t="n"/>
      <c r="AA164" s="8" t="n"/>
      <c r="AB164" s="8" t="n"/>
      <c r="AC164" s="8" t="n"/>
      <c r="AD164" s="8" t="n"/>
      <c r="AE164" s="8" t="inlineStr">
        <is>
          <t>yes</t>
        </is>
      </c>
    </row>
    <row r="165">
      <c r="A165" s="5" t="n">
        <v>164</v>
      </c>
      <c r="B165" s="5" t="inlineStr">
        <is>
          <t>WS0474</t>
        </is>
      </c>
      <c r="C165" s="5" t="inlineStr">
        <is>
          <t>2013</t>
        </is>
      </c>
      <c r="D165" s="5" t="inlineStr">
        <is>
          <t>English</t>
        </is>
      </c>
      <c r="E165" s="5" t="inlineStr">
        <is>
          <t>JOUR</t>
        </is>
      </c>
      <c r="F165" s="5" t="inlineStr">
        <is>
          <t>Mehta</t>
        </is>
      </c>
      <c r="G165" s="5" t="inlineStr">
        <is>
          <t>Journal of pediatric surgery</t>
        </is>
      </c>
      <c r="H165" s="5" t="inlineStr">
        <is>
          <t>48(3):e29-31</t>
        </is>
      </c>
      <c r="I165" s="6" t="inlineStr">
        <is>
          <t>Splenic torsion after congenital diaphragmatic hernia repair: case report and review of the literature.</t>
        </is>
      </c>
      <c r="J165" s="5" t="inlineStr">
        <is>
          <t>10.1016/j.jpedsurg.2013.01.003</t>
        </is>
      </c>
      <c r="K165" s="7" t="inlineStr">
        <is>
          <t>link</t>
        </is>
      </c>
      <c r="L165" s="7" t="inlineStr">
        <is>
          <t>link</t>
        </is>
      </c>
      <c r="M165" s="5" t="inlineStr"/>
      <c r="N165" s="5" t="inlineStr"/>
      <c r="O165" s="5" t="inlineStr"/>
      <c r="P165" s="5" t="inlineStr"/>
      <c r="Q165" s="5" t="inlineStr"/>
      <c r="R165" s="5" t="inlineStr">
        <is>
          <t>2 English, DOI or PubMed link</t>
        </is>
      </c>
      <c r="S165" s="5" t="inlineStr"/>
      <c r="T165" s="5" t="inlineStr">
        <is>
          <t>WS0474.pdf</t>
        </is>
      </c>
      <c r="U165" s="8" t="n"/>
      <c r="V165" s="8" t="n"/>
      <c r="W165" s="8" t="n"/>
      <c r="X165" s="8" t="n"/>
      <c r="Y165" s="8" t="n"/>
      <c r="Z165" s="8" t="n"/>
      <c r="AA165" s="8" t="n"/>
      <c r="AB165" s="8" t="n"/>
      <c r="AC165" s="8" t="n"/>
      <c r="AD165" s="8" t="n"/>
      <c r="AE165" s="8" t="inlineStr">
        <is>
          <t>yes</t>
        </is>
      </c>
    </row>
    <row r="166">
      <c r="A166" s="5" t="n">
        <v>165</v>
      </c>
      <c r="B166" s="5" t="inlineStr">
        <is>
          <t>WS0475</t>
        </is>
      </c>
      <c r="C166" s="5" t="inlineStr">
        <is>
          <t>2013</t>
        </is>
      </c>
      <c r="D166" s="5" t="inlineStr">
        <is>
          <t>English</t>
        </is>
      </c>
      <c r="E166" s="5" t="inlineStr">
        <is>
          <t>JOUR</t>
        </is>
      </c>
      <c r="F166" s="5" t="inlineStr">
        <is>
          <t>Zarroug</t>
        </is>
      </c>
      <c r="G166" s="5" t="inlineStr">
        <is>
          <t>Journal of pediatric surgery</t>
        </is>
      </c>
      <c r="H166" s="5" t="inlineStr">
        <is>
          <t>48(3):e1-4</t>
        </is>
      </c>
      <c r="I166" s="6" t="inlineStr">
        <is>
          <t>Wandering spleen as a cause of mesenteric and portal varices: a new etiology?</t>
        </is>
      </c>
      <c r="J166" s="5" t="inlineStr">
        <is>
          <t>10.1016/j.jpedsurg.2012.12.042</t>
        </is>
      </c>
      <c r="K166" s="7" t="inlineStr">
        <is>
          <t>link</t>
        </is>
      </c>
      <c r="L166" s="7" t="inlineStr">
        <is>
          <t>link</t>
        </is>
      </c>
      <c r="M166" s="5" t="inlineStr"/>
      <c r="N166" s="5" t="inlineStr"/>
      <c r="O166" s="5" t="inlineStr"/>
      <c r="P166" s="5" t="inlineStr"/>
      <c r="Q166" s="5" t="inlineStr"/>
      <c r="R166" s="5" t="inlineStr">
        <is>
          <t>2 English, DOI or PubMed link</t>
        </is>
      </c>
      <c r="S166" s="5" t="inlineStr"/>
      <c r="T166" s="5" t="inlineStr">
        <is>
          <t>WS0475.pdf</t>
        </is>
      </c>
      <c r="U166" s="8" t="n"/>
      <c r="V166" s="8" t="n"/>
      <c r="W166" s="8" t="n"/>
      <c r="X166" s="8" t="n"/>
      <c r="Y166" s="8" t="n"/>
      <c r="Z166" s="8" t="n"/>
      <c r="AA166" s="8" t="n"/>
      <c r="AB166" s="8" t="n"/>
      <c r="AC166" s="8" t="n"/>
      <c r="AD166" s="8" t="n"/>
      <c r="AE166" s="8" t="inlineStr">
        <is>
          <t>yes</t>
        </is>
      </c>
    </row>
    <row r="167">
      <c r="A167" s="5" t="n">
        <v>166</v>
      </c>
      <c r="B167" s="5" t="inlineStr">
        <is>
          <t>WS0498</t>
        </is>
      </c>
      <c r="C167" s="5" t="inlineStr">
        <is>
          <t>2013</t>
        </is>
      </c>
      <c r="D167" s="5" t="inlineStr">
        <is>
          <t>English</t>
        </is>
      </c>
      <c r="E167" s="5" t="inlineStr">
        <is>
          <t>JOUR</t>
        </is>
      </c>
      <c r="F167" s="5" t="inlineStr">
        <is>
          <t>Priyadarshi</t>
        </is>
      </c>
      <c r="G167" s="5" t="inlineStr">
        <is>
          <t>Abdominal imaging</t>
        </is>
      </c>
      <c r="H167" s="5" t="inlineStr">
        <is>
          <t>38(4):835-8</t>
        </is>
      </c>
      <c r="I167" s="6" t="inlineStr">
        <is>
          <t>Torsion in wandering spleen: CT demonstration of whirl sign.</t>
        </is>
      </c>
      <c r="J167" s="5" t="inlineStr">
        <is>
          <t>10.1007/s00261-012-9944-9</t>
        </is>
      </c>
      <c r="K167" s="7" t="inlineStr">
        <is>
          <t>link</t>
        </is>
      </c>
      <c r="L167" s="7" t="inlineStr">
        <is>
          <t>link</t>
        </is>
      </c>
      <c r="M167" s="5" t="inlineStr"/>
      <c r="N167" s="5" t="inlineStr"/>
      <c r="O167" s="5" t="inlineStr"/>
      <c r="P167" s="5" t="inlineStr"/>
      <c r="Q167" s="5" t="inlineStr"/>
      <c r="R167" s="5" t="inlineStr">
        <is>
          <t>2 English, DOI or PubMed link</t>
        </is>
      </c>
      <c r="S167" s="5" t="inlineStr"/>
      <c r="T167" s="5" t="inlineStr">
        <is>
          <t>WS0498.pdf</t>
        </is>
      </c>
      <c r="U167" s="8" t="n"/>
      <c r="V167" s="8" t="n"/>
      <c r="W167" s="8" t="n"/>
      <c r="X167" s="8" t="n"/>
      <c r="Y167" s="8" t="n"/>
      <c r="Z167" s="8" t="n"/>
      <c r="AA167" s="8" t="n"/>
      <c r="AB167" s="8" t="n"/>
      <c r="AC167" s="8" t="n"/>
      <c r="AD167" s="8" t="n"/>
      <c r="AE167" s="8" t="inlineStr">
        <is>
          <t>yes</t>
        </is>
      </c>
    </row>
    <row r="168">
      <c r="A168" s="5" t="n">
        <v>167</v>
      </c>
      <c r="B168" s="5" t="inlineStr">
        <is>
          <t>WS1639</t>
        </is>
      </c>
      <c r="C168" s="5" t="inlineStr">
        <is>
          <t>2013</t>
        </is>
      </c>
      <c r="D168" s="5" t="inlineStr">
        <is>
          <t>English</t>
        </is>
      </c>
      <c r="E168" s="5" t="inlineStr">
        <is>
          <t>JOUR</t>
        </is>
      </c>
      <c r="F168" s="5" t="inlineStr">
        <is>
          <t>Ndour</t>
        </is>
      </c>
      <c r="G168" s="5" t="inlineStr">
        <is>
          <t>Journal of Pediatric Surgery Case Reports</t>
        </is>
      </c>
      <c r="H168" s="5" t="inlineStr">
        <is>
          <t>1(10):337-339</t>
        </is>
      </c>
      <c r="I168" s="6" t="inlineStr">
        <is>
          <t>Acute gastric volvulus and wandering spleen: A rare association</t>
        </is>
      </c>
      <c r="J168" s="5" t="inlineStr">
        <is>
          <t>10.1016/j.epsc.2013.03.019</t>
        </is>
      </c>
      <c r="K168" s="7" t="inlineStr">
        <is>
          <t>link</t>
        </is>
      </c>
      <c r="L168" s="5" t="inlineStr"/>
      <c r="M168" s="5" t="inlineStr"/>
      <c r="N168" s="5" t="inlineStr"/>
      <c r="O168" s="5" t="inlineStr"/>
      <c r="P168" s="5" t="inlineStr"/>
      <c r="Q168" s="7" t="inlineStr">
        <is>
          <t>link</t>
        </is>
      </c>
      <c r="R168" s="5" t="inlineStr">
        <is>
          <t>2 English, DOI or PubMed link</t>
        </is>
      </c>
      <c r="S168" s="5" t="inlineStr"/>
      <c r="T168" s="5" t="inlineStr">
        <is>
          <t>WS1639.pdf</t>
        </is>
      </c>
      <c r="U168" s="8" t="n"/>
      <c r="V168" s="8" t="n"/>
      <c r="W168" s="8" t="n"/>
      <c r="X168" s="8" t="n"/>
      <c r="Y168" s="8" t="n"/>
      <c r="Z168" s="8" t="n"/>
      <c r="AA168" s="8" t="n"/>
      <c r="AB168" s="8" t="n"/>
      <c r="AC168" s="8" t="n"/>
      <c r="AD168" s="8" t="n"/>
      <c r="AE168" s="8" t="inlineStr">
        <is>
          <t>yes</t>
        </is>
      </c>
    </row>
    <row r="169">
      <c r="A169" s="5" t="n">
        <v>168</v>
      </c>
      <c r="B169" s="5" t="inlineStr">
        <is>
          <t>WS1649</t>
        </is>
      </c>
      <c r="C169" s="5" t="inlineStr">
        <is>
          <t>2013</t>
        </is>
      </c>
      <c r="D169" s="5" t="inlineStr">
        <is>
          <t>English</t>
        </is>
      </c>
      <c r="E169" s="5" t="inlineStr">
        <is>
          <t>JOUR</t>
        </is>
      </c>
      <c r="F169" s="5" t="inlineStr">
        <is>
          <t>Samarasinghe</t>
        </is>
      </c>
      <c r="G169" s="5" t="inlineStr">
        <is>
          <t>Journal of Pediatric Surgery Case Reports</t>
        </is>
      </c>
      <c r="H169" s="5" t="inlineStr">
        <is>
          <t>1(6):129-131</t>
        </is>
      </c>
      <c r="I169" s="6" t="inlineStr">
        <is>
          <t>Wandering spleen and splenic torsion associated with upper respiratory tract infection</t>
        </is>
      </c>
      <c r="J169" s="5" t="inlineStr">
        <is>
          <t>10.1016/j.epsc.2013.05.006</t>
        </is>
      </c>
      <c r="K169" s="7" t="inlineStr">
        <is>
          <t>link</t>
        </is>
      </c>
      <c r="L169" s="5" t="inlineStr"/>
      <c r="M169" s="5" t="inlineStr"/>
      <c r="N169" s="5" t="inlineStr"/>
      <c r="O169" s="5" t="inlineStr"/>
      <c r="P169" s="5" t="inlineStr"/>
      <c r="Q169" s="7" t="inlineStr">
        <is>
          <t>link</t>
        </is>
      </c>
      <c r="R169" s="5" t="inlineStr">
        <is>
          <t>2 English, DOI or PubMed link</t>
        </is>
      </c>
      <c r="S169" s="5" t="inlineStr"/>
      <c r="T169" s="5" t="inlineStr">
        <is>
          <t>WS1649.pdf</t>
        </is>
      </c>
      <c r="U169" s="8" t="n"/>
      <c r="V169" s="8" t="n"/>
      <c r="W169" s="8" t="n"/>
      <c r="X169" s="8" t="n"/>
      <c r="Y169" s="8" t="n"/>
      <c r="Z169" s="8" t="n"/>
      <c r="AA169" s="8" t="n"/>
      <c r="AB169" s="8" t="n"/>
      <c r="AC169" s="8" t="n"/>
      <c r="AD169" s="8" t="n"/>
      <c r="AE169" s="8" t="inlineStr">
        <is>
          <t>yes</t>
        </is>
      </c>
    </row>
    <row r="170">
      <c r="A170" s="5" t="n">
        <v>169</v>
      </c>
      <c r="B170" s="5" t="inlineStr">
        <is>
          <t>WS1681</t>
        </is>
      </c>
      <c r="C170" s="5" t="inlineStr">
        <is>
          <t>2013</t>
        </is>
      </c>
      <c r="D170" s="5" t="inlineStr">
        <is>
          <t>English</t>
        </is>
      </c>
      <c r="E170" s="5" t="inlineStr">
        <is>
          <t>JOUR</t>
        </is>
      </c>
      <c r="F170" s="5" t="inlineStr">
        <is>
          <t>Jones</t>
        </is>
      </c>
      <c r="G170" s="5" t="inlineStr">
        <is>
          <t>Journal of Diagnostic Medical Sonography</t>
        </is>
      </c>
      <c r="H170" s="5" t="inlineStr">
        <is>
          <t>29(3):130-132</t>
        </is>
      </c>
      <c r="I170" s="6" t="inlineStr">
        <is>
          <t>The case of the wandering spleen</t>
        </is>
      </c>
      <c r="J170" s="5" t="inlineStr">
        <is>
          <t>10.1177/8756479312472392</t>
        </is>
      </c>
      <c r="K170" s="7" t="inlineStr">
        <is>
          <t>link</t>
        </is>
      </c>
      <c r="L170" s="5" t="inlineStr"/>
      <c r="M170" s="5" t="inlineStr"/>
      <c r="N170" s="5" t="inlineStr"/>
      <c r="O170" s="5" t="inlineStr"/>
      <c r="P170" s="5" t="inlineStr"/>
      <c r="Q170" s="7" t="inlineStr">
        <is>
          <t>link</t>
        </is>
      </c>
      <c r="R170" s="5" t="inlineStr">
        <is>
          <t>2 English, DOI or PubMed link</t>
        </is>
      </c>
      <c r="S170" s="5" t="inlineStr"/>
      <c r="T170" s="5" t="inlineStr">
        <is>
          <t>WS1681.pdf</t>
        </is>
      </c>
      <c r="U170" s="8" t="n"/>
      <c r="V170" s="8" t="n"/>
      <c r="W170" s="8" t="n"/>
      <c r="X170" s="8" t="n"/>
      <c r="Y170" s="8" t="n"/>
      <c r="Z170" s="8" t="n"/>
      <c r="AA170" s="8" t="n"/>
      <c r="AB170" s="8" t="n"/>
      <c r="AC170" s="8" t="n"/>
      <c r="AD170" s="8" t="n"/>
      <c r="AE170" s="8" t="inlineStr">
        <is>
          <t>yes</t>
        </is>
      </c>
    </row>
    <row r="171">
      <c r="A171" s="5" t="n">
        <v>170</v>
      </c>
      <c r="B171" s="5" t="inlineStr">
        <is>
          <t>WS1702</t>
        </is>
      </c>
      <c r="C171" s="5" t="inlineStr">
        <is>
          <t>2013</t>
        </is>
      </c>
      <c r="D171" s="5" t="inlineStr">
        <is>
          <t>English</t>
        </is>
      </c>
      <c r="E171" s="5" t="inlineStr">
        <is>
          <t>CHAP</t>
        </is>
      </c>
      <c r="F171" s="5" t="inlineStr">
        <is>
          <t>Lisciandro</t>
        </is>
      </c>
      <c r="G171" s="5" t="inlineStr">
        <is>
          <t>Focused Ultrasound Techniques for the Small Animal Practitioner</t>
        </is>
      </c>
      <c r="H171" s="5" t="inlineStr">
        <is>
          <t>65-79</t>
        </is>
      </c>
      <c r="I171" s="6" t="inlineStr">
        <is>
          <t>Focused or coast3-spleen</t>
        </is>
      </c>
      <c r="J171" s="5" t="inlineStr">
        <is>
          <t>10.1002/9781118760772.ch4</t>
        </is>
      </c>
      <c r="K171" s="7" t="inlineStr">
        <is>
          <t>link</t>
        </is>
      </c>
      <c r="L171" s="5" t="inlineStr"/>
      <c r="M171" s="5" t="inlineStr"/>
      <c r="N171" s="5" t="inlineStr"/>
      <c r="O171" s="5" t="inlineStr"/>
      <c r="P171" s="5" t="inlineStr"/>
      <c r="Q171" s="7" t="inlineStr">
        <is>
          <t>link</t>
        </is>
      </c>
      <c r="R171" s="5" t="inlineStr">
        <is>
          <t>2 English, DOI or PubMed link</t>
        </is>
      </c>
      <c r="S171" s="5" t="inlineStr"/>
      <c r="T171" s="5" t="inlineStr">
        <is>
          <t>WS1702.pdf</t>
        </is>
      </c>
      <c r="U171" s="8" t="n"/>
      <c r="V171" s="8" t="n"/>
      <c r="W171" s="8" t="n"/>
      <c r="X171" s="8" t="n"/>
      <c r="Y171" s="8" t="n"/>
      <c r="Z171" s="8" t="n"/>
      <c r="AA171" s="8" t="n"/>
      <c r="AB171" s="8" t="n"/>
      <c r="AC171" s="8" t="n"/>
      <c r="AD171" s="8" t="n"/>
      <c r="AE171" s="8" t="inlineStr">
        <is>
          <t>yes</t>
        </is>
      </c>
    </row>
    <row r="172">
      <c r="A172" s="5" t="n">
        <v>171</v>
      </c>
      <c r="B172" s="5" t="inlineStr">
        <is>
          <t>WS0488</t>
        </is>
      </c>
      <c r="C172" s="5" t="inlineStr">
        <is>
          <t>2012</t>
        </is>
      </c>
      <c r="D172" s="5" t="inlineStr">
        <is>
          <t>English</t>
        </is>
      </c>
      <c r="E172" s="5" t="inlineStr">
        <is>
          <t>JOUR</t>
        </is>
      </c>
      <c r="F172" s="5" t="inlineStr">
        <is>
          <t>Tanaka</t>
        </is>
      </c>
      <c r="G172" s="5" t="inlineStr">
        <is>
          <t>Cellular immunology</t>
        </is>
      </c>
      <c r="H172" s="5" t="inlineStr">
        <is>
          <t>279(2):145-50</t>
        </is>
      </c>
      <c r="I172" s="6" t="inlineStr">
        <is>
          <t>Characterization of PrP(Sc) transmission from immune cells to neuronal cells.</t>
        </is>
      </c>
      <c r="J172" s="5" t="inlineStr">
        <is>
          <t>10.1016/j.cellimm.2012.11.007</t>
        </is>
      </c>
      <c r="K172" s="7" t="inlineStr">
        <is>
          <t>link</t>
        </is>
      </c>
      <c r="L172" s="7" t="inlineStr">
        <is>
          <t>link</t>
        </is>
      </c>
      <c r="M172" s="5" t="inlineStr"/>
      <c r="N172" s="5" t="inlineStr"/>
      <c r="O172" s="5" t="inlineStr"/>
      <c r="P172" s="5" t="inlineStr"/>
      <c r="Q172" s="5" t="inlineStr"/>
      <c r="R172" s="5" t="inlineStr">
        <is>
          <t>2 English, DOI or PubMed link</t>
        </is>
      </c>
      <c r="S172" s="5" t="inlineStr"/>
      <c r="T172" s="5" t="inlineStr">
        <is>
          <t>WS0488.pdf</t>
        </is>
      </c>
      <c r="U172" s="8" t="n"/>
      <c r="V172" s="8" t="n"/>
      <c r="W172" s="8" t="n"/>
      <c r="X172" s="8" t="n"/>
      <c r="Y172" s="8" t="n"/>
      <c r="Z172" s="8" t="n"/>
      <c r="AA172" s="8" t="n"/>
      <c r="AB172" s="8" t="n"/>
      <c r="AC172" s="8" t="n"/>
      <c r="AD172" s="8" t="n"/>
      <c r="AE172" s="8" t="inlineStr">
        <is>
          <t>yes</t>
        </is>
      </c>
    </row>
    <row r="173">
      <c r="A173" s="5" t="n">
        <v>172</v>
      </c>
      <c r="B173" s="5" t="inlineStr">
        <is>
          <t>WS0493</t>
        </is>
      </c>
      <c r="C173" s="5" t="inlineStr">
        <is>
          <t>2012</t>
        </is>
      </c>
      <c r="D173" s="5" t="inlineStr">
        <is>
          <t>English</t>
        </is>
      </c>
      <c r="E173" s="5" t="inlineStr">
        <is>
          <t>JOUR</t>
        </is>
      </c>
      <c r="F173" s="5" t="inlineStr">
        <is>
          <t>Cecchetto</t>
        </is>
      </c>
      <c r="G173" s="5" t="inlineStr">
        <is>
          <t>La Pediatria medica e chirurgica : Medical and surgical pediatrics</t>
        </is>
      </c>
      <c r="H173" s="5" t="inlineStr">
        <is>
          <t>34(3):146-7</t>
        </is>
      </c>
      <c r="I173" s="6" t="inlineStr">
        <is>
          <t>Acute splenic torsion in children: which is the best treatment? A case report.</t>
        </is>
      </c>
      <c r="J173" s="5" t="inlineStr">
        <is>
          <t>10.4081/pmc.2012.81</t>
        </is>
      </c>
      <c r="K173" s="7" t="inlineStr">
        <is>
          <t>link</t>
        </is>
      </c>
      <c r="L173" s="7" t="inlineStr">
        <is>
          <t>link</t>
        </is>
      </c>
      <c r="M173" s="5" t="inlineStr"/>
      <c r="N173" s="5" t="inlineStr"/>
      <c r="O173" s="5" t="inlineStr"/>
      <c r="P173" s="5" t="inlineStr"/>
      <c r="Q173" s="5" t="inlineStr"/>
      <c r="R173" s="5" t="inlineStr">
        <is>
          <t>2 English, DOI or PubMed link</t>
        </is>
      </c>
      <c r="S173" s="5" t="inlineStr"/>
      <c r="T173" s="5" t="inlineStr">
        <is>
          <t>WS0493.pdf</t>
        </is>
      </c>
      <c r="U173" s="8" t="n"/>
      <c r="V173" s="8" t="n"/>
      <c r="W173" s="8" t="n"/>
      <c r="X173" s="8" t="n"/>
      <c r="Y173" s="8" t="n"/>
      <c r="Z173" s="8" t="n"/>
      <c r="AA173" s="8" t="n"/>
      <c r="AB173" s="8" t="n"/>
      <c r="AC173" s="8" t="n"/>
      <c r="AD173" s="8" t="n"/>
      <c r="AE173" s="8" t="inlineStr">
        <is>
          <t>yes</t>
        </is>
      </c>
    </row>
    <row r="174">
      <c r="A174" s="5" t="n">
        <v>173</v>
      </c>
      <c r="B174" s="5" t="inlineStr">
        <is>
          <t>WS0514</t>
        </is>
      </c>
      <c r="C174" s="5" t="inlineStr">
        <is>
          <t>2012</t>
        </is>
      </c>
      <c r="D174" s="5" t="inlineStr">
        <is>
          <t>English</t>
        </is>
      </c>
      <c r="E174" s="5" t="inlineStr">
        <is>
          <t>JOUR</t>
        </is>
      </c>
      <c r="F174" s="5" t="inlineStr">
        <is>
          <t>Ayaz</t>
        </is>
      </c>
      <c r="G174" s="5" t="inlineStr">
        <is>
          <t>Medical ultrasonography</t>
        </is>
      </c>
      <c r="H174" s="5" t="inlineStr">
        <is>
          <t>14(1):64-6</t>
        </is>
      </c>
      <c r="I174" s="6" t="inlineStr">
        <is>
          <t>Wandering spleen in a child with symptoms of acute abdomen: ultrasonographic diagnosis. Case report.</t>
        </is>
      </c>
      <c r="J174" s="5" t="inlineStr"/>
      <c r="K174" s="5" t="inlineStr"/>
      <c r="L174" s="7" t="inlineStr">
        <is>
          <t>link</t>
        </is>
      </c>
      <c r="M174" s="5" t="inlineStr"/>
      <c r="N174" s="5" t="inlineStr"/>
      <c r="O174" s="5" t="inlineStr"/>
      <c r="P174" s="5" t="inlineStr"/>
      <c r="Q174" s="5" t="inlineStr"/>
      <c r="R174" s="5" t="inlineStr">
        <is>
          <t>2 English, DOI or PubMed link</t>
        </is>
      </c>
      <c r="S174" s="5" t="inlineStr"/>
      <c r="T174" s="5" t="inlineStr">
        <is>
          <t>WS0514.pdf</t>
        </is>
      </c>
      <c r="U174" s="8" t="n"/>
      <c r="V174" s="8" t="n"/>
      <c r="W174" s="8" t="n"/>
      <c r="X174" s="8" t="n"/>
      <c r="Y174" s="8" t="n"/>
      <c r="Z174" s="8" t="n"/>
      <c r="AA174" s="8" t="n"/>
      <c r="AB174" s="8" t="n"/>
      <c r="AC174" s="8" t="n"/>
      <c r="AD174" s="8" t="n"/>
      <c r="AE174" s="8" t="inlineStr">
        <is>
          <t>yes</t>
        </is>
      </c>
    </row>
    <row r="175">
      <c r="A175" s="5" t="n">
        <v>174</v>
      </c>
      <c r="B175" s="5" t="inlineStr">
        <is>
          <t>WS0517</t>
        </is>
      </c>
      <c r="C175" s="5" t="inlineStr">
        <is>
          <t>2012</t>
        </is>
      </c>
      <c r="D175" s="5" t="inlineStr">
        <is>
          <t>English</t>
        </is>
      </c>
      <c r="E175" s="5" t="inlineStr">
        <is>
          <t>JOUR</t>
        </is>
      </c>
      <c r="F175" s="5" t="inlineStr">
        <is>
          <t>Chen</t>
        </is>
      </c>
      <c r="G175" s="5" t="inlineStr">
        <is>
          <t>Journal of ultrasound in medicine : official journal of the American Institute of Ultrasound in Medicine</t>
        </is>
      </c>
      <c r="H175" s="5" t="inlineStr">
        <is>
          <t>31(3):483-7</t>
        </is>
      </c>
      <c r="I175" s="6" t="inlineStr">
        <is>
          <t>Sonographic diagnosis of a subclinical wandering spleen: role of the decubitus position.</t>
        </is>
      </c>
      <c r="J175" s="5" t="inlineStr">
        <is>
          <t>10.7863/jum.2012.31.3.483</t>
        </is>
      </c>
      <c r="K175" s="7" t="inlineStr">
        <is>
          <t>link</t>
        </is>
      </c>
      <c r="L175" s="7" t="inlineStr">
        <is>
          <t>link</t>
        </is>
      </c>
      <c r="M175" s="5" t="inlineStr"/>
      <c r="N175" s="5" t="inlineStr"/>
      <c r="O175" s="5" t="inlineStr"/>
      <c r="P175" s="5" t="inlineStr"/>
      <c r="Q175" s="5" t="inlineStr"/>
      <c r="R175" s="5" t="inlineStr">
        <is>
          <t>2 English, DOI or PubMed link</t>
        </is>
      </c>
      <c r="S175" s="5" t="inlineStr"/>
      <c r="T175" s="5" t="inlineStr">
        <is>
          <t>WS0517.pdf</t>
        </is>
      </c>
      <c r="U175" s="8" t="n"/>
      <c r="V175" s="8" t="n"/>
      <c r="W175" s="8" t="n"/>
      <c r="X175" s="8" t="n"/>
      <c r="Y175" s="8" t="n"/>
      <c r="Z175" s="8" t="n"/>
      <c r="AA175" s="8" t="n"/>
      <c r="AB175" s="8" t="n"/>
      <c r="AC175" s="8" t="n"/>
      <c r="AD175" s="8" t="n"/>
      <c r="AE175" s="8" t="inlineStr">
        <is>
          <t>yes</t>
        </is>
      </c>
    </row>
    <row r="176">
      <c r="A176" s="5" t="n">
        <v>175</v>
      </c>
      <c r="B176" s="5" t="inlineStr">
        <is>
          <t>WS0527</t>
        </is>
      </c>
      <c r="C176" s="5" t="inlineStr">
        <is>
          <t>2011</t>
        </is>
      </c>
      <c r="D176" s="5" t="inlineStr">
        <is>
          <t>English</t>
        </is>
      </c>
      <c r="E176" s="5" t="inlineStr">
        <is>
          <t>JOUR</t>
        </is>
      </c>
      <c r="F176" s="5" t="inlineStr">
        <is>
          <t>Garrett</t>
        </is>
      </c>
      <c r="G176" s="5" t="inlineStr">
        <is>
          <t>Journal of laparoendoscopic &amp; advanced surgical techniques. Part A</t>
        </is>
      </c>
      <c r="H176" s="5" t="inlineStr">
        <is>
          <t>21(10):965-7</t>
        </is>
      </c>
      <c r="I176" s="6" t="inlineStr">
        <is>
          <t>Single-incision laparoscopic approach to management of splenic pathology in children: an early experience.</t>
        </is>
      </c>
      <c r="J176" s="5" t="inlineStr">
        <is>
          <t>10.1089/lap.2011.0148</t>
        </is>
      </c>
      <c r="K176" s="7" t="inlineStr">
        <is>
          <t>link</t>
        </is>
      </c>
      <c r="L176" s="7" t="inlineStr">
        <is>
          <t>link</t>
        </is>
      </c>
      <c r="M176" s="5" t="inlineStr"/>
      <c r="N176" s="5" t="inlineStr"/>
      <c r="O176" s="5" t="inlineStr"/>
      <c r="P176" s="5" t="inlineStr"/>
      <c r="Q176" s="5" t="inlineStr"/>
      <c r="R176" s="5" t="inlineStr">
        <is>
          <t>2 English, DOI or PubMed link</t>
        </is>
      </c>
      <c r="S176" s="5" t="inlineStr"/>
      <c r="T176" s="5" t="inlineStr">
        <is>
          <t>WS0527.pdf</t>
        </is>
      </c>
      <c r="U176" s="8" t="n"/>
      <c r="V176" s="8" t="n"/>
      <c r="W176" s="8" t="n"/>
      <c r="X176" s="8" t="n"/>
      <c r="Y176" s="8" t="n"/>
      <c r="Z176" s="8" t="n"/>
      <c r="AA176" s="8" t="n"/>
      <c r="AB176" s="8" t="n"/>
      <c r="AC176" s="8" t="n"/>
      <c r="AD176" s="8" t="n"/>
      <c r="AE176" s="8" t="inlineStr">
        <is>
          <t>yes</t>
        </is>
      </c>
    </row>
    <row r="177">
      <c r="A177" s="5" t="n">
        <v>176</v>
      </c>
      <c r="B177" s="5" t="inlineStr">
        <is>
          <t>WS0529</t>
        </is>
      </c>
      <c r="C177" s="5" t="inlineStr">
        <is>
          <t>2011</t>
        </is>
      </c>
      <c r="D177" s="5" t="inlineStr">
        <is>
          <t>English</t>
        </is>
      </c>
      <c r="E177" s="5" t="inlineStr">
        <is>
          <t>JOUR</t>
        </is>
      </c>
      <c r="F177" s="5" t="inlineStr">
        <is>
          <t>Chu</t>
        </is>
      </c>
      <c r="G177" s="5" t="inlineStr">
        <is>
          <t>Acta radiologica (Stockholm, Sweden : 1987)</t>
        </is>
      </c>
      <c r="H177" s="5" t="inlineStr">
        <is>
          <t>52(8):911-3</t>
        </is>
      </c>
      <c r="I177" s="6" t="inlineStr">
        <is>
          <t>Wandering spleen with torsion and complete infarction.</t>
        </is>
      </c>
      <c r="J177" s="5" t="inlineStr">
        <is>
          <t>10.1258/ar.2011.100504</t>
        </is>
      </c>
      <c r="K177" s="7" t="inlineStr">
        <is>
          <t>link</t>
        </is>
      </c>
      <c r="L177" s="7" t="inlineStr">
        <is>
          <t>link</t>
        </is>
      </c>
      <c r="M177" s="5" t="inlineStr"/>
      <c r="N177" s="5" t="inlineStr"/>
      <c r="O177" s="5" t="inlineStr"/>
      <c r="P177" s="5" t="inlineStr"/>
      <c r="Q177" s="5" t="inlineStr"/>
      <c r="R177" s="5" t="inlineStr">
        <is>
          <t>2 English, DOI or PubMed link</t>
        </is>
      </c>
      <c r="S177" s="5" t="inlineStr"/>
      <c r="T177" s="5" t="inlineStr">
        <is>
          <t>WS0529.pdf</t>
        </is>
      </c>
      <c r="U177" s="8" t="n"/>
      <c r="V177" s="8" t="n"/>
      <c r="W177" s="8" t="n"/>
      <c r="X177" s="8" t="n"/>
      <c r="Y177" s="8" t="n"/>
      <c r="Z177" s="8" t="n"/>
      <c r="AA177" s="8" t="n"/>
      <c r="AB177" s="8" t="n"/>
      <c r="AC177" s="8" t="n"/>
      <c r="AD177" s="8" t="n"/>
      <c r="AE177" s="8" t="inlineStr">
        <is>
          <t>yes</t>
        </is>
      </c>
    </row>
    <row r="178">
      <c r="A178" s="5" t="n">
        <v>177</v>
      </c>
      <c r="B178" s="5" t="inlineStr">
        <is>
          <t>WS0537</t>
        </is>
      </c>
      <c r="C178" s="5" t="inlineStr">
        <is>
          <t>2011</t>
        </is>
      </c>
      <c r="D178" s="5" t="inlineStr">
        <is>
          <t>English</t>
        </is>
      </c>
      <c r="E178" s="5" t="inlineStr">
        <is>
          <t>JOUR</t>
        </is>
      </c>
      <c r="F178" s="5" t="inlineStr">
        <is>
          <t>Magno</t>
        </is>
      </c>
      <c r="G178" s="5" t="inlineStr">
        <is>
          <t>Journal of laparoendoscopic &amp; advanced surgical techniques. Part A</t>
        </is>
      </c>
      <c r="H178" s="5" t="inlineStr">
        <is>
          <t>21(5):467-70</t>
        </is>
      </c>
      <c r="I178" s="6" t="inlineStr">
        <is>
          <t>An unusual case of acute pancreatitis and gastric outlet obstruction associated with wandering spleen treated by laparoscopic splenopexy.</t>
        </is>
      </c>
      <c r="J178" s="5" t="inlineStr">
        <is>
          <t>10.1089/lap.2010.0417</t>
        </is>
      </c>
      <c r="K178" s="7" t="inlineStr">
        <is>
          <t>link</t>
        </is>
      </c>
      <c r="L178" s="7" t="inlineStr">
        <is>
          <t>link</t>
        </is>
      </c>
      <c r="M178" s="5" t="inlineStr"/>
      <c r="N178" s="5" t="inlineStr"/>
      <c r="O178" s="5" t="inlineStr"/>
      <c r="P178" s="5" t="inlineStr"/>
      <c r="Q178" s="5" t="inlineStr"/>
      <c r="R178" s="5" t="inlineStr">
        <is>
          <t>2 English, DOI or PubMed link</t>
        </is>
      </c>
      <c r="S178" s="5" t="inlineStr"/>
      <c r="T178" s="5" t="inlineStr">
        <is>
          <t>WS0537.pdf</t>
        </is>
      </c>
      <c r="U178" s="8" t="n"/>
      <c r="V178" s="8" t="n"/>
      <c r="W178" s="8" t="n"/>
      <c r="X178" s="8" t="n"/>
      <c r="Y178" s="8" t="n"/>
      <c r="Z178" s="8" t="n"/>
      <c r="AA178" s="8" t="n"/>
      <c r="AB178" s="8" t="n"/>
      <c r="AC178" s="8" t="n"/>
      <c r="AD178" s="8" t="n"/>
      <c r="AE178" s="8" t="inlineStr">
        <is>
          <t>yes</t>
        </is>
      </c>
    </row>
    <row r="179">
      <c r="A179" s="5" t="n">
        <v>178</v>
      </c>
      <c r="B179" s="5" t="inlineStr">
        <is>
          <t>WS1669</t>
        </is>
      </c>
      <c r="C179" s="5" t="inlineStr">
        <is>
          <t>2011</t>
        </is>
      </c>
      <c r="D179" s="5" t="inlineStr">
        <is>
          <t>English</t>
        </is>
      </c>
      <c r="E179" s="5" t="inlineStr">
        <is>
          <t>CHAP</t>
        </is>
      </c>
      <c r="F179" s="5" t="inlineStr">
        <is>
          <t>De Bree</t>
        </is>
      </c>
      <c r="G179" s="5" t="inlineStr">
        <is>
          <t>The Spleen</t>
        </is>
      </c>
      <c r="H179" s="5" t="inlineStr">
        <is>
          <t>153-178</t>
        </is>
      </c>
      <c r="I179" s="6" t="inlineStr">
        <is>
          <t>Benign vascular, cystic and solid diseases of the spleen</t>
        </is>
      </c>
      <c r="J179" s="5" t="inlineStr">
        <is>
          <t>10.2174/978160805273811101010153</t>
        </is>
      </c>
      <c r="K179" s="7" t="inlineStr">
        <is>
          <t>link</t>
        </is>
      </c>
      <c r="L179" s="5" t="inlineStr"/>
      <c r="M179" s="5" t="inlineStr"/>
      <c r="N179" s="5" t="inlineStr"/>
      <c r="O179" s="5" t="inlineStr"/>
      <c r="P179" s="5" t="inlineStr"/>
      <c r="Q179" s="7" t="inlineStr">
        <is>
          <t>link</t>
        </is>
      </c>
      <c r="R179" s="5" t="inlineStr">
        <is>
          <t>2 English, DOI or PubMed link</t>
        </is>
      </c>
      <c r="S179" s="5" t="inlineStr"/>
      <c r="T179" s="5" t="inlineStr">
        <is>
          <t>WS1669.pdf</t>
        </is>
      </c>
      <c r="U179" s="8" t="n"/>
      <c r="V179" s="8" t="n"/>
      <c r="W179" s="8" t="n"/>
      <c r="X179" s="8" t="n"/>
      <c r="Y179" s="8" t="n"/>
      <c r="Z179" s="8" t="n"/>
      <c r="AA179" s="8" t="n"/>
      <c r="AB179" s="8" t="n"/>
      <c r="AC179" s="8" t="n"/>
      <c r="AD179" s="8" t="n"/>
      <c r="AE179" s="8" t="inlineStr">
        <is>
          <t>yes</t>
        </is>
      </c>
    </row>
    <row r="180">
      <c r="A180" s="5" t="n">
        <v>179</v>
      </c>
      <c r="B180" s="5" t="inlineStr">
        <is>
          <t>WS0542</t>
        </is>
      </c>
      <c r="C180" s="5" t="inlineStr">
        <is>
          <t>2010</t>
        </is>
      </c>
      <c r="D180" s="5" t="inlineStr">
        <is>
          <t>English</t>
        </is>
      </c>
      <c r="E180" s="5" t="inlineStr">
        <is>
          <t>JOUR</t>
        </is>
      </c>
      <c r="F180" s="5" t="inlineStr">
        <is>
          <t>Montenovo</t>
        </is>
      </c>
      <c r="G180" s="5" t="inlineStr">
        <is>
          <t>Surgical laparoscopy, endoscopy &amp; percutaneous techniques</t>
        </is>
      </c>
      <c r="H180" s="5" t="inlineStr">
        <is>
          <t>20(5):e182-4</t>
        </is>
      </c>
      <c r="I180" s="6" t="inlineStr">
        <is>
          <t>Laparoscopic splenopexy for wandering spleen: case report and review of the literature.</t>
        </is>
      </c>
      <c r="J180" s="5" t="inlineStr">
        <is>
          <t>10.1097/sle.0b013e3181f69ce2</t>
        </is>
      </c>
      <c r="K180" s="7" t="inlineStr">
        <is>
          <t>link</t>
        </is>
      </c>
      <c r="L180" s="7" t="inlineStr">
        <is>
          <t>link</t>
        </is>
      </c>
      <c r="M180" s="5" t="inlineStr"/>
      <c r="N180" s="5" t="inlineStr"/>
      <c r="O180" s="5" t="inlineStr"/>
      <c r="P180" s="5" t="inlineStr"/>
      <c r="Q180" s="5" t="inlineStr"/>
      <c r="R180" s="5" t="inlineStr">
        <is>
          <t>2 English, DOI or PubMed link</t>
        </is>
      </c>
      <c r="S180" s="5" t="inlineStr"/>
      <c r="T180" s="5" t="inlineStr">
        <is>
          <t>WS0542.pdf</t>
        </is>
      </c>
      <c r="U180" s="8" t="n"/>
      <c r="V180" s="8" t="n"/>
      <c r="W180" s="8" t="n"/>
      <c r="X180" s="8" t="n"/>
      <c r="Y180" s="8" t="n"/>
      <c r="Z180" s="8" t="n"/>
      <c r="AA180" s="8" t="n"/>
      <c r="AB180" s="8" t="n"/>
      <c r="AC180" s="8" t="n"/>
      <c r="AD180" s="8" t="n"/>
      <c r="AE180" s="8" t="inlineStr">
        <is>
          <t>yes</t>
        </is>
      </c>
    </row>
    <row r="181">
      <c r="A181" s="5" t="n">
        <v>180</v>
      </c>
      <c r="B181" s="5" t="inlineStr">
        <is>
          <t>WS0544</t>
        </is>
      </c>
      <c r="C181" s="5" t="inlineStr">
        <is>
          <t>2010</t>
        </is>
      </c>
      <c r="D181" s="5" t="inlineStr">
        <is>
          <t>English</t>
        </is>
      </c>
      <c r="E181" s="5" t="inlineStr">
        <is>
          <t>JOUR</t>
        </is>
      </c>
      <c r="F181" s="5" t="inlineStr">
        <is>
          <t>Carmona</t>
        </is>
      </c>
      <c r="G181" s="5" t="inlineStr">
        <is>
          <t>Boletin de la Asociacion Medica de Puerto Rico</t>
        </is>
      </c>
      <c r="H181" s="5" t="inlineStr">
        <is>
          <t>102(2):47-9</t>
        </is>
      </c>
      <c r="I181" s="6" t="inlineStr">
        <is>
          <t>Laparoscopic splenectomy for infarcted splenoptosis in a child: a case report.</t>
        </is>
      </c>
      <c r="J181" s="5" t="inlineStr"/>
      <c r="K181" s="5" t="inlineStr"/>
      <c r="L181" s="7" t="inlineStr">
        <is>
          <t>link</t>
        </is>
      </c>
      <c r="M181" s="5" t="inlineStr"/>
      <c r="N181" s="5" t="inlineStr"/>
      <c r="O181" s="5" t="inlineStr"/>
      <c r="P181" s="5" t="inlineStr"/>
      <c r="Q181" s="5" t="inlineStr"/>
      <c r="R181" s="5" t="inlineStr">
        <is>
          <t>2 English, DOI or PubMed link</t>
        </is>
      </c>
      <c r="S181" s="5" t="inlineStr"/>
      <c r="T181" s="5" t="inlineStr">
        <is>
          <t>WS0544.pdf</t>
        </is>
      </c>
      <c r="U181" s="8" t="n"/>
      <c r="V181" s="8" t="n"/>
      <c r="W181" s="8" t="n"/>
      <c r="X181" s="8" t="n"/>
      <c r="Y181" s="8" t="n"/>
      <c r="Z181" s="8" t="n"/>
      <c r="AA181" s="8" t="n"/>
      <c r="AB181" s="8" t="n"/>
      <c r="AC181" s="8" t="n"/>
      <c r="AD181" s="8" t="n"/>
      <c r="AE181" s="8" t="inlineStr">
        <is>
          <t>yes</t>
        </is>
      </c>
    </row>
    <row r="182">
      <c r="A182" s="5" t="n">
        <v>181</v>
      </c>
      <c r="B182" s="5" t="inlineStr">
        <is>
          <t>WS0550</t>
        </is>
      </c>
      <c r="C182" s="5" t="inlineStr">
        <is>
          <t>2010</t>
        </is>
      </c>
      <c r="D182" s="5" t="inlineStr">
        <is>
          <t>English</t>
        </is>
      </c>
      <c r="E182" s="5" t="inlineStr">
        <is>
          <t>JOUR</t>
        </is>
      </c>
      <c r="F182" s="5" t="inlineStr">
        <is>
          <t>Fiquet-Francois</t>
        </is>
      </c>
      <c r="G182" s="5" t="inlineStr">
        <is>
          <t>Journal of pediatric surgery</t>
        </is>
      </c>
      <c r="H182" s="5" t="inlineStr">
        <is>
          <t>45(7):1519-24</t>
        </is>
      </c>
      <c r="I182" s="6" t="inlineStr">
        <is>
          <t>Wandering spleen in children: multicenter retrospective study.</t>
        </is>
      </c>
      <c r="J182" s="5" t="inlineStr">
        <is>
          <t>10.1016/j.jpedsurg.2010.03.003</t>
        </is>
      </c>
      <c r="K182" s="7" t="inlineStr">
        <is>
          <t>link</t>
        </is>
      </c>
      <c r="L182" s="7" t="inlineStr">
        <is>
          <t>link</t>
        </is>
      </c>
      <c r="M182" s="5" t="inlineStr"/>
      <c r="N182" s="5" t="inlineStr"/>
      <c r="O182" s="5" t="inlineStr"/>
      <c r="P182" s="5" t="inlineStr"/>
      <c r="Q182" s="5" t="inlineStr"/>
      <c r="R182" s="5" t="inlineStr">
        <is>
          <t>2 English, DOI or PubMed link</t>
        </is>
      </c>
      <c r="S182" s="5" t="inlineStr"/>
      <c r="T182" s="5" t="inlineStr">
        <is>
          <t>WS0550.pdf</t>
        </is>
      </c>
      <c r="U182" s="8" t="n"/>
      <c r="V182" s="8" t="n"/>
      <c r="W182" s="8" t="n"/>
      <c r="X182" s="8" t="n"/>
      <c r="Y182" s="8" t="n"/>
      <c r="Z182" s="8" t="n"/>
      <c r="AA182" s="8" t="n"/>
      <c r="AB182" s="8" t="n"/>
      <c r="AC182" s="8" t="n"/>
      <c r="AD182" s="8" t="n"/>
      <c r="AE182" s="8" t="inlineStr">
        <is>
          <t>yes</t>
        </is>
      </c>
    </row>
    <row r="183">
      <c r="A183" s="5" t="n">
        <v>182</v>
      </c>
      <c r="B183" s="5" t="inlineStr">
        <is>
          <t>WS0551</t>
        </is>
      </c>
      <c r="C183" s="5" t="inlineStr">
        <is>
          <t>2010</t>
        </is>
      </c>
      <c r="D183" s="5" t="inlineStr">
        <is>
          <t>English</t>
        </is>
      </c>
      <c r="E183" s="5" t="inlineStr">
        <is>
          <t>JOUR</t>
        </is>
      </c>
      <c r="F183" s="5" t="inlineStr">
        <is>
          <t>Arleo</t>
        </is>
      </c>
      <c r="G183" s="5" t="inlineStr">
        <is>
          <t>Clinical imaging</t>
        </is>
      </c>
      <c r="H183" s="5" t="inlineStr">
        <is>
          <t>34(4):302-5</t>
        </is>
      </c>
      <c r="I183" s="6" t="inlineStr">
        <is>
          <t>Multimodality imaging of a neonatal wandering spleen.</t>
        </is>
      </c>
      <c r="J183" s="5" t="inlineStr">
        <is>
          <t>10.1016/j.clinimag.2009.09.001</t>
        </is>
      </c>
      <c r="K183" s="7" t="inlineStr">
        <is>
          <t>link</t>
        </is>
      </c>
      <c r="L183" s="7" t="inlineStr">
        <is>
          <t>link</t>
        </is>
      </c>
      <c r="M183" s="5" t="inlineStr"/>
      <c r="N183" s="5" t="inlineStr"/>
      <c r="O183" s="5" t="inlineStr"/>
      <c r="P183" s="5" t="inlineStr"/>
      <c r="Q183" s="5" t="inlineStr"/>
      <c r="R183" s="5" t="inlineStr">
        <is>
          <t>2 English, DOI or PubMed link</t>
        </is>
      </c>
      <c r="S183" s="5" t="inlineStr"/>
      <c r="T183" s="5" t="inlineStr">
        <is>
          <t>WS0551.pdf</t>
        </is>
      </c>
      <c r="U183" s="8" t="n"/>
      <c r="V183" s="8" t="n"/>
      <c r="W183" s="8" t="n"/>
      <c r="X183" s="8" t="n"/>
      <c r="Y183" s="8" t="n"/>
      <c r="Z183" s="8" t="n"/>
      <c r="AA183" s="8" t="n"/>
      <c r="AB183" s="8" t="n"/>
      <c r="AC183" s="8" t="n"/>
      <c r="AD183" s="8" t="n"/>
      <c r="AE183" s="8" t="inlineStr">
        <is>
          <t>yes</t>
        </is>
      </c>
    </row>
    <row r="184">
      <c r="A184" s="5" t="n">
        <v>183</v>
      </c>
      <c r="B184" s="5" t="inlineStr">
        <is>
          <t>WS0552</t>
        </is>
      </c>
      <c r="C184" s="5" t="inlineStr">
        <is>
          <t>2010</t>
        </is>
      </c>
      <c r="D184" s="5" t="inlineStr">
        <is>
          <t>English</t>
        </is>
      </c>
      <c r="E184" s="5" t="inlineStr">
        <is>
          <t>JOUR</t>
        </is>
      </c>
      <c r="F184" s="5" t="inlineStr">
        <is>
          <t>Okazaki</t>
        </is>
      </c>
      <c r="G184" s="5" t="inlineStr">
        <is>
          <t>Pediatric surgery international</t>
        </is>
      </c>
      <c r="H184" s="5" t="inlineStr">
        <is>
          <t>26(10):1053-5</t>
        </is>
      </c>
      <c r="I184" s="6" t="inlineStr">
        <is>
          <t>Laparoscopic splenopexy and gastropexy for wandering spleen associated with gastric volvulus.</t>
        </is>
      </c>
      <c r="J184" s="5" t="inlineStr">
        <is>
          <t>10.1007/s00383-010-2657-7</t>
        </is>
      </c>
      <c r="K184" s="7" t="inlineStr">
        <is>
          <t>link</t>
        </is>
      </c>
      <c r="L184" s="7" t="inlineStr">
        <is>
          <t>link</t>
        </is>
      </c>
      <c r="M184" s="5" t="inlineStr"/>
      <c r="N184" s="5" t="inlineStr"/>
      <c r="O184" s="5" t="inlineStr"/>
      <c r="P184" s="5" t="inlineStr"/>
      <c r="Q184" s="5" t="inlineStr"/>
      <c r="R184" s="5" t="inlineStr">
        <is>
          <t>2 English, DOI or PubMed link</t>
        </is>
      </c>
      <c r="S184" s="5" t="inlineStr"/>
      <c r="T184" s="5" t="inlineStr">
        <is>
          <t>WS0552.pdf</t>
        </is>
      </c>
      <c r="U184" s="8" t="n"/>
      <c r="V184" s="8" t="n"/>
      <c r="W184" s="8" t="n"/>
      <c r="X184" s="8" t="n"/>
      <c r="Y184" s="8" t="n"/>
      <c r="Z184" s="8" t="n"/>
      <c r="AA184" s="8" t="n"/>
      <c r="AB184" s="8" t="n"/>
      <c r="AC184" s="8" t="n"/>
      <c r="AD184" s="8" t="n"/>
      <c r="AE184" s="8" t="inlineStr">
        <is>
          <t>yes</t>
        </is>
      </c>
    </row>
    <row r="185">
      <c r="A185" s="5" t="n">
        <v>184</v>
      </c>
      <c r="B185" s="5" t="inlineStr">
        <is>
          <t>WS0553</t>
        </is>
      </c>
      <c r="C185" s="5" t="inlineStr">
        <is>
          <t>2010</t>
        </is>
      </c>
      <c r="D185" s="5" t="inlineStr">
        <is>
          <t>English</t>
        </is>
      </c>
      <c r="E185" s="5" t="inlineStr">
        <is>
          <t>JOUR</t>
        </is>
      </c>
      <c r="F185" s="5" t="inlineStr">
        <is>
          <t>Sanchez</t>
        </is>
      </c>
      <c r="G185" s="5" t="inlineStr">
        <is>
          <t>Pediatric radiology</t>
        </is>
      </c>
      <c r="H185" s="5" t="inlineStr">
        <is>
          <t>40 Suppl 1(SUPPL.1):S89-91</t>
        </is>
      </c>
      <c r="I185" s="6" t="inlineStr">
        <is>
          <t>Wandering spleen causing gastric outlet obstruction and pancreatitis.</t>
        </is>
      </c>
      <c r="J185" s="5" t="inlineStr">
        <is>
          <t>10.1007/s00247-010-1756-x</t>
        </is>
      </c>
      <c r="K185" s="7" t="inlineStr">
        <is>
          <t>link</t>
        </is>
      </c>
      <c r="L185" s="7" t="inlineStr">
        <is>
          <t>link</t>
        </is>
      </c>
      <c r="M185" s="5" t="inlineStr"/>
      <c r="N185" s="5" t="inlineStr"/>
      <c r="O185" s="5" t="inlineStr"/>
      <c r="P185" s="5" t="inlineStr"/>
      <c r="Q185" s="5" t="inlineStr"/>
      <c r="R185" s="5" t="inlineStr">
        <is>
          <t>2 English, DOI or PubMed link</t>
        </is>
      </c>
      <c r="S185" s="5" t="inlineStr"/>
      <c r="T185" s="5" t="inlineStr">
        <is>
          <t>WS0553.pdf</t>
        </is>
      </c>
      <c r="U185" s="8" t="n"/>
      <c r="V185" s="8" t="n"/>
      <c r="W185" s="8" t="n"/>
      <c r="X185" s="8" t="n"/>
      <c r="Y185" s="8" t="n"/>
      <c r="Z185" s="8" t="n"/>
      <c r="AA185" s="8" t="n"/>
      <c r="AB185" s="8" t="n"/>
      <c r="AC185" s="8" t="n"/>
      <c r="AD185" s="8" t="n"/>
      <c r="AE185" s="8" t="inlineStr">
        <is>
          <t>yes</t>
        </is>
      </c>
    </row>
    <row r="186">
      <c r="A186" s="5" t="n">
        <v>185</v>
      </c>
      <c r="B186" s="5" t="inlineStr">
        <is>
          <t>WS1406</t>
        </is>
      </c>
      <c r="C186" s="5" t="inlineStr">
        <is>
          <t>2010</t>
        </is>
      </c>
      <c r="D186" s="5" t="inlineStr">
        <is>
          <t>English</t>
        </is>
      </c>
      <c r="E186" s="5" t="inlineStr">
        <is>
          <t>JOUR</t>
        </is>
      </c>
      <c r="F186" s="5" t="inlineStr">
        <is>
          <t>Ward</t>
        </is>
      </c>
      <c r="G186" s="5" t="inlineStr">
        <is>
          <t>JBR-BTR</t>
        </is>
      </c>
      <c r="H186" s="5" t="inlineStr">
        <is>
          <t>93(1):7-9</t>
        </is>
      </c>
      <c r="I186" s="6" t="inlineStr">
        <is>
          <t>UNUSUAL LONG TERM COMPLICATIONS OF A SPLENIC CYST</t>
        </is>
      </c>
      <c r="J186" s="5" t="inlineStr">
        <is>
          <t>10.5334/jbr-btr.27</t>
        </is>
      </c>
      <c r="K186" s="7" t="inlineStr">
        <is>
          <t>link</t>
        </is>
      </c>
      <c r="L186" s="5" t="inlineStr"/>
      <c r="M186" s="5" t="inlineStr"/>
      <c r="N186" s="5" t="inlineStr"/>
      <c r="O186" s="5" t="inlineStr"/>
      <c r="P186" s="5" t="inlineStr"/>
      <c r="Q186" s="5" t="inlineStr"/>
      <c r="R186" s="5" t="inlineStr">
        <is>
          <t>2 English, DOI or PubMed link</t>
        </is>
      </c>
      <c r="S186" s="5" t="inlineStr"/>
      <c r="T186" s="5" t="inlineStr">
        <is>
          <t>WS1406.pdf</t>
        </is>
      </c>
      <c r="U186" s="8" t="n"/>
      <c r="V186" s="8" t="n"/>
      <c r="W186" s="8" t="n"/>
      <c r="X186" s="8" t="n"/>
      <c r="Y186" s="8" t="n"/>
      <c r="Z186" s="8" t="n"/>
      <c r="AA186" s="8" t="n"/>
      <c r="AB186" s="8" t="n"/>
      <c r="AC186" s="8" t="n"/>
      <c r="AD186" s="8" t="n"/>
      <c r="AE186" s="8" t="inlineStr">
        <is>
          <t>yes</t>
        </is>
      </c>
    </row>
    <row r="187">
      <c r="A187" s="5" t="n">
        <v>186</v>
      </c>
      <c r="B187" s="5" t="inlineStr">
        <is>
          <t>WS1685</t>
        </is>
      </c>
      <c r="C187" s="5" t="inlineStr">
        <is>
          <t>2010</t>
        </is>
      </c>
      <c r="D187" s="5" t="inlineStr">
        <is>
          <t>English</t>
        </is>
      </c>
      <c r="E187" s="5" t="inlineStr">
        <is>
          <t>JOUR</t>
        </is>
      </c>
      <c r="F187" s="5" t="inlineStr">
        <is>
          <t>Ugwu</t>
        </is>
      </c>
      <c r="G187" s="5" t="inlineStr">
        <is>
          <t>South African Family Practice</t>
        </is>
      </c>
      <c r="H187" s="5" t="inlineStr">
        <is>
          <t>52(1):42-43</t>
        </is>
      </c>
      <c r="I187" s="6" t="inlineStr">
        <is>
          <t>A wandering spleen: A common presentation of an uncommon anomaly</t>
        </is>
      </c>
      <c r="J187" s="5" t="inlineStr">
        <is>
          <t>10.1080/20786204.2010.10873930</t>
        </is>
      </c>
      <c r="K187" s="7" t="inlineStr">
        <is>
          <t>link</t>
        </is>
      </c>
      <c r="L187" s="5" t="inlineStr"/>
      <c r="M187" s="5" t="inlineStr"/>
      <c r="N187" s="5" t="inlineStr"/>
      <c r="O187" s="5" t="inlineStr"/>
      <c r="P187" s="5" t="inlineStr"/>
      <c r="Q187" s="7" t="inlineStr">
        <is>
          <t>link</t>
        </is>
      </c>
      <c r="R187" s="5" t="inlineStr">
        <is>
          <t>2 English, DOI or PubMed link</t>
        </is>
      </c>
      <c r="S187" s="5" t="inlineStr"/>
      <c r="T187" s="5" t="inlineStr">
        <is>
          <t>WS1685.pdf</t>
        </is>
      </c>
      <c r="U187" s="8" t="n"/>
      <c r="V187" s="8" t="n"/>
      <c r="W187" s="8" t="n"/>
      <c r="X187" s="8" t="n"/>
      <c r="Y187" s="8" t="n"/>
      <c r="Z187" s="8" t="n"/>
      <c r="AA187" s="8" t="n"/>
      <c r="AB187" s="8" t="n"/>
      <c r="AC187" s="8" t="n"/>
      <c r="AD187" s="8" t="n"/>
      <c r="AE187" s="8" t="inlineStr">
        <is>
          <t>yes</t>
        </is>
      </c>
    </row>
    <row r="188">
      <c r="A188" s="5" t="n">
        <v>187</v>
      </c>
      <c r="B188" s="5" t="inlineStr">
        <is>
          <t>WS0566</t>
        </is>
      </c>
      <c r="C188" s="5" t="inlineStr">
        <is>
          <t>2009</t>
        </is>
      </c>
      <c r="D188" s="5" t="inlineStr">
        <is>
          <t>English</t>
        </is>
      </c>
      <c r="E188" s="5" t="inlineStr">
        <is>
          <t>JOUR</t>
        </is>
      </c>
      <c r="F188" s="5" t="inlineStr">
        <is>
          <t>Darius</t>
        </is>
      </c>
      <c r="G188" s="5" t="inlineStr">
        <is>
          <t>Acta chirurgica Belgica</t>
        </is>
      </c>
      <c r="H188" s="5" t="inlineStr">
        <is>
          <t>109(3):419-20</t>
        </is>
      </c>
      <c r="I188" s="6" t="inlineStr">
        <is>
          <t>A true ectopic, locally vascularized spleen: a very rare anomaly.</t>
        </is>
      </c>
      <c r="J188" s="5" t="inlineStr">
        <is>
          <t>10.1080/00015458.2009.11680453</t>
        </is>
      </c>
      <c r="K188" s="7" t="inlineStr">
        <is>
          <t>link</t>
        </is>
      </c>
      <c r="L188" s="7" t="inlineStr">
        <is>
          <t>link</t>
        </is>
      </c>
      <c r="M188" s="5" t="inlineStr"/>
      <c r="N188" s="5" t="inlineStr"/>
      <c r="O188" s="5" t="inlineStr"/>
      <c r="P188" s="5" t="inlineStr"/>
      <c r="Q188" s="5" t="inlineStr"/>
      <c r="R188" s="5" t="inlineStr">
        <is>
          <t>2 English, DOI or PubMed link</t>
        </is>
      </c>
      <c r="S188" s="5" t="inlineStr"/>
      <c r="T188" s="5" t="inlineStr">
        <is>
          <t>WS0566.pdf</t>
        </is>
      </c>
      <c r="U188" s="8" t="n"/>
      <c r="V188" s="8" t="n"/>
      <c r="W188" s="8" t="n"/>
      <c r="X188" s="8" t="n"/>
      <c r="Y188" s="8" t="n"/>
      <c r="Z188" s="8" t="n"/>
      <c r="AA188" s="8" t="n"/>
      <c r="AB188" s="8" t="n"/>
      <c r="AC188" s="8" t="n"/>
      <c r="AD188" s="8" t="n"/>
      <c r="AE188" s="8" t="inlineStr">
        <is>
          <t>yes</t>
        </is>
      </c>
    </row>
    <row r="189">
      <c r="A189" s="5" t="n">
        <v>188</v>
      </c>
      <c r="B189" s="5" t="inlineStr">
        <is>
          <t>WS0571</t>
        </is>
      </c>
      <c r="C189" s="5" t="inlineStr">
        <is>
          <t>2009</t>
        </is>
      </c>
      <c r="D189" s="5" t="inlineStr">
        <is>
          <t>English</t>
        </is>
      </c>
      <c r="E189" s="5" t="inlineStr">
        <is>
          <t>JOUR</t>
        </is>
      </c>
      <c r="F189" s="5" t="inlineStr">
        <is>
          <t>Lien</t>
        </is>
      </c>
      <c r="G189" s="5" t="inlineStr">
        <is>
          <t>Pediatrics and neonatology</t>
        </is>
      </c>
      <c r="H189" s="5" t="inlineStr">
        <is>
          <t>50(4):177-80</t>
        </is>
      </c>
      <c r="I189" s="6" t="inlineStr">
        <is>
          <t>Acute torsion of wandering spleen: report of one case.</t>
        </is>
      </c>
      <c r="J189" s="5" t="inlineStr">
        <is>
          <t>10.1016/s1875-9572(09)60059-0</t>
        </is>
      </c>
      <c r="K189" s="7" t="inlineStr">
        <is>
          <t>link</t>
        </is>
      </c>
      <c r="L189" s="7" t="inlineStr">
        <is>
          <t>link</t>
        </is>
      </c>
      <c r="M189" s="5" t="inlineStr"/>
      <c r="N189" s="5" t="inlineStr"/>
      <c r="O189" s="5" t="inlineStr"/>
      <c r="P189" s="5" t="inlineStr"/>
      <c r="Q189" s="5" t="inlineStr"/>
      <c r="R189" s="5" t="inlineStr">
        <is>
          <t>2 English, DOI or PubMed link</t>
        </is>
      </c>
      <c r="S189" s="5" t="inlineStr"/>
      <c r="T189" s="5" t="inlineStr">
        <is>
          <t>WS0571.pdf</t>
        </is>
      </c>
      <c r="U189" s="8" t="n"/>
      <c r="V189" s="8" t="n"/>
      <c r="W189" s="8" t="n"/>
      <c r="X189" s="8" t="n"/>
      <c r="Y189" s="8" t="n"/>
      <c r="Z189" s="8" t="n"/>
      <c r="AA189" s="8" t="n"/>
      <c r="AB189" s="8" t="n"/>
      <c r="AC189" s="8" t="n"/>
      <c r="AD189" s="8" t="n"/>
      <c r="AE189" s="8" t="inlineStr">
        <is>
          <t>yes</t>
        </is>
      </c>
    </row>
    <row r="190">
      <c r="A190" s="5" t="n">
        <v>189</v>
      </c>
      <c r="B190" s="5" t="inlineStr">
        <is>
          <t>WS0575</t>
        </is>
      </c>
      <c r="C190" s="5" t="inlineStr">
        <is>
          <t>2009</t>
        </is>
      </c>
      <c r="D190" s="5" t="inlineStr">
        <is>
          <t>English</t>
        </is>
      </c>
      <c r="E190" s="5" t="inlineStr">
        <is>
          <t>JOUR</t>
        </is>
      </c>
      <c r="F190" s="5" t="inlineStr">
        <is>
          <t>Karabulut</t>
        </is>
      </c>
      <c r="G190" s="5" t="inlineStr">
        <is>
          <t>World journal of pediatrics : WJP</t>
        </is>
      </c>
      <c r="H190" s="5" t="inlineStr">
        <is>
          <t>5(3):226-8</t>
        </is>
      </c>
      <c r="I190" s="6" t="inlineStr">
        <is>
          <t>Delayed presentation of congenital diaphragmatic hernia with intrathoracic gastric volvulus.</t>
        </is>
      </c>
      <c r="J190" s="5" t="inlineStr">
        <is>
          <t>10.1007/s12519-009-0043-0</t>
        </is>
      </c>
      <c r="K190" s="7" t="inlineStr">
        <is>
          <t>link</t>
        </is>
      </c>
      <c r="L190" s="7" t="inlineStr">
        <is>
          <t>link</t>
        </is>
      </c>
      <c r="M190" s="5" t="inlineStr"/>
      <c r="N190" s="5" t="inlineStr"/>
      <c r="O190" s="5" t="inlineStr"/>
      <c r="P190" s="5" t="inlineStr"/>
      <c r="Q190" s="5" t="inlineStr"/>
      <c r="R190" s="5" t="inlineStr">
        <is>
          <t>2 English, DOI or PubMed link</t>
        </is>
      </c>
      <c r="S190" s="5" t="inlineStr"/>
      <c r="T190" s="5" t="inlineStr">
        <is>
          <t>WS0575.pdf</t>
        </is>
      </c>
      <c r="U190" s="8" t="n"/>
      <c r="V190" s="8" t="n"/>
      <c r="W190" s="8" t="n"/>
      <c r="X190" s="8" t="n"/>
      <c r="Y190" s="8" t="n"/>
      <c r="Z190" s="8" t="n"/>
      <c r="AA190" s="8" t="n"/>
      <c r="AB190" s="8" t="n"/>
      <c r="AC190" s="8" t="n"/>
      <c r="AD190" s="8" t="n"/>
      <c r="AE190" s="8" t="inlineStr">
        <is>
          <t>yes</t>
        </is>
      </c>
    </row>
    <row r="191">
      <c r="A191" s="5" t="n">
        <v>190</v>
      </c>
      <c r="B191" s="5" t="inlineStr">
        <is>
          <t>WS0580</t>
        </is>
      </c>
      <c r="C191" s="5" t="inlineStr">
        <is>
          <t>2009</t>
        </is>
      </c>
      <c r="D191" s="5" t="inlineStr">
        <is>
          <t>English</t>
        </is>
      </c>
      <c r="E191" s="5" t="inlineStr">
        <is>
          <t>JOUR</t>
        </is>
      </c>
      <c r="F191" s="5" t="inlineStr">
        <is>
          <t>Di Crosta</t>
        </is>
      </c>
      <c r="G191" s="5" t="inlineStr">
        <is>
          <t>Journal of pediatric surgery</t>
        </is>
      </c>
      <c r="H191" s="5" t="inlineStr">
        <is>
          <t>44(7):1446-9</t>
        </is>
      </c>
      <c r="I191" s="6" t="inlineStr">
        <is>
          <t>Abdominal pain and wandering spleen in young children: the importance of an early diagnosis.</t>
        </is>
      </c>
      <c r="J191" s="5" t="inlineStr">
        <is>
          <t>10.1016/j.jpedsurg.2009.02.062</t>
        </is>
      </c>
      <c r="K191" s="7" t="inlineStr">
        <is>
          <t>link</t>
        </is>
      </c>
      <c r="L191" s="7" t="inlineStr">
        <is>
          <t>link</t>
        </is>
      </c>
      <c r="M191" s="5" t="inlineStr"/>
      <c r="N191" s="5" t="inlineStr"/>
      <c r="O191" s="5" t="inlineStr"/>
      <c r="P191" s="5" t="inlineStr"/>
      <c r="Q191" s="5" t="inlineStr"/>
      <c r="R191" s="5" t="inlineStr">
        <is>
          <t>2 English, DOI or PubMed link</t>
        </is>
      </c>
      <c r="S191" s="5" t="inlineStr"/>
      <c r="T191" s="5" t="inlineStr">
        <is>
          <t>WS0580.pdf</t>
        </is>
      </c>
      <c r="U191" s="8" t="n"/>
      <c r="V191" s="8" t="n"/>
      <c r="W191" s="8" t="n"/>
      <c r="X191" s="8" t="n"/>
      <c r="Y191" s="8" t="n"/>
      <c r="Z191" s="8" t="n"/>
      <c r="AA191" s="8" t="n"/>
      <c r="AB191" s="8" t="n"/>
      <c r="AC191" s="8" t="n"/>
      <c r="AD191" s="8" t="n"/>
      <c r="AE191" s="8" t="inlineStr">
        <is>
          <t>yes</t>
        </is>
      </c>
    </row>
    <row r="192">
      <c r="A192" s="5" t="n">
        <v>191</v>
      </c>
      <c r="B192" s="5" t="inlineStr">
        <is>
          <t>WS0585</t>
        </is>
      </c>
      <c r="C192" s="5" t="inlineStr">
        <is>
          <t>2009</t>
        </is>
      </c>
      <c r="D192" s="5" t="inlineStr">
        <is>
          <t>English</t>
        </is>
      </c>
      <c r="E192" s="5" t="inlineStr">
        <is>
          <t>JOUR</t>
        </is>
      </c>
      <c r="F192" s="5" t="inlineStr">
        <is>
          <t>Francois-Fiquet</t>
        </is>
      </c>
      <c r="G192" s="5" t="inlineStr">
        <is>
          <t>Journal of laparoendoscopic &amp; advanced surgical techniques. Part A</t>
        </is>
      </c>
      <c r="H192" s="5" t="inlineStr">
        <is>
          <t>19 Suppl 1(SUPPL. 1):S137-9</t>
        </is>
      </c>
      <c r="I192" s="6" t="inlineStr">
        <is>
          <t>Laparoscopic gastropexy for the treatment of gastric volvulus associated with wandering spleen.</t>
        </is>
      </c>
      <c r="J192" s="5" t="inlineStr">
        <is>
          <t>10.1089/lap.2008.0091.supp</t>
        </is>
      </c>
      <c r="K192" s="7" t="inlineStr">
        <is>
          <t>link</t>
        </is>
      </c>
      <c r="L192" s="7" t="inlineStr">
        <is>
          <t>link</t>
        </is>
      </c>
      <c r="M192" s="5" t="inlineStr"/>
      <c r="N192" s="5" t="inlineStr"/>
      <c r="O192" s="5" t="inlineStr"/>
      <c r="P192" s="5" t="inlineStr"/>
      <c r="Q192" s="5" t="inlineStr"/>
      <c r="R192" s="5" t="inlineStr">
        <is>
          <t>2 English, DOI or PubMed link</t>
        </is>
      </c>
      <c r="S192" s="5" t="inlineStr"/>
      <c r="T192" s="5" t="inlineStr">
        <is>
          <t>WS0585.pdf</t>
        </is>
      </c>
      <c r="U192" s="8" t="n"/>
      <c r="V192" s="8" t="n"/>
      <c r="W192" s="8" t="n"/>
      <c r="X192" s="8" t="n"/>
      <c r="Y192" s="8" t="n"/>
      <c r="Z192" s="8" t="n"/>
      <c r="AA192" s="8" t="n"/>
      <c r="AB192" s="8" t="n"/>
      <c r="AC192" s="8" t="n"/>
      <c r="AD192" s="8" t="n"/>
      <c r="AE192" s="8" t="inlineStr">
        <is>
          <t>yes</t>
        </is>
      </c>
    </row>
    <row r="193">
      <c r="A193" s="5" t="n">
        <v>192</v>
      </c>
      <c r="B193" s="5" t="inlineStr">
        <is>
          <t>WS0588</t>
        </is>
      </c>
      <c r="C193" s="5" t="inlineStr">
        <is>
          <t>2009</t>
        </is>
      </c>
      <c r="D193" s="5" t="inlineStr">
        <is>
          <t>English</t>
        </is>
      </c>
      <c r="E193" s="5" t="inlineStr">
        <is>
          <t>JOUR</t>
        </is>
      </c>
      <c r="F193" s="5" t="inlineStr">
        <is>
          <t>Iqbal</t>
        </is>
      </c>
      <c r="G193" s="5" t="inlineStr">
        <is>
          <t>Journal of the College of Physicians and Surgeons--Pakistan : JCPSP</t>
        </is>
      </c>
      <c r="H193" s="5" t="inlineStr">
        <is>
          <t>19(2):123-4</t>
        </is>
      </c>
      <c r="I193" s="6" t="inlineStr">
        <is>
          <t>Torsion of a wandering spleen presenting as a case of acute abdomen.</t>
        </is>
      </c>
      <c r="J193" s="5" t="inlineStr"/>
      <c r="K193" s="5" t="inlineStr"/>
      <c r="L193" s="7" t="inlineStr">
        <is>
          <t>link</t>
        </is>
      </c>
      <c r="M193" s="5" t="inlineStr"/>
      <c r="N193" s="5" t="inlineStr"/>
      <c r="O193" s="5" t="inlineStr"/>
      <c r="P193" s="5" t="inlineStr"/>
      <c r="Q193" s="5" t="inlineStr"/>
      <c r="R193" s="5" t="inlineStr">
        <is>
          <t>2 English, DOI or PubMed link</t>
        </is>
      </c>
      <c r="S193" s="5" t="inlineStr"/>
      <c r="T193" s="5" t="inlineStr">
        <is>
          <t>WS0588.pdf</t>
        </is>
      </c>
      <c r="U193" s="8" t="n"/>
      <c r="V193" s="8" t="n"/>
      <c r="W193" s="8" t="n"/>
      <c r="X193" s="8" t="n"/>
      <c r="Y193" s="8" t="n"/>
      <c r="Z193" s="8" t="n"/>
      <c r="AA193" s="8" t="n"/>
      <c r="AB193" s="8" t="n"/>
      <c r="AC193" s="8" t="n"/>
      <c r="AD193" s="8" t="n"/>
      <c r="AE193" s="8" t="inlineStr">
        <is>
          <t>yes</t>
        </is>
      </c>
    </row>
    <row r="194">
      <c r="A194" s="5" t="n">
        <v>193</v>
      </c>
      <c r="B194" s="5" t="inlineStr">
        <is>
          <t>WS1673</t>
        </is>
      </c>
      <c r="C194" s="5" t="inlineStr">
        <is>
          <t>2009</t>
        </is>
      </c>
      <c r="D194" s="5" t="inlineStr">
        <is>
          <t>English</t>
        </is>
      </c>
      <c r="E194" s="5" t="inlineStr">
        <is>
          <t>CHAP</t>
        </is>
      </c>
      <c r="F194" s="5" t="inlineStr">
        <is>
          <t>Palanivelu</t>
        </is>
      </c>
      <c r="G194" s="5" t="inlineStr">
        <is>
          <t>Essentials of Pediatric Endoscopic Surgery</t>
        </is>
      </c>
      <c r="H194" s="5" t="inlineStr">
        <is>
          <t>363-367</t>
        </is>
      </c>
      <c r="I194" s="6" t="inlineStr">
        <is>
          <t>Mesh splenopexy for wandering spleen</t>
        </is>
      </c>
      <c r="J194" s="5" t="inlineStr">
        <is>
          <t>10.1007/978-3-540-78387-9_52</t>
        </is>
      </c>
      <c r="K194" s="7" t="inlineStr">
        <is>
          <t>link</t>
        </is>
      </c>
      <c r="L194" s="5" t="inlineStr"/>
      <c r="M194" s="5" t="inlineStr"/>
      <c r="N194" s="5" t="inlineStr"/>
      <c r="O194" s="5" t="inlineStr"/>
      <c r="P194" s="5" t="inlineStr"/>
      <c r="Q194" s="7" t="inlineStr">
        <is>
          <t>link</t>
        </is>
      </c>
      <c r="R194" s="5" t="inlineStr">
        <is>
          <t>2 English, DOI or PubMed link</t>
        </is>
      </c>
      <c r="S194" s="5" t="inlineStr"/>
      <c r="T194" s="5" t="inlineStr">
        <is>
          <t>WS1673.pdf</t>
        </is>
      </c>
      <c r="U194" s="8" t="n"/>
      <c r="V194" s="8" t="n"/>
      <c r="W194" s="8" t="n"/>
      <c r="X194" s="8" t="n"/>
      <c r="Y194" s="8" t="n"/>
      <c r="Z194" s="8" t="n"/>
      <c r="AA194" s="8" t="n"/>
      <c r="AB194" s="8" t="n"/>
      <c r="AC194" s="8" t="n"/>
      <c r="AD194" s="8" t="n"/>
      <c r="AE194" s="8" t="inlineStr">
        <is>
          <t>yes</t>
        </is>
      </c>
    </row>
    <row r="195">
      <c r="A195" s="5" t="n">
        <v>194</v>
      </c>
      <c r="B195" s="5" t="inlineStr">
        <is>
          <t>WS0593</t>
        </is>
      </c>
      <c r="C195" s="5" t="inlineStr">
        <is>
          <t>2008</t>
        </is>
      </c>
      <c r="D195" s="5" t="inlineStr">
        <is>
          <t>English</t>
        </is>
      </c>
      <c r="E195" s="5" t="inlineStr">
        <is>
          <t>JOUR</t>
        </is>
      </c>
      <c r="F195" s="5" t="inlineStr">
        <is>
          <t>Cho</t>
        </is>
      </c>
      <c r="G195" s="5" t="inlineStr">
        <is>
          <t>Indian journal of pediatrics</t>
        </is>
      </c>
      <c r="H195" s="5" t="inlineStr">
        <is>
          <t>75(11):1181-2</t>
        </is>
      </c>
      <c r="I195" s="6" t="inlineStr">
        <is>
          <t>Wandering spleen presenting as recurrent abdominal pain in a young female.</t>
        </is>
      </c>
      <c r="J195" s="5" t="inlineStr">
        <is>
          <t>10.1007/s12098-008-0181-8</t>
        </is>
      </c>
      <c r="K195" s="7" t="inlineStr">
        <is>
          <t>link</t>
        </is>
      </c>
      <c r="L195" s="7" t="inlineStr">
        <is>
          <t>link</t>
        </is>
      </c>
      <c r="M195" s="5" t="inlineStr"/>
      <c r="N195" s="5" t="inlineStr"/>
      <c r="O195" s="5" t="inlineStr"/>
      <c r="P195" s="5" t="inlineStr"/>
      <c r="Q195" s="5" t="inlineStr"/>
      <c r="R195" s="5" t="inlineStr">
        <is>
          <t>2 English, DOI or PubMed link</t>
        </is>
      </c>
      <c r="S195" s="5" t="inlineStr"/>
      <c r="T195" s="5" t="inlineStr">
        <is>
          <t>WS0593.pdf</t>
        </is>
      </c>
      <c r="U195" s="8" t="n"/>
      <c r="V195" s="8" t="n"/>
      <c r="W195" s="8" t="n"/>
      <c r="X195" s="8" t="n"/>
      <c r="Y195" s="8" t="n"/>
      <c r="Z195" s="8" t="n"/>
      <c r="AA195" s="8" t="n"/>
      <c r="AB195" s="8" t="n"/>
      <c r="AC195" s="8" t="n"/>
      <c r="AD195" s="8" t="n"/>
      <c r="AE195" s="8" t="inlineStr">
        <is>
          <t>yes</t>
        </is>
      </c>
    </row>
    <row r="196">
      <c r="A196" s="5" t="n">
        <v>195</v>
      </c>
      <c r="B196" s="5" t="inlineStr">
        <is>
          <t>WS0594</t>
        </is>
      </c>
      <c r="C196" s="5" t="inlineStr">
        <is>
          <t>2008</t>
        </is>
      </c>
      <c r="D196" s="5" t="inlineStr">
        <is>
          <t>English</t>
        </is>
      </c>
      <c r="E196" s="5" t="inlineStr">
        <is>
          <t>JOUR</t>
        </is>
      </c>
      <c r="F196" s="5" t="inlineStr">
        <is>
          <t>Yilmaz</t>
        </is>
      </c>
      <c r="G196" s="5" t="inlineStr">
        <is>
          <t>European surgical research. Europaische chirurgische Forschung. Recherches chirurgicales europeennes</t>
        </is>
      </c>
      <c r="H196" s="5" t="inlineStr">
        <is>
          <t>41(4):331-3</t>
        </is>
      </c>
      <c r="I196" s="6" t="inlineStr">
        <is>
          <t>Unusual association of omphalocele and wandering spleen.</t>
        </is>
      </c>
      <c r="J196" s="5" t="inlineStr">
        <is>
          <t>10.1159/000155899</t>
        </is>
      </c>
      <c r="K196" s="7" t="inlineStr">
        <is>
          <t>link</t>
        </is>
      </c>
      <c r="L196" s="7" t="inlineStr">
        <is>
          <t>link</t>
        </is>
      </c>
      <c r="M196" s="5" t="inlineStr"/>
      <c r="N196" s="5" t="inlineStr"/>
      <c r="O196" s="5" t="inlineStr"/>
      <c r="P196" s="5" t="inlineStr"/>
      <c r="Q196" s="5" t="inlineStr"/>
      <c r="R196" s="5" t="inlineStr">
        <is>
          <t>2 English, DOI or PubMed link</t>
        </is>
      </c>
      <c r="S196" s="5" t="inlineStr"/>
      <c r="T196" s="5" t="inlineStr">
        <is>
          <t>WS0594.pdf</t>
        </is>
      </c>
      <c r="U196" s="8" t="n"/>
      <c r="V196" s="8" t="n"/>
      <c r="W196" s="8" t="n"/>
      <c r="X196" s="8" t="n"/>
      <c r="Y196" s="8" t="n"/>
      <c r="Z196" s="8" t="n"/>
      <c r="AA196" s="8" t="n"/>
      <c r="AB196" s="8" t="n"/>
      <c r="AC196" s="8" t="n"/>
      <c r="AD196" s="8" t="n"/>
      <c r="AE196" s="8" t="inlineStr">
        <is>
          <t>yes</t>
        </is>
      </c>
    </row>
    <row r="197">
      <c r="A197" s="5" t="n">
        <v>196</v>
      </c>
      <c r="B197" s="5" t="inlineStr">
        <is>
          <t>WS0597</t>
        </is>
      </c>
      <c r="C197" s="5" t="inlineStr">
        <is>
          <t>2008</t>
        </is>
      </c>
      <c r="D197" s="5" t="inlineStr">
        <is>
          <t>English</t>
        </is>
      </c>
      <c r="E197" s="5" t="inlineStr">
        <is>
          <t>JOUR</t>
        </is>
      </c>
      <c r="F197" s="5" t="inlineStr">
        <is>
          <t>Wallace</t>
        </is>
      </c>
      <c r="G197" s="5" t="inlineStr">
        <is>
          <t>Obstetrics and gynecology</t>
        </is>
      </c>
      <c r="H197" s="5" t="inlineStr">
        <is>
          <t>112(2 Pt 2):478-80</t>
        </is>
      </c>
      <c r="I197" s="6" t="inlineStr">
        <is>
          <t>A wandering spleen: unusual cause of a pelvic mass.</t>
        </is>
      </c>
      <c r="J197" s="5" t="inlineStr">
        <is>
          <t>10.1097/aog.0b013e3181809671</t>
        </is>
      </c>
      <c r="K197" s="7" t="inlineStr">
        <is>
          <t>link</t>
        </is>
      </c>
      <c r="L197" s="7" t="inlineStr">
        <is>
          <t>link</t>
        </is>
      </c>
      <c r="M197" s="5" t="inlineStr"/>
      <c r="N197" s="5" t="inlineStr"/>
      <c r="O197" s="5" t="inlineStr"/>
      <c r="P197" s="5" t="inlineStr"/>
      <c r="Q197" s="5" t="inlineStr"/>
      <c r="R197" s="5" t="inlineStr">
        <is>
          <t>2 English, DOI or PubMed link</t>
        </is>
      </c>
      <c r="S197" s="5" t="inlineStr"/>
      <c r="T197" s="5" t="inlineStr">
        <is>
          <t>WS0597.pdf</t>
        </is>
      </c>
      <c r="U197" s="8" t="n"/>
      <c r="V197" s="8" t="n"/>
      <c r="W197" s="8" t="n"/>
      <c r="X197" s="8" t="n"/>
      <c r="Y197" s="8" t="n"/>
      <c r="Z197" s="8" t="n"/>
      <c r="AA197" s="8" t="n"/>
      <c r="AB197" s="8" t="n"/>
      <c r="AC197" s="8" t="n"/>
      <c r="AD197" s="8" t="n"/>
      <c r="AE197" s="8" t="inlineStr">
        <is>
          <t>yes</t>
        </is>
      </c>
    </row>
    <row r="198">
      <c r="A198" s="5" t="n">
        <v>197</v>
      </c>
      <c r="B198" s="5" t="inlineStr">
        <is>
          <t>WS0601</t>
        </is>
      </c>
      <c r="C198" s="5" t="inlineStr">
        <is>
          <t>2008</t>
        </is>
      </c>
      <c r="D198" s="5" t="inlineStr">
        <is>
          <t>English</t>
        </is>
      </c>
      <c r="E198" s="5" t="inlineStr">
        <is>
          <t>JOUR</t>
        </is>
      </c>
      <c r="F198" s="5" t="inlineStr">
        <is>
          <t>Ben Ely</t>
        </is>
      </c>
      <c r="G198" s="5" t="inlineStr">
        <is>
          <t>Journal of pediatric surgery</t>
        </is>
      </c>
      <c r="H198" s="5" t="inlineStr">
        <is>
          <t>43(5):E23-5</t>
        </is>
      </c>
      <c r="I198" s="6" t="inlineStr">
        <is>
          <t>Familial wandering spleen: a first instance.</t>
        </is>
      </c>
      <c r="J198" s="5" t="inlineStr">
        <is>
          <t>10.1016/j.jpedsurg.2007.12.077</t>
        </is>
      </c>
      <c r="K198" s="7" t="inlineStr">
        <is>
          <t>link</t>
        </is>
      </c>
      <c r="L198" s="7" t="inlineStr">
        <is>
          <t>link</t>
        </is>
      </c>
      <c r="M198" s="5" t="inlineStr"/>
      <c r="N198" s="5" t="inlineStr"/>
      <c r="O198" s="5" t="inlineStr"/>
      <c r="P198" s="5" t="inlineStr"/>
      <c r="Q198" s="5" t="inlineStr"/>
      <c r="R198" s="5" t="inlineStr">
        <is>
          <t>2 English, DOI or PubMed link</t>
        </is>
      </c>
      <c r="S198" s="5" t="inlineStr"/>
      <c r="T198" s="5" t="inlineStr">
        <is>
          <t>WS0601.pdf</t>
        </is>
      </c>
      <c r="U198" s="8" t="n"/>
      <c r="V198" s="8" t="n"/>
      <c r="W198" s="8" t="n"/>
      <c r="X198" s="8" t="n"/>
      <c r="Y198" s="8" t="n"/>
      <c r="Z198" s="8" t="n"/>
      <c r="AA198" s="8" t="n"/>
      <c r="AB198" s="8" t="n"/>
      <c r="AC198" s="8" t="n"/>
      <c r="AD198" s="8" t="n"/>
      <c r="AE198" s="8" t="inlineStr">
        <is>
          <t>yes</t>
        </is>
      </c>
    </row>
    <row r="199">
      <c r="A199" s="5" t="n">
        <v>198</v>
      </c>
      <c r="B199" s="5" t="inlineStr">
        <is>
          <t>WS0602</t>
        </is>
      </c>
      <c r="C199" s="5" t="inlineStr">
        <is>
          <t>2008</t>
        </is>
      </c>
      <c r="D199" s="5" t="inlineStr">
        <is>
          <t>English</t>
        </is>
      </c>
      <c r="E199" s="5" t="inlineStr">
        <is>
          <t>JOUR</t>
        </is>
      </c>
      <c r="F199" s="5" t="inlineStr">
        <is>
          <t>Sodhi</t>
        </is>
      </c>
      <c r="G199" s="5" t="inlineStr">
        <is>
          <t>The British journal of radiology</t>
        </is>
      </c>
      <c r="H199" s="5" t="inlineStr">
        <is>
          <t>81(965):e145-8</t>
        </is>
      </c>
      <c r="I199" s="6" t="inlineStr">
        <is>
          <t>Marfanoid hypermobility syndrome and skeletal abnormalities in a rare case of torsion of wandering spleen.</t>
        </is>
      </c>
      <c r="J199" s="5" t="inlineStr">
        <is>
          <t>10.1259/bjr/30123041</t>
        </is>
      </c>
      <c r="K199" s="7" t="inlineStr">
        <is>
          <t>link</t>
        </is>
      </c>
      <c r="L199" s="7" t="inlineStr">
        <is>
          <t>link</t>
        </is>
      </c>
      <c r="M199" s="5" t="inlineStr"/>
      <c r="N199" s="5" t="inlineStr"/>
      <c r="O199" s="5" t="inlineStr"/>
      <c r="P199" s="5" t="inlineStr"/>
      <c r="Q199" s="5" t="inlineStr"/>
      <c r="R199" s="5" t="inlineStr">
        <is>
          <t>2 English, DOI or PubMed link</t>
        </is>
      </c>
      <c r="S199" s="5" t="inlineStr"/>
      <c r="T199" s="5" t="inlineStr">
        <is>
          <t>WS0602.pdf</t>
        </is>
      </c>
      <c r="U199" s="8" t="n"/>
      <c r="V199" s="8" t="n"/>
      <c r="W199" s="8" t="n"/>
      <c r="X199" s="8" t="n"/>
      <c r="Y199" s="8" t="n"/>
      <c r="Z199" s="8" t="n"/>
      <c r="AA199" s="8" t="n"/>
      <c r="AB199" s="8" t="n"/>
      <c r="AC199" s="8" t="n"/>
      <c r="AD199" s="8" t="n"/>
      <c r="AE199" s="8" t="inlineStr">
        <is>
          <t>yes</t>
        </is>
      </c>
    </row>
    <row r="200">
      <c r="A200" s="5" t="n">
        <v>199</v>
      </c>
      <c r="B200" s="5" t="inlineStr">
        <is>
          <t>WS0615</t>
        </is>
      </c>
      <c r="C200" s="5" t="inlineStr">
        <is>
          <t>2007</t>
        </is>
      </c>
      <c r="D200" s="5" t="inlineStr">
        <is>
          <t>English</t>
        </is>
      </c>
      <c r="E200" s="5" t="inlineStr">
        <is>
          <t>JOUR</t>
        </is>
      </c>
      <c r="F200" s="5" t="inlineStr">
        <is>
          <t>Barbaros</t>
        </is>
      </c>
      <c r="G200" s="5" t="inlineStr">
        <is>
          <t>Surgical laparoscopy, endoscopy &amp; percutaneous techniques</t>
        </is>
      </c>
      <c r="H200" s="5" t="inlineStr">
        <is>
          <t>17(5):462-4</t>
        </is>
      </c>
      <c r="I200" s="6" t="inlineStr">
        <is>
          <t>Laparoscopic treatment of a wandering spleen causing partial colonic obstruction: report of a case.</t>
        </is>
      </c>
      <c r="J200" s="5" t="inlineStr">
        <is>
          <t>10.1097/sle.0b013e3180ca9b54</t>
        </is>
      </c>
      <c r="K200" s="7" t="inlineStr">
        <is>
          <t>link</t>
        </is>
      </c>
      <c r="L200" s="7" t="inlineStr">
        <is>
          <t>link</t>
        </is>
      </c>
      <c r="M200" s="5" t="inlineStr"/>
      <c r="N200" s="5" t="inlineStr"/>
      <c r="O200" s="5" t="inlineStr"/>
      <c r="P200" s="5" t="inlineStr"/>
      <c r="Q200" s="5" t="inlineStr"/>
      <c r="R200" s="5" t="inlineStr">
        <is>
          <t>2 English, DOI or PubMed link</t>
        </is>
      </c>
      <c r="S200" s="5" t="inlineStr"/>
      <c r="T200" s="5" t="inlineStr">
        <is>
          <t>WS0615.pdf</t>
        </is>
      </c>
      <c r="U200" s="8" t="n"/>
      <c r="V200" s="8" t="n"/>
      <c r="W200" s="8" t="n"/>
      <c r="X200" s="8" t="n"/>
      <c r="Y200" s="8" t="n"/>
      <c r="Z200" s="8" t="n"/>
      <c r="AA200" s="8" t="n"/>
      <c r="AB200" s="8" t="n"/>
      <c r="AC200" s="8" t="n"/>
      <c r="AD200" s="8" t="n"/>
      <c r="AE200" s="8" t="inlineStr">
        <is>
          <t>yes</t>
        </is>
      </c>
    </row>
    <row r="201">
      <c r="A201" s="5" t="n">
        <v>200</v>
      </c>
      <c r="B201" s="5" t="inlineStr">
        <is>
          <t>WS0616</t>
        </is>
      </c>
      <c r="C201" s="5" t="inlineStr">
        <is>
          <t>2007</t>
        </is>
      </c>
      <c r="D201" s="5" t="inlineStr">
        <is>
          <t>English</t>
        </is>
      </c>
      <c r="E201" s="5" t="inlineStr">
        <is>
          <t>JOUR</t>
        </is>
      </c>
      <c r="F201" s="5" t="inlineStr">
        <is>
          <t>Rescorla</t>
        </is>
      </c>
      <c r="G201" s="5" t="inlineStr">
        <is>
          <t>Annals of surgery</t>
        </is>
      </c>
      <c r="H201" s="5" t="inlineStr">
        <is>
          <t>246(4):683-7; discussion 687-8</t>
        </is>
      </c>
      <c r="I201" s="6" t="inlineStr">
        <is>
          <t>Laparoscopic splenic procedures in children: experience in 231 children.</t>
        </is>
      </c>
      <c r="J201" s="5" t="inlineStr">
        <is>
          <t>10.1097/sla.0b013e318155abb9</t>
        </is>
      </c>
      <c r="K201" s="7" t="inlineStr">
        <is>
          <t>link</t>
        </is>
      </c>
      <c r="L201" s="7" t="inlineStr">
        <is>
          <t>link</t>
        </is>
      </c>
      <c r="M201" s="5" t="inlineStr"/>
      <c r="N201" s="5" t="inlineStr"/>
      <c r="O201" s="5" t="inlineStr"/>
      <c r="P201" s="5" t="inlineStr"/>
      <c r="Q201" s="5" t="inlineStr"/>
      <c r="R201" s="5" t="inlineStr">
        <is>
          <t>2 English, DOI or PubMed link</t>
        </is>
      </c>
      <c r="S201" s="5" t="inlineStr"/>
      <c r="T201" s="5" t="inlineStr">
        <is>
          <t>WS0616.pdf</t>
        </is>
      </c>
      <c r="U201" s="8" t="n"/>
      <c r="V201" s="8" t="n"/>
      <c r="W201" s="8" t="n"/>
      <c r="X201" s="8" t="n"/>
      <c r="Y201" s="8" t="n"/>
      <c r="Z201" s="8" t="n"/>
      <c r="AA201" s="8" t="n"/>
      <c r="AB201" s="8" t="n"/>
      <c r="AC201" s="8" t="n"/>
      <c r="AD201" s="8" t="n"/>
      <c r="AE201" s="8" t="inlineStr">
        <is>
          <t>yes</t>
        </is>
      </c>
    </row>
    <row r="202">
      <c r="A202" s="5" t="n">
        <v>201</v>
      </c>
      <c r="B202" s="5" t="inlineStr">
        <is>
          <t>WS0619</t>
        </is>
      </c>
      <c r="C202" s="5" t="inlineStr">
        <is>
          <t>2007</t>
        </is>
      </c>
      <c r="D202" s="5" t="inlineStr">
        <is>
          <t>English</t>
        </is>
      </c>
      <c r="E202" s="5" t="inlineStr">
        <is>
          <t>JOUR</t>
        </is>
      </c>
      <c r="F202" s="5" t="inlineStr">
        <is>
          <t>Falchetti</t>
        </is>
      </c>
      <c r="G202" s="5" t="inlineStr">
        <is>
          <t>Journal of pediatric surgery</t>
        </is>
      </c>
      <c r="H202" s="5" t="inlineStr">
        <is>
          <t>42(8):1457-9</t>
        </is>
      </c>
      <c r="I202" s="6" t="inlineStr">
        <is>
          <t>Splenic cyst in a wandering spleen: laparoscopic treatment with preservation of splenic function.</t>
        </is>
      </c>
      <c r="J202" s="5" t="inlineStr">
        <is>
          <t>10.1016/j.jpedsurg.2007.03.063</t>
        </is>
      </c>
      <c r="K202" s="7" t="inlineStr">
        <is>
          <t>link</t>
        </is>
      </c>
      <c r="L202" s="7" t="inlineStr">
        <is>
          <t>link</t>
        </is>
      </c>
      <c r="M202" s="5" t="inlineStr"/>
      <c r="N202" s="5" t="inlineStr"/>
      <c r="O202" s="5" t="inlineStr"/>
      <c r="P202" s="5" t="inlineStr"/>
      <c r="Q202" s="5" t="inlineStr"/>
      <c r="R202" s="5" t="inlineStr">
        <is>
          <t>2 English, DOI or PubMed link</t>
        </is>
      </c>
      <c r="S202" s="5" t="inlineStr"/>
      <c r="T202" s="5" t="inlineStr">
        <is>
          <t>WS0619.pdf</t>
        </is>
      </c>
      <c r="U202" s="8" t="n"/>
      <c r="V202" s="8" t="n"/>
      <c r="W202" s="8" t="n"/>
      <c r="X202" s="8" t="n"/>
      <c r="Y202" s="8" t="n"/>
      <c r="Z202" s="8" t="n"/>
      <c r="AA202" s="8" t="n"/>
      <c r="AB202" s="8" t="n"/>
      <c r="AC202" s="8" t="n"/>
      <c r="AD202" s="8" t="n"/>
      <c r="AE202" s="8" t="inlineStr">
        <is>
          <t>yes</t>
        </is>
      </c>
    </row>
    <row r="203">
      <c r="A203" s="5" t="n">
        <v>202</v>
      </c>
      <c r="B203" s="5" t="inlineStr">
        <is>
          <t>WS0623</t>
        </is>
      </c>
      <c r="C203" s="5" t="inlineStr">
        <is>
          <t>2007</t>
        </is>
      </c>
      <c r="D203" s="5" t="inlineStr">
        <is>
          <t>English</t>
        </is>
      </c>
      <c r="E203" s="5" t="inlineStr">
        <is>
          <t>JOUR</t>
        </is>
      </c>
      <c r="F203" s="5" t="inlineStr">
        <is>
          <t>Upadhyaya</t>
        </is>
      </c>
      <c r="G203" s="5" t="inlineStr">
        <is>
          <t>Journal of pediatric surgery</t>
        </is>
      </c>
      <c r="H203" s="5" t="inlineStr">
        <is>
          <t>42(5):E23-7</t>
        </is>
      </c>
      <c r="I203" s="6" t="inlineStr">
        <is>
          <t>Laparoscopic splenopexy and cystectomy for an enlarged wandering spleen and splenic cyst.</t>
        </is>
      </c>
      <c r="J203" s="5" t="inlineStr">
        <is>
          <t>10.1016/j.jpedsurg.2007.03.001</t>
        </is>
      </c>
      <c r="K203" s="7" t="inlineStr">
        <is>
          <t>link</t>
        </is>
      </c>
      <c r="L203" s="7" t="inlineStr">
        <is>
          <t>link</t>
        </is>
      </c>
      <c r="M203" s="5" t="inlineStr"/>
      <c r="N203" s="5" t="inlineStr"/>
      <c r="O203" s="5" t="inlineStr"/>
      <c r="P203" s="5" t="inlineStr"/>
      <c r="Q203" s="5" t="inlineStr"/>
      <c r="R203" s="5" t="inlineStr">
        <is>
          <t>2 English, DOI or PubMed link</t>
        </is>
      </c>
      <c r="S203" s="5" t="inlineStr"/>
      <c r="T203" s="5" t="inlineStr">
        <is>
          <t>WS0623.pdf</t>
        </is>
      </c>
      <c r="U203" s="8" t="n"/>
      <c r="V203" s="8" t="n"/>
      <c r="W203" s="8" t="n"/>
      <c r="X203" s="8" t="n"/>
      <c r="Y203" s="8" t="n"/>
      <c r="Z203" s="8" t="n"/>
      <c r="AA203" s="8" t="n"/>
      <c r="AB203" s="8" t="n"/>
      <c r="AC203" s="8" t="n"/>
      <c r="AD203" s="8" t="n"/>
      <c r="AE203" s="8" t="inlineStr">
        <is>
          <t>yes</t>
        </is>
      </c>
    </row>
    <row r="204">
      <c r="A204" s="5" t="n">
        <v>203</v>
      </c>
      <c r="B204" s="5" t="inlineStr">
        <is>
          <t>WS0624</t>
        </is>
      </c>
      <c r="C204" s="5" t="inlineStr">
        <is>
          <t>2007</t>
        </is>
      </c>
      <c r="D204" s="5" t="inlineStr">
        <is>
          <t>English</t>
        </is>
      </c>
      <c r="E204" s="5" t="inlineStr">
        <is>
          <t>JOUR</t>
        </is>
      </c>
      <c r="F204" s="5" t="inlineStr">
        <is>
          <t>Lacreuse</t>
        </is>
      </c>
      <c r="G204" s="5" t="inlineStr">
        <is>
          <t>Journal of laparoendoscopic &amp; advanced surgical techniques. Part A</t>
        </is>
      </c>
      <c r="H204" s="5" t="inlineStr">
        <is>
          <t>17(2):255-7</t>
        </is>
      </c>
      <c r="I204" s="6" t="inlineStr">
        <is>
          <t>Laparoscopic splenopexy for a wandering spleen in a child.</t>
        </is>
      </c>
      <c r="J204" s="5" t="inlineStr">
        <is>
          <t>10.1089/lap.2006.0005</t>
        </is>
      </c>
      <c r="K204" s="7" t="inlineStr">
        <is>
          <t>link</t>
        </is>
      </c>
      <c r="L204" s="7" t="inlineStr">
        <is>
          <t>link</t>
        </is>
      </c>
      <c r="M204" s="5" t="inlineStr"/>
      <c r="N204" s="5" t="inlineStr"/>
      <c r="O204" s="5" t="inlineStr"/>
      <c r="P204" s="5" t="inlineStr"/>
      <c r="Q204" s="5" t="inlineStr"/>
      <c r="R204" s="5" t="inlineStr">
        <is>
          <t>2 English, DOI or PubMed link</t>
        </is>
      </c>
      <c r="S204" s="5" t="inlineStr"/>
      <c r="T204" s="5" t="inlineStr">
        <is>
          <t>WS0624.pdf</t>
        </is>
      </c>
      <c r="U204" s="8" t="n"/>
      <c r="V204" s="8" t="n"/>
      <c r="W204" s="8" t="n"/>
      <c r="X204" s="8" t="n"/>
      <c r="Y204" s="8" t="n"/>
      <c r="Z204" s="8" t="n"/>
      <c r="AA204" s="8" t="n"/>
      <c r="AB204" s="8" t="n"/>
      <c r="AC204" s="8" t="n"/>
      <c r="AD204" s="8" t="n"/>
      <c r="AE204" s="8" t="inlineStr">
        <is>
          <t>yes</t>
        </is>
      </c>
    </row>
    <row r="205">
      <c r="A205" s="5" t="n">
        <v>204</v>
      </c>
      <c r="B205" s="5" t="inlineStr">
        <is>
          <t>WS0630</t>
        </is>
      </c>
      <c r="C205" s="5" t="inlineStr">
        <is>
          <t>2007</t>
        </is>
      </c>
      <c r="D205" s="5" t="inlineStr">
        <is>
          <t>English</t>
        </is>
      </c>
      <c r="E205" s="5" t="inlineStr">
        <is>
          <t>JOUR</t>
        </is>
      </c>
      <c r="F205" s="5" t="inlineStr">
        <is>
          <t>Soleimani</t>
        </is>
      </c>
      <c r="G205" s="5" t="inlineStr">
        <is>
          <t>Surgery today</t>
        </is>
      </c>
      <c r="H205" s="5" t="inlineStr">
        <is>
          <t>37(3):261-9</t>
        </is>
      </c>
      <c r="I205" s="6" t="inlineStr">
        <is>
          <t>Surgical treatment of patients with wandering spleen: report of six cases with a review of the literature.</t>
        </is>
      </c>
      <c r="J205" s="5" t="inlineStr">
        <is>
          <t>10.1007/s00595-006-3389-0</t>
        </is>
      </c>
      <c r="K205" s="7" t="inlineStr">
        <is>
          <t>link</t>
        </is>
      </c>
      <c r="L205" s="7" t="inlineStr">
        <is>
          <t>link</t>
        </is>
      </c>
      <c r="M205" s="5" t="inlineStr"/>
      <c r="N205" s="5" t="inlineStr"/>
      <c r="O205" s="5" t="inlineStr"/>
      <c r="P205" s="5" t="inlineStr"/>
      <c r="Q205" s="5" t="inlineStr"/>
      <c r="R205" s="5" t="inlineStr">
        <is>
          <t>2 English, DOI or PubMed link</t>
        </is>
      </c>
      <c r="S205" s="5" t="inlineStr"/>
      <c r="T205" s="5" t="inlineStr">
        <is>
          <t>WS0630.pdf</t>
        </is>
      </c>
      <c r="U205" s="8" t="n"/>
      <c r="V205" s="8" t="n"/>
      <c r="W205" s="8" t="n"/>
      <c r="X205" s="8" t="n"/>
      <c r="Y205" s="8" t="n"/>
      <c r="Z205" s="8" t="n"/>
      <c r="AA205" s="8" t="n"/>
      <c r="AB205" s="8" t="n"/>
      <c r="AC205" s="8" t="n"/>
      <c r="AD205" s="8" t="n"/>
      <c r="AE205" s="8" t="inlineStr">
        <is>
          <t>yes</t>
        </is>
      </c>
    </row>
    <row r="206">
      <c r="A206" s="5" t="n">
        <v>205</v>
      </c>
      <c r="B206" s="5" t="inlineStr">
        <is>
          <t>WS0632</t>
        </is>
      </c>
      <c r="C206" s="5" t="inlineStr">
        <is>
          <t>2007</t>
        </is>
      </c>
      <c r="D206" s="5" t="inlineStr">
        <is>
          <t>English</t>
        </is>
      </c>
      <c r="E206" s="5" t="inlineStr">
        <is>
          <t>JOUR</t>
        </is>
      </c>
      <c r="F206" s="5" t="inlineStr">
        <is>
          <t>Kulkarni</t>
        </is>
      </c>
      <c r="G206" s="5" t="inlineStr">
        <is>
          <t>Indian journal of pediatrics</t>
        </is>
      </c>
      <c r="H206" s="5" t="inlineStr">
        <is>
          <t>74(2):202-5</t>
        </is>
      </c>
      <c r="I206" s="6" t="inlineStr">
        <is>
          <t>Eventration of the diaphragm and associations.</t>
        </is>
      </c>
      <c r="J206" s="5" t="inlineStr">
        <is>
          <t>10.1007/s12098-007-0018-x</t>
        </is>
      </c>
      <c r="K206" s="7" t="inlineStr">
        <is>
          <t>link</t>
        </is>
      </c>
      <c r="L206" s="7" t="inlineStr">
        <is>
          <t>link</t>
        </is>
      </c>
      <c r="M206" s="5" t="inlineStr"/>
      <c r="N206" s="5" t="inlineStr"/>
      <c r="O206" s="5" t="inlineStr"/>
      <c r="P206" s="5" t="inlineStr"/>
      <c r="Q206" s="5" t="inlineStr"/>
      <c r="R206" s="5" t="inlineStr">
        <is>
          <t>2 English, DOI or PubMed link</t>
        </is>
      </c>
      <c r="S206" s="5" t="inlineStr"/>
      <c r="T206" s="5" t="inlineStr">
        <is>
          <t>WS0632.pdf</t>
        </is>
      </c>
      <c r="U206" s="8" t="n"/>
      <c r="V206" s="8" t="n"/>
      <c r="W206" s="8" t="n"/>
      <c r="X206" s="8" t="n"/>
      <c r="Y206" s="8" t="n"/>
      <c r="Z206" s="8" t="n"/>
      <c r="AA206" s="8" t="n"/>
      <c r="AB206" s="8" t="n"/>
      <c r="AC206" s="8" t="n"/>
      <c r="AD206" s="8" t="n"/>
      <c r="AE206" s="8" t="inlineStr">
        <is>
          <t>yes</t>
        </is>
      </c>
    </row>
    <row r="207">
      <c r="A207" s="5" t="n">
        <v>206</v>
      </c>
      <c r="B207" s="5" t="inlineStr">
        <is>
          <t>WS0634</t>
        </is>
      </c>
      <c r="C207" s="5" t="inlineStr">
        <is>
          <t>2007</t>
        </is>
      </c>
      <c r="D207" s="5" t="inlineStr">
        <is>
          <t>English</t>
        </is>
      </c>
      <c r="E207" s="5" t="inlineStr">
        <is>
          <t>JOUR</t>
        </is>
      </c>
      <c r="F207" s="5" t="inlineStr">
        <is>
          <t>Safioleas</t>
        </is>
      </c>
      <c r="G207" s="5" t="inlineStr">
        <is>
          <t>Saudi medical journal</t>
        </is>
      </c>
      <c r="H207" s="5" t="inlineStr">
        <is>
          <t>28(1):135-6</t>
        </is>
      </c>
      <c r="I207" s="6" t="inlineStr">
        <is>
          <t>Wandering spleen with torsion of the pedicle.</t>
        </is>
      </c>
      <c r="J207" s="5" t="inlineStr"/>
      <c r="K207" s="5" t="inlineStr"/>
      <c r="L207" s="7" t="inlineStr">
        <is>
          <t>link</t>
        </is>
      </c>
      <c r="M207" s="5" t="inlineStr"/>
      <c r="N207" s="5" t="inlineStr"/>
      <c r="O207" s="5" t="inlineStr"/>
      <c r="P207" s="5" t="inlineStr"/>
      <c r="Q207" s="5" t="inlineStr"/>
      <c r="R207" s="5" t="inlineStr">
        <is>
          <t>2 English, DOI or PubMed link</t>
        </is>
      </c>
      <c r="S207" s="5" t="inlineStr"/>
      <c r="T207" s="5" t="inlineStr">
        <is>
          <t>WS0634.pdf</t>
        </is>
      </c>
      <c r="U207" s="8" t="n"/>
      <c r="V207" s="8" t="n"/>
      <c r="W207" s="8" t="n"/>
      <c r="X207" s="8" t="n"/>
      <c r="Y207" s="8" t="n"/>
      <c r="Z207" s="8" t="n"/>
      <c r="AA207" s="8" t="n"/>
      <c r="AB207" s="8" t="n"/>
      <c r="AC207" s="8" t="n"/>
      <c r="AD207" s="8" t="n"/>
      <c r="AE207" s="8" t="inlineStr">
        <is>
          <t>yes</t>
        </is>
      </c>
    </row>
    <row r="208">
      <c r="A208" s="5" t="n">
        <v>207</v>
      </c>
      <c r="B208" s="5" t="inlineStr">
        <is>
          <t>WS1631</t>
        </is>
      </c>
      <c r="C208" s="5" t="inlineStr">
        <is>
          <t>2007</t>
        </is>
      </c>
      <c r="D208" s="5" t="inlineStr">
        <is>
          <t>English</t>
        </is>
      </c>
      <c r="E208" s="5" t="inlineStr">
        <is>
          <t>JOUR</t>
        </is>
      </c>
      <c r="F208" s="5" t="inlineStr">
        <is>
          <t>Rajaram</t>
        </is>
      </c>
      <c r="G208" s="5" t="inlineStr">
        <is>
          <t>Journal of Pelvic Medicine and Surgery</t>
        </is>
      </c>
      <c r="H208" s="5" t="inlineStr">
        <is>
          <t>13(6):375-377</t>
        </is>
      </c>
      <c r="I208" s="6" t="inlineStr">
        <is>
          <t>Wandering pelvic spleen presenting as a gynecologic emergency</t>
        </is>
      </c>
      <c r="J208" s="5" t="inlineStr">
        <is>
          <t>10.1097/spv.0b013e31815a5f7a</t>
        </is>
      </c>
      <c r="K208" s="7" t="inlineStr">
        <is>
          <t>link</t>
        </is>
      </c>
      <c r="L208" s="5" t="inlineStr"/>
      <c r="M208" s="5" t="inlineStr"/>
      <c r="N208" s="5" t="inlineStr"/>
      <c r="O208" s="5" t="inlineStr"/>
      <c r="P208" s="5" t="inlineStr"/>
      <c r="Q208" s="7" t="inlineStr">
        <is>
          <t>link</t>
        </is>
      </c>
      <c r="R208" s="5" t="inlineStr">
        <is>
          <t>2 English, DOI or PubMed link</t>
        </is>
      </c>
      <c r="S208" s="5" t="inlineStr"/>
      <c r="T208" s="5" t="inlineStr">
        <is>
          <t>WS1631.pdf</t>
        </is>
      </c>
      <c r="U208" s="8" t="n"/>
      <c r="V208" s="8" t="n"/>
      <c r="W208" s="8" t="n"/>
      <c r="X208" s="8" t="n"/>
      <c r="Y208" s="8" t="n"/>
      <c r="Z208" s="8" t="n"/>
      <c r="AA208" s="8" t="n"/>
      <c r="AB208" s="8" t="n"/>
      <c r="AC208" s="8" t="n"/>
      <c r="AD208" s="8" t="n"/>
      <c r="AE208" s="8" t="inlineStr">
        <is>
          <t>yes</t>
        </is>
      </c>
    </row>
    <row r="209">
      <c r="A209" s="5" t="n">
        <v>208</v>
      </c>
      <c r="B209" s="5" t="inlineStr">
        <is>
          <t>WS1704</t>
        </is>
      </c>
      <c r="C209" s="5" t="inlineStr">
        <is>
          <t>2007</t>
        </is>
      </c>
      <c r="D209" s="5" t="inlineStr">
        <is>
          <t>English</t>
        </is>
      </c>
      <c r="E209" s="5" t="inlineStr">
        <is>
          <t>JOUR</t>
        </is>
      </c>
      <c r="F209" s="5" t="inlineStr">
        <is>
          <t>Singla</t>
        </is>
      </c>
      <c r="G209" s="5" t="inlineStr">
        <is>
          <t>Journal of Indian Association of Pediatric Surgeons</t>
        </is>
      </c>
      <c r="H209" s="5" t="inlineStr">
        <is>
          <t>12(1):30-31</t>
        </is>
      </c>
      <c r="I209" s="6" t="inlineStr">
        <is>
          <t>Torsion in a paediatric wandering spleen: Case report and review of literature</t>
        </is>
      </c>
      <c r="J209" s="5" t="inlineStr">
        <is>
          <t>10.4103/0971-9261.31087</t>
        </is>
      </c>
      <c r="K209" s="7" t="inlineStr">
        <is>
          <t>link</t>
        </is>
      </c>
      <c r="L209" s="5" t="inlineStr"/>
      <c r="M209" s="5" t="inlineStr"/>
      <c r="N209" s="5" t="inlineStr"/>
      <c r="O209" s="5" t="inlineStr"/>
      <c r="P209" s="5" t="inlineStr"/>
      <c r="Q209" s="7" t="inlineStr">
        <is>
          <t>link</t>
        </is>
      </c>
      <c r="R209" s="5" t="inlineStr">
        <is>
          <t>2 English, DOI or PubMed link</t>
        </is>
      </c>
      <c r="S209" s="5" t="inlineStr"/>
      <c r="T209" s="5" t="inlineStr">
        <is>
          <t>WS1704.pdf</t>
        </is>
      </c>
      <c r="U209" s="8" t="n"/>
      <c r="V209" s="8" t="n"/>
      <c r="W209" s="8" t="n"/>
      <c r="X209" s="8" t="n"/>
      <c r="Y209" s="8" t="n"/>
      <c r="Z209" s="8" t="n"/>
      <c r="AA209" s="8" t="n"/>
      <c r="AB209" s="8" t="n"/>
      <c r="AC209" s="8" t="n"/>
      <c r="AD209" s="8" t="n"/>
      <c r="AE209" s="8" t="inlineStr">
        <is>
          <t>yes</t>
        </is>
      </c>
    </row>
    <row r="210">
      <c r="A210" s="5" t="n">
        <v>209</v>
      </c>
      <c r="B210" s="5" t="inlineStr">
        <is>
          <t>WS0638</t>
        </is>
      </c>
      <c r="C210" s="5" t="inlineStr">
        <is>
          <t>2006</t>
        </is>
      </c>
      <c r="D210" s="5" t="inlineStr">
        <is>
          <t>English</t>
        </is>
      </c>
      <c r="E210" s="5" t="inlineStr">
        <is>
          <t>JOUR</t>
        </is>
      </c>
      <c r="F210" s="5" t="inlineStr">
        <is>
          <t>Takayasu</t>
        </is>
      </c>
      <c r="G210" s="5" t="inlineStr">
        <is>
          <t>Surgery today</t>
        </is>
      </c>
      <c r="H210" s="5" t="inlineStr">
        <is>
          <t>36(12):1094-7</t>
        </is>
      </c>
      <c r="I210" s="6" t="inlineStr">
        <is>
          <t>Splenic autotransplantation for a congested and enlarged wandering spleen with torsion: report of a case.</t>
        </is>
      </c>
      <c r="J210" s="5" t="inlineStr">
        <is>
          <t>10.1007/s00595-006-3303-9</t>
        </is>
      </c>
      <c r="K210" s="7" t="inlineStr">
        <is>
          <t>link</t>
        </is>
      </c>
      <c r="L210" s="7" t="inlineStr">
        <is>
          <t>link</t>
        </is>
      </c>
      <c r="M210" s="5" t="inlineStr"/>
      <c r="N210" s="5" t="inlineStr"/>
      <c r="O210" s="5" t="inlineStr"/>
      <c r="P210" s="5" t="inlineStr"/>
      <c r="Q210" s="5" t="inlineStr"/>
      <c r="R210" s="5" t="inlineStr">
        <is>
          <t>2 English, DOI or PubMed link</t>
        </is>
      </c>
      <c r="S210" s="5" t="inlineStr"/>
      <c r="T210" s="5" t="inlineStr">
        <is>
          <t>WS0638.pdf</t>
        </is>
      </c>
      <c r="U210" s="8" t="n"/>
      <c r="V210" s="8" t="n"/>
      <c r="W210" s="8" t="n"/>
      <c r="X210" s="8" t="n"/>
      <c r="Y210" s="8" t="n"/>
      <c r="Z210" s="8" t="n"/>
      <c r="AA210" s="8" t="n"/>
      <c r="AB210" s="8" t="n"/>
      <c r="AC210" s="8" t="n"/>
      <c r="AD210" s="8" t="n"/>
      <c r="AE210" s="8" t="inlineStr">
        <is>
          <t>yes</t>
        </is>
      </c>
    </row>
    <row r="211">
      <c r="A211" s="5" t="n">
        <v>210</v>
      </c>
      <c r="B211" s="5" t="inlineStr">
        <is>
          <t>WS0642</t>
        </is>
      </c>
      <c r="C211" s="5" t="inlineStr">
        <is>
          <t>2006</t>
        </is>
      </c>
      <c r="D211" s="5" t="inlineStr">
        <is>
          <t>English</t>
        </is>
      </c>
      <c r="E211" s="5" t="inlineStr">
        <is>
          <t>JOUR</t>
        </is>
      </c>
      <c r="F211" s="5" t="inlineStr">
        <is>
          <t>Ben Ely</t>
        </is>
      </c>
      <c r="G211" s="5" t="inlineStr">
        <is>
          <t>Clinical radiology</t>
        </is>
      </c>
      <c r="H211" s="5" t="inlineStr">
        <is>
          <t>61(11):954-8</t>
        </is>
      </c>
      <c r="I211" s="6" t="inlineStr">
        <is>
          <t>The wandering spleen: CT findings and possible pitfalls in diagnosis.</t>
        </is>
      </c>
      <c r="J211" s="5" t="inlineStr">
        <is>
          <t>10.1016/j.crad.2006.06.007</t>
        </is>
      </c>
      <c r="K211" s="7" t="inlineStr">
        <is>
          <t>link</t>
        </is>
      </c>
      <c r="L211" s="7" t="inlineStr">
        <is>
          <t>link</t>
        </is>
      </c>
      <c r="M211" s="5" t="inlineStr"/>
      <c r="N211" s="5" t="inlineStr"/>
      <c r="O211" s="5" t="inlineStr"/>
      <c r="P211" s="5" t="inlineStr"/>
      <c r="Q211" s="5" t="inlineStr"/>
      <c r="R211" s="5" t="inlineStr">
        <is>
          <t>2 English, DOI or PubMed link</t>
        </is>
      </c>
      <c r="S211" s="5" t="inlineStr"/>
      <c r="T211" s="5" t="inlineStr">
        <is>
          <t>WS0642.pdf</t>
        </is>
      </c>
      <c r="U211" s="8" t="n"/>
      <c r="V211" s="8" t="n"/>
      <c r="W211" s="8" t="n"/>
      <c r="X211" s="8" t="n"/>
      <c r="Y211" s="8" t="n"/>
      <c r="Z211" s="8" t="n"/>
      <c r="AA211" s="8" t="n"/>
      <c r="AB211" s="8" t="n"/>
      <c r="AC211" s="8" t="n"/>
      <c r="AD211" s="8" t="n"/>
      <c r="AE211" s="8" t="inlineStr">
        <is>
          <t>yes</t>
        </is>
      </c>
    </row>
    <row r="212">
      <c r="A212" s="5" t="n">
        <v>211</v>
      </c>
      <c r="B212" s="5" t="inlineStr">
        <is>
          <t>WS0645</t>
        </is>
      </c>
      <c r="C212" s="5" t="inlineStr">
        <is>
          <t>2006</t>
        </is>
      </c>
      <c r="D212" s="5" t="inlineStr">
        <is>
          <t>English</t>
        </is>
      </c>
      <c r="E212" s="5" t="inlineStr">
        <is>
          <t>JOUR</t>
        </is>
      </c>
      <c r="F212" s="5" t="inlineStr">
        <is>
          <t>Fukuzawa</t>
        </is>
      </c>
      <c r="G212" s="5" t="inlineStr">
        <is>
          <t>Pediatric surgery international</t>
        </is>
      </c>
      <c r="H212" s="5" t="inlineStr">
        <is>
          <t>22(11):931-4</t>
        </is>
      </c>
      <c r="I212" s="6" t="inlineStr">
        <is>
          <t>Laparoscopic splenopexy for wandering spleen: extraperitoneal pocket splenopexy.</t>
        </is>
      </c>
      <c r="J212" s="5" t="inlineStr">
        <is>
          <t>10.1007/s00383-006-1760-2</t>
        </is>
      </c>
      <c r="K212" s="7" t="inlineStr">
        <is>
          <t>link</t>
        </is>
      </c>
      <c r="L212" s="7" t="inlineStr">
        <is>
          <t>link</t>
        </is>
      </c>
      <c r="M212" s="5" t="inlineStr"/>
      <c r="N212" s="5" t="inlineStr"/>
      <c r="O212" s="5" t="inlineStr"/>
      <c r="P212" s="5" t="inlineStr"/>
      <c r="Q212" s="5" t="inlineStr"/>
      <c r="R212" s="5" t="inlineStr">
        <is>
          <t>2 English, DOI or PubMed link</t>
        </is>
      </c>
      <c r="S212" s="5" t="inlineStr"/>
      <c r="T212" s="5" t="inlineStr">
        <is>
          <t>WS0645.pdf</t>
        </is>
      </c>
      <c r="U212" s="8" t="n"/>
      <c r="V212" s="8" t="n"/>
      <c r="W212" s="8" t="n"/>
      <c r="X212" s="8" t="n"/>
      <c r="Y212" s="8" t="n"/>
      <c r="Z212" s="8" t="n"/>
      <c r="AA212" s="8" t="n"/>
      <c r="AB212" s="8" t="n"/>
      <c r="AC212" s="8" t="n"/>
      <c r="AD212" s="8" t="n"/>
      <c r="AE212" s="8" t="inlineStr">
        <is>
          <t>yes</t>
        </is>
      </c>
    </row>
    <row r="213">
      <c r="A213" s="5" t="n">
        <v>212</v>
      </c>
      <c r="B213" s="5" t="inlineStr">
        <is>
          <t>WS0653</t>
        </is>
      </c>
      <c r="C213" s="5" t="inlineStr">
        <is>
          <t>2006</t>
        </is>
      </c>
      <c r="D213" s="5" t="inlineStr">
        <is>
          <t>English</t>
        </is>
      </c>
      <c r="E213" s="5" t="inlineStr">
        <is>
          <t>JOUR</t>
        </is>
      </c>
      <c r="F213" s="5" t="inlineStr">
        <is>
          <t>Kleiner</t>
        </is>
      </c>
      <c r="G213" s="5" t="inlineStr">
        <is>
          <t>Journal of laparoendoscopic &amp; advanced surgical techniques. Part A</t>
        </is>
      </c>
      <c r="H213" s="5" t="inlineStr">
        <is>
          <t>16(3):328-30</t>
        </is>
      </c>
      <c r="I213" s="6" t="inlineStr">
        <is>
          <t>Pediatric wandering spleen successfully treated by laparoscopic splenopexy.</t>
        </is>
      </c>
      <c r="J213" s="5" t="inlineStr">
        <is>
          <t>10.1089/lap.2006.16.328</t>
        </is>
      </c>
      <c r="K213" s="7" t="inlineStr">
        <is>
          <t>link</t>
        </is>
      </c>
      <c r="L213" s="7" t="inlineStr">
        <is>
          <t>link</t>
        </is>
      </c>
      <c r="M213" s="5" t="inlineStr"/>
      <c r="N213" s="5" t="inlineStr"/>
      <c r="O213" s="5" t="inlineStr"/>
      <c r="P213" s="5" t="inlineStr"/>
      <c r="Q213" s="5" t="inlineStr"/>
      <c r="R213" s="5" t="inlineStr">
        <is>
          <t>2 English, DOI or PubMed link</t>
        </is>
      </c>
      <c r="S213" s="5" t="inlineStr"/>
      <c r="T213" s="5" t="inlineStr">
        <is>
          <t>WS0653.pdf</t>
        </is>
      </c>
      <c r="U213" s="8" t="n"/>
      <c r="V213" s="8" t="n"/>
      <c r="W213" s="8" t="n"/>
      <c r="X213" s="8" t="n"/>
      <c r="Y213" s="8" t="n"/>
      <c r="Z213" s="8" t="n"/>
      <c r="AA213" s="8" t="n"/>
      <c r="AB213" s="8" t="n"/>
      <c r="AC213" s="8" t="n"/>
      <c r="AD213" s="8" t="n"/>
      <c r="AE213" s="8" t="inlineStr">
        <is>
          <t>yes</t>
        </is>
      </c>
    </row>
    <row r="214">
      <c r="A214" s="5" t="n">
        <v>213</v>
      </c>
      <c r="B214" s="5" t="inlineStr">
        <is>
          <t>WS0656</t>
        </is>
      </c>
      <c r="C214" s="5" t="inlineStr">
        <is>
          <t>2006</t>
        </is>
      </c>
      <c r="D214" s="5" t="inlineStr">
        <is>
          <t>English</t>
        </is>
      </c>
      <c r="E214" s="5" t="inlineStr">
        <is>
          <t>JOUR</t>
        </is>
      </c>
      <c r="F214" s="5" t="inlineStr">
        <is>
          <t>Sinha</t>
        </is>
      </c>
      <c r="G214" s="5" t="inlineStr">
        <is>
          <t>Pediatric surgery international</t>
        </is>
      </c>
      <c r="H214" s="5" t="inlineStr">
        <is>
          <t>22(7):605-7</t>
        </is>
      </c>
      <c r="I214" s="6" t="inlineStr">
        <is>
          <t>Splenoptosis complicated by a large splenic cyst: case report and discussion of combined management.</t>
        </is>
      </c>
      <c r="J214" s="5" t="inlineStr">
        <is>
          <t>10.1007/s00383-006-1673-0</t>
        </is>
      </c>
      <c r="K214" s="7" t="inlineStr">
        <is>
          <t>link</t>
        </is>
      </c>
      <c r="L214" s="7" t="inlineStr">
        <is>
          <t>link</t>
        </is>
      </c>
      <c r="M214" s="5" t="inlineStr"/>
      <c r="N214" s="5" t="inlineStr"/>
      <c r="O214" s="5" t="inlineStr"/>
      <c r="P214" s="5" t="inlineStr"/>
      <c r="Q214" s="5" t="inlineStr"/>
      <c r="R214" s="5" t="inlineStr">
        <is>
          <t>2 English, DOI or PubMed link</t>
        </is>
      </c>
      <c r="S214" s="5" t="inlineStr"/>
      <c r="T214" s="5" t="inlineStr">
        <is>
          <t>WS0656.pdf</t>
        </is>
      </c>
      <c r="U214" s="8" t="n"/>
      <c r="V214" s="8" t="n"/>
      <c r="W214" s="8" t="n"/>
      <c r="X214" s="8" t="n"/>
      <c r="Y214" s="8" t="n"/>
      <c r="Z214" s="8" t="n"/>
      <c r="AA214" s="8" t="n"/>
      <c r="AB214" s="8" t="n"/>
      <c r="AC214" s="8" t="n"/>
      <c r="AD214" s="8" t="n"/>
      <c r="AE214" s="8" t="inlineStr">
        <is>
          <t>yes</t>
        </is>
      </c>
    </row>
    <row r="215">
      <c r="A215" s="5" t="n">
        <v>214</v>
      </c>
      <c r="B215" s="5" t="inlineStr">
        <is>
          <t>WS0658</t>
        </is>
      </c>
      <c r="C215" s="5" t="inlineStr">
        <is>
          <t>2006</t>
        </is>
      </c>
      <c r="D215" s="5" t="inlineStr">
        <is>
          <t>English</t>
        </is>
      </c>
      <c r="E215" s="5" t="inlineStr">
        <is>
          <t>JOUR</t>
        </is>
      </c>
      <c r="F215" s="5" t="inlineStr">
        <is>
          <t>Lopez-Tomassetti Fernandez</t>
        </is>
      </c>
      <c r="G215" s="5" t="inlineStr">
        <is>
          <t>Journal of postgraduate medicine</t>
        </is>
      </c>
      <c r="H215" s="5" t="inlineStr">
        <is>
          <t>52(1):41-2</t>
        </is>
      </c>
      <c r="I215" s="6" t="inlineStr">
        <is>
          <t>An unusual case of hemoperitoneum owing to acute splenic torsion in a child with immunoglobulin deficiency.</t>
        </is>
      </c>
      <c r="J215" s="5" t="inlineStr"/>
      <c r="K215" s="5" t="inlineStr"/>
      <c r="L215" s="7" t="inlineStr">
        <is>
          <t>link</t>
        </is>
      </c>
      <c r="M215" s="5" t="inlineStr"/>
      <c r="N215" s="5" t="inlineStr"/>
      <c r="O215" s="5" t="inlineStr"/>
      <c r="P215" s="5" t="inlineStr"/>
      <c r="Q215" s="5" t="inlineStr"/>
      <c r="R215" s="5" t="inlineStr">
        <is>
          <t>2 English, DOI or PubMed link</t>
        </is>
      </c>
      <c r="S215" s="5" t="inlineStr"/>
      <c r="T215" s="5" t="inlineStr">
        <is>
          <t>WS0658.pdf</t>
        </is>
      </c>
      <c r="U215" s="8" t="n"/>
      <c r="V215" s="8" t="n"/>
      <c r="W215" s="8" t="n"/>
      <c r="X215" s="8" t="n"/>
      <c r="Y215" s="8" t="n"/>
      <c r="Z215" s="8" t="n"/>
      <c r="AA215" s="8" t="n"/>
      <c r="AB215" s="8" t="n"/>
      <c r="AC215" s="8" t="n"/>
      <c r="AD215" s="8" t="n"/>
      <c r="AE215" s="8" t="inlineStr">
        <is>
          <t>yes</t>
        </is>
      </c>
    </row>
    <row r="216">
      <c r="A216" s="5" t="n">
        <v>215</v>
      </c>
      <c r="B216" s="5" t="inlineStr">
        <is>
          <t>WS0660</t>
        </is>
      </c>
      <c r="C216" s="5" t="inlineStr">
        <is>
          <t>2005</t>
        </is>
      </c>
      <c r="D216" s="5" t="inlineStr">
        <is>
          <t>English</t>
        </is>
      </c>
      <c r="E216" s="5" t="inlineStr">
        <is>
          <t>JOUR</t>
        </is>
      </c>
      <c r="F216" s="5" t="inlineStr">
        <is>
          <t>Thambidorai</t>
        </is>
      </c>
      <c r="G216" s="5" t="inlineStr">
        <is>
          <t>The Medical journal of Malaysia</t>
        </is>
      </c>
      <c r="H216" s="5" t="inlineStr">
        <is>
          <t>60(5):653-4</t>
        </is>
      </c>
      <c r="I216" s="6" t="inlineStr">
        <is>
          <t>Torsion of a wandering spleen with whorled appearance of the splenic hilum in CT scan.</t>
        </is>
      </c>
      <c r="J216" s="5" t="inlineStr"/>
      <c r="K216" s="5" t="inlineStr"/>
      <c r="L216" s="7" t="inlineStr">
        <is>
          <t>link</t>
        </is>
      </c>
      <c r="M216" s="5" t="inlineStr"/>
      <c r="N216" s="5" t="inlineStr"/>
      <c r="O216" s="5" t="inlineStr"/>
      <c r="P216" s="5" t="inlineStr"/>
      <c r="Q216" s="5" t="inlineStr"/>
      <c r="R216" s="5" t="inlineStr">
        <is>
          <t>2 English, DOI or PubMed link</t>
        </is>
      </c>
      <c r="S216" s="5" t="inlineStr"/>
      <c r="T216" s="5" t="inlineStr">
        <is>
          <t>WS0660.pdf</t>
        </is>
      </c>
      <c r="U216" s="8" t="n"/>
      <c r="V216" s="8" t="n"/>
      <c r="W216" s="8" t="n"/>
      <c r="X216" s="8" t="n"/>
      <c r="Y216" s="8" t="n"/>
      <c r="Z216" s="8" t="n"/>
      <c r="AA216" s="8" t="n"/>
      <c r="AB216" s="8" t="n"/>
      <c r="AC216" s="8" t="n"/>
      <c r="AD216" s="8" t="n"/>
      <c r="AE216" s="8" t="inlineStr">
        <is>
          <t>yes</t>
        </is>
      </c>
    </row>
    <row r="217">
      <c r="A217" s="5" t="n">
        <v>216</v>
      </c>
      <c r="B217" s="5" t="inlineStr">
        <is>
          <t>WS0663</t>
        </is>
      </c>
      <c r="C217" s="5" t="inlineStr">
        <is>
          <t>2005</t>
        </is>
      </c>
      <c r="D217" s="5" t="inlineStr">
        <is>
          <t>English</t>
        </is>
      </c>
      <c r="E217" s="5" t="inlineStr">
        <is>
          <t>JOUR</t>
        </is>
      </c>
      <c r="F217" s="5" t="inlineStr">
        <is>
          <t>Lin</t>
        </is>
      </c>
      <c r="G217" s="5" t="inlineStr">
        <is>
          <t>Journal of the Formosan Medical Association = Taiwan yi zhi</t>
        </is>
      </c>
      <c r="H217" s="5" t="inlineStr">
        <is>
          <t>104(10):755-8</t>
        </is>
      </c>
      <c r="I217" s="6" t="inlineStr">
        <is>
          <t>Wandering spleen with torsion and gastric volvulus.</t>
        </is>
      </c>
      <c r="J217" s="5" t="inlineStr"/>
      <c r="K217" s="5" t="inlineStr"/>
      <c r="L217" s="7" t="inlineStr">
        <is>
          <t>link</t>
        </is>
      </c>
      <c r="M217" s="5" t="inlineStr"/>
      <c r="N217" s="5" t="inlineStr"/>
      <c r="O217" s="5" t="inlineStr"/>
      <c r="P217" s="5" t="inlineStr"/>
      <c r="Q217" s="5" t="inlineStr"/>
      <c r="R217" s="5" t="inlineStr">
        <is>
          <t>2 English, DOI or PubMed link</t>
        </is>
      </c>
      <c r="S217" s="5" t="inlineStr"/>
      <c r="T217" s="5" t="inlineStr">
        <is>
          <t>WS0663.pdf</t>
        </is>
      </c>
      <c r="U217" s="8" t="n"/>
      <c r="V217" s="8" t="n"/>
      <c r="W217" s="8" t="n"/>
      <c r="X217" s="8" t="n"/>
      <c r="Y217" s="8" t="n"/>
      <c r="Z217" s="8" t="n"/>
      <c r="AA217" s="8" t="n"/>
      <c r="AB217" s="8" t="n"/>
      <c r="AC217" s="8" t="n"/>
      <c r="AD217" s="8" t="n"/>
      <c r="AE217" s="8" t="inlineStr">
        <is>
          <t>yes</t>
        </is>
      </c>
    </row>
    <row r="218">
      <c r="A218" s="5" t="n">
        <v>217</v>
      </c>
      <c r="B218" s="5" t="inlineStr">
        <is>
          <t>WS0664</t>
        </is>
      </c>
      <c r="C218" s="5" t="inlineStr">
        <is>
          <t>2005</t>
        </is>
      </c>
      <c r="D218" s="5" t="inlineStr">
        <is>
          <t>English</t>
        </is>
      </c>
      <c r="E218" s="5" t="inlineStr">
        <is>
          <t>JOUR</t>
        </is>
      </c>
      <c r="F218" s="5" t="inlineStr">
        <is>
          <t>Hedeshian</t>
        </is>
      </c>
      <c r="G218" s="5" t="inlineStr">
        <is>
          <t>Journal of laparoendoscopic &amp; advanced surgical techniques. Part A</t>
        </is>
      </c>
      <c r="H218" s="5" t="inlineStr">
        <is>
          <t>15(6):670-2</t>
        </is>
      </c>
      <c r="I218" s="6" t="inlineStr">
        <is>
          <t>Laparoscopic splenopexy of a pediatric wandering spleen by creation of a retroperitoneal pocket.</t>
        </is>
      </c>
      <c r="J218" s="5" t="inlineStr">
        <is>
          <t>10.1089/lap.2005.15.670</t>
        </is>
      </c>
      <c r="K218" s="7" t="inlineStr">
        <is>
          <t>link</t>
        </is>
      </c>
      <c r="L218" s="7" t="inlineStr">
        <is>
          <t>link</t>
        </is>
      </c>
      <c r="M218" s="5" t="inlineStr"/>
      <c r="N218" s="5" t="inlineStr"/>
      <c r="O218" s="5" t="inlineStr"/>
      <c r="P218" s="5" t="inlineStr"/>
      <c r="Q218" s="5" t="inlineStr"/>
      <c r="R218" s="5" t="inlineStr">
        <is>
          <t>2 English, DOI or PubMed link</t>
        </is>
      </c>
      <c r="S218" s="5" t="inlineStr"/>
      <c r="T218" s="5" t="inlineStr">
        <is>
          <t>WS0664.pdf</t>
        </is>
      </c>
      <c r="U218" s="8" t="n"/>
      <c r="V218" s="8" t="n"/>
      <c r="W218" s="8" t="n"/>
      <c r="X218" s="8" t="n"/>
      <c r="Y218" s="8" t="n"/>
      <c r="Z218" s="8" t="n"/>
      <c r="AA218" s="8" t="n"/>
      <c r="AB218" s="8" t="n"/>
      <c r="AC218" s="8" t="n"/>
      <c r="AD218" s="8" t="n"/>
      <c r="AE218" s="8" t="inlineStr">
        <is>
          <t>yes</t>
        </is>
      </c>
    </row>
    <row r="219">
      <c r="A219" s="5" t="n">
        <v>218</v>
      </c>
      <c r="B219" s="5" t="inlineStr">
        <is>
          <t>WS0668</t>
        </is>
      </c>
      <c r="C219" s="5" t="inlineStr">
        <is>
          <t>2005</t>
        </is>
      </c>
      <c r="D219" s="5" t="inlineStr">
        <is>
          <t>English</t>
        </is>
      </c>
      <c r="E219" s="5" t="inlineStr">
        <is>
          <t>JOUR</t>
        </is>
      </c>
      <c r="F219" s="5" t="inlineStr">
        <is>
          <t>Karmazyn</t>
        </is>
      </c>
      <c r="G219" s="5" t="inlineStr">
        <is>
          <t>Journal of clinical ultrasound : JCU</t>
        </is>
      </c>
      <c r="H219" s="5" t="inlineStr">
        <is>
          <t>33(9):433-8</t>
        </is>
      </c>
      <c r="I219" s="6" t="inlineStr">
        <is>
          <t>Wandering spleen--the challenge of ultrasound diagnosis: report of 7 cases.</t>
        </is>
      </c>
      <c r="J219" s="5" t="inlineStr">
        <is>
          <t>10.1002/jcu.20165</t>
        </is>
      </c>
      <c r="K219" s="7" t="inlineStr">
        <is>
          <t>link</t>
        </is>
      </c>
      <c r="L219" s="7" t="inlineStr">
        <is>
          <t>link</t>
        </is>
      </c>
      <c r="M219" s="5" t="inlineStr"/>
      <c r="N219" s="5" t="inlineStr"/>
      <c r="O219" s="5" t="inlineStr"/>
      <c r="P219" s="5" t="inlineStr"/>
      <c r="Q219" s="5" t="inlineStr"/>
      <c r="R219" s="5" t="inlineStr">
        <is>
          <t>2 English, DOI or PubMed link</t>
        </is>
      </c>
      <c r="S219" s="5" t="inlineStr"/>
      <c r="T219" s="5" t="inlineStr">
        <is>
          <t>WS0668.pdf</t>
        </is>
      </c>
      <c r="U219" s="8" t="n"/>
      <c r="V219" s="8" t="n"/>
      <c r="W219" s="8" t="n"/>
      <c r="X219" s="8" t="n"/>
      <c r="Y219" s="8" t="n"/>
      <c r="Z219" s="8" t="n"/>
      <c r="AA219" s="8" t="n"/>
      <c r="AB219" s="8" t="n"/>
      <c r="AC219" s="8" t="n"/>
      <c r="AD219" s="8" t="n"/>
      <c r="AE219" s="8" t="inlineStr">
        <is>
          <t>yes</t>
        </is>
      </c>
    </row>
    <row r="220">
      <c r="A220" s="5" t="n">
        <v>219</v>
      </c>
      <c r="B220" s="5" t="inlineStr">
        <is>
          <t>WS0669</t>
        </is>
      </c>
      <c r="C220" s="5" t="inlineStr">
        <is>
          <t>2005</t>
        </is>
      </c>
      <c r="D220" s="5" t="inlineStr">
        <is>
          <t>English</t>
        </is>
      </c>
      <c r="E220" s="5" t="inlineStr">
        <is>
          <t>JOUR</t>
        </is>
      </c>
      <c r="F220" s="5" t="inlineStr">
        <is>
          <t>Taori</t>
        </is>
      </c>
      <c r="G220" s="5" t="inlineStr">
        <is>
          <t>The British journal of radiology</t>
        </is>
      </c>
      <c r="H220" s="5" t="inlineStr">
        <is>
          <t>78(935):1050-2</t>
        </is>
      </c>
      <c r="I220" s="6" t="inlineStr">
        <is>
          <t>Pseudocyst formation: a rare complication of wandering spleen.</t>
        </is>
      </c>
      <c r="J220" s="5" t="inlineStr">
        <is>
          <t>10.1259/bjr/33073529</t>
        </is>
      </c>
      <c r="K220" s="7" t="inlineStr">
        <is>
          <t>link</t>
        </is>
      </c>
      <c r="L220" s="7" t="inlineStr">
        <is>
          <t>link</t>
        </is>
      </c>
      <c r="M220" s="5" t="inlineStr"/>
      <c r="N220" s="5" t="inlineStr"/>
      <c r="O220" s="5" t="inlineStr"/>
      <c r="P220" s="5" t="inlineStr"/>
      <c r="Q220" s="5" t="inlineStr"/>
      <c r="R220" s="5" t="inlineStr">
        <is>
          <t>2 English, DOI or PubMed link</t>
        </is>
      </c>
      <c r="S220" s="5" t="inlineStr"/>
      <c r="T220" s="5" t="inlineStr">
        <is>
          <t>WS0669.pdf</t>
        </is>
      </c>
      <c r="U220" s="8" t="n"/>
      <c r="V220" s="8" t="n"/>
      <c r="W220" s="8" t="n"/>
      <c r="X220" s="8" t="n"/>
      <c r="Y220" s="8" t="n"/>
      <c r="Z220" s="8" t="n"/>
      <c r="AA220" s="8" t="n"/>
      <c r="AB220" s="8" t="n"/>
      <c r="AC220" s="8" t="n"/>
      <c r="AD220" s="8" t="n"/>
      <c r="AE220" s="8" t="inlineStr">
        <is>
          <t>yes</t>
        </is>
      </c>
    </row>
    <row r="221">
      <c r="A221" s="5" t="n">
        <v>220</v>
      </c>
      <c r="B221" s="5" t="inlineStr">
        <is>
          <t>WS0678</t>
        </is>
      </c>
      <c r="C221" s="5" t="inlineStr">
        <is>
          <t>2005</t>
        </is>
      </c>
      <c r="D221" s="5" t="inlineStr">
        <is>
          <t>English</t>
        </is>
      </c>
      <c r="E221" s="5" t="inlineStr">
        <is>
          <t>JOUR</t>
        </is>
      </c>
      <c r="F221" s="5" t="inlineStr">
        <is>
          <t>Martinez-Ferro</t>
        </is>
      </c>
      <c r="G221" s="5" t="inlineStr">
        <is>
          <t>Journal of pediatric surgery</t>
        </is>
      </c>
      <c r="H221" s="5" t="inlineStr">
        <is>
          <t>40(5):882-4</t>
        </is>
      </c>
      <c r="I221" s="6" t="inlineStr">
        <is>
          <t>Laparoscopic pocket splenopexy for wandering spleen: a case report.</t>
        </is>
      </c>
      <c r="J221" s="5" t="inlineStr">
        <is>
          <t>10.1016/j.jpedsurg.2005.02.009</t>
        </is>
      </c>
      <c r="K221" s="7" t="inlineStr">
        <is>
          <t>link</t>
        </is>
      </c>
      <c r="L221" s="7" t="inlineStr">
        <is>
          <t>link</t>
        </is>
      </c>
      <c r="M221" s="5" t="inlineStr"/>
      <c r="N221" s="5" t="inlineStr"/>
      <c r="O221" s="5" t="inlineStr"/>
      <c r="P221" s="5" t="inlineStr"/>
      <c r="Q221" s="5" t="inlineStr"/>
      <c r="R221" s="5" t="inlineStr">
        <is>
          <t>2 English, DOI or PubMed link</t>
        </is>
      </c>
      <c r="S221" s="5" t="inlineStr"/>
      <c r="T221" s="5" t="inlineStr">
        <is>
          <t>WS0678.pdf</t>
        </is>
      </c>
      <c r="U221" s="8" t="n"/>
      <c r="V221" s="8" t="n"/>
      <c r="W221" s="8" t="n"/>
      <c r="X221" s="8" t="n"/>
      <c r="Y221" s="8" t="n"/>
      <c r="Z221" s="8" t="n"/>
      <c r="AA221" s="8" t="n"/>
      <c r="AB221" s="8" t="n"/>
      <c r="AC221" s="8" t="n"/>
      <c r="AD221" s="8" t="n"/>
      <c r="AE221" s="8" t="inlineStr">
        <is>
          <t>yes</t>
        </is>
      </c>
    </row>
    <row r="222">
      <c r="A222" s="5" t="n">
        <v>221</v>
      </c>
      <c r="B222" s="5" t="inlineStr">
        <is>
          <t>WS0681</t>
        </is>
      </c>
      <c r="C222" s="5" t="inlineStr">
        <is>
          <t>2005</t>
        </is>
      </c>
      <c r="D222" s="5" t="inlineStr">
        <is>
          <t>English</t>
        </is>
      </c>
      <c r="E222" s="5" t="inlineStr">
        <is>
          <t>JOUR</t>
        </is>
      </c>
      <c r="F222" s="5" t="inlineStr">
        <is>
          <t>Esposito</t>
        </is>
      </c>
      <c r="G222" s="5" t="inlineStr">
        <is>
          <t>Pediatric surgery international</t>
        </is>
      </c>
      <c r="H222" s="5" t="inlineStr">
        <is>
          <t>21(6):488-90</t>
        </is>
      </c>
      <c r="I222" s="6" t="inlineStr">
        <is>
          <t>Enlarged wandering spleen treated with hemisplenectomy and fixation of the residual spleen.</t>
        </is>
      </c>
      <c r="J222" s="5" t="inlineStr">
        <is>
          <t>10.1007/s00383-005-1403-z</t>
        </is>
      </c>
      <c r="K222" s="7" t="inlineStr">
        <is>
          <t>link</t>
        </is>
      </c>
      <c r="L222" s="7" t="inlineStr">
        <is>
          <t>link</t>
        </is>
      </c>
      <c r="M222" s="5" t="inlineStr"/>
      <c r="N222" s="5" t="inlineStr"/>
      <c r="O222" s="5" t="inlineStr"/>
      <c r="P222" s="5" t="inlineStr"/>
      <c r="Q222" s="5" t="inlineStr"/>
      <c r="R222" s="5" t="inlineStr">
        <is>
          <t>2 English, DOI or PubMed link</t>
        </is>
      </c>
      <c r="S222" s="5" t="inlineStr"/>
      <c r="T222" s="5" t="inlineStr">
        <is>
          <t>WS0681.pdf</t>
        </is>
      </c>
      <c r="U222" s="8" t="n"/>
      <c r="V222" s="8" t="n"/>
      <c r="W222" s="8" t="n"/>
      <c r="X222" s="8" t="n"/>
      <c r="Y222" s="8" t="n"/>
      <c r="Z222" s="8" t="n"/>
      <c r="AA222" s="8" t="n"/>
      <c r="AB222" s="8" t="n"/>
      <c r="AC222" s="8" t="n"/>
      <c r="AD222" s="8" t="n"/>
      <c r="AE222" s="8" t="inlineStr">
        <is>
          <t>yes</t>
        </is>
      </c>
    </row>
    <row r="223">
      <c r="A223" s="5" t="n">
        <v>222</v>
      </c>
      <c r="B223" s="5" t="inlineStr">
        <is>
          <t>WS0683</t>
        </is>
      </c>
      <c r="C223" s="5" t="inlineStr">
        <is>
          <t>2005</t>
        </is>
      </c>
      <c r="D223" s="5" t="inlineStr">
        <is>
          <t>English</t>
        </is>
      </c>
      <c r="E223" s="5" t="inlineStr">
        <is>
          <t>JOUR</t>
        </is>
      </c>
      <c r="F223" s="5" t="inlineStr">
        <is>
          <t>Schaarschmidt</t>
        </is>
      </c>
      <c r="G223" s="5" t="inlineStr">
        <is>
          <t>Journal of pediatric surgery</t>
        </is>
      </c>
      <c r="H223" s="5" t="inlineStr">
        <is>
          <t>40(3):575-7</t>
        </is>
      </c>
      <c r="I223" s="6" t="inlineStr">
        <is>
          <t>The technique of laparoscopic retroperitoneal splenopexy for symptomatic wandering spleen in childhood.</t>
        </is>
      </c>
      <c r="J223" s="5" t="inlineStr">
        <is>
          <t>10.1016/j.jpedsurg.2004.11.020</t>
        </is>
      </c>
      <c r="K223" s="7" t="inlineStr">
        <is>
          <t>link</t>
        </is>
      </c>
      <c r="L223" s="7" t="inlineStr">
        <is>
          <t>link</t>
        </is>
      </c>
      <c r="M223" s="5" t="inlineStr"/>
      <c r="N223" s="5" t="inlineStr"/>
      <c r="O223" s="5" t="inlineStr"/>
      <c r="P223" s="5" t="inlineStr"/>
      <c r="Q223" s="5" t="inlineStr"/>
      <c r="R223" s="5" t="inlineStr">
        <is>
          <t>2 English, DOI or PubMed link</t>
        </is>
      </c>
      <c r="S223" s="5" t="inlineStr"/>
      <c r="T223" s="5" t="inlineStr">
        <is>
          <t>WS0683.pdf</t>
        </is>
      </c>
      <c r="U223" s="8" t="n"/>
      <c r="V223" s="8" t="n"/>
      <c r="W223" s="8" t="n"/>
      <c r="X223" s="8" t="n"/>
      <c r="Y223" s="8" t="n"/>
      <c r="Z223" s="8" t="n"/>
      <c r="AA223" s="8" t="n"/>
      <c r="AB223" s="8" t="n"/>
      <c r="AC223" s="8" t="n"/>
      <c r="AD223" s="8" t="n"/>
      <c r="AE223" s="8" t="inlineStr">
        <is>
          <t>yes</t>
        </is>
      </c>
    </row>
    <row r="224">
      <c r="A224" s="5" t="n">
        <v>223</v>
      </c>
      <c r="B224" s="5" t="inlineStr">
        <is>
          <t>WS0686</t>
        </is>
      </c>
      <c r="C224" s="5" t="inlineStr">
        <is>
          <t>2005</t>
        </is>
      </c>
      <c r="D224" s="5" t="inlineStr">
        <is>
          <t>English</t>
        </is>
      </c>
      <c r="E224" s="5" t="inlineStr">
        <is>
          <t>JOUR</t>
        </is>
      </c>
      <c r="F224" s="5" t="inlineStr">
        <is>
          <t>Breisch</t>
        </is>
      </c>
      <c r="G224" s="5" t="inlineStr">
        <is>
          <t>Pediatric and developmental pathology : the official journal of the Society for Pediatric Pathology and the Paediatric Pathology Society</t>
        </is>
      </c>
      <c r="H224" s="5" t="inlineStr">
        <is>
          <t>8(1):132-5</t>
        </is>
      </c>
      <c r="I224" s="6" t="inlineStr">
        <is>
          <t>Autoinfarcted wandering spleen and fatal pneumococcal sepsis in an infant.</t>
        </is>
      </c>
      <c r="J224" s="5" t="inlineStr">
        <is>
          <t>10.1007/s10024-004-7082-2</t>
        </is>
      </c>
      <c r="K224" s="7" t="inlineStr">
        <is>
          <t>link</t>
        </is>
      </c>
      <c r="L224" s="7" t="inlineStr">
        <is>
          <t>link</t>
        </is>
      </c>
      <c r="M224" s="5" t="inlineStr"/>
      <c r="N224" s="5" t="inlineStr"/>
      <c r="O224" s="5" t="inlineStr"/>
      <c r="P224" s="5" t="inlineStr"/>
      <c r="Q224" s="5" t="inlineStr"/>
      <c r="R224" s="5" t="inlineStr">
        <is>
          <t>2 English, DOI or PubMed link</t>
        </is>
      </c>
      <c r="S224" s="5" t="inlineStr"/>
      <c r="T224" s="5" t="inlineStr">
        <is>
          <t>WS0686.pdf</t>
        </is>
      </c>
      <c r="U224" s="8" t="n"/>
      <c r="V224" s="8" t="n"/>
      <c r="W224" s="8" t="n"/>
      <c r="X224" s="8" t="n"/>
      <c r="Y224" s="8" t="n"/>
      <c r="Z224" s="8" t="n"/>
      <c r="AA224" s="8" t="n"/>
      <c r="AB224" s="8" t="n"/>
      <c r="AC224" s="8" t="n"/>
      <c r="AD224" s="8" t="n"/>
      <c r="AE224" s="8" t="inlineStr">
        <is>
          <t>yes</t>
        </is>
      </c>
    </row>
    <row r="225">
      <c r="A225" s="5" t="n">
        <v>224</v>
      </c>
      <c r="B225" s="5" t="inlineStr">
        <is>
          <t>WS0691</t>
        </is>
      </c>
      <c r="C225" s="5" t="inlineStr">
        <is>
          <t>2004</t>
        </is>
      </c>
      <c r="D225" s="5" t="inlineStr">
        <is>
          <t>English</t>
        </is>
      </c>
      <c r="E225" s="5" t="inlineStr">
        <is>
          <t>JOUR</t>
        </is>
      </c>
      <c r="F225" s="5" t="inlineStr">
        <is>
          <t>Melissas</t>
        </is>
      </c>
      <c r="G225" s="5" t="inlineStr">
        <is>
          <t>Acta chirurgica Belgica</t>
        </is>
      </c>
      <c r="H225" s="5" t="inlineStr">
        <is>
          <t>104(5):559-63</t>
        </is>
      </c>
      <c r="I225" s="6" t="inlineStr">
        <is>
          <t>Experience with benign splenic disease.</t>
        </is>
      </c>
      <c r="J225" s="5" t="inlineStr">
        <is>
          <t>10.1080/00015458.2004.11679614</t>
        </is>
      </c>
      <c r="K225" s="7" t="inlineStr">
        <is>
          <t>link</t>
        </is>
      </c>
      <c r="L225" s="7" t="inlineStr">
        <is>
          <t>link</t>
        </is>
      </c>
      <c r="M225" s="5" t="inlineStr"/>
      <c r="N225" s="5" t="inlineStr"/>
      <c r="O225" s="5" t="inlineStr"/>
      <c r="P225" s="5" t="inlineStr"/>
      <c r="Q225" s="5" t="inlineStr"/>
      <c r="R225" s="5" t="inlineStr">
        <is>
          <t>2 English, DOI or PubMed link</t>
        </is>
      </c>
      <c r="S225" s="5" t="inlineStr"/>
      <c r="T225" s="5" t="inlineStr">
        <is>
          <t>WS0691.pdf</t>
        </is>
      </c>
      <c r="U225" s="8" t="n"/>
      <c r="V225" s="8" t="n"/>
      <c r="W225" s="8" t="n"/>
      <c r="X225" s="8" t="n"/>
      <c r="Y225" s="8" t="n"/>
      <c r="Z225" s="8" t="n"/>
      <c r="AA225" s="8" t="n"/>
      <c r="AB225" s="8" t="n"/>
      <c r="AC225" s="8" t="n"/>
      <c r="AD225" s="8" t="n"/>
      <c r="AE225" s="8" t="inlineStr">
        <is>
          <t>yes</t>
        </is>
      </c>
    </row>
    <row r="226">
      <c r="A226" s="5" t="n">
        <v>225</v>
      </c>
      <c r="B226" s="5" t="inlineStr">
        <is>
          <t>WS0694</t>
        </is>
      </c>
      <c r="C226" s="5" t="inlineStr">
        <is>
          <t>2004</t>
        </is>
      </c>
      <c r="D226" s="5" t="inlineStr">
        <is>
          <t>English</t>
        </is>
      </c>
      <c r="E226" s="5" t="inlineStr">
        <is>
          <t>JOUR</t>
        </is>
      </c>
      <c r="F226" s="5" t="inlineStr">
        <is>
          <t>Hussain</t>
        </is>
      </c>
      <c r="G226" s="5" t="inlineStr">
        <is>
          <t>Journal of the College of Physicians and Surgeons--Pakistan : JCPSP</t>
        </is>
      </c>
      <c r="H226" s="5" t="inlineStr">
        <is>
          <t>14(8):496-8</t>
        </is>
      </c>
      <c r="I226" s="6" t="inlineStr">
        <is>
          <t>Pelvic spleen with uterovaginal prolapse.</t>
        </is>
      </c>
      <c r="J226" s="5" t="inlineStr"/>
      <c r="K226" s="5" t="inlineStr"/>
      <c r="L226" s="7" t="inlineStr">
        <is>
          <t>link</t>
        </is>
      </c>
      <c r="M226" s="5" t="inlineStr"/>
      <c r="N226" s="5" t="inlineStr"/>
      <c r="O226" s="5" t="inlineStr"/>
      <c r="P226" s="5" t="inlineStr"/>
      <c r="Q226" s="5" t="inlineStr"/>
      <c r="R226" s="5" t="inlineStr">
        <is>
          <t>2 English, DOI or PubMed link</t>
        </is>
      </c>
      <c r="S226" s="5" t="inlineStr"/>
      <c r="T226" s="5" t="inlineStr">
        <is>
          <t>WS0694.pdf</t>
        </is>
      </c>
      <c r="U226" s="8" t="n"/>
      <c r="V226" s="8" t="n"/>
      <c r="W226" s="8" t="n"/>
      <c r="X226" s="8" t="n"/>
      <c r="Y226" s="8" t="n"/>
      <c r="Z226" s="8" t="n"/>
      <c r="AA226" s="8" t="n"/>
      <c r="AB226" s="8" t="n"/>
      <c r="AC226" s="8" t="n"/>
      <c r="AD226" s="8" t="n"/>
      <c r="AE226" s="8" t="inlineStr">
        <is>
          <t>yes</t>
        </is>
      </c>
    </row>
    <row r="227">
      <c r="A227" s="5" t="n">
        <v>226</v>
      </c>
      <c r="B227" s="5" t="inlineStr">
        <is>
          <t>WS0696</t>
        </is>
      </c>
      <c r="C227" s="5" t="inlineStr">
        <is>
          <t>2004</t>
        </is>
      </c>
      <c r="D227" s="5" t="inlineStr">
        <is>
          <t>English</t>
        </is>
      </c>
      <c r="E227" s="5" t="inlineStr">
        <is>
          <t>JOUR</t>
        </is>
      </c>
      <c r="F227" s="5" t="inlineStr">
        <is>
          <t>Hosgor</t>
        </is>
      </c>
      <c r="G227" s="5" t="inlineStr">
        <is>
          <t>Journal of pediatric surgery</t>
        </is>
      </c>
      <c r="H227" s="5" t="inlineStr">
        <is>
          <t>39(7):1073-6</t>
        </is>
      </c>
      <c r="I227" s="6" t="inlineStr">
        <is>
          <t>Associated malformations in delayed presentation of congenital diaphragmatic hernia.</t>
        </is>
      </c>
      <c r="J227" s="5" t="inlineStr">
        <is>
          <t>10.1016/j.jpedsurg.2004.03.050</t>
        </is>
      </c>
      <c r="K227" s="7" t="inlineStr">
        <is>
          <t>link</t>
        </is>
      </c>
      <c r="L227" s="7" t="inlineStr">
        <is>
          <t>link</t>
        </is>
      </c>
      <c r="M227" s="5" t="inlineStr"/>
      <c r="N227" s="5" t="inlineStr"/>
      <c r="O227" s="5" t="inlineStr"/>
      <c r="P227" s="5" t="inlineStr"/>
      <c r="Q227" s="5" t="inlineStr"/>
      <c r="R227" s="5" t="inlineStr">
        <is>
          <t>2 English, DOI or PubMed link</t>
        </is>
      </c>
      <c r="S227" s="5" t="inlineStr"/>
      <c r="T227" s="5" t="inlineStr">
        <is>
          <t>WS0696.pdf</t>
        </is>
      </c>
      <c r="U227" s="8" t="n"/>
      <c r="V227" s="8" t="n"/>
      <c r="W227" s="8" t="n"/>
      <c r="X227" s="8" t="n"/>
      <c r="Y227" s="8" t="n"/>
      <c r="Z227" s="8" t="n"/>
      <c r="AA227" s="8" t="n"/>
      <c r="AB227" s="8" t="n"/>
      <c r="AC227" s="8" t="n"/>
      <c r="AD227" s="8" t="n"/>
      <c r="AE227" s="8" t="inlineStr">
        <is>
          <t>yes</t>
        </is>
      </c>
    </row>
    <row r="228">
      <c r="A228" s="5" t="n">
        <v>227</v>
      </c>
      <c r="B228" s="5" t="inlineStr">
        <is>
          <t>WS0697</t>
        </is>
      </c>
      <c r="C228" s="5" t="inlineStr">
        <is>
          <t>2004</t>
        </is>
      </c>
      <c r="D228" s="5" t="inlineStr">
        <is>
          <t>English</t>
        </is>
      </c>
      <c r="E228" s="5" t="inlineStr">
        <is>
          <t>JOUR</t>
        </is>
      </c>
      <c r="F228" s="5" t="inlineStr">
        <is>
          <t>Bakir</t>
        </is>
      </c>
      <c r="G228" s="5" t="inlineStr">
        <is>
          <t>Abdominal imaging</t>
        </is>
      </c>
      <c r="H228" s="5" t="inlineStr">
        <is>
          <t>29(6):707-9</t>
        </is>
      </c>
      <c r="I228" s="6" t="inlineStr">
        <is>
          <t>Acute torsion of a wandering spleen: imaging findings.</t>
        </is>
      </c>
      <c r="J228" s="5" t="inlineStr">
        <is>
          <t>10.1007/s00261-004-0174-7</t>
        </is>
      </c>
      <c r="K228" s="7" t="inlineStr">
        <is>
          <t>link</t>
        </is>
      </c>
      <c r="L228" s="7" t="inlineStr">
        <is>
          <t>link</t>
        </is>
      </c>
      <c r="M228" s="5" t="inlineStr"/>
      <c r="N228" s="5" t="inlineStr"/>
      <c r="O228" s="5" t="inlineStr"/>
      <c r="P228" s="5" t="inlineStr"/>
      <c r="Q228" s="5" t="inlineStr"/>
      <c r="R228" s="5" t="inlineStr">
        <is>
          <t>2 English, DOI or PubMed link</t>
        </is>
      </c>
      <c r="S228" s="5" t="inlineStr"/>
      <c r="T228" s="5" t="inlineStr">
        <is>
          <t>WS0697.pdf</t>
        </is>
      </c>
      <c r="U228" s="8" t="n"/>
      <c r="V228" s="8" t="n"/>
      <c r="W228" s="8" t="n"/>
      <c r="X228" s="8" t="n"/>
      <c r="Y228" s="8" t="n"/>
      <c r="Z228" s="8" t="n"/>
      <c r="AA228" s="8" t="n"/>
      <c r="AB228" s="8" t="n"/>
      <c r="AC228" s="8" t="n"/>
      <c r="AD228" s="8" t="n"/>
      <c r="AE228" s="8" t="inlineStr">
        <is>
          <t>yes</t>
        </is>
      </c>
    </row>
    <row r="229">
      <c r="A229" s="5" t="n">
        <v>228</v>
      </c>
      <c r="B229" s="5" t="inlineStr">
        <is>
          <t>WS0698</t>
        </is>
      </c>
      <c r="C229" s="5" t="inlineStr">
        <is>
          <t>2004</t>
        </is>
      </c>
      <c r="D229" s="5" t="inlineStr">
        <is>
          <t>English</t>
        </is>
      </c>
      <c r="E229" s="5" t="inlineStr">
        <is>
          <t>JOUR</t>
        </is>
      </c>
      <c r="F229" s="5" t="inlineStr">
        <is>
          <t>Arda</t>
        </is>
      </c>
      <c r="G229" s="5" t="inlineStr">
        <is>
          <t>JBR-BTR : organe de la Societe royale belge de radiologie (SRBR) = orgaan van de Koninklijke Belgische Vereniging voor Radiologie (KBVR)</t>
        </is>
      </c>
      <c r="H229" s="5" t="inlineStr">
        <is>
          <t>87(2):70-2</t>
        </is>
      </c>
      <c r="I229" s="6" t="inlineStr">
        <is>
          <t>Intermittent torsion of a wandering spleen in a child: the role of MRI in diagnosis.</t>
        </is>
      </c>
      <c r="J229" s="5" t="inlineStr"/>
      <c r="K229" s="5" t="inlineStr"/>
      <c r="L229" s="7" t="inlineStr">
        <is>
          <t>link</t>
        </is>
      </c>
      <c r="M229" s="5" t="inlineStr"/>
      <c r="N229" s="5" t="inlineStr"/>
      <c r="O229" s="5" t="inlineStr"/>
      <c r="P229" s="5" t="inlineStr"/>
      <c r="Q229" s="5" t="inlineStr"/>
      <c r="R229" s="5" t="inlineStr">
        <is>
          <t>2 English, DOI or PubMed link</t>
        </is>
      </c>
      <c r="S229" s="5" t="inlineStr"/>
      <c r="T229" s="5" t="inlineStr">
        <is>
          <t>WS0698.pdf</t>
        </is>
      </c>
      <c r="U229" s="8" t="n"/>
      <c r="V229" s="8" t="n"/>
      <c r="W229" s="8" t="n"/>
      <c r="X229" s="8" t="n"/>
      <c r="Y229" s="8" t="n"/>
      <c r="Z229" s="8" t="n"/>
      <c r="AA229" s="8" t="n"/>
      <c r="AB229" s="8" t="n"/>
      <c r="AC229" s="8" t="n"/>
      <c r="AD229" s="8" t="n"/>
      <c r="AE229" s="8" t="inlineStr">
        <is>
          <t>yes</t>
        </is>
      </c>
    </row>
    <row r="230">
      <c r="A230" s="5" t="n">
        <v>229</v>
      </c>
      <c r="B230" s="5" t="inlineStr">
        <is>
          <t>WS0699</t>
        </is>
      </c>
      <c r="C230" s="5" t="inlineStr">
        <is>
          <t>2004</t>
        </is>
      </c>
      <c r="D230" s="5" t="inlineStr">
        <is>
          <t>English</t>
        </is>
      </c>
      <c r="E230" s="5" t="inlineStr">
        <is>
          <t>JOUR</t>
        </is>
      </c>
      <c r="F230" s="5" t="inlineStr">
        <is>
          <t>Alimoglu</t>
        </is>
      </c>
      <c r="G230" s="5" t="inlineStr">
        <is>
          <t>Acta chirurgica Belgica</t>
        </is>
      </c>
      <c r="H230" s="5" t="inlineStr">
        <is>
          <t>104(2):221-3</t>
        </is>
      </c>
      <c r="I230" s="6" t="inlineStr">
        <is>
          <t>Torsion of a wandering spleen presenting with acute abdomen: a case report.</t>
        </is>
      </c>
      <c r="J230" s="5" t="inlineStr">
        <is>
          <t>10.1080/00015458.2004.11679541</t>
        </is>
      </c>
      <c r="K230" s="7" t="inlineStr">
        <is>
          <t>link</t>
        </is>
      </c>
      <c r="L230" s="7" t="inlineStr">
        <is>
          <t>link</t>
        </is>
      </c>
      <c r="M230" s="5" t="inlineStr"/>
      <c r="N230" s="5" t="inlineStr"/>
      <c r="O230" s="5" t="inlineStr"/>
      <c r="P230" s="5" t="inlineStr"/>
      <c r="Q230" s="5" t="inlineStr"/>
      <c r="R230" s="5" t="inlineStr">
        <is>
          <t>2 English, DOI or PubMed link</t>
        </is>
      </c>
      <c r="S230" s="5" t="inlineStr">
        <is>
          <t>Y</t>
        </is>
      </c>
      <c r="T230" s="5" t="inlineStr">
        <is>
          <t>WS0699.pdf</t>
        </is>
      </c>
      <c r="U230" s="8" t="n"/>
      <c r="V230" s="8" t="n"/>
      <c r="W230" s="8" t="n"/>
      <c r="X230" s="8" t="n"/>
      <c r="Y230" s="8" t="n"/>
      <c r="Z230" s="8" t="n"/>
      <c r="AA230" s="8" t="n"/>
      <c r="AB230" s="8" t="n"/>
      <c r="AC230" s="8" t="n"/>
      <c r="AD230" s="8" t="n"/>
      <c r="AE230" s="8" t="inlineStr">
        <is>
          <t>yes</t>
        </is>
      </c>
    </row>
    <row r="231">
      <c r="A231" s="5" t="n">
        <v>230</v>
      </c>
      <c r="B231" s="5" t="inlineStr">
        <is>
          <t>WS0701</t>
        </is>
      </c>
      <c r="C231" s="5" t="inlineStr">
        <is>
          <t>2004</t>
        </is>
      </c>
      <c r="D231" s="5" t="inlineStr">
        <is>
          <t>English</t>
        </is>
      </c>
      <c r="E231" s="5" t="inlineStr">
        <is>
          <t>JOUR</t>
        </is>
      </c>
      <c r="F231" s="5" t="inlineStr">
        <is>
          <t>Corcione</t>
        </is>
      </c>
      <c r="G231" s="5" t="inlineStr">
        <is>
          <t>Surgical endoscopy</t>
        </is>
      </c>
      <c r="H231" s="5" t="inlineStr">
        <is>
          <t>18(3):554-6</t>
        </is>
      </c>
      <c r="I231" s="6" t="inlineStr">
        <is>
          <t>Laparoscopic splenectomy for the treatment of wandering spleen.</t>
        </is>
      </c>
      <c r="J231" s="5" t="inlineStr">
        <is>
          <t>10.1007/s00464-003-4254-5</t>
        </is>
      </c>
      <c r="K231" s="7" t="inlineStr">
        <is>
          <t>link</t>
        </is>
      </c>
      <c r="L231" s="7" t="inlineStr">
        <is>
          <t>link</t>
        </is>
      </c>
      <c r="M231" s="5" t="inlineStr"/>
      <c r="N231" s="5" t="inlineStr"/>
      <c r="O231" s="5" t="inlineStr"/>
      <c r="P231" s="5" t="inlineStr"/>
      <c r="Q231" s="5" t="inlineStr"/>
      <c r="R231" s="5" t="inlineStr">
        <is>
          <t>2 English, DOI or PubMed link</t>
        </is>
      </c>
      <c r="S231" s="5" t="inlineStr"/>
      <c r="T231" s="5" t="inlineStr">
        <is>
          <t>WS0701.pdf</t>
        </is>
      </c>
      <c r="U231" s="8" t="n"/>
      <c r="V231" s="8" t="n"/>
      <c r="W231" s="8" t="n"/>
      <c r="X231" s="8" t="n"/>
      <c r="Y231" s="8" t="n"/>
      <c r="Z231" s="8" t="n"/>
      <c r="AA231" s="8" t="n"/>
      <c r="AB231" s="8" t="n"/>
      <c r="AC231" s="8" t="n"/>
      <c r="AD231" s="8" t="n"/>
      <c r="AE231" s="8" t="inlineStr">
        <is>
          <t>yes</t>
        </is>
      </c>
    </row>
    <row r="232">
      <c r="A232" s="5" t="n">
        <v>231</v>
      </c>
      <c r="B232" s="5" t="inlineStr">
        <is>
          <t>WS0702</t>
        </is>
      </c>
      <c r="C232" s="5" t="inlineStr">
        <is>
          <t>2004</t>
        </is>
      </c>
      <c r="D232" s="5" t="inlineStr">
        <is>
          <t>English</t>
        </is>
      </c>
      <c r="E232" s="5" t="inlineStr">
        <is>
          <t>JOUR</t>
        </is>
      </c>
      <c r="F232" s="5" t="inlineStr">
        <is>
          <t>Qazi</t>
        </is>
      </c>
      <c r="G232" s="5" t="inlineStr">
        <is>
          <t>Pediatric surgery international</t>
        </is>
      </c>
      <c r="H232" s="5" t="inlineStr">
        <is>
          <t>20(11-12):878-80</t>
        </is>
      </c>
      <c r="I232" s="6" t="inlineStr">
        <is>
          <t>Wandering spleen: a rare cause of mesenteroaxial gastric volvulus.</t>
        </is>
      </c>
      <c r="J232" s="5" t="inlineStr">
        <is>
          <t>10.1007/s00383-004-1157-z</t>
        </is>
      </c>
      <c r="K232" s="7" t="inlineStr">
        <is>
          <t>link</t>
        </is>
      </c>
      <c r="L232" s="7" t="inlineStr">
        <is>
          <t>link</t>
        </is>
      </c>
      <c r="M232" s="5" t="inlineStr"/>
      <c r="N232" s="5" t="inlineStr"/>
      <c r="O232" s="5" t="inlineStr"/>
      <c r="P232" s="5" t="inlineStr"/>
      <c r="Q232" s="5" t="inlineStr"/>
      <c r="R232" s="5" t="inlineStr">
        <is>
          <t>2 English, DOI or PubMed link</t>
        </is>
      </c>
      <c r="S232" s="5" t="inlineStr"/>
      <c r="T232" s="5" t="inlineStr">
        <is>
          <t>WS0702.pdf</t>
        </is>
      </c>
      <c r="U232" s="8" t="n"/>
      <c r="V232" s="8" t="n"/>
      <c r="W232" s="8" t="n"/>
      <c r="X232" s="8" t="n"/>
      <c r="Y232" s="8" t="n"/>
      <c r="Z232" s="8" t="n"/>
      <c r="AA232" s="8" t="n"/>
      <c r="AB232" s="8" t="n"/>
      <c r="AC232" s="8" t="n"/>
      <c r="AD232" s="8" t="n"/>
      <c r="AE232" s="8" t="inlineStr">
        <is>
          <t>yes</t>
        </is>
      </c>
    </row>
    <row r="233">
      <c r="A233" s="5" t="n">
        <v>232</v>
      </c>
      <c r="B233" s="5" t="inlineStr">
        <is>
          <t>WS0703</t>
        </is>
      </c>
      <c r="C233" s="5" t="inlineStr">
        <is>
          <t>2004</t>
        </is>
      </c>
      <c r="D233" s="5" t="inlineStr">
        <is>
          <t>English</t>
        </is>
      </c>
      <c r="E233" s="5" t="inlineStr">
        <is>
          <t>JOUR</t>
        </is>
      </c>
      <c r="F233" s="5" t="inlineStr">
        <is>
          <t>Taori</t>
        </is>
      </c>
      <c r="G233" s="5" t="inlineStr">
        <is>
          <t>Abdominal imaging</t>
        </is>
      </c>
      <c r="H233" s="5" t="inlineStr">
        <is>
          <t>29(4):479-81</t>
        </is>
      </c>
      <c r="I233" s="6" t="inlineStr">
        <is>
          <t>Wandering spleen with torsion of vascular pedicle: early diagnosis with multiplaner reformation technique of multislice spiral CT.</t>
        </is>
      </c>
      <c r="J233" s="5" t="inlineStr">
        <is>
          <t>10.1007/s00261-003-0142-7</t>
        </is>
      </c>
      <c r="K233" s="7" t="inlineStr">
        <is>
          <t>link</t>
        </is>
      </c>
      <c r="L233" s="7" t="inlineStr">
        <is>
          <t>link</t>
        </is>
      </c>
      <c r="M233" s="5" t="inlineStr"/>
      <c r="N233" s="5" t="inlineStr"/>
      <c r="O233" s="5" t="inlineStr"/>
      <c r="P233" s="5" t="inlineStr"/>
      <c r="Q233" s="5" t="inlineStr"/>
      <c r="R233" s="5" t="inlineStr">
        <is>
          <t>2 English, DOI or PubMed link</t>
        </is>
      </c>
      <c r="S233" s="5" t="inlineStr"/>
      <c r="T233" s="5" t="inlineStr">
        <is>
          <t>WS0703.pdf</t>
        </is>
      </c>
      <c r="U233" s="8" t="n"/>
      <c r="V233" s="8" t="n"/>
      <c r="W233" s="8" t="n"/>
      <c r="X233" s="8" t="n"/>
      <c r="Y233" s="8" t="n"/>
      <c r="Z233" s="8" t="n"/>
      <c r="AA233" s="8" t="n"/>
      <c r="AB233" s="8" t="n"/>
      <c r="AC233" s="8" t="n"/>
      <c r="AD233" s="8" t="n"/>
      <c r="AE233" s="8" t="inlineStr">
        <is>
          <t>yes</t>
        </is>
      </c>
    </row>
    <row r="234">
      <c r="A234" s="5" t="n">
        <v>233</v>
      </c>
      <c r="B234" s="5" t="inlineStr">
        <is>
          <t>WS0706</t>
        </is>
      </c>
      <c r="C234" s="5" t="inlineStr">
        <is>
          <t>2004</t>
        </is>
      </c>
      <c r="D234" s="5" t="inlineStr">
        <is>
          <t>English</t>
        </is>
      </c>
      <c r="E234" s="5" t="inlineStr">
        <is>
          <t>JOUR</t>
        </is>
      </c>
      <c r="F234" s="5" t="inlineStr">
        <is>
          <t>Balliu</t>
        </is>
      </c>
      <c r="G234" s="5" t="inlineStr">
        <is>
          <t>Journal of pediatric surgery</t>
        </is>
      </c>
      <c r="H234" s="5" t="inlineStr">
        <is>
          <t>39(2):240-2</t>
        </is>
      </c>
      <c r="I234" s="6" t="inlineStr">
        <is>
          <t>Splenic haemorrhage in a newborn as the first manifestation of wandering spleen syndrome.</t>
        </is>
      </c>
      <c r="J234" s="5" t="inlineStr">
        <is>
          <t>10.1016/j.jpedsurg.2003.10.025</t>
        </is>
      </c>
      <c r="K234" s="7" t="inlineStr">
        <is>
          <t>link</t>
        </is>
      </c>
      <c r="L234" s="7" t="inlineStr">
        <is>
          <t>link</t>
        </is>
      </c>
      <c r="M234" s="5" t="inlineStr"/>
      <c r="N234" s="5" t="inlineStr"/>
      <c r="O234" s="5" t="inlineStr"/>
      <c r="P234" s="5" t="inlineStr"/>
      <c r="Q234" s="5" t="inlineStr"/>
      <c r="R234" s="5" t="inlineStr">
        <is>
          <t>2 English, DOI or PubMed link</t>
        </is>
      </c>
      <c r="S234" s="5" t="inlineStr"/>
      <c r="T234" s="5" t="inlineStr">
        <is>
          <t>WS0706.pdf</t>
        </is>
      </c>
      <c r="U234" s="8" t="n"/>
      <c r="V234" s="8" t="n"/>
      <c r="W234" s="8" t="n"/>
      <c r="X234" s="8" t="n"/>
      <c r="Y234" s="8" t="n"/>
      <c r="Z234" s="8" t="n"/>
      <c r="AA234" s="8" t="n"/>
      <c r="AB234" s="8" t="n"/>
      <c r="AC234" s="8" t="n"/>
      <c r="AD234" s="8" t="n"/>
      <c r="AE234" s="8" t="inlineStr">
        <is>
          <t>yes</t>
        </is>
      </c>
    </row>
    <row r="235">
      <c r="A235" s="5" t="n">
        <v>234</v>
      </c>
      <c r="B235" s="5" t="inlineStr">
        <is>
          <t>WS0709</t>
        </is>
      </c>
      <c r="C235" s="5" t="inlineStr">
        <is>
          <t>2004</t>
        </is>
      </c>
      <c r="D235" s="5" t="inlineStr">
        <is>
          <t>English</t>
        </is>
      </c>
      <c r="E235" s="5" t="inlineStr">
        <is>
          <t>JOUR</t>
        </is>
      </c>
      <c r="F235" s="5" t="inlineStr">
        <is>
          <t>Vazquez</t>
        </is>
      </c>
      <c r="G235" s="5" t="inlineStr">
        <is>
          <t>Pediatric surgery international</t>
        </is>
      </c>
      <c r="H235" s="5" t="inlineStr">
        <is>
          <t>20(2):153-4</t>
        </is>
      </c>
      <c r="I235" s="6" t="inlineStr">
        <is>
          <t>Acute torsion of the spleen: diagnosis and management.</t>
        </is>
      </c>
      <c r="J235" s="5" t="inlineStr">
        <is>
          <t>10.1007/s00383-003-1110-6</t>
        </is>
      </c>
      <c r="K235" s="7" t="inlineStr">
        <is>
          <t>link</t>
        </is>
      </c>
      <c r="L235" s="7" t="inlineStr">
        <is>
          <t>link</t>
        </is>
      </c>
      <c r="M235" s="5" t="inlineStr"/>
      <c r="N235" s="5" t="inlineStr"/>
      <c r="O235" s="5" t="inlineStr"/>
      <c r="P235" s="5" t="inlineStr"/>
      <c r="Q235" s="5" t="inlineStr"/>
      <c r="R235" s="5" t="inlineStr">
        <is>
          <t>2 English, DOI or PubMed link</t>
        </is>
      </c>
      <c r="S235" s="5" t="inlineStr">
        <is>
          <t>Y</t>
        </is>
      </c>
      <c r="T235" s="5" t="inlineStr">
        <is>
          <t>WS0709.pdf</t>
        </is>
      </c>
      <c r="U235" s="8" t="n"/>
      <c r="V235" s="8" t="n"/>
      <c r="W235" s="8" t="n"/>
      <c r="X235" s="8" t="n"/>
      <c r="Y235" s="8" t="n"/>
      <c r="Z235" s="8" t="n"/>
      <c r="AA235" s="8" t="n"/>
      <c r="AB235" s="8" t="n"/>
      <c r="AC235" s="8" t="n"/>
      <c r="AD235" s="8" t="n"/>
      <c r="AE235" s="8" t="inlineStr">
        <is>
          <t>yes</t>
        </is>
      </c>
    </row>
    <row r="236">
      <c r="A236" s="5" t="n">
        <v>235</v>
      </c>
      <c r="B236" s="5" t="inlineStr">
        <is>
          <t>WS0710</t>
        </is>
      </c>
      <c r="C236" s="5" t="inlineStr">
        <is>
          <t>2004</t>
        </is>
      </c>
      <c r="D236" s="5" t="inlineStr">
        <is>
          <t>English</t>
        </is>
      </c>
      <c r="E236" s="5" t="inlineStr">
        <is>
          <t>JOUR</t>
        </is>
      </c>
      <c r="F236" s="5" t="inlineStr">
        <is>
          <t>Al-Mashat</t>
        </is>
      </c>
      <c r="G236" s="5" t="inlineStr">
        <is>
          <t>Saudi medical journal</t>
        </is>
      </c>
      <c r="H236" s="5" t="inlineStr">
        <is>
          <t>25(1):91-4</t>
        </is>
      </c>
      <c r="I236" s="6" t="inlineStr">
        <is>
          <t>Wandering spleen.</t>
        </is>
      </c>
      <c r="J236" s="5" t="inlineStr"/>
      <c r="K236" s="5" t="inlineStr"/>
      <c r="L236" s="7" t="inlineStr">
        <is>
          <t>link</t>
        </is>
      </c>
      <c r="M236" s="5" t="inlineStr"/>
      <c r="N236" s="5" t="inlineStr"/>
      <c r="O236" s="5" t="inlineStr"/>
      <c r="P236" s="5" t="inlineStr"/>
      <c r="Q236" s="5" t="inlineStr"/>
      <c r="R236" s="5" t="inlineStr">
        <is>
          <t>2 English, DOI or PubMed link</t>
        </is>
      </c>
      <c r="S236" s="5" t="inlineStr"/>
      <c r="T236" s="5" t="inlineStr">
        <is>
          <t>WS0710.pdf</t>
        </is>
      </c>
      <c r="U236" s="8" t="n"/>
      <c r="V236" s="8" t="n"/>
      <c r="W236" s="8" t="n"/>
      <c r="X236" s="8" t="n"/>
      <c r="Y236" s="8" t="n"/>
      <c r="Z236" s="8" t="n"/>
      <c r="AA236" s="8" t="n"/>
      <c r="AB236" s="8" t="n"/>
      <c r="AC236" s="8" t="n"/>
      <c r="AD236" s="8" t="n"/>
      <c r="AE236" s="8" t="inlineStr">
        <is>
          <t>yes</t>
        </is>
      </c>
    </row>
    <row r="237">
      <c r="A237" s="5" t="n">
        <v>236</v>
      </c>
      <c r="B237" s="5" t="inlineStr">
        <is>
          <t>WS0711</t>
        </is>
      </c>
      <c r="C237" s="5" t="inlineStr">
        <is>
          <t>2004</t>
        </is>
      </c>
      <c r="D237" s="5" t="inlineStr">
        <is>
          <t>English</t>
        </is>
      </c>
      <c r="E237" s="5" t="inlineStr">
        <is>
          <t>JOUR</t>
        </is>
      </c>
      <c r="F237" s="5" t="inlineStr">
        <is>
          <t>Edwin</t>
        </is>
      </c>
      <c r="G237" s="5" t="inlineStr">
        <is>
          <t>Surgical endoscopy</t>
        </is>
      </c>
      <c r="H237" s="5" t="inlineStr">
        <is>
          <t>18(3):407-11</t>
        </is>
      </c>
      <c r="I237" s="6" t="inlineStr">
        <is>
          <t>Laparoscopic resection of the pancreas: a feasibility study of the short-term outcome.</t>
        </is>
      </c>
      <c r="J237" s="5" t="inlineStr">
        <is>
          <t>10.1007/s00464-003-9007-y</t>
        </is>
      </c>
      <c r="K237" s="7" t="inlineStr">
        <is>
          <t>link</t>
        </is>
      </c>
      <c r="L237" s="7" t="inlineStr">
        <is>
          <t>link</t>
        </is>
      </c>
      <c r="M237" s="5" t="inlineStr"/>
      <c r="N237" s="5" t="inlineStr"/>
      <c r="O237" s="5" t="inlineStr"/>
      <c r="P237" s="5" t="inlineStr"/>
      <c r="Q237" s="5" t="inlineStr"/>
      <c r="R237" s="5" t="inlineStr">
        <is>
          <t>2 English, DOI or PubMed link</t>
        </is>
      </c>
      <c r="S237" s="5" t="inlineStr"/>
      <c r="T237" s="5" t="inlineStr">
        <is>
          <t>WS0711.pdf</t>
        </is>
      </c>
      <c r="U237" s="8" t="n"/>
      <c r="V237" s="8" t="n"/>
      <c r="W237" s="8" t="n"/>
      <c r="X237" s="8" t="n"/>
      <c r="Y237" s="8" t="n"/>
      <c r="Z237" s="8" t="n"/>
      <c r="AA237" s="8" t="n"/>
      <c r="AB237" s="8" t="n"/>
      <c r="AC237" s="8" t="n"/>
      <c r="AD237" s="8" t="n"/>
      <c r="AE237" s="8" t="inlineStr">
        <is>
          <t>yes</t>
        </is>
      </c>
    </row>
    <row r="238">
      <c r="A238" s="5" t="n">
        <v>237</v>
      </c>
      <c r="B238" s="5" t="inlineStr">
        <is>
          <t>WS0713</t>
        </is>
      </c>
      <c r="C238" s="5" t="inlineStr">
        <is>
          <t>2004</t>
        </is>
      </c>
      <c r="D238" s="5" t="inlineStr">
        <is>
          <t>English</t>
        </is>
      </c>
      <c r="E238" s="5" t="inlineStr">
        <is>
          <t>JOUR</t>
        </is>
      </c>
      <c r="F238" s="5" t="inlineStr">
        <is>
          <t>Qazi</t>
        </is>
      </c>
      <c r="G238" s="5" t="inlineStr">
        <is>
          <t>Saudi journal of gastroenterology : official journal of the Saudi Gastroenterology Association</t>
        </is>
      </c>
      <c r="H238" s="5" t="inlineStr">
        <is>
          <t>10(1):1-7</t>
        </is>
      </c>
      <c r="I238" s="6" t="inlineStr">
        <is>
          <t>Wandering spleen.</t>
        </is>
      </c>
      <c r="J238" s="5" t="inlineStr"/>
      <c r="K238" s="5" t="inlineStr"/>
      <c r="L238" s="7" t="inlineStr">
        <is>
          <t>link</t>
        </is>
      </c>
      <c r="M238" s="5" t="inlineStr"/>
      <c r="N238" s="5" t="inlineStr"/>
      <c r="O238" s="5" t="inlineStr"/>
      <c r="P238" s="5" t="inlineStr"/>
      <c r="Q238" s="5" t="inlineStr"/>
      <c r="R238" s="5" t="inlineStr">
        <is>
          <t>2 English, DOI or PubMed link</t>
        </is>
      </c>
      <c r="S238" s="5" t="inlineStr"/>
      <c r="T238" s="5" t="inlineStr">
        <is>
          <t>WS0713.pdf</t>
        </is>
      </c>
      <c r="U238" s="8" t="n"/>
      <c r="V238" s="8" t="n"/>
      <c r="W238" s="8" t="n"/>
      <c r="X238" s="8" t="n"/>
      <c r="Y238" s="8" t="n"/>
      <c r="Z238" s="8" t="n"/>
      <c r="AA238" s="8" t="n"/>
      <c r="AB238" s="8" t="n"/>
      <c r="AC238" s="8" t="n"/>
      <c r="AD238" s="8" t="n"/>
      <c r="AE238" s="8" t="inlineStr">
        <is>
          <t>yes</t>
        </is>
      </c>
    </row>
    <row r="239">
      <c r="A239" s="5" t="n">
        <v>238</v>
      </c>
      <c r="B239" s="5" t="inlineStr">
        <is>
          <t>WS1661</t>
        </is>
      </c>
      <c r="C239" s="5" t="inlineStr">
        <is>
          <t>2004</t>
        </is>
      </c>
      <c r="D239" s="5" t="inlineStr">
        <is>
          <t>English</t>
        </is>
      </c>
      <c r="E239" s="5" t="inlineStr">
        <is>
          <t>JOUR</t>
        </is>
      </c>
      <c r="F239" s="5" t="inlineStr">
        <is>
          <t>Chappidi</t>
        </is>
      </c>
      <c r="G239" s="5" t="inlineStr">
        <is>
          <t>European Journal of Radiology Extra</t>
        </is>
      </c>
      <c r="H239" s="5" t="inlineStr">
        <is>
          <t>52(3):111-113</t>
        </is>
      </c>
      <c r="I239" s="6" t="inlineStr">
        <is>
          <t>Acute mesenteroaxial volvulus associated with congenital diaphragmatic hernia, wandering spleen, and intrathoracic kidney: CT findings</t>
        </is>
      </c>
      <c r="J239" s="5" t="inlineStr">
        <is>
          <t>10.1016/j.ejrex.2004.10.002</t>
        </is>
      </c>
      <c r="K239" s="7" t="inlineStr">
        <is>
          <t>link</t>
        </is>
      </c>
      <c r="L239" s="5" t="inlineStr"/>
      <c r="M239" s="5" t="inlineStr"/>
      <c r="N239" s="5" t="inlineStr"/>
      <c r="O239" s="5" t="inlineStr"/>
      <c r="P239" s="5" t="inlineStr"/>
      <c r="Q239" s="7" t="inlineStr">
        <is>
          <t>link</t>
        </is>
      </c>
      <c r="R239" s="5" t="inlineStr">
        <is>
          <t>2 English, DOI or PubMed link</t>
        </is>
      </c>
      <c r="S239" s="5" t="inlineStr"/>
      <c r="T239" s="5" t="inlineStr">
        <is>
          <t>WS1661.pdf</t>
        </is>
      </c>
      <c r="U239" s="8" t="n"/>
      <c r="V239" s="8" t="n"/>
      <c r="W239" s="8" t="n"/>
      <c r="X239" s="8" t="n"/>
      <c r="Y239" s="8" t="n"/>
      <c r="Z239" s="8" t="n"/>
      <c r="AA239" s="8" t="n"/>
      <c r="AB239" s="8" t="n"/>
      <c r="AC239" s="8" t="n"/>
      <c r="AD239" s="8" t="n"/>
      <c r="AE239" s="8" t="inlineStr">
        <is>
          <t>yes</t>
        </is>
      </c>
    </row>
    <row r="240">
      <c r="A240" s="5" t="n">
        <v>239</v>
      </c>
      <c r="B240" s="5" t="inlineStr">
        <is>
          <t>WS0704</t>
        </is>
      </c>
      <c r="C240" s="5" t="inlineStr">
        <is>
          <t>2003</t>
        </is>
      </c>
      <c r="D240" s="5" t="inlineStr">
        <is>
          <t>English</t>
        </is>
      </c>
      <c r="E240" s="5" t="inlineStr">
        <is>
          <t>JOUR</t>
        </is>
      </c>
      <c r="F240" s="5" t="inlineStr">
        <is>
          <t>Moran</t>
        </is>
      </c>
      <c r="G240" s="5" t="inlineStr">
        <is>
          <t>Current surgery</t>
        </is>
      </c>
      <c r="H240" s="5" t="inlineStr">
        <is>
          <t>60(3):310-2</t>
        </is>
      </c>
      <c r="I240" s="6" t="inlineStr">
        <is>
          <t>Spontaneous rupture of a wandering spleen: case report and literature review.</t>
        </is>
      </c>
      <c r="J240" s="5" t="inlineStr">
        <is>
          <t>10.1016/s0149-7944(02)00737-7</t>
        </is>
      </c>
      <c r="K240" s="7" t="inlineStr">
        <is>
          <t>link</t>
        </is>
      </c>
      <c r="L240" s="7" t="inlineStr">
        <is>
          <t>link</t>
        </is>
      </c>
      <c r="M240" s="5" t="inlineStr"/>
      <c r="N240" s="5" t="inlineStr"/>
      <c r="O240" s="5" t="inlineStr"/>
      <c r="P240" s="5" t="inlineStr"/>
      <c r="Q240" s="5" t="inlineStr"/>
      <c r="R240" s="5" t="inlineStr">
        <is>
          <t>2 English, DOI or PubMed link</t>
        </is>
      </c>
      <c r="S240" s="5" t="inlineStr"/>
      <c r="T240" s="5" t="inlineStr">
        <is>
          <t>WS0704.pdf</t>
        </is>
      </c>
      <c r="U240" s="8" t="n"/>
      <c r="V240" s="8" t="n"/>
      <c r="W240" s="8" t="n"/>
      <c r="X240" s="8" t="n"/>
      <c r="Y240" s="8" t="n"/>
      <c r="Z240" s="8" t="n"/>
      <c r="AA240" s="8" t="n"/>
      <c r="AB240" s="8" t="n"/>
      <c r="AC240" s="8" t="n"/>
      <c r="AD240" s="8" t="n"/>
      <c r="AE240" s="8" t="inlineStr">
        <is>
          <t>yes</t>
        </is>
      </c>
    </row>
    <row r="241">
      <c r="A241" s="5" t="n">
        <v>240</v>
      </c>
      <c r="B241" s="5" t="inlineStr">
        <is>
          <t>WS0714</t>
        </is>
      </c>
      <c r="C241" s="5" t="inlineStr">
        <is>
          <t>2003</t>
        </is>
      </c>
      <c r="D241" s="5" t="inlineStr">
        <is>
          <t>English</t>
        </is>
      </c>
      <c r="E241" s="5" t="inlineStr">
        <is>
          <t>JOUR</t>
        </is>
      </c>
      <c r="F241" s="5" t="inlineStr">
        <is>
          <t>Romero</t>
        </is>
      </c>
      <c r="G241" s="5" t="inlineStr">
        <is>
          <t>Pediatric emergency care</t>
        </is>
      </c>
      <c r="H241" s="5" t="inlineStr">
        <is>
          <t>19(6):412-4</t>
        </is>
      </c>
      <c r="I241" s="6" t="inlineStr">
        <is>
          <t>Wandering spleen: a rare cause of abdominal pain.</t>
        </is>
      </c>
      <c r="J241" s="5" t="inlineStr">
        <is>
          <t>10.1097/01.pec.0000101582.65509.cc</t>
        </is>
      </c>
      <c r="K241" s="7" t="inlineStr">
        <is>
          <t>link</t>
        </is>
      </c>
      <c r="L241" s="7" t="inlineStr">
        <is>
          <t>link</t>
        </is>
      </c>
      <c r="M241" s="5" t="inlineStr"/>
      <c r="N241" s="5" t="inlineStr"/>
      <c r="O241" s="5" t="inlineStr"/>
      <c r="P241" s="5" t="inlineStr"/>
      <c r="Q241" s="5" t="inlineStr"/>
      <c r="R241" s="5" t="inlineStr">
        <is>
          <t>2 English, DOI or PubMed link</t>
        </is>
      </c>
      <c r="S241" s="5" t="inlineStr"/>
      <c r="T241" s="5" t="inlineStr">
        <is>
          <t>WS0714.pdf</t>
        </is>
      </c>
      <c r="U241" s="8" t="n"/>
      <c r="V241" s="8" t="n"/>
      <c r="W241" s="8" t="n"/>
      <c r="X241" s="8" t="n"/>
      <c r="Y241" s="8" t="n"/>
      <c r="Z241" s="8" t="n"/>
      <c r="AA241" s="8" t="n"/>
      <c r="AB241" s="8" t="n"/>
      <c r="AC241" s="8" t="n"/>
      <c r="AD241" s="8" t="n"/>
      <c r="AE241" s="8" t="inlineStr">
        <is>
          <t>yes</t>
        </is>
      </c>
    </row>
    <row r="242">
      <c r="A242" s="5" t="n">
        <v>241</v>
      </c>
      <c r="B242" s="5" t="inlineStr">
        <is>
          <t>WS0718</t>
        </is>
      </c>
      <c r="C242" s="5" t="inlineStr">
        <is>
          <t>2003</t>
        </is>
      </c>
      <c r="D242" s="5" t="inlineStr">
        <is>
          <t>English</t>
        </is>
      </c>
      <c r="E242" s="5" t="inlineStr">
        <is>
          <t>JOUR</t>
        </is>
      </c>
      <c r="F242" s="5" t="inlineStr">
        <is>
          <t>Estevao-Costa</t>
        </is>
      </c>
      <c r="G242" s="5" t="inlineStr">
        <is>
          <t>European journal of pediatric surgery : official journal of Austrian Association of Pediatric Surgery ... [et al] = Zeitschrift fur Kinderchirurgie</t>
        </is>
      </c>
      <c r="H242" s="5" t="inlineStr">
        <is>
          <t>13(5):344-6</t>
        </is>
      </c>
      <c r="I242" s="6" t="inlineStr">
        <is>
          <t>Neonatal splenic necrosis not related to wandering spleen.</t>
        </is>
      </c>
      <c r="J242" s="5" t="inlineStr">
        <is>
          <t>10.1055/s-2003-43579</t>
        </is>
      </c>
      <c r="K242" s="7" t="inlineStr">
        <is>
          <t>link</t>
        </is>
      </c>
      <c r="L242" s="7" t="inlineStr">
        <is>
          <t>link</t>
        </is>
      </c>
      <c r="M242" s="5" t="inlineStr"/>
      <c r="N242" s="5" t="inlineStr"/>
      <c r="O242" s="5" t="inlineStr"/>
      <c r="P242" s="5" t="inlineStr"/>
      <c r="Q242" s="5" t="inlineStr"/>
      <c r="R242" s="5" t="inlineStr">
        <is>
          <t>2 English, DOI or PubMed link</t>
        </is>
      </c>
      <c r="S242" s="5" t="inlineStr"/>
      <c r="T242" s="5" t="inlineStr">
        <is>
          <t>WS0718.pdf</t>
        </is>
      </c>
      <c r="U242" s="8" t="n"/>
      <c r="V242" s="8" t="n"/>
      <c r="W242" s="8" t="n"/>
      <c r="X242" s="8" t="n"/>
      <c r="Y242" s="8" t="n"/>
      <c r="Z242" s="8" t="n"/>
      <c r="AA242" s="8" t="n"/>
      <c r="AB242" s="8" t="n"/>
      <c r="AC242" s="8" t="n"/>
      <c r="AD242" s="8" t="n"/>
      <c r="AE242" s="8" t="inlineStr">
        <is>
          <t>yes</t>
        </is>
      </c>
    </row>
    <row r="243">
      <c r="A243" s="5" t="n">
        <v>242</v>
      </c>
      <c r="B243" s="5" t="inlineStr">
        <is>
          <t>WS0719</t>
        </is>
      </c>
      <c r="C243" s="5" t="inlineStr">
        <is>
          <t>2003</t>
        </is>
      </c>
      <c r="D243" s="5" t="inlineStr">
        <is>
          <t>English</t>
        </is>
      </c>
      <c r="E243" s="5" t="inlineStr">
        <is>
          <t>JOUR</t>
        </is>
      </c>
      <c r="F243" s="5" t="inlineStr">
        <is>
          <t>Brown</t>
        </is>
      </c>
      <c r="G243" s="5" t="inlineStr">
        <is>
          <t>Journal of pediatric surgery</t>
        </is>
      </c>
      <c r="H243" s="5" t="inlineStr">
        <is>
          <t>38(11):1676-9</t>
        </is>
      </c>
      <c r="I243" s="6" t="inlineStr">
        <is>
          <t>Wandering spleen and its complications in children: a case series and review of the literature.</t>
        </is>
      </c>
      <c r="J243" s="5" t="inlineStr">
        <is>
          <t>10.1016/s0022-3468(03)00582-7</t>
        </is>
      </c>
      <c r="K243" s="7" t="inlineStr">
        <is>
          <t>link</t>
        </is>
      </c>
      <c r="L243" s="7" t="inlineStr">
        <is>
          <t>link</t>
        </is>
      </c>
      <c r="M243" s="5" t="inlineStr"/>
      <c r="N243" s="5" t="inlineStr"/>
      <c r="O243" s="5" t="inlineStr"/>
      <c r="P243" s="5" t="inlineStr"/>
      <c r="Q243" s="5" t="inlineStr"/>
      <c r="R243" s="5" t="inlineStr">
        <is>
          <t>2 English, DOI or PubMed link</t>
        </is>
      </c>
      <c r="S243" s="5" t="inlineStr"/>
      <c r="T243" s="5" t="inlineStr">
        <is>
          <t>WS0719.pdf</t>
        </is>
      </c>
      <c r="U243" s="8" t="n"/>
      <c r="V243" s="8" t="n"/>
      <c r="W243" s="8" t="n"/>
      <c r="X243" s="8" t="n"/>
      <c r="Y243" s="8" t="n"/>
      <c r="Z243" s="8" t="n"/>
      <c r="AA243" s="8" t="n"/>
      <c r="AB243" s="8" t="n"/>
      <c r="AC243" s="8" t="n"/>
      <c r="AD243" s="8" t="n"/>
      <c r="AE243" s="8" t="inlineStr">
        <is>
          <t>yes</t>
        </is>
      </c>
    </row>
    <row r="244">
      <c r="A244" s="5" t="n">
        <v>243</v>
      </c>
      <c r="B244" s="5" t="inlineStr">
        <is>
          <t>WS0722</t>
        </is>
      </c>
      <c r="C244" s="5" t="inlineStr">
        <is>
          <t>2003</t>
        </is>
      </c>
      <c r="D244" s="5" t="inlineStr">
        <is>
          <t>English</t>
        </is>
      </c>
      <c r="E244" s="5" t="inlineStr">
        <is>
          <t>JOUR</t>
        </is>
      </c>
      <c r="F244" s="5" t="inlineStr">
        <is>
          <t>Sodhi</t>
        </is>
      </c>
      <c r="G244" s="5" t="inlineStr">
        <is>
          <t>The Journal of emergency medicine</t>
        </is>
      </c>
      <c r="H244" s="5" t="inlineStr">
        <is>
          <t>25(2):133-7</t>
        </is>
      </c>
      <c r="I244" s="6" t="inlineStr">
        <is>
          <t>Torsion of a wandering spleen: acute abdominal presentation.</t>
        </is>
      </c>
      <c r="J244" s="5" t="inlineStr">
        <is>
          <t>10.1016/s0736-4679(03)00160-4</t>
        </is>
      </c>
      <c r="K244" s="7" t="inlineStr">
        <is>
          <t>link</t>
        </is>
      </c>
      <c r="L244" s="7" t="inlineStr">
        <is>
          <t>link</t>
        </is>
      </c>
      <c r="M244" s="5" t="inlineStr"/>
      <c r="N244" s="5" t="inlineStr"/>
      <c r="O244" s="5" t="inlineStr"/>
      <c r="P244" s="5" t="inlineStr"/>
      <c r="Q244" s="5" t="inlineStr"/>
      <c r="R244" s="5" t="inlineStr">
        <is>
          <t>2 English, DOI or PubMed link</t>
        </is>
      </c>
      <c r="S244" s="5" t="inlineStr"/>
      <c r="T244" s="5" t="inlineStr">
        <is>
          <t>WS0722.pdf</t>
        </is>
      </c>
      <c r="U244" s="8" t="n"/>
      <c r="V244" s="8" t="n"/>
      <c r="W244" s="8" t="n"/>
      <c r="X244" s="8" t="n"/>
      <c r="Y244" s="8" t="n"/>
      <c r="Z244" s="8" t="n"/>
      <c r="AA244" s="8" t="n"/>
      <c r="AB244" s="8" t="n"/>
      <c r="AC244" s="8" t="n"/>
      <c r="AD244" s="8" t="n"/>
      <c r="AE244" s="8" t="inlineStr">
        <is>
          <t>yes</t>
        </is>
      </c>
    </row>
    <row r="245">
      <c r="A245" s="5" t="n">
        <v>244</v>
      </c>
      <c r="B245" s="5" t="inlineStr">
        <is>
          <t>WS0724</t>
        </is>
      </c>
      <c r="C245" s="5" t="inlineStr">
        <is>
          <t>2003</t>
        </is>
      </c>
      <c r="D245" s="5" t="inlineStr">
        <is>
          <t>English</t>
        </is>
      </c>
      <c r="E245" s="5" t="inlineStr">
        <is>
          <t>JOUR</t>
        </is>
      </c>
      <c r="F245" s="5" t="inlineStr">
        <is>
          <t>Kessler</t>
        </is>
      </c>
      <c r="G245" s="5" t="inlineStr">
        <is>
          <t>Journal of ultrasound in medicine : official journal of the American Institute of Ultrasound in Medicine</t>
        </is>
      </c>
      <c r="H245" s="5" t="inlineStr">
        <is>
          <t>22(5):527-30</t>
        </is>
      </c>
      <c r="I245" s="6" t="inlineStr">
        <is>
          <t>Mass at the splenic hilum: a clue to torsion of a wandering spleen located in a normal left upper quadrant position.</t>
        </is>
      </c>
      <c r="J245" s="5" t="inlineStr">
        <is>
          <t>10.7863/jum.2003.22.5.527</t>
        </is>
      </c>
      <c r="K245" s="7" t="inlineStr">
        <is>
          <t>link</t>
        </is>
      </c>
      <c r="L245" s="7" t="inlineStr">
        <is>
          <t>link</t>
        </is>
      </c>
      <c r="M245" s="5" t="inlineStr"/>
      <c r="N245" s="5" t="inlineStr"/>
      <c r="O245" s="5" t="inlineStr"/>
      <c r="P245" s="5" t="inlineStr"/>
      <c r="Q245" s="5" t="inlineStr"/>
      <c r="R245" s="5" t="inlineStr">
        <is>
          <t>2 English, DOI or PubMed link</t>
        </is>
      </c>
      <c r="S245" s="5" t="inlineStr"/>
      <c r="T245" s="5" t="inlineStr">
        <is>
          <t>WS0724.pdf</t>
        </is>
      </c>
      <c r="U245" s="8" t="n"/>
      <c r="V245" s="8" t="n"/>
      <c r="W245" s="8" t="n"/>
      <c r="X245" s="8" t="n"/>
      <c r="Y245" s="8" t="n"/>
      <c r="Z245" s="8" t="n"/>
      <c r="AA245" s="8" t="n"/>
      <c r="AB245" s="8" t="n"/>
      <c r="AC245" s="8" t="n"/>
      <c r="AD245" s="8" t="n"/>
      <c r="AE245" s="8" t="inlineStr">
        <is>
          <t>yes</t>
        </is>
      </c>
    </row>
    <row r="246">
      <c r="A246" s="5" t="n">
        <v>245</v>
      </c>
      <c r="B246" s="5" t="inlineStr">
        <is>
          <t>WS0731</t>
        </is>
      </c>
      <c r="C246" s="5" t="inlineStr">
        <is>
          <t>2003</t>
        </is>
      </c>
      <c r="D246" s="5" t="inlineStr">
        <is>
          <t>English</t>
        </is>
      </c>
      <c r="E246" s="5" t="inlineStr">
        <is>
          <t>JOUR</t>
        </is>
      </c>
      <c r="F246" s="5" t="inlineStr">
        <is>
          <t>Kim</t>
        </is>
      </c>
      <c r="G246" s="5" t="inlineStr">
        <is>
          <t>Journal of pediatric surgery</t>
        </is>
      </c>
      <c r="H246" s="5" t="inlineStr">
        <is>
          <t>38(4):622-3</t>
        </is>
      </c>
      <c r="I246" s="6" t="inlineStr">
        <is>
          <t>Avulsion of wandering spleen after traumatic torsion.</t>
        </is>
      </c>
      <c r="J246" s="5" t="inlineStr">
        <is>
          <t>10.1053/jpsu.2003.50136</t>
        </is>
      </c>
      <c r="K246" s="7" t="inlineStr">
        <is>
          <t>link</t>
        </is>
      </c>
      <c r="L246" s="7" t="inlineStr">
        <is>
          <t>link</t>
        </is>
      </c>
      <c r="M246" s="5" t="inlineStr"/>
      <c r="N246" s="5" t="inlineStr"/>
      <c r="O246" s="5" t="inlineStr"/>
      <c r="P246" s="5" t="inlineStr"/>
      <c r="Q246" s="5" t="inlineStr"/>
      <c r="R246" s="5" t="inlineStr">
        <is>
          <t>2 English, DOI or PubMed link</t>
        </is>
      </c>
      <c r="S246" s="5" t="inlineStr">
        <is>
          <t>Y</t>
        </is>
      </c>
      <c r="T246" s="5" t="inlineStr">
        <is>
          <t>WS0731.pdf</t>
        </is>
      </c>
      <c r="U246" s="8" t="n"/>
      <c r="V246" s="8" t="n"/>
      <c r="W246" s="8" t="n"/>
      <c r="X246" s="8" t="n"/>
      <c r="Y246" s="8" t="n"/>
      <c r="Z246" s="8" t="n"/>
      <c r="AA246" s="8" t="n"/>
      <c r="AB246" s="8" t="n"/>
      <c r="AC246" s="8" t="n"/>
      <c r="AD246" s="8" t="n"/>
      <c r="AE246" s="8" t="inlineStr">
        <is>
          <t>yes</t>
        </is>
      </c>
    </row>
    <row r="247">
      <c r="A247" s="5" t="n">
        <v>246</v>
      </c>
      <c r="B247" s="5" t="inlineStr">
        <is>
          <t>WS1696</t>
        </is>
      </c>
      <c r="C247" s="5" t="inlineStr">
        <is>
          <t>2003</t>
        </is>
      </c>
      <c r="D247" s="5" t="inlineStr">
        <is>
          <t>English</t>
        </is>
      </c>
      <c r="E247" s="5" t="inlineStr">
        <is>
          <t>CONF</t>
        </is>
      </c>
      <c r="F247" s="5" t="inlineStr">
        <is>
          <t>Kim</t>
        </is>
      </c>
      <c r="G247" s="5" t="inlineStr">
        <is>
          <t>Pediatric Endosurgery and Innovative Techniques</t>
        </is>
      </c>
      <c r="H247" s="5" t="inlineStr">
        <is>
          <t>7(3):237-241</t>
        </is>
      </c>
      <c r="I247" s="6" t="inlineStr">
        <is>
          <t>Laparoscopic splenopexy for the wandering spleen syndrome</t>
        </is>
      </c>
      <c r="J247" s="5" t="inlineStr">
        <is>
          <t>10.1089/109264103322381618</t>
        </is>
      </c>
      <c r="K247" s="7" t="inlineStr">
        <is>
          <t>link</t>
        </is>
      </c>
      <c r="L247" s="5" t="inlineStr"/>
      <c r="M247" s="5" t="inlineStr"/>
      <c r="N247" s="5" t="inlineStr"/>
      <c r="O247" s="5" t="inlineStr"/>
      <c r="P247" s="5" t="inlineStr"/>
      <c r="Q247" s="7" t="inlineStr">
        <is>
          <t>link</t>
        </is>
      </c>
      <c r="R247" s="5" t="inlineStr">
        <is>
          <t>2 English, DOI or PubMed link</t>
        </is>
      </c>
      <c r="S247" s="5" t="inlineStr"/>
      <c r="T247" s="5" t="inlineStr">
        <is>
          <t>WS1696.pdf</t>
        </is>
      </c>
      <c r="U247" s="8" t="n"/>
      <c r="V247" s="8" t="n"/>
      <c r="W247" s="8" t="n"/>
      <c r="X247" s="8" t="n"/>
      <c r="Y247" s="8" t="n"/>
      <c r="Z247" s="8" t="n"/>
      <c r="AA247" s="8" t="n"/>
      <c r="AB247" s="8" t="n"/>
      <c r="AC247" s="8" t="n"/>
      <c r="AD247" s="8" t="n"/>
      <c r="AE247" s="8" t="inlineStr">
        <is>
          <t>yes</t>
        </is>
      </c>
    </row>
    <row r="248">
      <c r="A248" s="5" t="n">
        <v>247</v>
      </c>
      <c r="B248" s="5" t="inlineStr">
        <is>
          <t>WS0741</t>
        </is>
      </c>
      <c r="C248" s="5" t="inlineStr">
        <is>
          <t>2002</t>
        </is>
      </c>
      <c r="D248" s="5" t="inlineStr">
        <is>
          <t>English</t>
        </is>
      </c>
      <c r="E248" s="5" t="inlineStr">
        <is>
          <t>JOUR</t>
        </is>
      </c>
      <c r="F248" s="5" t="inlineStr">
        <is>
          <t>Steinberg</t>
        </is>
      </c>
      <c r="G248" s="5" t="inlineStr">
        <is>
          <t>Journal of pediatric surgery</t>
        </is>
      </c>
      <c r="H248" s="5" t="inlineStr">
        <is>
          <t>37(10):E30</t>
        </is>
      </c>
      <c r="I248" s="6" t="inlineStr">
        <is>
          <t>Clinical presentation of wandering spleen.</t>
        </is>
      </c>
      <c r="J248" s="5" t="inlineStr">
        <is>
          <t>10.1053/jpsu.2002.35443</t>
        </is>
      </c>
      <c r="K248" s="7" t="inlineStr">
        <is>
          <t>link</t>
        </is>
      </c>
      <c r="L248" s="7" t="inlineStr">
        <is>
          <t>link</t>
        </is>
      </c>
      <c r="M248" s="5" t="inlineStr"/>
      <c r="N248" s="5" t="inlineStr"/>
      <c r="O248" s="5" t="inlineStr"/>
      <c r="P248" s="5" t="inlineStr"/>
      <c r="Q248" s="5" t="inlineStr"/>
      <c r="R248" s="5" t="inlineStr">
        <is>
          <t>2 English, DOI or PubMed link</t>
        </is>
      </c>
      <c r="S248" s="5" t="inlineStr"/>
      <c r="T248" s="5" t="inlineStr">
        <is>
          <t>WS0741.pdf</t>
        </is>
      </c>
      <c r="U248" s="8" t="n"/>
      <c r="V248" s="8" t="n"/>
      <c r="W248" s="8" t="n"/>
      <c r="X248" s="8" t="n"/>
      <c r="Y248" s="8" t="n"/>
      <c r="Z248" s="8" t="n"/>
      <c r="AA248" s="8" t="n"/>
      <c r="AB248" s="8" t="n"/>
      <c r="AC248" s="8" t="n"/>
      <c r="AD248" s="8" t="n"/>
      <c r="AE248" s="8" t="inlineStr">
        <is>
          <t>yes</t>
        </is>
      </c>
    </row>
    <row r="249">
      <c r="A249" s="5" t="n">
        <v>248</v>
      </c>
      <c r="B249" s="5" t="inlineStr">
        <is>
          <t>WS0742</t>
        </is>
      </c>
      <c r="C249" s="5" t="inlineStr">
        <is>
          <t>2002</t>
        </is>
      </c>
      <c r="D249" s="5" t="inlineStr">
        <is>
          <t>English</t>
        </is>
      </c>
      <c r="E249" s="5" t="inlineStr">
        <is>
          <t>JOUR</t>
        </is>
      </c>
      <c r="F249" s="5" t="inlineStr">
        <is>
          <t>Kanmaz</t>
        </is>
      </c>
      <c r="G249" s="5" t="inlineStr">
        <is>
          <t>Indian journal of pediatrics</t>
        </is>
      </c>
      <c r="H249" s="5" t="inlineStr">
        <is>
          <t>69(8):729-30</t>
        </is>
      </c>
      <c r="I249" s="6" t="inlineStr">
        <is>
          <t>The split notochord syndrome with dorsal enteric fistula.</t>
        </is>
      </c>
      <c r="J249" s="5" t="inlineStr">
        <is>
          <t>10.1007/bf02722716</t>
        </is>
      </c>
      <c r="K249" s="7" t="inlineStr">
        <is>
          <t>link</t>
        </is>
      </c>
      <c r="L249" s="7" t="inlineStr">
        <is>
          <t>link</t>
        </is>
      </c>
      <c r="M249" s="5" t="inlineStr"/>
      <c r="N249" s="5" t="inlineStr"/>
      <c r="O249" s="5" t="inlineStr"/>
      <c r="P249" s="5" t="inlineStr"/>
      <c r="Q249" s="5" t="inlineStr"/>
      <c r="R249" s="5" t="inlineStr">
        <is>
          <t>2 English, DOI or PubMed link</t>
        </is>
      </c>
      <c r="S249" s="5" t="inlineStr"/>
      <c r="T249" s="5" t="inlineStr">
        <is>
          <t>WS0742.pdf</t>
        </is>
      </c>
      <c r="U249" s="8" t="n"/>
      <c r="V249" s="8" t="n"/>
      <c r="W249" s="8" t="n"/>
      <c r="X249" s="8" t="n"/>
      <c r="Y249" s="8" t="n"/>
      <c r="Z249" s="8" t="n"/>
      <c r="AA249" s="8" t="n"/>
      <c r="AB249" s="8" t="n"/>
      <c r="AC249" s="8" t="n"/>
      <c r="AD249" s="8" t="n"/>
      <c r="AE249" s="8" t="inlineStr">
        <is>
          <t>yes</t>
        </is>
      </c>
    </row>
    <row r="250">
      <c r="A250" s="5" t="n">
        <v>249</v>
      </c>
      <c r="B250" s="5" t="inlineStr">
        <is>
          <t>WS0747</t>
        </is>
      </c>
      <c r="C250" s="5" t="inlineStr">
        <is>
          <t>2002</t>
        </is>
      </c>
      <c r="D250" s="5" t="inlineStr">
        <is>
          <t>English</t>
        </is>
      </c>
      <c r="E250" s="5" t="inlineStr">
        <is>
          <t>JOUR</t>
        </is>
      </c>
      <c r="F250" s="5" t="inlineStr">
        <is>
          <t>Rosin</t>
        </is>
      </c>
      <c r="G250" s="5" t="inlineStr">
        <is>
          <t>Surgical endoscopy</t>
        </is>
      </c>
      <c r="H250" s="5" t="inlineStr">
        <is>
          <t>16(7):1110</t>
        </is>
      </c>
      <c r="I250" s="6" t="inlineStr">
        <is>
          <t>Laparoscopic splenectomy for torsion of wandering spleen associated with celiac axis occlusion.</t>
        </is>
      </c>
      <c r="J250" s="5" t="inlineStr">
        <is>
          <t>10.1007/s00464-001-0078-3</t>
        </is>
      </c>
      <c r="K250" s="7" t="inlineStr">
        <is>
          <t>link</t>
        </is>
      </c>
      <c r="L250" s="7" t="inlineStr">
        <is>
          <t>link</t>
        </is>
      </c>
      <c r="M250" s="5" t="inlineStr"/>
      <c r="N250" s="5" t="inlineStr"/>
      <c r="O250" s="5" t="inlineStr"/>
      <c r="P250" s="5" t="inlineStr"/>
      <c r="Q250" s="5" t="inlineStr"/>
      <c r="R250" s="5" t="inlineStr">
        <is>
          <t>2 English, DOI or PubMed link</t>
        </is>
      </c>
      <c r="S250" s="5" t="inlineStr"/>
      <c r="T250" s="5" t="inlineStr">
        <is>
          <t>WS0747.pdf</t>
        </is>
      </c>
      <c r="U250" s="8" t="n"/>
      <c r="V250" s="8" t="n"/>
      <c r="W250" s="8" t="n"/>
      <c r="X250" s="8" t="n"/>
      <c r="Y250" s="8" t="n"/>
      <c r="Z250" s="8" t="n"/>
      <c r="AA250" s="8" t="n"/>
      <c r="AB250" s="8" t="n"/>
      <c r="AC250" s="8" t="n"/>
      <c r="AD250" s="8" t="n"/>
      <c r="AE250" s="8" t="inlineStr">
        <is>
          <t>yes</t>
        </is>
      </c>
    </row>
    <row r="251">
      <c r="A251" s="5" t="n">
        <v>250</v>
      </c>
      <c r="B251" s="5" t="inlineStr">
        <is>
          <t>WS0749</t>
        </is>
      </c>
      <c r="C251" s="5" t="inlineStr">
        <is>
          <t>2002</t>
        </is>
      </c>
      <c r="D251" s="5" t="inlineStr">
        <is>
          <t>English</t>
        </is>
      </c>
      <c r="E251" s="5" t="inlineStr">
        <is>
          <t>JOUR</t>
        </is>
      </c>
      <c r="F251" s="5" t="inlineStr">
        <is>
          <t>Satyadas</t>
        </is>
      </c>
      <c r="G251" s="5" t="inlineStr">
        <is>
          <t>Journal of the Royal College of Surgeons of Edinburgh</t>
        </is>
      </c>
      <c r="H251" s="5" t="inlineStr">
        <is>
          <t>47(2):512-4</t>
        </is>
      </c>
      <c r="I251" s="6" t="inlineStr">
        <is>
          <t>Wandering spleen: case report and literature review.</t>
        </is>
      </c>
      <c r="J251" s="5" t="inlineStr"/>
      <c r="K251" s="5" t="inlineStr"/>
      <c r="L251" s="7" t="inlineStr">
        <is>
          <t>link</t>
        </is>
      </c>
      <c r="M251" s="5" t="inlineStr"/>
      <c r="N251" s="5" t="inlineStr"/>
      <c r="O251" s="5" t="inlineStr"/>
      <c r="P251" s="5" t="inlineStr"/>
      <c r="Q251" s="5" t="inlineStr"/>
      <c r="R251" s="5" t="inlineStr">
        <is>
          <t>2 English, DOI or PubMed link</t>
        </is>
      </c>
      <c r="S251" s="5" t="inlineStr"/>
      <c r="T251" s="5" t="inlineStr">
        <is>
          <t>WS0749.pdf</t>
        </is>
      </c>
      <c r="U251" s="8" t="n"/>
      <c r="V251" s="8" t="n"/>
      <c r="W251" s="8" t="n"/>
      <c r="X251" s="8" t="n"/>
      <c r="Y251" s="8" t="n"/>
      <c r="Z251" s="8" t="n"/>
      <c r="AA251" s="8" t="n"/>
      <c r="AB251" s="8" t="n"/>
      <c r="AC251" s="8" t="n"/>
      <c r="AD251" s="8" t="n"/>
      <c r="AE251" s="8" t="inlineStr">
        <is>
          <t>yes</t>
        </is>
      </c>
    </row>
    <row r="252">
      <c r="A252" s="5" t="n">
        <v>251</v>
      </c>
      <c r="B252" s="5" t="inlineStr">
        <is>
          <t>WS0750</t>
        </is>
      </c>
      <c r="C252" s="5" t="inlineStr">
        <is>
          <t>2002</t>
        </is>
      </c>
      <c r="D252" s="5" t="inlineStr">
        <is>
          <t>English</t>
        </is>
      </c>
      <c r="E252" s="5" t="inlineStr">
        <is>
          <t>JOUR</t>
        </is>
      </c>
      <c r="F252" s="5" t="inlineStr">
        <is>
          <t>Teomete</t>
        </is>
      </c>
      <c r="G252" s="5" t="inlineStr">
        <is>
          <t>Computerized medical imaging and graphics : the official journal of the Computerized Medical Imaging Society</t>
        </is>
      </c>
      <c r="H252" s="5" t="inlineStr">
        <is>
          <t>26(3):177-80</t>
        </is>
      </c>
      <c r="I252" s="6" t="inlineStr">
        <is>
          <t>Ectopic spleen and left-sided vena cava in Beckwith-Wiedemann syndrome.</t>
        </is>
      </c>
      <c r="J252" s="5" t="inlineStr">
        <is>
          <t>10.1016/s0895-6111(01)00037-4</t>
        </is>
      </c>
      <c r="K252" s="7" t="inlineStr">
        <is>
          <t>link</t>
        </is>
      </c>
      <c r="L252" s="7" t="inlineStr">
        <is>
          <t>link</t>
        </is>
      </c>
      <c r="M252" s="5" t="inlineStr"/>
      <c r="N252" s="5" t="inlineStr"/>
      <c r="O252" s="5" t="inlineStr"/>
      <c r="P252" s="5" t="inlineStr"/>
      <c r="Q252" s="5" t="inlineStr"/>
      <c r="R252" s="5" t="inlineStr">
        <is>
          <t>2 English, DOI or PubMed link</t>
        </is>
      </c>
      <c r="S252" s="5" t="inlineStr"/>
      <c r="T252" s="5" t="inlineStr">
        <is>
          <t>WS0750.pdf</t>
        </is>
      </c>
      <c r="U252" s="8" t="n"/>
      <c r="V252" s="8" t="n"/>
      <c r="W252" s="8" t="n"/>
      <c r="X252" s="8" t="n"/>
      <c r="Y252" s="8" t="n"/>
      <c r="Z252" s="8" t="n"/>
      <c r="AA252" s="8" t="n"/>
      <c r="AB252" s="8" t="n"/>
      <c r="AC252" s="8" t="n"/>
      <c r="AD252" s="8" t="n"/>
      <c r="AE252" s="8" t="inlineStr">
        <is>
          <t>yes</t>
        </is>
      </c>
    </row>
    <row r="253">
      <c r="A253" s="5" t="n">
        <v>252</v>
      </c>
      <c r="B253" s="5" t="inlineStr">
        <is>
          <t>WS0751</t>
        </is>
      </c>
      <c r="C253" s="5" t="inlineStr">
        <is>
          <t>2002</t>
        </is>
      </c>
      <c r="D253" s="5" t="inlineStr">
        <is>
          <t>English</t>
        </is>
      </c>
      <c r="E253" s="5" t="inlineStr">
        <is>
          <t>JOUR</t>
        </is>
      </c>
      <c r="F253" s="5" t="inlineStr">
        <is>
          <t>Hamel</t>
        </is>
      </c>
      <c r="G253" s="5" t="inlineStr">
        <is>
          <t>Acta tropica</t>
        </is>
      </c>
      <c r="H253" s="5" t="inlineStr">
        <is>
          <t>82(1):1-5</t>
        </is>
      </c>
      <c r="I253" s="6" t="inlineStr">
        <is>
          <t>Nonoperative treatment of splenic rupture in malaria tropica: review of literature and case report.</t>
        </is>
      </c>
      <c r="J253" s="5" t="inlineStr">
        <is>
          <t>10.1016/s0001-706x(02)00025-6</t>
        </is>
      </c>
      <c r="K253" s="7" t="inlineStr">
        <is>
          <t>link</t>
        </is>
      </c>
      <c r="L253" s="7" t="inlineStr">
        <is>
          <t>link</t>
        </is>
      </c>
      <c r="M253" s="5" t="inlineStr"/>
      <c r="N253" s="5" t="inlineStr"/>
      <c r="O253" s="5" t="inlineStr"/>
      <c r="P253" s="5" t="inlineStr"/>
      <c r="Q253" s="5" t="inlineStr"/>
      <c r="R253" s="5" t="inlineStr">
        <is>
          <t>2 English, DOI or PubMed link</t>
        </is>
      </c>
      <c r="S253" s="5" t="inlineStr"/>
      <c r="T253" s="5" t="inlineStr">
        <is>
          <t>WS0751.pdf</t>
        </is>
      </c>
      <c r="U253" s="8" t="n"/>
      <c r="V253" s="8" t="n"/>
      <c r="W253" s="8" t="n"/>
      <c r="X253" s="8" t="n"/>
      <c r="Y253" s="8" t="n"/>
      <c r="Z253" s="8" t="n"/>
      <c r="AA253" s="8" t="n"/>
      <c r="AB253" s="8" t="n"/>
      <c r="AC253" s="8" t="n"/>
      <c r="AD253" s="8" t="n"/>
      <c r="AE253" s="8" t="inlineStr">
        <is>
          <t>yes</t>
        </is>
      </c>
    </row>
    <row r="254">
      <c r="A254" s="5" t="n">
        <v>253</v>
      </c>
      <c r="B254" s="5" t="inlineStr">
        <is>
          <t>WS0756</t>
        </is>
      </c>
      <c r="C254" s="5" t="inlineStr">
        <is>
          <t>2001</t>
        </is>
      </c>
      <c r="D254" s="5" t="inlineStr">
        <is>
          <t>English</t>
        </is>
      </c>
      <c r="E254" s="5" t="inlineStr">
        <is>
          <t>JOUR</t>
        </is>
      </c>
      <c r="F254" s="5" t="inlineStr">
        <is>
          <t>Reisli</t>
        </is>
      </c>
      <c r="G254" s="5" t="inlineStr">
        <is>
          <t>The Turkish journal of pediatrics</t>
        </is>
      </c>
      <c r="H254" s="5" t="inlineStr">
        <is>
          <t>43(3):265-8</t>
        </is>
      </c>
      <c r="I254" s="6" t="inlineStr">
        <is>
          <t>A case of osteopetrosis with pelvic ectopic spleen: an unusual association.</t>
        </is>
      </c>
      <c r="J254" s="5" t="inlineStr"/>
      <c r="K254" s="5" t="inlineStr"/>
      <c r="L254" s="7" t="inlineStr">
        <is>
          <t>link</t>
        </is>
      </c>
      <c r="M254" s="5" t="inlineStr"/>
      <c r="N254" s="5" t="inlineStr"/>
      <c r="O254" s="5" t="inlineStr"/>
      <c r="P254" s="5" t="inlineStr"/>
      <c r="Q254" s="5" t="inlineStr"/>
      <c r="R254" s="5" t="inlineStr">
        <is>
          <t>2 English, DOI or PubMed link</t>
        </is>
      </c>
      <c r="S254" s="5" t="inlineStr"/>
      <c r="T254" s="5" t="inlineStr">
        <is>
          <t>WS0756.pdf</t>
        </is>
      </c>
      <c r="U254" s="8" t="n"/>
      <c r="V254" s="8" t="n"/>
      <c r="W254" s="8" t="n"/>
      <c r="X254" s="8" t="n"/>
      <c r="Y254" s="8" t="n"/>
      <c r="Z254" s="8" t="n"/>
      <c r="AA254" s="8" t="n"/>
      <c r="AB254" s="8" t="n"/>
      <c r="AC254" s="8" t="n"/>
      <c r="AD254" s="8" t="n"/>
      <c r="AE254" s="8" t="inlineStr">
        <is>
          <t>yes</t>
        </is>
      </c>
    </row>
    <row r="255">
      <c r="A255" s="5" t="n">
        <v>254</v>
      </c>
      <c r="B255" s="5" t="inlineStr">
        <is>
          <t>WS0765</t>
        </is>
      </c>
      <c r="C255" s="5" t="inlineStr">
        <is>
          <t>2001</t>
        </is>
      </c>
      <c r="D255" s="5" t="inlineStr">
        <is>
          <t>English</t>
        </is>
      </c>
      <c r="E255" s="5" t="inlineStr">
        <is>
          <t>JOUR</t>
        </is>
      </c>
      <c r="F255" s="5" t="inlineStr">
        <is>
          <t>Pelizzo</t>
        </is>
      </c>
      <c r="G255" s="5" t="inlineStr">
        <is>
          <t>Abdominal imaging</t>
        </is>
      </c>
      <c r="H255" s="5" t="inlineStr">
        <is>
          <t>26(3):306-8</t>
        </is>
      </c>
      <c r="I255" s="6" t="inlineStr">
        <is>
          <t>Gastric volvulus associated with congenital diaphragmatic hernia, wandering spleen, and intrathoracic left kidney: CT findings.</t>
        </is>
      </c>
      <c r="J255" s="5" t="inlineStr">
        <is>
          <t>10.1007/s002610000171</t>
        </is>
      </c>
      <c r="K255" s="7" t="inlineStr">
        <is>
          <t>link</t>
        </is>
      </c>
      <c r="L255" s="7" t="inlineStr">
        <is>
          <t>link</t>
        </is>
      </c>
      <c r="M255" s="5" t="inlineStr"/>
      <c r="N255" s="5" t="inlineStr"/>
      <c r="O255" s="5" t="inlineStr"/>
      <c r="P255" s="5" t="inlineStr"/>
      <c r="Q255" s="5" t="inlineStr"/>
      <c r="R255" s="5" t="inlineStr">
        <is>
          <t>2 English, DOI or PubMed link</t>
        </is>
      </c>
      <c r="S255" s="5" t="inlineStr"/>
      <c r="T255" s="5" t="inlineStr">
        <is>
          <t>WS0765.pdf</t>
        </is>
      </c>
      <c r="U255" s="8" t="n"/>
      <c r="V255" s="8" t="n"/>
      <c r="W255" s="8" t="n"/>
      <c r="X255" s="8" t="n"/>
      <c r="Y255" s="8" t="n"/>
      <c r="Z255" s="8" t="n"/>
      <c r="AA255" s="8" t="n"/>
      <c r="AB255" s="8" t="n"/>
      <c r="AC255" s="8" t="n"/>
      <c r="AD255" s="8" t="n"/>
      <c r="AE255" s="8" t="inlineStr">
        <is>
          <t>yes</t>
        </is>
      </c>
    </row>
    <row r="256">
      <c r="A256" s="5" t="n">
        <v>255</v>
      </c>
      <c r="B256" s="5" t="inlineStr">
        <is>
          <t>WS0770</t>
        </is>
      </c>
      <c r="C256" s="5" t="inlineStr">
        <is>
          <t>2001</t>
        </is>
      </c>
      <c r="D256" s="5" t="inlineStr">
        <is>
          <t>English</t>
        </is>
      </c>
      <c r="E256" s="5" t="inlineStr">
        <is>
          <t>JOUR</t>
        </is>
      </c>
      <c r="F256" s="5" t="inlineStr">
        <is>
          <t>Kao</t>
        </is>
      </c>
      <c r="G256" s="5" t="inlineStr">
        <is>
          <t>Pediatric radiology</t>
        </is>
      </c>
      <c r="H256" s="5" t="inlineStr">
        <is>
          <t>31(4):283-5</t>
        </is>
      </c>
      <c r="I256" s="6" t="inlineStr">
        <is>
          <t>99mTc-sulphur-colloid and heat-denatured 99mTc-labelled red cell scans demonstrating a giant intrapelvic spleen in a girl after splenectomy.</t>
        </is>
      </c>
      <c r="J256" s="5" t="inlineStr">
        <is>
          <t>10.1007/s002470000413</t>
        </is>
      </c>
      <c r="K256" s="7" t="inlineStr">
        <is>
          <t>link</t>
        </is>
      </c>
      <c r="L256" s="7" t="inlineStr">
        <is>
          <t>link</t>
        </is>
      </c>
      <c r="M256" s="5" t="inlineStr"/>
      <c r="N256" s="5" t="inlineStr"/>
      <c r="O256" s="5" t="inlineStr"/>
      <c r="P256" s="5" t="inlineStr"/>
      <c r="Q256" s="5" t="inlineStr"/>
      <c r="R256" s="5" t="inlineStr">
        <is>
          <t>2 English, DOI or PubMed link</t>
        </is>
      </c>
      <c r="S256" s="5" t="inlineStr"/>
      <c r="T256" s="5" t="inlineStr">
        <is>
          <t>WS0770.pdf</t>
        </is>
      </c>
      <c r="U256" s="8" t="n"/>
      <c r="V256" s="8" t="n"/>
      <c r="W256" s="8" t="n"/>
      <c r="X256" s="8" t="n"/>
      <c r="Y256" s="8" t="n"/>
      <c r="Z256" s="8" t="n"/>
      <c r="AA256" s="8" t="n"/>
      <c r="AB256" s="8" t="n"/>
      <c r="AC256" s="8" t="n"/>
      <c r="AD256" s="8" t="n"/>
      <c r="AE256" s="8" t="inlineStr">
        <is>
          <t>yes</t>
        </is>
      </c>
    </row>
    <row r="257">
      <c r="A257" s="5" t="n">
        <v>256</v>
      </c>
      <c r="B257" s="5" t="inlineStr">
        <is>
          <t>WS0771</t>
        </is>
      </c>
      <c r="C257" s="5" t="inlineStr">
        <is>
          <t>2001</t>
        </is>
      </c>
      <c r="D257" s="5" t="inlineStr">
        <is>
          <t>English</t>
        </is>
      </c>
      <c r="E257" s="5" t="inlineStr">
        <is>
          <t>JOUR</t>
        </is>
      </c>
      <c r="F257" s="5" t="inlineStr">
        <is>
          <t>Ratan</t>
        </is>
      </c>
      <c r="G257" s="5" t="inlineStr">
        <is>
          <t>Surgery today</t>
        </is>
      </c>
      <c r="H257" s="5" t="inlineStr">
        <is>
          <t>31(2):184-6</t>
        </is>
      </c>
      <c r="I257" s="6" t="inlineStr">
        <is>
          <t>Left diaphragmatic eventration with a suprapubic spleen: report of a case.</t>
        </is>
      </c>
      <c r="J257" s="5" t="inlineStr">
        <is>
          <t>10.1007/s005950170209</t>
        </is>
      </c>
      <c r="K257" s="7" t="inlineStr">
        <is>
          <t>link</t>
        </is>
      </c>
      <c r="L257" s="7" t="inlineStr">
        <is>
          <t>link</t>
        </is>
      </c>
      <c r="M257" s="5" t="inlineStr"/>
      <c r="N257" s="5" t="inlineStr"/>
      <c r="O257" s="5" t="inlineStr"/>
      <c r="P257" s="5" t="inlineStr"/>
      <c r="Q257" s="5" t="inlineStr"/>
      <c r="R257" s="5" t="inlineStr">
        <is>
          <t>2 English, DOI or PubMed link</t>
        </is>
      </c>
      <c r="S257" s="5" t="inlineStr"/>
      <c r="T257" s="5" t="inlineStr">
        <is>
          <t>WS0771.pdf</t>
        </is>
      </c>
      <c r="U257" s="8" t="n"/>
      <c r="V257" s="8" t="n"/>
      <c r="W257" s="8" t="n"/>
      <c r="X257" s="8" t="n"/>
      <c r="Y257" s="8" t="n"/>
      <c r="Z257" s="8" t="n"/>
      <c r="AA257" s="8" t="n"/>
      <c r="AB257" s="8" t="n"/>
      <c r="AC257" s="8" t="n"/>
      <c r="AD257" s="8" t="n"/>
      <c r="AE257" s="8" t="inlineStr">
        <is>
          <t>yes</t>
        </is>
      </c>
    </row>
    <row r="258">
      <c r="A258" s="5" t="n">
        <v>257</v>
      </c>
      <c r="B258" s="5" t="inlineStr">
        <is>
          <t>WS1634</t>
        </is>
      </c>
      <c r="C258" s="5" t="inlineStr">
        <is>
          <t>2001</t>
        </is>
      </c>
      <c r="D258" s="5" t="inlineStr">
        <is>
          <t>English</t>
        </is>
      </c>
      <c r="E258" s="5" t="inlineStr">
        <is>
          <t>JOUR</t>
        </is>
      </c>
      <c r="F258" s="5" t="inlineStr">
        <is>
          <t>Bernstine</t>
        </is>
      </c>
      <c r="G258" s="5" t="inlineStr">
        <is>
          <t>Clinical Nuclear Medicine</t>
        </is>
      </c>
      <c r="H258" s="5" t="inlineStr">
        <is>
          <t>26(2):147-148</t>
        </is>
      </c>
      <c r="I258" s="6" t="inlineStr">
        <is>
          <t>Misleading thoracic Ga-67 uptake caused by splenic displacement</t>
        </is>
      </c>
      <c r="J258" s="5" t="inlineStr">
        <is>
          <t>10.1097/00003072-200102000-00012</t>
        </is>
      </c>
      <c r="K258" s="7" t="inlineStr">
        <is>
          <t>link</t>
        </is>
      </c>
      <c r="L258" s="5" t="inlineStr"/>
      <c r="M258" s="5" t="inlineStr"/>
      <c r="N258" s="5" t="inlineStr"/>
      <c r="O258" s="5" t="inlineStr"/>
      <c r="P258" s="5" t="inlineStr"/>
      <c r="Q258" s="7" t="inlineStr">
        <is>
          <t>link</t>
        </is>
      </c>
      <c r="R258" s="5" t="inlineStr">
        <is>
          <t>2 English, DOI or PubMed link</t>
        </is>
      </c>
      <c r="S258" s="5" t="inlineStr"/>
      <c r="T258" s="5" t="inlineStr">
        <is>
          <t>WS1634.pdf</t>
        </is>
      </c>
      <c r="U258" s="8" t="n"/>
      <c r="V258" s="8" t="n"/>
      <c r="W258" s="8" t="n"/>
      <c r="X258" s="8" t="n"/>
      <c r="Y258" s="8" t="n"/>
      <c r="Z258" s="8" t="n"/>
      <c r="AA258" s="8" t="n"/>
      <c r="AB258" s="8" t="n"/>
      <c r="AC258" s="8" t="n"/>
      <c r="AD258" s="8" t="n"/>
      <c r="AE258" s="8" t="inlineStr">
        <is>
          <t>yes</t>
        </is>
      </c>
    </row>
    <row r="259">
      <c r="A259" s="5" t="n">
        <v>258</v>
      </c>
      <c r="B259" s="5" t="inlineStr">
        <is>
          <t>WS0757</t>
        </is>
      </c>
      <c r="C259" s="5" t="inlineStr">
        <is>
          <t>2000</t>
        </is>
      </c>
      <c r="D259" s="5" t="inlineStr">
        <is>
          <t>English</t>
        </is>
      </c>
      <c r="E259" s="5" t="inlineStr">
        <is>
          <t>JOUR</t>
        </is>
      </c>
      <c r="F259" s="5" t="inlineStr">
        <is>
          <t>Andley</t>
        </is>
      </c>
      <c r="G259" s="5" t="inlineStr">
        <is>
          <t>International surgery</t>
        </is>
      </c>
      <c r="H259" s="5" t="inlineStr">
        <is>
          <t>85(4):322-4</t>
        </is>
      </c>
      <c r="I259" s="6" t="inlineStr">
        <is>
          <t>Internal herniation of wandering spleen--a rare cause of recurrent abdominal pain.</t>
        </is>
      </c>
      <c r="J259" s="5" t="inlineStr"/>
      <c r="K259" s="5" t="inlineStr"/>
      <c r="L259" s="7" t="inlineStr">
        <is>
          <t>link</t>
        </is>
      </c>
      <c r="M259" s="5" t="inlineStr"/>
      <c r="N259" s="5" t="inlineStr"/>
      <c r="O259" s="5" t="inlineStr"/>
      <c r="P259" s="5" t="inlineStr"/>
      <c r="Q259" s="5" t="inlineStr"/>
      <c r="R259" s="5" t="inlineStr">
        <is>
          <t>2 English, DOI or PubMed link</t>
        </is>
      </c>
      <c r="S259" s="5" t="inlineStr"/>
      <c r="T259" s="5" t="inlineStr">
        <is>
          <t>WS0757.pdf</t>
        </is>
      </c>
      <c r="U259" s="8" t="n"/>
      <c r="V259" s="8" t="n"/>
      <c r="W259" s="8" t="n"/>
      <c r="X259" s="8" t="n"/>
      <c r="Y259" s="8" t="n"/>
      <c r="Z259" s="8" t="n"/>
      <c r="AA259" s="8" t="n"/>
      <c r="AB259" s="8" t="n"/>
      <c r="AC259" s="8" t="n"/>
      <c r="AD259" s="8" t="n"/>
      <c r="AE259" s="8" t="inlineStr">
        <is>
          <t>yes</t>
        </is>
      </c>
    </row>
    <row r="260">
      <c r="A260" s="5" t="n">
        <v>259</v>
      </c>
      <c r="B260" s="5" t="inlineStr">
        <is>
          <t>WS0778</t>
        </is>
      </c>
      <c r="C260" s="5" t="inlineStr">
        <is>
          <t>2000</t>
        </is>
      </c>
      <c r="D260" s="5" t="inlineStr">
        <is>
          <t>English</t>
        </is>
      </c>
      <c r="E260" s="5" t="inlineStr">
        <is>
          <t>JOUR</t>
        </is>
      </c>
      <c r="F260" s="5" t="inlineStr">
        <is>
          <t>Emir</t>
        </is>
      </c>
      <c r="G260" s="5" t="inlineStr">
        <is>
          <t>Pediatric surgery international</t>
        </is>
      </c>
      <c r="H260" s="5" t="inlineStr">
        <is>
          <t>16(8):602-3</t>
        </is>
      </c>
      <c r="I260" s="6" t="inlineStr">
        <is>
          <t>A case of wandering spleen causing urinary symptoms after correction of a posterolateral diaphragmatic hernia.</t>
        </is>
      </c>
      <c r="J260" s="5" t="inlineStr">
        <is>
          <t>10.1007/s003830000353</t>
        </is>
      </c>
      <c r="K260" s="7" t="inlineStr">
        <is>
          <t>link</t>
        </is>
      </c>
      <c r="L260" s="7" t="inlineStr">
        <is>
          <t>link</t>
        </is>
      </c>
      <c r="M260" s="5" t="inlineStr"/>
      <c r="N260" s="5" t="inlineStr"/>
      <c r="O260" s="5" t="inlineStr"/>
      <c r="P260" s="5" t="inlineStr"/>
      <c r="Q260" s="5" t="inlineStr"/>
      <c r="R260" s="5" t="inlineStr">
        <is>
          <t>2 English, DOI or PubMed link</t>
        </is>
      </c>
      <c r="S260" s="5" t="inlineStr"/>
      <c r="T260" s="5" t="inlineStr">
        <is>
          <t>WS0778.pdf</t>
        </is>
      </c>
      <c r="U260" s="8" t="n"/>
      <c r="V260" s="8" t="n"/>
      <c r="W260" s="8" t="n"/>
      <c r="X260" s="8" t="n"/>
      <c r="Y260" s="8" t="n"/>
      <c r="Z260" s="8" t="n"/>
      <c r="AA260" s="8" t="n"/>
      <c r="AB260" s="8" t="n"/>
      <c r="AC260" s="8" t="n"/>
      <c r="AD260" s="8" t="n"/>
      <c r="AE260" s="8" t="inlineStr">
        <is>
          <t>yes</t>
        </is>
      </c>
    </row>
    <row r="261">
      <c r="A261" s="5" t="n">
        <v>260</v>
      </c>
      <c r="B261" s="5" t="inlineStr">
        <is>
          <t>WS0780</t>
        </is>
      </c>
      <c r="C261" s="5" t="inlineStr">
        <is>
          <t>2000</t>
        </is>
      </c>
      <c r="D261" s="5" t="inlineStr">
        <is>
          <t>English</t>
        </is>
      </c>
      <c r="E261" s="5" t="inlineStr">
        <is>
          <t>JOUR</t>
        </is>
      </c>
      <c r="F261" s="5" t="inlineStr">
        <is>
          <t>Nawaz</t>
        </is>
      </c>
      <c r="G261" s="5" t="inlineStr">
        <is>
          <t>Journal of pediatric surgery</t>
        </is>
      </c>
      <c r="H261" s="5" t="inlineStr">
        <is>
          <t>35(10):1508-10</t>
        </is>
      </c>
      <c r="I261" s="6" t="inlineStr">
        <is>
          <t>Intrauterine torsion of a wandering spleen presenting as an abdominal cystic swelling.</t>
        </is>
      </c>
      <c r="J261" s="5" t="inlineStr">
        <is>
          <t>10.1053/jpsu.2000.16427</t>
        </is>
      </c>
      <c r="K261" s="7" t="inlineStr">
        <is>
          <t>link</t>
        </is>
      </c>
      <c r="L261" s="7" t="inlineStr">
        <is>
          <t>link</t>
        </is>
      </c>
      <c r="M261" s="5" t="inlineStr"/>
      <c r="N261" s="5" t="inlineStr"/>
      <c r="O261" s="5" t="inlineStr"/>
      <c r="P261" s="5" t="inlineStr"/>
      <c r="Q261" s="5" t="inlineStr"/>
      <c r="R261" s="5" t="inlineStr">
        <is>
          <t>2 English, DOI or PubMed link</t>
        </is>
      </c>
      <c r="S261" s="5" t="inlineStr">
        <is>
          <t>Y</t>
        </is>
      </c>
      <c r="T261" s="5" t="inlineStr">
        <is>
          <t>WS0780.pdf</t>
        </is>
      </c>
      <c r="U261" s="8" t="n"/>
      <c r="V261" s="8" t="n"/>
      <c r="W261" s="8" t="n"/>
      <c r="X261" s="8" t="n"/>
      <c r="Y261" s="8" t="n"/>
      <c r="Z261" s="8" t="n"/>
      <c r="AA261" s="8" t="n"/>
      <c r="AB261" s="8" t="n"/>
      <c r="AC261" s="8" t="n"/>
      <c r="AD261" s="8" t="n"/>
      <c r="AE261" s="8" t="inlineStr">
        <is>
          <t>yes</t>
        </is>
      </c>
    </row>
    <row r="262">
      <c r="A262" s="5" t="n">
        <v>261</v>
      </c>
      <c r="B262" s="5" t="inlineStr">
        <is>
          <t>WS0786</t>
        </is>
      </c>
      <c r="C262" s="5" t="inlineStr">
        <is>
          <t>2000</t>
        </is>
      </c>
      <c r="D262" s="5" t="inlineStr">
        <is>
          <t>English</t>
        </is>
      </c>
      <c r="E262" s="5" t="inlineStr">
        <is>
          <t>JOUR</t>
        </is>
      </c>
      <c r="F262" s="5" t="inlineStr">
        <is>
          <t>Danaci</t>
        </is>
      </c>
      <c r="G262" s="5" t="inlineStr">
        <is>
          <t>Journal of clinical ultrasound : JCU</t>
        </is>
      </c>
      <c r="H262" s="5" t="inlineStr">
        <is>
          <t>28(5):246-8</t>
        </is>
      </c>
      <c r="I262" s="6" t="inlineStr">
        <is>
          <t>Power Doppler sonographic diagnosis of torsion in a wandering spleen.</t>
        </is>
      </c>
      <c r="J262" s="5" t="inlineStr">
        <is>
          <t>10.1002/(sici)1097-0096(200006)28:5&lt;246::aid-jcu6&gt;3.0.co;2-#</t>
        </is>
      </c>
      <c r="K262" s="7" t="inlineStr">
        <is>
          <t>link</t>
        </is>
      </c>
      <c r="L262" s="7" t="inlineStr">
        <is>
          <t>link</t>
        </is>
      </c>
      <c r="M262" s="5" t="inlineStr"/>
      <c r="N262" s="5" t="inlineStr"/>
      <c r="O262" s="5" t="inlineStr"/>
      <c r="P262" s="5" t="inlineStr"/>
      <c r="Q262" s="5" t="inlineStr"/>
      <c r="R262" s="5" t="inlineStr">
        <is>
          <t>2 English, DOI or PubMed link</t>
        </is>
      </c>
      <c r="S262" s="5" t="inlineStr"/>
      <c r="T262" s="5" t="inlineStr">
        <is>
          <t>WS0786.pdf</t>
        </is>
      </c>
      <c r="U262" s="8" t="n"/>
      <c r="V262" s="8" t="n"/>
      <c r="W262" s="8" t="n"/>
      <c r="X262" s="8" t="n"/>
      <c r="Y262" s="8" t="n"/>
      <c r="Z262" s="8" t="n"/>
      <c r="AA262" s="8" t="n"/>
      <c r="AB262" s="8" t="n"/>
      <c r="AC262" s="8" t="n"/>
      <c r="AD262" s="8" t="n"/>
      <c r="AE262" s="8" t="inlineStr">
        <is>
          <t>yes</t>
        </is>
      </c>
    </row>
    <row r="263">
      <c r="A263" s="5" t="n">
        <v>262</v>
      </c>
      <c r="B263" s="5" t="inlineStr">
        <is>
          <t>WS0789</t>
        </is>
      </c>
      <c r="C263" s="5" t="inlineStr">
        <is>
          <t>2000</t>
        </is>
      </c>
      <c r="D263" s="5" t="inlineStr">
        <is>
          <t>English</t>
        </is>
      </c>
      <c r="E263" s="5" t="inlineStr">
        <is>
          <t>JOUR</t>
        </is>
      </c>
      <c r="F263" s="5" t="inlineStr">
        <is>
          <t>Spector</t>
        </is>
      </c>
      <c r="G263" s="5" t="inlineStr">
        <is>
          <t>Journal of pediatric surgery</t>
        </is>
      </c>
      <c r="H263" s="5" t="inlineStr">
        <is>
          <t>35(4):641-2</t>
        </is>
      </c>
      <c r="I263" s="6" t="inlineStr">
        <is>
          <t>Gastric volvulus associated with wandering spleen in a child.</t>
        </is>
      </c>
      <c r="J263" s="5" t="inlineStr">
        <is>
          <t>10.1053/jpsu.2000.0350641</t>
        </is>
      </c>
      <c r="K263" s="7" t="inlineStr">
        <is>
          <t>link</t>
        </is>
      </c>
      <c r="L263" s="7" t="inlineStr">
        <is>
          <t>link</t>
        </is>
      </c>
      <c r="M263" s="5" t="inlineStr"/>
      <c r="N263" s="5" t="inlineStr"/>
      <c r="O263" s="5" t="inlineStr"/>
      <c r="P263" s="5" t="inlineStr"/>
      <c r="Q263" s="5" t="inlineStr"/>
      <c r="R263" s="5" t="inlineStr">
        <is>
          <t>2 English, DOI or PubMed link</t>
        </is>
      </c>
      <c r="S263" s="5" t="inlineStr"/>
      <c r="T263" s="5" t="inlineStr">
        <is>
          <t>WS0789.pdf</t>
        </is>
      </c>
      <c r="U263" s="8" t="n"/>
      <c r="V263" s="8" t="n"/>
      <c r="W263" s="8" t="n"/>
      <c r="X263" s="8" t="n"/>
      <c r="Y263" s="8" t="n"/>
      <c r="Z263" s="8" t="n"/>
      <c r="AA263" s="8" t="n"/>
      <c r="AB263" s="8" t="n"/>
      <c r="AC263" s="8" t="n"/>
      <c r="AD263" s="8" t="n"/>
      <c r="AE263" s="8" t="inlineStr">
        <is>
          <t>yes</t>
        </is>
      </c>
    </row>
    <row r="264">
      <c r="A264" s="5" t="n">
        <v>263</v>
      </c>
      <c r="B264" s="5" t="inlineStr">
        <is>
          <t>WS2312</t>
        </is>
      </c>
      <c r="C264" s="5" t="inlineStr">
        <is>
          <t>2026</t>
        </is>
      </c>
      <c r="D264" s="5" t="inlineStr">
        <is>
          <t>Chinese</t>
        </is>
      </c>
      <c r="E264" s="5" t="inlineStr">
        <is>
          <t>JOUR</t>
        </is>
      </c>
      <c r="F264" s="5" t="inlineStr">
        <is>
          <t>董伊迪</t>
        </is>
      </c>
      <c r="G264" s="5" t="inlineStr">
        <is>
          <t>基层医学论坛（新加坡学术出版社）</t>
        </is>
      </c>
      <c r="H264" s="5" t="inlineStr">
        <is>
          <t>8(1)</t>
        </is>
      </c>
      <c r="I264" s="6" t="inlineStr">
        <is>
          <t>伴有脾动脉钙化的异位脾扭转 1 例</t>
        </is>
      </c>
      <c r="J264" s="5" t="inlineStr">
        <is>
          <t>10.12373/jcyxlt.2026.01.23766</t>
        </is>
      </c>
      <c r="K264" s="7" t="inlineStr">
        <is>
          <t>link</t>
        </is>
      </c>
      <c r="L264" s="5" t="inlineStr"/>
      <c r="M264" s="5" t="inlineStr"/>
      <c r="N264" s="5" t="inlineStr"/>
      <c r="O264" s="5" t="inlineStr"/>
      <c r="P264" s="7" t="inlineStr">
        <is>
          <t>link</t>
        </is>
      </c>
      <c r="Q264" s="5" t="inlineStr"/>
      <c r="R264" s="5" t="inlineStr">
        <is>
          <t>3 Chinese</t>
        </is>
      </c>
      <c r="S264" s="5" t="inlineStr"/>
      <c r="T264" s="5" t="inlineStr">
        <is>
          <t>WS2312.pdf</t>
        </is>
      </c>
      <c r="U264" s="8" t="n"/>
      <c r="V264" s="8" t="n"/>
      <c r="W264" s="8" t="n"/>
      <c r="X264" s="8" t="n"/>
      <c r="Y264" s="8" t="n"/>
      <c r="Z264" s="8" t="n"/>
      <c r="AA264" s="8" t="n"/>
      <c r="AB264" s="8" t="n"/>
      <c r="AC264" s="8" t="n"/>
      <c r="AD264" s="8" t="n"/>
      <c r="AE264" s="8" t="inlineStr">
        <is>
          <t>yes</t>
        </is>
      </c>
    </row>
    <row r="265">
      <c r="A265" s="5" t="n">
        <v>264</v>
      </c>
      <c r="B265" s="5" t="inlineStr">
        <is>
          <t>WS0049</t>
        </is>
      </c>
      <c r="C265" s="5" t="inlineStr">
        <is>
          <t>2025</t>
        </is>
      </c>
      <c r="D265" s="5" t="inlineStr">
        <is>
          <t>Chinese</t>
        </is>
      </c>
      <c r="E265" s="5" t="inlineStr">
        <is>
          <t>JOUR</t>
        </is>
      </c>
      <c r="F265" s="5" t="inlineStr">
        <is>
          <t>Zhao</t>
        </is>
      </c>
      <c r="G265" s="5" t="inlineStr">
        <is>
          <t>Zhonghua yi xue za zhi</t>
        </is>
      </c>
      <c r="H265" s="5" t="inlineStr">
        <is>
          <t>105(29):2507-2510</t>
        </is>
      </c>
      <c r="I265" s="6" t="inlineStr">
        <is>
          <t>[Ultrasonic manifestations of splenic torsion in children].</t>
        </is>
      </c>
      <c r="J265" s="5" t="inlineStr">
        <is>
          <t>10.3760/cma.j.cn112137-20250227-00466</t>
        </is>
      </c>
      <c r="K265" s="7" t="inlineStr">
        <is>
          <t>link</t>
        </is>
      </c>
      <c r="L265" s="7" t="inlineStr">
        <is>
          <t>link</t>
        </is>
      </c>
      <c r="M265" s="5" t="inlineStr"/>
      <c r="N265" s="5" t="inlineStr"/>
      <c r="O265" s="7" t="inlineStr">
        <is>
          <t>link</t>
        </is>
      </c>
      <c r="P265" s="7" t="inlineStr">
        <is>
          <t>link</t>
        </is>
      </c>
      <c r="Q265" s="5" t="inlineStr"/>
      <c r="R265" s="5" t="inlineStr">
        <is>
          <t>3 Chinese</t>
        </is>
      </c>
      <c r="S265" s="5" t="inlineStr">
        <is>
          <t>Y</t>
        </is>
      </c>
      <c r="T265" s="5" t="inlineStr">
        <is>
          <t>WS0049.pdf</t>
        </is>
      </c>
      <c r="U265" s="8" t="n"/>
      <c r="V265" s="8" t="n"/>
      <c r="W265" s="8" t="n"/>
      <c r="X265" s="8" t="n"/>
      <c r="Y265" s="8" t="n"/>
      <c r="Z265" s="8" t="n"/>
      <c r="AA265" s="8" t="n"/>
      <c r="AB265" s="8" t="n"/>
      <c r="AC265" s="8" t="n"/>
      <c r="AD265" s="8" t="n"/>
      <c r="AE265" s="8" t="inlineStr">
        <is>
          <t>yes</t>
        </is>
      </c>
    </row>
    <row r="266">
      <c r="A266" s="5" t="n">
        <v>265</v>
      </c>
      <c r="B266" s="5" t="inlineStr">
        <is>
          <t>WS1848</t>
        </is>
      </c>
      <c r="C266" s="5" t="inlineStr">
        <is>
          <t>2025</t>
        </is>
      </c>
      <c r="D266" s="5" t="inlineStr">
        <is>
          <t>Chinese</t>
        </is>
      </c>
      <c r="E266" s="5" t="inlineStr">
        <is>
          <t>JOUR</t>
        </is>
      </c>
      <c r="F266" s="5" t="inlineStr">
        <is>
          <t>张卓</t>
        </is>
      </c>
      <c r="G266" s="5" t="inlineStr">
        <is>
          <t>腹腔镜外科杂志</t>
        </is>
      </c>
      <c r="H266" s="5" t="inlineStr">
        <is>
          <t>30(9):719-720</t>
        </is>
      </c>
      <c r="I266" s="6" t="inlineStr">
        <is>
          <t>脾异位于阴囊的先天性腹股沟疝伴隐睾1例报告</t>
        </is>
      </c>
      <c r="J266" s="5" t="inlineStr">
        <is>
          <t>10.13499/j.cnki.fqjwkzz.2025.09.719</t>
        </is>
      </c>
      <c r="K266" s="7" t="inlineStr">
        <is>
          <t>link</t>
        </is>
      </c>
      <c r="L266" s="5" t="inlineStr"/>
      <c r="M266" s="5" t="inlineStr"/>
      <c r="N266" s="5" t="inlineStr"/>
      <c r="O266" s="7" t="inlineStr">
        <is>
          <t>link</t>
        </is>
      </c>
      <c r="P266" s="7" t="inlineStr">
        <is>
          <t>link</t>
        </is>
      </c>
      <c r="Q266" s="5" t="inlineStr"/>
      <c r="R266" s="5" t="inlineStr">
        <is>
          <t>3 Chinese</t>
        </is>
      </c>
      <c r="S266" s="5" t="inlineStr"/>
      <c r="T266" s="5" t="inlineStr">
        <is>
          <t>WS1848.pdf</t>
        </is>
      </c>
      <c r="U266" s="8" t="n"/>
      <c r="V266" s="8" t="n"/>
      <c r="W266" s="8" t="n"/>
      <c r="X266" s="8" t="n"/>
      <c r="Y266" s="8" t="n"/>
      <c r="Z266" s="8" t="n"/>
      <c r="AA266" s="8" t="n"/>
      <c r="AB266" s="8" t="n"/>
      <c r="AC266" s="8" t="n"/>
      <c r="AD266" s="8" t="n"/>
      <c r="AE266" s="8" t="inlineStr">
        <is>
          <t>yes</t>
        </is>
      </c>
    </row>
    <row r="267">
      <c r="A267" s="5" t="n">
        <v>266</v>
      </c>
      <c r="B267" s="5" t="inlineStr">
        <is>
          <t>WS1856</t>
        </is>
      </c>
      <c r="C267" s="5" t="inlineStr">
        <is>
          <t>2024</t>
        </is>
      </c>
      <c r="D267" s="5" t="inlineStr">
        <is>
          <t>Chinese</t>
        </is>
      </c>
      <c r="E267" s="5" t="inlineStr">
        <is>
          <t>JOUR</t>
        </is>
      </c>
      <c r="F267" s="5" t="inlineStr">
        <is>
          <t>张晨翔</t>
        </is>
      </c>
      <c r="G267" s="5" t="inlineStr">
        <is>
          <t>中国乡村医药</t>
        </is>
      </c>
      <c r="H267" s="5" t="inlineStr">
        <is>
          <t>31(22):50-52</t>
        </is>
      </c>
      <c r="I267" s="6" t="inlineStr">
        <is>
          <t>以急腹症表现的儿童游走脾伴脾功能亢进1例</t>
        </is>
      </c>
      <c r="J267" s="5" t="inlineStr">
        <is>
          <t>10.19542/j.cnki.1006-5180.2311-140</t>
        </is>
      </c>
      <c r="K267" s="7" t="inlineStr">
        <is>
          <t>link</t>
        </is>
      </c>
      <c r="L267" s="5" t="inlineStr"/>
      <c r="M267" s="5" t="inlineStr"/>
      <c r="N267" s="5" t="inlineStr"/>
      <c r="O267" s="7" t="inlineStr">
        <is>
          <t>link</t>
        </is>
      </c>
      <c r="P267" s="7" t="inlineStr">
        <is>
          <t>link</t>
        </is>
      </c>
      <c r="Q267" s="5" t="inlineStr"/>
      <c r="R267" s="5" t="inlineStr">
        <is>
          <t>3 Chinese</t>
        </is>
      </c>
      <c r="S267" s="5" t="inlineStr"/>
      <c r="T267" s="5" t="inlineStr">
        <is>
          <t>WS1856.pdf</t>
        </is>
      </c>
      <c r="U267" s="8" t="n"/>
      <c r="V267" s="8" t="n"/>
      <c r="W267" s="8" t="n"/>
      <c r="X267" s="8" t="n"/>
      <c r="Y267" s="8" t="n"/>
      <c r="Z267" s="8" t="n"/>
      <c r="AA267" s="8" t="n"/>
      <c r="AB267" s="8" t="n"/>
      <c r="AC267" s="8" t="n"/>
      <c r="AD267" s="8" t="n"/>
      <c r="AE267" s="8" t="inlineStr">
        <is>
          <t>yes</t>
        </is>
      </c>
    </row>
    <row r="268">
      <c r="A268" s="5" t="n">
        <v>267</v>
      </c>
      <c r="B268" s="5" t="inlineStr">
        <is>
          <t>WS1859</t>
        </is>
      </c>
      <c r="C268" s="5" t="inlineStr">
        <is>
          <t>2024</t>
        </is>
      </c>
      <c r="D268" s="5" t="inlineStr">
        <is>
          <t>Chinese</t>
        </is>
      </c>
      <c r="E268" s="5" t="inlineStr">
        <is>
          <t>JOUR</t>
        </is>
      </c>
      <c r="F268" s="5" t="inlineStr">
        <is>
          <t>李拴玲</t>
        </is>
      </c>
      <c r="G268" s="5" t="inlineStr">
        <is>
          <t>发育医学电子杂志</t>
        </is>
      </c>
      <c r="H268" s="5" t="inlineStr">
        <is>
          <t>12(5):369-373</t>
        </is>
      </c>
      <c r="I268" s="6" t="inlineStr">
        <is>
          <t>儿童脾扭转诊治的单中心回顾性研究</t>
        </is>
      </c>
      <c r="J268" s="5" t="inlineStr">
        <is>
          <t>10.3969/j.issn.2095-5340.2024.05.008</t>
        </is>
      </c>
      <c r="K268" s="7" t="inlineStr">
        <is>
          <t>link</t>
        </is>
      </c>
      <c r="L268" s="5" t="inlineStr"/>
      <c r="M268" s="5" t="inlineStr"/>
      <c r="N268" s="5" t="inlineStr"/>
      <c r="O268" s="7" t="inlineStr">
        <is>
          <t>link</t>
        </is>
      </c>
      <c r="P268" s="7" t="inlineStr">
        <is>
          <t>link</t>
        </is>
      </c>
      <c r="Q268" s="5" t="inlineStr"/>
      <c r="R268" s="5" t="inlineStr">
        <is>
          <t>3 Chinese</t>
        </is>
      </c>
      <c r="S268" s="5" t="inlineStr">
        <is>
          <t>Y</t>
        </is>
      </c>
      <c r="T268" s="5" t="inlineStr">
        <is>
          <t>WS1859.pdf</t>
        </is>
      </c>
      <c r="U268" s="8" t="n"/>
      <c r="V268" s="8" t="n"/>
      <c r="W268" s="8" t="n"/>
      <c r="X268" s="8" t="n"/>
      <c r="Y268" s="8" t="n"/>
      <c r="Z268" s="8" t="n"/>
      <c r="AA268" s="8" t="n"/>
      <c r="AB268" s="8" t="n"/>
      <c r="AC268" s="8" t="n"/>
      <c r="AD268" s="8" t="n"/>
      <c r="AE268" s="8" t="inlineStr">
        <is>
          <t>yes</t>
        </is>
      </c>
    </row>
    <row r="269">
      <c r="A269" s="5" t="n">
        <v>268</v>
      </c>
      <c r="B269" s="5" t="inlineStr">
        <is>
          <t>WS1860</t>
        </is>
      </c>
      <c r="C269" s="5" t="inlineStr">
        <is>
          <t>2024</t>
        </is>
      </c>
      <c r="D269" s="5" t="inlineStr">
        <is>
          <t>Chinese</t>
        </is>
      </c>
      <c r="E269" s="5" t="inlineStr">
        <is>
          <t>JOUR</t>
        </is>
      </c>
      <c r="F269" s="5" t="inlineStr">
        <is>
          <t>黄小燕</t>
        </is>
      </c>
      <c r="G269" s="5" t="inlineStr">
        <is>
          <t>肝胆胰外科杂志</t>
        </is>
      </c>
      <c r="H269" s="5" t="inlineStr">
        <is>
          <t>36(6):378-380</t>
        </is>
      </c>
      <c r="I269" s="6" t="inlineStr">
        <is>
          <t>儿童游离脾伴脾蒂及胰尾扭转一例</t>
        </is>
      </c>
      <c r="J269" s="5" t="inlineStr">
        <is>
          <t>10.11952/j.issn.1007-1954.2024.06.011</t>
        </is>
      </c>
      <c r="K269" s="7" t="inlineStr">
        <is>
          <t>link</t>
        </is>
      </c>
      <c r="L269" s="5" t="inlineStr"/>
      <c r="M269" s="5" t="inlineStr"/>
      <c r="N269" s="5" t="inlineStr"/>
      <c r="O269" s="7" t="inlineStr">
        <is>
          <t>link</t>
        </is>
      </c>
      <c r="P269" s="7" t="inlineStr">
        <is>
          <t>link</t>
        </is>
      </c>
      <c r="Q269" s="5" t="inlineStr"/>
      <c r="R269" s="5" t="inlineStr">
        <is>
          <t>3 Chinese</t>
        </is>
      </c>
      <c r="S269" s="5" t="inlineStr"/>
      <c r="T269" s="5" t="inlineStr">
        <is>
          <t>WS1860.pdf</t>
        </is>
      </c>
      <c r="U269" s="8" t="n"/>
      <c r="V269" s="8" t="n"/>
      <c r="W269" s="8" t="n"/>
      <c r="X269" s="8" t="n"/>
      <c r="Y269" s="8" t="n"/>
      <c r="Z269" s="8" t="n"/>
      <c r="AA269" s="8" t="n"/>
      <c r="AB269" s="8" t="n"/>
      <c r="AC269" s="8" t="n"/>
      <c r="AD269" s="8" t="n"/>
      <c r="AE269" s="8" t="inlineStr">
        <is>
          <t>yes</t>
        </is>
      </c>
    </row>
    <row r="270">
      <c r="A270" s="5" t="n">
        <v>269</v>
      </c>
      <c r="B270" s="5" t="inlineStr">
        <is>
          <t>WS1513</t>
        </is>
      </c>
      <c r="C270" s="5" t="inlineStr">
        <is>
          <t>2023</t>
        </is>
      </c>
      <c r="D270" s="5" t="inlineStr">
        <is>
          <t>Chinese</t>
        </is>
      </c>
      <c r="E270" s="5" t="inlineStr">
        <is>
          <t>JOUR</t>
        </is>
      </c>
      <c r="F270" s="5" t="inlineStr">
        <is>
          <t>李立帜</t>
        </is>
      </c>
      <c r="G270" s="5" t="inlineStr">
        <is>
          <t>临床小儿外科杂志</t>
        </is>
      </c>
      <c r="H270" s="5" t="inlineStr">
        <is>
          <t>22(2):185-187</t>
        </is>
      </c>
      <c r="I270" s="6" t="inlineStr">
        <is>
          <t>小儿脾韧带缺如并原位脾扭转1例并文献复习</t>
        </is>
      </c>
      <c r="J270" s="5" t="inlineStr">
        <is>
          <t>10.3760/cma.j.cn101785—202205024—016</t>
        </is>
      </c>
      <c r="K270" s="7" t="inlineStr">
        <is>
          <t>link</t>
        </is>
      </c>
      <c r="L270" s="5" t="inlineStr"/>
      <c r="M270" s="5" t="inlineStr"/>
      <c r="N270" s="5" t="inlineStr"/>
      <c r="O270" s="7" t="inlineStr">
        <is>
          <t>link</t>
        </is>
      </c>
      <c r="P270" s="7" t="inlineStr">
        <is>
          <t>link</t>
        </is>
      </c>
      <c r="Q270" s="5" t="inlineStr"/>
      <c r="R270" s="5" t="inlineStr">
        <is>
          <t>3 Chinese</t>
        </is>
      </c>
      <c r="S270" s="5" t="inlineStr"/>
      <c r="T270" s="5" t="inlineStr">
        <is>
          <t>WS1513.pdf</t>
        </is>
      </c>
      <c r="U270" s="8" t="n"/>
      <c r="V270" s="8" t="n"/>
      <c r="W270" s="8" t="n"/>
      <c r="X270" s="8" t="n"/>
      <c r="Y270" s="8" t="n"/>
      <c r="Z270" s="8" t="n"/>
      <c r="AA270" s="8" t="n"/>
      <c r="AB270" s="8" t="n"/>
      <c r="AC270" s="8" t="n"/>
      <c r="AD270" s="8" t="n"/>
      <c r="AE270" s="8" t="inlineStr">
        <is>
          <t>yes</t>
        </is>
      </c>
    </row>
    <row r="271">
      <c r="A271" s="5" t="n">
        <v>270</v>
      </c>
      <c r="B271" s="5" t="inlineStr">
        <is>
          <t>WS1569</t>
        </is>
      </c>
      <c r="C271" s="5" t="inlineStr">
        <is>
          <t>2023</t>
        </is>
      </c>
      <c r="D271" s="5" t="inlineStr">
        <is>
          <t>Chinese</t>
        </is>
      </c>
      <c r="E271" s="5" t="inlineStr">
        <is>
          <t>JOUR</t>
        </is>
      </c>
      <c r="F271" s="5" t="inlineStr">
        <is>
          <t>熊晓晴</t>
        </is>
      </c>
      <c r="G271" s="5" t="inlineStr">
        <is>
          <t>中国医学影像技术</t>
        </is>
      </c>
      <c r="H271" s="5" t="inlineStr">
        <is>
          <t>39(11):1720</t>
        </is>
      </c>
      <c r="I271" s="6" t="inlineStr">
        <is>
          <t>单纯脾蒂扭转1例</t>
        </is>
      </c>
      <c r="J271" s="5" t="inlineStr">
        <is>
          <t>10.13929/j.issn.1003-3289.2023.11.028</t>
        </is>
      </c>
      <c r="K271" s="7" t="inlineStr">
        <is>
          <t>link</t>
        </is>
      </c>
      <c r="L271" s="5" t="inlineStr"/>
      <c r="M271" s="5" t="inlineStr"/>
      <c r="N271" s="5" t="inlineStr"/>
      <c r="O271" s="7" t="inlineStr">
        <is>
          <t>link</t>
        </is>
      </c>
      <c r="P271" s="7" t="inlineStr">
        <is>
          <t>link</t>
        </is>
      </c>
      <c r="Q271" s="5" t="inlineStr"/>
      <c r="R271" s="5" t="inlineStr">
        <is>
          <t>3 Chinese</t>
        </is>
      </c>
      <c r="S271" s="5" t="inlineStr"/>
      <c r="T271" s="5" t="inlineStr">
        <is>
          <t>WS1569.pdf</t>
        </is>
      </c>
      <c r="U271" s="8" t="n"/>
      <c r="V271" s="8" t="n"/>
      <c r="W271" s="8" t="n"/>
      <c r="X271" s="8" t="n"/>
      <c r="Y271" s="8" t="n"/>
      <c r="Z271" s="8" t="n"/>
      <c r="AA271" s="8" t="n"/>
      <c r="AB271" s="8" t="n"/>
      <c r="AC271" s="8" t="n"/>
      <c r="AD271" s="8" t="n"/>
      <c r="AE271" s="8" t="inlineStr">
        <is>
          <t>yes</t>
        </is>
      </c>
    </row>
    <row r="272">
      <c r="A272" s="5" t="n">
        <v>271</v>
      </c>
      <c r="B272" s="5" t="inlineStr">
        <is>
          <t>WS1866</t>
        </is>
      </c>
      <c r="C272" s="5" t="inlineStr">
        <is>
          <t>2023</t>
        </is>
      </c>
      <c r="D272" s="5" t="inlineStr">
        <is>
          <t>Chinese</t>
        </is>
      </c>
      <c r="E272" s="5" t="inlineStr">
        <is>
          <t>JOUR</t>
        </is>
      </c>
      <c r="F272" s="5" t="inlineStr">
        <is>
          <t>李耀辉</t>
        </is>
      </c>
      <c r="G272" s="5" t="inlineStr">
        <is>
          <t>CT理论与应用研究</t>
        </is>
      </c>
      <c r="H272" s="5" t="inlineStr">
        <is>
          <t>32(6):799-805</t>
        </is>
      </c>
      <c r="I272" s="6" t="inlineStr">
        <is>
          <t>CT诊断脾扭转伴胰尾扭转临床案例分析</t>
        </is>
      </c>
      <c r="J272" s="5" t="inlineStr">
        <is>
          <t>10.15953/j.ctta.2023.018</t>
        </is>
      </c>
      <c r="K272" s="7" t="inlineStr">
        <is>
          <t>link</t>
        </is>
      </c>
      <c r="L272" s="5" t="inlineStr"/>
      <c r="M272" s="5" t="inlineStr"/>
      <c r="N272" s="5" t="inlineStr"/>
      <c r="O272" s="7" t="inlineStr">
        <is>
          <t>link</t>
        </is>
      </c>
      <c r="P272" s="7" t="inlineStr">
        <is>
          <t>link</t>
        </is>
      </c>
      <c r="Q272" s="5" t="inlineStr"/>
      <c r="R272" s="5" t="inlineStr">
        <is>
          <t>3 Chinese</t>
        </is>
      </c>
      <c r="S272" s="5" t="inlineStr"/>
      <c r="T272" s="5" t="inlineStr">
        <is>
          <t>WS1866.pdf</t>
        </is>
      </c>
      <c r="U272" s="8" t="n"/>
      <c r="V272" s="8" t="n"/>
      <c r="W272" s="8" t="n"/>
      <c r="X272" s="8" t="n"/>
      <c r="Y272" s="8" t="n"/>
      <c r="Z272" s="8" t="n"/>
      <c r="AA272" s="8" t="n"/>
      <c r="AB272" s="8" t="n"/>
      <c r="AC272" s="8" t="n"/>
      <c r="AD272" s="8" t="n"/>
      <c r="AE272" s="8" t="inlineStr">
        <is>
          <t>yes</t>
        </is>
      </c>
    </row>
    <row r="273">
      <c r="A273" s="5" t="n">
        <v>272</v>
      </c>
      <c r="B273" s="5" t="inlineStr">
        <is>
          <t>WS1867</t>
        </is>
      </c>
      <c r="C273" s="5" t="inlineStr">
        <is>
          <t>2023</t>
        </is>
      </c>
      <c r="D273" s="5" t="inlineStr">
        <is>
          <t>Chinese</t>
        </is>
      </c>
      <c r="E273" s="5" t="inlineStr">
        <is>
          <t>JOUR</t>
        </is>
      </c>
      <c r="F273" s="5" t="inlineStr">
        <is>
          <t>于斐</t>
        </is>
      </c>
      <c r="G273" s="5" t="inlineStr">
        <is>
          <t>腹腔镜外科杂志</t>
        </is>
      </c>
      <c r="H273" s="5" t="inlineStr">
        <is>
          <t>28(10):799-800</t>
        </is>
      </c>
      <c r="I273" s="6" t="inlineStr">
        <is>
          <t>游走脾伴蒂扭转1例</t>
        </is>
      </c>
      <c r="J273" s="5" t="inlineStr">
        <is>
          <t>10.13499/j.cnki.fqjwkzz.2023.10.799</t>
        </is>
      </c>
      <c r="K273" s="7" t="inlineStr">
        <is>
          <t>link</t>
        </is>
      </c>
      <c r="L273" s="5" t="inlineStr"/>
      <c r="M273" s="5" t="inlineStr"/>
      <c r="N273" s="5" t="inlineStr"/>
      <c r="O273" s="7" t="inlineStr">
        <is>
          <t>link</t>
        </is>
      </c>
      <c r="P273" s="7" t="inlineStr">
        <is>
          <t>link</t>
        </is>
      </c>
      <c r="Q273" s="5" t="inlineStr"/>
      <c r="R273" s="5" t="inlineStr">
        <is>
          <t>3 Chinese</t>
        </is>
      </c>
      <c r="S273" s="5" t="inlineStr"/>
      <c r="T273" s="5" t="inlineStr">
        <is>
          <t>WS1867.pdf</t>
        </is>
      </c>
      <c r="U273" s="8" t="n"/>
      <c r="V273" s="8" t="n"/>
      <c r="W273" s="8" t="n"/>
      <c r="X273" s="8" t="n"/>
      <c r="Y273" s="8" t="n"/>
      <c r="Z273" s="8" t="n"/>
      <c r="AA273" s="8" t="n"/>
      <c r="AB273" s="8" t="n"/>
      <c r="AC273" s="8" t="n"/>
      <c r="AD273" s="8" t="n"/>
      <c r="AE273" s="8" t="inlineStr">
        <is>
          <t>yes</t>
        </is>
      </c>
    </row>
    <row r="274">
      <c r="A274" s="5" t="n">
        <v>273</v>
      </c>
      <c r="B274" s="5" t="inlineStr">
        <is>
          <t>WS1868</t>
        </is>
      </c>
      <c r="C274" s="5" t="inlineStr">
        <is>
          <t>2023</t>
        </is>
      </c>
      <c r="D274" s="5" t="inlineStr">
        <is>
          <t>Chinese</t>
        </is>
      </c>
      <c r="E274" s="5" t="inlineStr">
        <is>
          <t>JOUR</t>
        </is>
      </c>
      <c r="F274" s="5" t="inlineStr">
        <is>
          <t>张金山</t>
        </is>
      </c>
      <c r="G274" s="5" t="inlineStr">
        <is>
          <t>中华普通外科杂志</t>
        </is>
      </c>
      <c r="H274" s="5" t="inlineStr">
        <is>
          <t>38(9):695-696</t>
        </is>
      </c>
      <c r="I274" s="6" t="inlineStr">
        <is>
          <t>“十字”切口型腹膜囊袋脾固定术治疗先天性游走脾伴扭转</t>
        </is>
      </c>
      <c r="J274" s="5" t="inlineStr">
        <is>
          <t>10.3760/cma.j.cn113855-20230217-00066</t>
        </is>
      </c>
      <c r="K274" s="7" t="inlineStr">
        <is>
          <t>link</t>
        </is>
      </c>
      <c r="L274" s="5" t="inlineStr"/>
      <c r="M274" s="5" t="inlineStr"/>
      <c r="N274" s="5" t="inlineStr"/>
      <c r="O274" s="7" t="inlineStr">
        <is>
          <t>link</t>
        </is>
      </c>
      <c r="P274" s="7" t="inlineStr">
        <is>
          <t>link</t>
        </is>
      </c>
      <c r="Q274" s="5" t="inlineStr"/>
      <c r="R274" s="5" t="inlineStr">
        <is>
          <t>3 Chinese</t>
        </is>
      </c>
      <c r="S274" s="5" t="inlineStr"/>
      <c r="T274" s="5" t="inlineStr">
        <is>
          <t>WS1868.pdf</t>
        </is>
      </c>
      <c r="U274" s="8" t="n"/>
      <c r="V274" s="8" t="n"/>
      <c r="W274" s="8" t="n"/>
      <c r="X274" s="8" t="n"/>
      <c r="Y274" s="8" t="n"/>
      <c r="Z274" s="8" t="n"/>
      <c r="AA274" s="8" t="n"/>
      <c r="AB274" s="8" t="n"/>
      <c r="AC274" s="8" t="n"/>
      <c r="AD274" s="8" t="n"/>
      <c r="AE274" s="8" t="inlineStr">
        <is>
          <t>yes</t>
        </is>
      </c>
    </row>
    <row r="275">
      <c r="A275" s="5" t="n">
        <v>274</v>
      </c>
      <c r="B275" s="5" t="inlineStr">
        <is>
          <t>WS1869</t>
        </is>
      </c>
      <c r="C275" s="5" t="inlineStr">
        <is>
          <t>2023</t>
        </is>
      </c>
      <c r="D275" s="5" t="inlineStr">
        <is>
          <t>Chinese</t>
        </is>
      </c>
      <c r="E275" s="5" t="inlineStr">
        <is>
          <t>JOUR</t>
        </is>
      </c>
      <c r="F275" s="5" t="inlineStr">
        <is>
          <t>王秋菊</t>
        </is>
      </c>
      <c r="G275" s="5" t="inlineStr">
        <is>
          <t>中国现代普通外科进展</t>
        </is>
      </c>
      <c r="H275" s="5" t="inlineStr">
        <is>
          <t>26(9):737</t>
        </is>
      </c>
      <c r="I275" s="6" t="inlineStr">
        <is>
          <t>儿童游走脾伴蒂扭转、脾梗死1例</t>
        </is>
      </c>
      <c r="J275" s="5" t="inlineStr">
        <is>
          <t>10.3969/j.issn.1009-9905.2023.09.019</t>
        </is>
      </c>
      <c r="K275" s="7" t="inlineStr">
        <is>
          <t>link</t>
        </is>
      </c>
      <c r="L275" s="5" t="inlineStr"/>
      <c r="M275" s="5" t="inlineStr"/>
      <c r="N275" s="5" t="inlineStr"/>
      <c r="O275" s="7" t="inlineStr">
        <is>
          <t>link</t>
        </is>
      </c>
      <c r="P275" s="7" t="inlineStr">
        <is>
          <t>link</t>
        </is>
      </c>
      <c r="Q275" s="5" t="inlineStr"/>
      <c r="R275" s="5" t="inlineStr">
        <is>
          <t>3 Chinese</t>
        </is>
      </c>
      <c r="S275" s="5" t="inlineStr"/>
      <c r="T275" s="5" t="inlineStr">
        <is>
          <t>WS1869.pdf</t>
        </is>
      </c>
      <c r="U275" s="8" t="n"/>
      <c r="V275" s="8" t="n"/>
      <c r="W275" s="8" t="n"/>
      <c r="X275" s="8" t="n"/>
      <c r="Y275" s="8" t="n"/>
      <c r="Z275" s="8" t="n"/>
      <c r="AA275" s="8" t="n"/>
      <c r="AB275" s="8" t="n"/>
      <c r="AC275" s="8" t="n"/>
      <c r="AD275" s="8" t="n"/>
      <c r="AE275" s="8" t="inlineStr">
        <is>
          <t>yes</t>
        </is>
      </c>
    </row>
    <row r="276">
      <c r="A276" s="5" t="n">
        <v>275</v>
      </c>
      <c r="B276" s="5" t="inlineStr">
        <is>
          <t>WS2348</t>
        </is>
      </c>
      <c r="C276" s="5" t="inlineStr">
        <is>
          <t>2023</t>
        </is>
      </c>
      <c r="D276" s="5" t="inlineStr">
        <is>
          <t>Chinese</t>
        </is>
      </c>
      <c r="E276" s="5" t="inlineStr">
        <is>
          <t>JOUR</t>
        </is>
      </c>
      <c r="F276" s="5" t="inlineStr">
        <is>
          <t>王燕</t>
        </is>
      </c>
      <c r="G276" s="5" t="inlineStr">
        <is>
          <t>临床医学进展</t>
        </is>
      </c>
      <c r="H276" s="5" t="inlineStr">
        <is>
          <t>13(2):2290-2298</t>
        </is>
      </c>
      <c r="I276" s="6" t="inlineStr">
        <is>
          <t>儿童游走脾扭转并破裂出血1例报告并文献复习</t>
        </is>
      </c>
      <c r="J276" s="5" t="inlineStr">
        <is>
          <t>10.12677/acm.2023.132320</t>
        </is>
      </c>
      <c r="K276" s="7" t="inlineStr">
        <is>
          <t>link</t>
        </is>
      </c>
      <c r="L276" s="5" t="inlineStr"/>
      <c r="M276" s="5" t="inlineStr"/>
      <c r="N276" s="5" t="inlineStr"/>
      <c r="O276" s="5" t="inlineStr"/>
      <c r="P276" s="7" t="inlineStr">
        <is>
          <t>link</t>
        </is>
      </c>
      <c r="Q276" s="5" t="inlineStr"/>
      <c r="R276" s="5" t="inlineStr">
        <is>
          <t>3 Chinese</t>
        </is>
      </c>
      <c r="S276" s="5" t="inlineStr"/>
      <c r="T276" s="5" t="inlineStr">
        <is>
          <t>WS2348.pdf</t>
        </is>
      </c>
      <c r="U276" s="8" t="n"/>
      <c r="V276" s="8" t="n"/>
      <c r="W276" s="8" t="n"/>
      <c r="X276" s="8" t="n"/>
      <c r="Y276" s="8" t="n"/>
      <c r="Z276" s="8" t="n"/>
      <c r="AA276" s="8" t="n"/>
      <c r="AB276" s="8" t="n"/>
      <c r="AC276" s="8" t="n"/>
      <c r="AD276" s="8" t="n"/>
      <c r="AE276" s="8" t="inlineStr">
        <is>
          <t>yes</t>
        </is>
      </c>
    </row>
    <row r="277">
      <c r="A277" s="5" t="n">
        <v>276</v>
      </c>
      <c r="B277" s="5" t="inlineStr">
        <is>
          <t>WS1880</t>
        </is>
      </c>
      <c r="C277" s="5" t="inlineStr">
        <is>
          <t>2022</t>
        </is>
      </c>
      <c r="D277" s="5" t="inlineStr">
        <is>
          <t>Chinese</t>
        </is>
      </c>
      <c r="E277" s="5" t="inlineStr">
        <is>
          <t>JOUR</t>
        </is>
      </c>
      <c r="F277" s="5" t="inlineStr">
        <is>
          <t>杜明华</t>
        </is>
      </c>
      <c r="G277" s="5" t="inlineStr">
        <is>
          <t>武警医学</t>
        </is>
      </c>
      <c r="H277" s="5" t="inlineStr">
        <is>
          <t>33(12):1073-1076</t>
        </is>
      </c>
      <c r="I277" s="6" t="inlineStr">
        <is>
          <t>游走脾急腹症1例</t>
        </is>
      </c>
      <c r="J277" s="5" t="inlineStr">
        <is>
          <t>10.3969/j.issn.1004-3594.2022.12.016</t>
        </is>
      </c>
      <c r="K277" s="7" t="inlineStr">
        <is>
          <t>link</t>
        </is>
      </c>
      <c r="L277" s="5" t="inlineStr"/>
      <c r="M277" s="5" t="inlineStr"/>
      <c r="N277" s="5" t="inlineStr"/>
      <c r="O277" s="7" t="inlineStr">
        <is>
          <t>link</t>
        </is>
      </c>
      <c r="P277" s="7" t="inlineStr">
        <is>
          <t>link</t>
        </is>
      </c>
      <c r="Q277" s="5" t="inlineStr"/>
      <c r="R277" s="5" t="inlineStr">
        <is>
          <t>3 Chinese</t>
        </is>
      </c>
      <c r="S277" s="5" t="inlineStr"/>
      <c r="T277" s="5" t="inlineStr">
        <is>
          <t>WS1880.pdf</t>
        </is>
      </c>
      <c r="U277" s="8" t="n"/>
      <c r="V277" s="8" t="n"/>
      <c r="W277" s="8" t="n"/>
      <c r="X277" s="8" t="n"/>
      <c r="Y277" s="8" t="n"/>
      <c r="Z277" s="8" t="n"/>
      <c r="AA277" s="8" t="n"/>
      <c r="AB277" s="8" t="n"/>
      <c r="AC277" s="8" t="n"/>
      <c r="AD277" s="8" t="n"/>
      <c r="AE277" s="8" t="inlineStr">
        <is>
          <t>yes</t>
        </is>
      </c>
    </row>
    <row r="278">
      <c r="A278" s="5" t="n">
        <v>277</v>
      </c>
      <c r="B278" s="5" t="inlineStr">
        <is>
          <t>WS1890</t>
        </is>
      </c>
      <c r="C278" s="5" t="inlineStr">
        <is>
          <t>2021</t>
        </is>
      </c>
      <c r="D278" s="5" t="inlineStr">
        <is>
          <t>Chinese</t>
        </is>
      </c>
      <c r="E278" s="5" t="inlineStr">
        <is>
          <t>JOUR</t>
        </is>
      </c>
      <c r="F278" s="5" t="inlineStr">
        <is>
          <t>陈媛</t>
        </is>
      </c>
      <c r="G278" s="5" t="inlineStr">
        <is>
          <t>中国医师进修杂志</t>
        </is>
      </c>
      <c r="H278" s="5" t="inlineStr">
        <is>
          <t>44(6):571-573</t>
        </is>
      </c>
      <c r="I278" s="6" t="inlineStr">
        <is>
          <t>游走脾合并胃扭转、左侧膈疝一例报告并文献复习</t>
        </is>
      </c>
      <c r="J278" s="5" t="inlineStr">
        <is>
          <t>10.3760/cma.j.cn115455-20200318-00314</t>
        </is>
      </c>
      <c r="K278" s="7" t="inlineStr">
        <is>
          <t>link</t>
        </is>
      </c>
      <c r="L278" s="5" t="inlineStr"/>
      <c r="M278" s="5" t="inlineStr"/>
      <c r="N278" s="5" t="inlineStr"/>
      <c r="O278" s="7" t="inlineStr">
        <is>
          <t>link</t>
        </is>
      </c>
      <c r="P278" s="7" t="inlineStr">
        <is>
          <t>link</t>
        </is>
      </c>
      <c r="Q278" s="5" t="inlineStr"/>
      <c r="R278" s="5" t="inlineStr">
        <is>
          <t>3 Chinese</t>
        </is>
      </c>
      <c r="S278" s="5" t="inlineStr"/>
      <c r="T278" s="5" t="inlineStr">
        <is>
          <t>WS1890.pdf</t>
        </is>
      </c>
      <c r="U278" s="8" t="n"/>
      <c r="V278" s="8" t="n"/>
      <c r="W278" s="8" t="n"/>
      <c r="X278" s="8" t="n"/>
      <c r="Y278" s="8" t="n"/>
      <c r="Z278" s="8" t="n"/>
      <c r="AA278" s="8" t="n"/>
      <c r="AB278" s="8" t="n"/>
      <c r="AC278" s="8" t="n"/>
      <c r="AD278" s="8" t="n"/>
      <c r="AE278" s="8" t="inlineStr">
        <is>
          <t>yes</t>
        </is>
      </c>
    </row>
    <row r="279">
      <c r="A279" s="5" t="n">
        <v>278</v>
      </c>
      <c r="B279" s="5" t="inlineStr">
        <is>
          <t>WS1892</t>
        </is>
      </c>
      <c r="C279" s="5" t="inlineStr">
        <is>
          <t>2021</t>
        </is>
      </c>
      <c r="D279" s="5" t="inlineStr">
        <is>
          <t>Chinese</t>
        </is>
      </c>
      <c r="E279" s="5" t="inlineStr">
        <is>
          <t>JOUR</t>
        </is>
      </c>
      <c r="F279" s="5" t="inlineStr">
        <is>
          <t>杨薇</t>
        </is>
      </c>
      <c r="G279" s="5" t="inlineStr">
        <is>
          <t>临床超声医学杂志</t>
        </is>
      </c>
      <c r="H279" s="5" t="inlineStr">
        <is>
          <t>23(3):239</t>
        </is>
      </c>
      <c r="I279" s="6" t="inlineStr">
        <is>
          <t>超声诊断儿童脾扭转并副脾扭转1例</t>
        </is>
      </c>
      <c r="J279" s="5" t="inlineStr">
        <is>
          <t>10.3969/j.issn.1008-6978.2021.03.028</t>
        </is>
      </c>
      <c r="K279" s="7" t="inlineStr">
        <is>
          <t>link</t>
        </is>
      </c>
      <c r="L279" s="5" t="inlineStr"/>
      <c r="M279" s="5" t="inlineStr"/>
      <c r="N279" s="5" t="inlineStr"/>
      <c r="O279" s="7" t="inlineStr">
        <is>
          <t>link</t>
        </is>
      </c>
      <c r="P279" s="7" t="inlineStr">
        <is>
          <t>link</t>
        </is>
      </c>
      <c r="Q279" s="5" t="inlineStr"/>
      <c r="R279" s="5" t="inlineStr">
        <is>
          <t>3 Chinese</t>
        </is>
      </c>
      <c r="S279" s="5" t="inlineStr"/>
      <c r="T279" s="5" t="inlineStr">
        <is>
          <t>WS1892.pdf</t>
        </is>
      </c>
      <c r="U279" s="8" t="n"/>
      <c r="V279" s="8" t="n"/>
      <c r="W279" s="8" t="n"/>
      <c r="X279" s="8" t="n"/>
      <c r="Y279" s="8" t="n"/>
      <c r="Z279" s="8" t="n"/>
      <c r="AA279" s="8" t="n"/>
      <c r="AB279" s="8" t="n"/>
      <c r="AC279" s="8" t="n"/>
      <c r="AD279" s="8" t="n"/>
      <c r="AE279" s="8" t="inlineStr">
        <is>
          <t>yes</t>
        </is>
      </c>
    </row>
    <row r="280">
      <c r="A280" s="5" t="n">
        <v>279</v>
      </c>
      <c r="B280" s="5" t="inlineStr">
        <is>
          <t>WS1895</t>
        </is>
      </c>
      <c r="C280" s="5" t="inlineStr">
        <is>
          <t>2021</t>
        </is>
      </c>
      <c r="D280" s="5" t="inlineStr">
        <is>
          <t>Chinese</t>
        </is>
      </c>
      <c r="E280" s="5" t="inlineStr">
        <is>
          <t>JOUR</t>
        </is>
      </c>
      <c r="F280" s="5" t="inlineStr">
        <is>
          <t>余洲</t>
        </is>
      </c>
      <c r="G280" s="5" t="inlineStr">
        <is>
          <t>肝胆胰外科杂志</t>
        </is>
      </c>
      <c r="H280" s="5" t="inlineStr">
        <is>
          <t>33(1):47-49</t>
        </is>
      </c>
      <c r="I280" s="6" t="inlineStr">
        <is>
          <t>游走脾扭转致梗死一例</t>
        </is>
      </c>
      <c r="J280" s="5" t="inlineStr">
        <is>
          <t>10.11952/j.issn.1007-1954.2021.01.011</t>
        </is>
      </c>
      <c r="K280" s="7" t="inlineStr">
        <is>
          <t>link</t>
        </is>
      </c>
      <c r="L280" s="5" t="inlineStr"/>
      <c r="M280" s="5" t="inlineStr"/>
      <c r="N280" s="5" t="inlineStr"/>
      <c r="O280" s="7" t="inlineStr">
        <is>
          <t>link</t>
        </is>
      </c>
      <c r="P280" s="7" t="inlineStr">
        <is>
          <t>link</t>
        </is>
      </c>
      <c r="Q280" s="5" t="inlineStr"/>
      <c r="R280" s="5" t="inlineStr">
        <is>
          <t>3 Chinese</t>
        </is>
      </c>
      <c r="S280" s="5" t="inlineStr"/>
      <c r="T280" s="5" t="inlineStr">
        <is>
          <t>WS1895.pdf</t>
        </is>
      </c>
      <c r="U280" s="8" t="n"/>
      <c r="V280" s="8" t="n"/>
      <c r="W280" s="8" t="n"/>
      <c r="X280" s="8" t="n"/>
      <c r="Y280" s="8" t="n"/>
      <c r="Z280" s="8" t="n"/>
      <c r="AA280" s="8" t="n"/>
      <c r="AB280" s="8" t="n"/>
      <c r="AC280" s="8" t="n"/>
      <c r="AD280" s="8" t="n"/>
      <c r="AE280" s="8" t="inlineStr">
        <is>
          <t>yes</t>
        </is>
      </c>
    </row>
    <row r="281">
      <c r="A281" s="5" t="n">
        <v>280</v>
      </c>
      <c r="B281" s="5" t="inlineStr">
        <is>
          <t>WS2313</t>
        </is>
      </c>
      <c r="C281" s="5" t="inlineStr">
        <is>
          <t>2021</t>
        </is>
      </c>
      <c r="D281" s="5" t="inlineStr">
        <is>
          <t>Chinese</t>
        </is>
      </c>
      <c r="E281" s="5" t="inlineStr">
        <is>
          <t>JOUR</t>
        </is>
      </c>
      <c r="F281" s="5" t="inlineStr">
        <is>
          <t>李林林</t>
        </is>
      </c>
      <c r="G281" s="5" t="inlineStr">
        <is>
          <t>中国保健营养</t>
        </is>
      </c>
      <c r="H281" s="5" t="inlineStr">
        <is>
          <t>31(24):82</t>
        </is>
      </c>
      <c r="I281" s="6" t="inlineStr">
        <is>
          <t>儿童脾扭转1例</t>
        </is>
      </c>
      <c r="J281" s="5" t="inlineStr"/>
      <c r="K281" s="5" t="inlineStr"/>
      <c r="L281" s="5" t="inlineStr"/>
      <c r="M281" s="5" t="inlineStr"/>
      <c r="N281" s="5" t="inlineStr"/>
      <c r="O281" s="5" t="inlineStr"/>
      <c r="P281" s="7" t="inlineStr">
        <is>
          <t>link</t>
        </is>
      </c>
      <c r="Q281" s="5" t="inlineStr"/>
      <c r="R281" s="5" t="inlineStr">
        <is>
          <t>3 Chinese</t>
        </is>
      </c>
      <c r="S281" s="5" t="inlineStr"/>
      <c r="T281" s="5" t="inlineStr">
        <is>
          <t>WS2313.pdf</t>
        </is>
      </c>
      <c r="U281" s="8" t="n"/>
      <c r="V281" s="8" t="n"/>
      <c r="W281" s="8" t="n"/>
      <c r="X281" s="8" t="n"/>
      <c r="Y281" s="8" t="n"/>
      <c r="Z281" s="8" t="n"/>
      <c r="AA281" s="8" t="n"/>
      <c r="AB281" s="8" t="n"/>
      <c r="AC281" s="8" t="n"/>
      <c r="AD281" s="8" t="n"/>
      <c r="AE281" s="8" t="inlineStr">
        <is>
          <t>yes</t>
        </is>
      </c>
    </row>
    <row r="282">
      <c r="A282" s="5" t="n">
        <v>281</v>
      </c>
      <c r="B282" s="5" t="inlineStr">
        <is>
          <t>WS1902</t>
        </is>
      </c>
      <c r="C282" s="5" t="inlineStr">
        <is>
          <t>2020</t>
        </is>
      </c>
      <c r="D282" s="5" t="inlineStr">
        <is>
          <t>Chinese</t>
        </is>
      </c>
      <c r="E282" s="5" t="inlineStr">
        <is>
          <t>JOUR</t>
        </is>
      </c>
      <c r="F282" s="5" t="inlineStr">
        <is>
          <t>孙驰</t>
        </is>
      </c>
      <c r="G282" s="5" t="inlineStr">
        <is>
          <t>临床小儿外科杂志</t>
        </is>
      </c>
      <c r="H282" s="5" t="inlineStr">
        <is>
          <t>19(3):278-281</t>
        </is>
      </c>
      <c r="I282" s="6" t="inlineStr">
        <is>
          <t>腹腔镜梗死脾切除、残余脾腹膜后固定术治疗游走脾扭转2例并文献复习</t>
        </is>
      </c>
      <c r="J282" s="5" t="inlineStr">
        <is>
          <t>10.3969/j.issn.1671-6353.2020.03.017</t>
        </is>
      </c>
      <c r="K282" s="7" t="inlineStr">
        <is>
          <t>link</t>
        </is>
      </c>
      <c r="L282" s="5" t="inlineStr"/>
      <c r="M282" s="5" t="inlineStr"/>
      <c r="N282" s="5" t="inlineStr"/>
      <c r="O282" s="7" t="inlineStr">
        <is>
          <t>link</t>
        </is>
      </c>
      <c r="P282" s="7" t="inlineStr">
        <is>
          <t>link</t>
        </is>
      </c>
      <c r="Q282" s="5" t="inlineStr"/>
      <c r="R282" s="5" t="inlineStr">
        <is>
          <t>3 Chinese</t>
        </is>
      </c>
      <c r="S282" s="5" t="inlineStr"/>
      <c r="T282" s="5" t="inlineStr">
        <is>
          <t>WS1902.pdf</t>
        </is>
      </c>
      <c r="U282" s="8" t="n"/>
      <c r="V282" s="8" t="n"/>
      <c r="W282" s="8" t="n"/>
      <c r="X282" s="8" t="n"/>
      <c r="Y282" s="8" t="n"/>
      <c r="Z282" s="8" t="n"/>
      <c r="AA282" s="8" t="n"/>
      <c r="AB282" s="8" t="n"/>
      <c r="AC282" s="8" t="n"/>
      <c r="AD282" s="8" t="n"/>
      <c r="AE282" s="8" t="inlineStr">
        <is>
          <t>yes</t>
        </is>
      </c>
    </row>
    <row r="283">
      <c r="A283" s="5" t="n">
        <v>282</v>
      </c>
      <c r="B283" s="5" t="inlineStr">
        <is>
          <t>WS1903</t>
        </is>
      </c>
      <c r="C283" s="5" t="inlineStr">
        <is>
          <t>2020</t>
        </is>
      </c>
      <c r="D283" s="5" t="inlineStr">
        <is>
          <t>Chinese</t>
        </is>
      </c>
      <c r="E283" s="5" t="inlineStr">
        <is>
          <t>JOUR</t>
        </is>
      </c>
      <c r="F283" s="5" t="inlineStr">
        <is>
          <t>阮广营</t>
        </is>
      </c>
      <c r="G283" s="5" t="inlineStr">
        <is>
          <t>腹腔镜外科杂志</t>
        </is>
      </c>
      <c r="H283" s="5" t="inlineStr">
        <is>
          <t>25(3):239-240</t>
        </is>
      </c>
      <c r="I283" s="6" t="inlineStr">
        <is>
          <t>腹腔镜切除异位脾扭转1例报告</t>
        </is>
      </c>
      <c r="J283" s="5" t="inlineStr">
        <is>
          <t>10.13499/j.cnki.fqjwkzz.2020.03.239</t>
        </is>
      </c>
      <c r="K283" s="7" t="inlineStr">
        <is>
          <t>link</t>
        </is>
      </c>
      <c r="L283" s="5" t="inlineStr"/>
      <c r="M283" s="5" t="inlineStr"/>
      <c r="N283" s="5" t="inlineStr"/>
      <c r="O283" s="7" t="inlineStr">
        <is>
          <t>link</t>
        </is>
      </c>
      <c r="P283" s="7" t="inlineStr">
        <is>
          <t>link</t>
        </is>
      </c>
      <c r="Q283" s="5" t="inlineStr"/>
      <c r="R283" s="5" t="inlineStr">
        <is>
          <t>3 Chinese</t>
        </is>
      </c>
      <c r="S283" s="5" t="inlineStr"/>
      <c r="T283" s="5" t="inlineStr">
        <is>
          <t>WS1903.pdf</t>
        </is>
      </c>
      <c r="U283" s="8" t="n"/>
      <c r="V283" s="8" t="n"/>
      <c r="W283" s="8" t="n"/>
      <c r="X283" s="8" t="n"/>
      <c r="Y283" s="8" t="n"/>
      <c r="Z283" s="8" t="n"/>
      <c r="AA283" s="8" t="n"/>
      <c r="AB283" s="8" t="n"/>
      <c r="AC283" s="8" t="n"/>
      <c r="AD283" s="8" t="n"/>
      <c r="AE283" s="8" t="inlineStr">
        <is>
          <t>yes</t>
        </is>
      </c>
    </row>
    <row r="284">
      <c r="A284" s="5" t="n">
        <v>283</v>
      </c>
      <c r="B284" s="5" t="inlineStr">
        <is>
          <t>WS1908</t>
        </is>
      </c>
      <c r="C284" s="5" t="inlineStr">
        <is>
          <t>2019</t>
        </is>
      </c>
      <c r="D284" s="5" t="inlineStr">
        <is>
          <t>Chinese</t>
        </is>
      </c>
      <c r="E284" s="5" t="inlineStr">
        <is>
          <t>JOUR</t>
        </is>
      </c>
      <c r="F284" s="5" t="inlineStr">
        <is>
          <t>孙会想</t>
        </is>
      </c>
      <c r="G284" s="5" t="inlineStr">
        <is>
          <t>世界最新医学信息文摘（连续型电子期刊）</t>
        </is>
      </c>
      <c r="H284" s="5" t="inlineStr">
        <is>
          <t>19(92):328-329</t>
        </is>
      </c>
      <c r="I284" s="6" t="inlineStr">
        <is>
          <t>一例游离脾伴胃扭转的病例汇报</t>
        </is>
      </c>
      <c r="J284" s="5" t="inlineStr">
        <is>
          <t>10.19613/j.cnki.1671-3141.2019.92.217</t>
        </is>
      </c>
      <c r="K284" s="7" t="inlineStr">
        <is>
          <t>link</t>
        </is>
      </c>
      <c r="L284" s="5" t="inlineStr"/>
      <c r="M284" s="5" t="inlineStr"/>
      <c r="N284" s="5" t="inlineStr"/>
      <c r="O284" s="7" t="inlineStr">
        <is>
          <t>link</t>
        </is>
      </c>
      <c r="P284" s="7" t="inlineStr">
        <is>
          <t>link</t>
        </is>
      </c>
      <c r="Q284" s="5" t="inlineStr"/>
      <c r="R284" s="5" t="inlineStr">
        <is>
          <t>3 Chinese</t>
        </is>
      </c>
      <c r="S284" s="5" t="inlineStr">
        <is>
          <t>Y</t>
        </is>
      </c>
      <c r="T284" s="5" t="inlineStr">
        <is>
          <t>WS1908.pdf</t>
        </is>
      </c>
      <c r="U284" s="8" t="n"/>
      <c r="V284" s="8" t="n"/>
      <c r="W284" s="8" t="n"/>
      <c r="X284" s="8" t="n"/>
      <c r="Y284" s="8" t="n"/>
      <c r="Z284" s="8" t="n"/>
      <c r="AA284" s="8" t="n"/>
      <c r="AB284" s="8" t="n"/>
      <c r="AC284" s="8" t="n"/>
      <c r="AD284" s="8" t="n"/>
      <c r="AE284" s="8" t="inlineStr">
        <is>
          <t>yes</t>
        </is>
      </c>
    </row>
    <row r="285">
      <c r="A285" s="5" t="n">
        <v>284</v>
      </c>
      <c r="B285" s="5" t="inlineStr">
        <is>
          <t>WS1913</t>
        </is>
      </c>
      <c r="C285" s="5" t="inlineStr">
        <is>
          <t>2019</t>
        </is>
      </c>
      <c r="D285" s="5" t="inlineStr">
        <is>
          <t>Chinese</t>
        </is>
      </c>
      <c r="E285" s="5" t="inlineStr">
        <is>
          <t>JOUR</t>
        </is>
      </c>
      <c r="F285" s="5" t="inlineStr">
        <is>
          <t>谢元康</t>
        </is>
      </c>
      <c r="G285" s="5" t="inlineStr">
        <is>
          <t>中国实用外科杂志</t>
        </is>
      </c>
      <c r="H285" s="5" t="inlineStr">
        <is>
          <t>39(9):996-998</t>
        </is>
      </c>
      <c r="I285" s="6" t="inlineStr">
        <is>
          <t>游走脾并蒂扭转、脾梗死1例报告</t>
        </is>
      </c>
      <c r="J285" s="5" t="inlineStr">
        <is>
          <t>10.19538/j.cjps.issn1005-2208.2019.09.28</t>
        </is>
      </c>
      <c r="K285" s="7" t="inlineStr">
        <is>
          <t>link</t>
        </is>
      </c>
      <c r="L285" s="5" t="inlineStr"/>
      <c r="M285" s="5" t="inlineStr"/>
      <c r="N285" s="5" t="inlineStr"/>
      <c r="O285" s="7" t="inlineStr">
        <is>
          <t>link</t>
        </is>
      </c>
      <c r="P285" s="7" t="inlineStr">
        <is>
          <t>link</t>
        </is>
      </c>
      <c r="Q285" s="5" t="inlineStr"/>
      <c r="R285" s="5" t="inlineStr">
        <is>
          <t>3 Chinese</t>
        </is>
      </c>
      <c r="S285" s="5" t="inlineStr"/>
      <c r="T285" s="5" t="inlineStr">
        <is>
          <t>WS1913.pdf</t>
        </is>
      </c>
      <c r="U285" s="8" t="n"/>
      <c r="V285" s="8" t="n"/>
      <c r="W285" s="8" t="n"/>
      <c r="X285" s="8" t="n"/>
      <c r="Y285" s="8" t="n"/>
      <c r="Z285" s="8" t="n"/>
      <c r="AA285" s="8" t="n"/>
      <c r="AB285" s="8" t="n"/>
      <c r="AC285" s="8" t="n"/>
      <c r="AD285" s="8" t="n"/>
      <c r="AE285" s="8" t="inlineStr">
        <is>
          <t>yes</t>
        </is>
      </c>
    </row>
    <row r="286">
      <c r="A286" s="5" t="n">
        <v>285</v>
      </c>
      <c r="B286" s="5" t="inlineStr">
        <is>
          <t>WS1916</t>
        </is>
      </c>
      <c r="C286" s="5" t="inlineStr">
        <is>
          <t>2019</t>
        </is>
      </c>
      <c r="D286" s="5" t="inlineStr">
        <is>
          <t>Chinese</t>
        </is>
      </c>
      <c r="E286" s="5" t="inlineStr">
        <is>
          <t>JOUR</t>
        </is>
      </c>
      <c r="F286" s="5" t="inlineStr">
        <is>
          <t>张明会</t>
        </is>
      </c>
      <c r="G286" s="5" t="inlineStr">
        <is>
          <t>中华超声影像学杂志</t>
        </is>
      </c>
      <c r="H286" s="5" t="inlineStr">
        <is>
          <t>28(8):725-726</t>
        </is>
      </c>
      <c r="I286" s="6" t="inlineStr">
        <is>
          <t>游走脾发育不良合并腹股沟疝超声表现1例</t>
        </is>
      </c>
      <c r="J286" s="5" t="inlineStr">
        <is>
          <t>10.3760/cma.j.issn.1004‐4477.2019.08.018</t>
        </is>
      </c>
      <c r="K286" s="7" t="inlineStr">
        <is>
          <t>link</t>
        </is>
      </c>
      <c r="L286" s="5" t="inlineStr"/>
      <c r="M286" s="5" t="inlineStr"/>
      <c r="N286" s="5" t="inlineStr"/>
      <c r="O286" s="7" t="inlineStr">
        <is>
          <t>link</t>
        </is>
      </c>
      <c r="P286" s="7" t="inlineStr">
        <is>
          <t>link</t>
        </is>
      </c>
      <c r="Q286" s="5" t="inlineStr"/>
      <c r="R286" s="5" t="inlineStr">
        <is>
          <t>3 Chinese</t>
        </is>
      </c>
      <c r="S286" s="5" t="inlineStr"/>
      <c r="T286" s="5" t="inlineStr">
        <is>
          <t>WS1916.pdf</t>
        </is>
      </c>
      <c r="U286" s="8" t="n"/>
      <c r="V286" s="8" t="n"/>
      <c r="W286" s="8" t="n"/>
      <c r="X286" s="8" t="n"/>
      <c r="Y286" s="8" t="n"/>
      <c r="Z286" s="8" t="n"/>
      <c r="AA286" s="8" t="n"/>
      <c r="AB286" s="8" t="n"/>
      <c r="AC286" s="8" t="n"/>
      <c r="AD286" s="8" t="n"/>
      <c r="AE286" s="8" t="inlineStr">
        <is>
          <t>yes</t>
        </is>
      </c>
    </row>
    <row r="287">
      <c r="A287" s="5" t="n">
        <v>286</v>
      </c>
      <c r="B287" s="5" t="inlineStr">
        <is>
          <t>WS1565</t>
        </is>
      </c>
      <c r="C287" s="5" t="inlineStr">
        <is>
          <t>2018</t>
        </is>
      </c>
      <c r="D287" s="5" t="inlineStr">
        <is>
          <t>Chinese</t>
        </is>
      </c>
      <c r="E287" s="5" t="inlineStr">
        <is>
          <t>JOUR</t>
        </is>
      </c>
      <c r="F287" s="5" t="inlineStr">
        <is>
          <t>刘敏</t>
        </is>
      </c>
      <c r="G287" s="5" t="inlineStr">
        <is>
          <t>中国医学影像技术</t>
        </is>
      </c>
      <c r="H287" s="5" t="inlineStr">
        <is>
          <t>34(12):1878</t>
        </is>
      </c>
      <c r="I287" s="6" t="inlineStr">
        <is>
          <t>脾扭转1例</t>
        </is>
      </c>
      <c r="J287" s="5" t="inlineStr">
        <is>
          <t>10.13929/j.1003-3289.201803054</t>
        </is>
      </c>
      <c r="K287" s="7" t="inlineStr">
        <is>
          <t>link</t>
        </is>
      </c>
      <c r="L287" s="5" t="inlineStr"/>
      <c r="M287" s="5" t="inlineStr"/>
      <c r="N287" s="5" t="inlineStr"/>
      <c r="O287" s="7" t="inlineStr">
        <is>
          <t>link</t>
        </is>
      </c>
      <c r="P287" s="7" t="inlineStr">
        <is>
          <t>link</t>
        </is>
      </c>
      <c r="Q287" s="5" t="inlineStr"/>
      <c r="R287" s="5" t="inlineStr">
        <is>
          <t>3 Chinese</t>
        </is>
      </c>
      <c r="S287" s="5" t="inlineStr"/>
      <c r="T287" s="5" t="inlineStr">
        <is>
          <t>WS1565.pdf</t>
        </is>
      </c>
      <c r="U287" s="8" t="n"/>
      <c r="V287" s="8" t="n"/>
      <c r="W287" s="8" t="n"/>
      <c r="X287" s="8" t="n"/>
      <c r="Y287" s="8" t="n"/>
      <c r="Z287" s="8" t="n"/>
      <c r="AA287" s="8" t="n"/>
      <c r="AB287" s="8" t="n"/>
      <c r="AC287" s="8" t="n"/>
      <c r="AD287" s="8" t="n"/>
      <c r="AE287" s="8" t="inlineStr">
        <is>
          <t>yes</t>
        </is>
      </c>
    </row>
    <row r="288">
      <c r="A288" s="5" t="n">
        <v>287</v>
      </c>
      <c r="B288" s="5" t="inlineStr">
        <is>
          <t>WS1925</t>
        </is>
      </c>
      <c r="C288" s="5" t="inlineStr">
        <is>
          <t>2018</t>
        </is>
      </c>
      <c r="D288" s="5" t="inlineStr">
        <is>
          <t>Chinese</t>
        </is>
      </c>
      <c r="E288" s="5" t="inlineStr">
        <is>
          <t>JOUR</t>
        </is>
      </c>
      <c r="F288" s="5" t="inlineStr">
        <is>
          <t>耿宪杰</t>
        </is>
      </c>
      <c r="G288" s="5" t="inlineStr">
        <is>
          <t>中华普通外科杂志</t>
        </is>
      </c>
      <c r="H288" s="5" t="inlineStr">
        <is>
          <t>33(11):971-972</t>
        </is>
      </c>
      <c r="I288" s="6" t="inlineStr">
        <is>
          <t>T型腹膜囊袋固定术治疗游走脾二例</t>
        </is>
      </c>
      <c r="J288" s="5" t="inlineStr">
        <is>
          <t>10.3760/cma.j.issn.1007-631x.2018.11.026</t>
        </is>
      </c>
      <c r="K288" s="7" t="inlineStr">
        <is>
          <t>link</t>
        </is>
      </c>
      <c r="L288" s="5" t="inlineStr"/>
      <c r="M288" s="5" t="inlineStr"/>
      <c r="N288" s="5" t="inlineStr"/>
      <c r="O288" s="7" t="inlineStr">
        <is>
          <t>link</t>
        </is>
      </c>
      <c r="P288" s="7" t="inlineStr">
        <is>
          <t>link</t>
        </is>
      </c>
      <c r="Q288" s="5" t="inlineStr"/>
      <c r="R288" s="5" t="inlineStr">
        <is>
          <t>3 Chinese</t>
        </is>
      </c>
      <c r="S288" s="5" t="inlineStr"/>
      <c r="T288" s="5" t="inlineStr">
        <is>
          <t>WS1925.pdf</t>
        </is>
      </c>
      <c r="U288" s="8" t="n"/>
      <c r="V288" s="8" t="n"/>
      <c r="W288" s="8" t="n"/>
      <c r="X288" s="8" t="n"/>
      <c r="Y288" s="8" t="n"/>
      <c r="Z288" s="8" t="n"/>
      <c r="AA288" s="8" t="n"/>
      <c r="AB288" s="8" t="n"/>
      <c r="AC288" s="8" t="n"/>
      <c r="AD288" s="8" t="n"/>
      <c r="AE288" s="8" t="inlineStr">
        <is>
          <t>yes</t>
        </is>
      </c>
    </row>
    <row r="289">
      <c r="A289" s="5" t="n">
        <v>288</v>
      </c>
      <c r="B289" s="5" t="inlineStr">
        <is>
          <t>WS1927</t>
        </is>
      </c>
      <c r="C289" s="5" t="inlineStr">
        <is>
          <t>2018</t>
        </is>
      </c>
      <c r="D289" s="5" t="inlineStr">
        <is>
          <t>Chinese</t>
        </is>
      </c>
      <c r="E289" s="5" t="inlineStr">
        <is>
          <t>JOUR</t>
        </is>
      </c>
      <c r="F289" s="5" t="inlineStr">
        <is>
          <t>崔冬青</t>
        </is>
      </c>
      <c r="G289" s="5" t="inlineStr">
        <is>
          <t>中国医师进修杂志</t>
        </is>
      </c>
      <c r="H289" s="5" t="inlineStr">
        <is>
          <t>41(10):932-934</t>
        </is>
      </c>
      <c r="I289" s="6" t="inlineStr">
        <is>
          <t>妊娠合并异位脾一例并文献分析</t>
        </is>
      </c>
      <c r="J289" s="5" t="inlineStr">
        <is>
          <t>10.3760/cma.j.issn.1673-4904.2018.10.017</t>
        </is>
      </c>
      <c r="K289" s="7" t="inlineStr">
        <is>
          <t>link</t>
        </is>
      </c>
      <c r="L289" s="5" t="inlineStr"/>
      <c r="M289" s="5" t="inlineStr"/>
      <c r="N289" s="5" t="inlineStr"/>
      <c r="O289" s="7" t="inlineStr">
        <is>
          <t>link</t>
        </is>
      </c>
      <c r="P289" s="7" t="inlineStr">
        <is>
          <t>link</t>
        </is>
      </c>
      <c r="Q289" s="5" t="inlineStr"/>
      <c r="R289" s="5" t="inlineStr">
        <is>
          <t>3 Chinese</t>
        </is>
      </c>
      <c r="S289" s="5" t="inlineStr"/>
      <c r="T289" s="5" t="inlineStr">
        <is>
          <t>WS1927.pdf</t>
        </is>
      </c>
      <c r="U289" s="8" t="n"/>
      <c r="V289" s="8" t="n"/>
      <c r="W289" s="8" t="n"/>
      <c r="X289" s="8" t="n"/>
      <c r="Y289" s="8" t="n"/>
      <c r="Z289" s="8" t="n"/>
      <c r="AA289" s="8" t="n"/>
      <c r="AB289" s="8" t="n"/>
      <c r="AC289" s="8" t="n"/>
      <c r="AD289" s="8" t="n"/>
      <c r="AE289" s="8" t="inlineStr">
        <is>
          <t>yes</t>
        </is>
      </c>
    </row>
    <row r="290">
      <c r="A290" s="5" t="n">
        <v>289</v>
      </c>
      <c r="B290" s="5" t="inlineStr">
        <is>
          <t>WS1929</t>
        </is>
      </c>
      <c r="C290" s="5" t="inlineStr">
        <is>
          <t>2018</t>
        </is>
      </c>
      <c r="D290" s="5" t="inlineStr">
        <is>
          <t>Chinese</t>
        </is>
      </c>
      <c r="E290" s="5" t="inlineStr">
        <is>
          <t>JOUR</t>
        </is>
      </c>
      <c r="F290" s="5" t="inlineStr">
        <is>
          <t>杨光华</t>
        </is>
      </c>
      <c r="G290" s="5" t="inlineStr">
        <is>
          <t>腹部外科</t>
        </is>
      </c>
      <c r="H290" s="5" t="inlineStr">
        <is>
          <t>31(4):294</t>
        </is>
      </c>
      <c r="I290" s="6" t="inlineStr">
        <is>
          <t>腹腔镜切除异位脾扭转一例</t>
        </is>
      </c>
      <c r="J290" s="5" t="inlineStr">
        <is>
          <t>10.3969/j.issn.1003-5591.2018.04.018</t>
        </is>
      </c>
      <c r="K290" s="7" t="inlineStr">
        <is>
          <t>link</t>
        </is>
      </c>
      <c r="L290" s="5" t="inlineStr"/>
      <c r="M290" s="5" t="inlineStr"/>
      <c r="N290" s="5" t="inlineStr"/>
      <c r="O290" s="7" t="inlineStr">
        <is>
          <t>link</t>
        </is>
      </c>
      <c r="P290" s="7" t="inlineStr">
        <is>
          <t>link</t>
        </is>
      </c>
      <c r="Q290" s="5" t="inlineStr"/>
      <c r="R290" s="5" t="inlineStr">
        <is>
          <t>3 Chinese</t>
        </is>
      </c>
      <c r="S290" s="5" t="inlineStr"/>
      <c r="T290" s="5" t="inlineStr">
        <is>
          <t>WS1929.pdf</t>
        </is>
      </c>
      <c r="U290" s="8" t="n"/>
      <c r="V290" s="8" t="n"/>
      <c r="W290" s="8" t="n"/>
      <c r="X290" s="8" t="n"/>
      <c r="Y290" s="8" t="n"/>
      <c r="Z290" s="8" t="n"/>
      <c r="AA290" s="8" t="n"/>
      <c r="AB290" s="8" t="n"/>
      <c r="AC290" s="8" t="n"/>
      <c r="AD290" s="8" t="n"/>
      <c r="AE290" s="8" t="inlineStr">
        <is>
          <t>yes</t>
        </is>
      </c>
    </row>
    <row r="291">
      <c r="A291" s="5" t="n">
        <v>290</v>
      </c>
      <c r="B291" s="5" t="inlineStr">
        <is>
          <t>WS1931</t>
        </is>
      </c>
      <c r="C291" s="5" t="inlineStr">
        <is>
          <t>2018</t>
        </is>
      </c>
      <c r="D291" s="5" t="inlineStr">
        <is>
          <t>Chinese</t>
        </is>
      </c>
      <c r="E291" s="5" t="inlineStr">
        <is>
          <t>JOUR</t>
        </is>
      </c>
      <c r="F291" s="5" t="inlineStr">
        <is>
          <t>魏志星</t>
        </is>
      </c>
      <c r="G291" s="5" t="inlineStr">
        <is>
          <t>基层医学论坛</t>
        </is>
      </c>
      <c r="H291" s="5" t="inlineStr">
        <is>
          <t>22(13):1843-1844</t>
        </is>
      </c>
      <c r="I291" s="6" t="inlineStr">
        <is>
          <t>游走脾并蒂扭转1例</t>
        </is>
      </c>
      <c r="J291" s="5" t="inlineStr">
        <is>
          <t>10.19435/j.1672-1721.2018.13.080</t>
        </is>
      </c>
      <c r="K291" s="7" t="inlineStr">
        <is>
          <t>link</t>
        </is>
      </c>
      <c r="L291" s="5" t="inlineStr"/>
      <c r="M291" s="5" t="inlineStr"/>
      <c r="N291" s="5" t="inlineStr"/>
      <c r="O291" s="7" t="inlineStr">
        <is>
          <t>link</t>
        </is>
      </c>
      <c r="P291" s="7" t="inlineStr">
        <is>
          <t>link</t>
        </is>
      </c>
      <c r="Q291" s="5" t="inlineStr"/>
      <c r="R291" s="5" t="inlineStr">
        <is>
          <t>3 Chinese</t>
        </is>
      </c>
      <c r="S291" s="5" t="inlineStr"/>
      <c r="T291" s="5" t="inlineStr">
        <is>
          <t>WS1931.pdf</t>
        </is>
      </c>
      <c r="U291" s="8" t="n"/>
      <c r="V291" s="8" t="n"/>
      <c r="W291" s="8" t="n"/>
      <c r="X291" s="8" t="n"/>
      <c r="Y291" s="8" t="n"/>
      <c r="Z291" s="8" t="n"/>
      <c r="AA291" s="8" t="n"/>
      <c r="AB291" s="8" t="n"/>
      <c r="AC291" s="8" t="n"/>
      <c r="AD291" s="8" t="n"/>
      <c r="AE291" s="8" t="inlineStr">
        <is>
          <t>yes</t>
        </is>
      </c>
    </row>
    <row r="292">
      <c r="A292" s="5" t="n">
        <v>291</v>
      </c>
      <c r="B292" s="5" t="inlineStr">
        <is>
          <t>WS1947</t>
        </is>
      </c>
      <c r="C292" s="5" t="inlineStr">
        <is>
          <t>2016</t>
        </is>
      </c>
      <c r="D292" s="5" t="inlineStr">
        <is>
          <t>Chinese</t>
        </is>
      </c>
      <c r="E292" s="5" t="inlineStr">
        <is>
          <t>JOUR</t>
        </is>
      </c>
      <c r="F292" s="5" t="inlineStr">
        <is>
          <t>于成荣</t>
        </is>
      </c>
      <c r="G292" s="5" t="inlineStr">
        <is>
          <t>世界最新医学信息文摘（连续型电子期刊）</t>
        </is>
      </c>
      <c r="H292" s="5" t="inlineStr">
        <is>
          <t>16(89):284</t>
        </is>
      </c>
      <c r="I292" s="6" t="inlineStr">
        <is>
          <t>脾切除术的适应症与护理对策</t>
        </is>
      </c>
      <c r="J292" s="5" t="inlineStr">
        <is>
          <t>10.3969/j.issn.1671-3141.2016.89.260</t>
        </is>
      </c>
      <c r="K292" s="7" t="inlineStr">
        <is>
          <t>link</t>
        </is>
      </c>
      <c r="L292" s="5" t="inlineStr"/>
      <c r="M292" s="5" t="inlineStr"/>
      <c r="N292" s="5" t="inlineStr"/>
      <c r="O292" s="7" t="inlineStr">
        <is>
          <t>link</t>
        </is>
      </c>
      <c r="P292" s="7" t="inlineStr">
        <is>
          <t>link</t>
        </is>
      </c>
      <c r="Q292" s="5" t="inlineStr"/>
      <c r="R292" s="5" t="inlineStr">
        <is>
          <t>3 Chinese</t>
        </is>
      </c>
      <c r="S292" s="5" t="inlineStr"/>
      <c r="T292" s="5" t="inlineStr">
        <is>
          <t>WS1947.pdf</t>
        </is>
      </c>
      <c r="U292" s="8" t="n"/>
      <c r="V292" s="8" t="n"/>
      <c r="W292" s="8" t="n"/>
      <c r="X292" s="8" t="n"/>
      <c r="Y292" s="8" t="n"/>
      <c r="Z292" s="8" t="n"/>
      <c r="AA292" s="8" t="n"/>
      <c r="AB292" s="8" t="n"/>
      <c r="AC292" s="8" t="n"/>
      <c r="AD292" s="8" t="n"/>
      <c r="AE292" s="8" t="inlineStr">
        <is>
          <t>yes</t>
        </is>
      </c>
    </row>
    <row r="293">
      <c r="A293" s="5" t="n">
        <v>292</v>
      </c>
      <c r="B293" s="5" t="inlineStr">
        <is>
          <t>WS2443</t>
        </is>
      </c>
      <c r="C293" s="5" t="inlineStr">
        <is>
          <t>2016</t>
        </is>
      </c>
      <c r="D293" s="5" t="inlineStr">
        <is>
          <t>Chinese</t>
        </is>
      </c>
      <c r="E293" s="5" t="inlineStr">
        <is>
          <t>JOUR</t>
        </is>
      </c>
      <c r="F293" s="5" t="inlineStr">
        <is>
          <t>王春喜</t>
        </is>
      </c>
      <c r="G293" s="5" t="inlineStr">
        <is>
          <t>中国中西医结合外科杂志</t>
        </is>
      </c>
      <c r="H293" s="5" t="inlineStr">
        <is>
          <t>22(2):168-171</t>
        </is>
      </c>
      <c r="I293" s="6" t="inlineStr">
        <is>
          <t>15例异位脾脏的诊断和外科治疗</t>
        </is>
      </c>
      <c r="J293" s="5" t="inlineStr"/>
      <c r="K293" s="5" t="inlineStr"/>
      <c r="L293" s="5" t="inlineStr"/>
      <c r="M293" s="5" t="inlineStr"/>
      <c r="N293" s="5" t="inlineStr"/>
      <c r="O293" s="5" t="inlineStr"/>
      <c r="P293" s="5" t="inlineStr"/>
      <c r="Q293" s="5" t="inlineStr"/>
      <c r="R293" s="5" t="inlineStr">
        <is>
          <t>3 Chinese</t>
        </is>
      </c>
      <c r="S293" s="5" t="inlineStr"/>
      <c r="T293" s="5" t="inlineStr">
        <is>
          <t>WS2443.pdf</t>
        </is>
      </c>
      <c r="U293" s="8" t="n"/>
      <c r="V293" s="8" t="n"/>
      <c r="W293" s="8" t="n"/>
      <c r="X293" s="8" t="n"/>
      <c r="Y293" s="8" t="n"/>
      <c r="Z293" s="8" t="n"/>
      <c r="AA293" s="8" t="n"/>
      <c r="AB293" s="8" t="n"/>
      <c r="AC293" s="8" t="n"/>
      <c r="AD293" s="8" t="n"/>
      <c r="AE293" s="8" t="inlineStr">
        <is>
          <t>yes</t>
        </is>
      </c>
    </row>
    <row r="294">
      <c r="A294" s="5" t="n">
        <v>293</v>
      </c>
      <c r="B294" s="5" t="inlineStr">
        <is>
          <t>WS1961</t>
        </is>
      </c>
      <c r="C294" s="5" t="inlineStr">
        <is>
          <t>2015</t>
        </is>
      </c>
      <c r="D294" s="5" t="inlineStr">
        <is>
          <t>Chinese</t>
        </is>
      </c>
      <c r="E294" s="5" t="inlineStr">
        <is>
          <t>JOUR</t>
        </is>
      </c>
      <c r="F294" s="5" t="inlineStr">
        <is>
          <t>王春喜</t>
        </is>
      </c>
      <c r="G294" s="5" t="inlineStr">
        <is>
          <t>中国现代手术学杂志</t>
        </is>
      </c>
      <c r="H294" s="5" t="inlineStr">
        <is>
          <t>19(4):246-250</t>
        </is>
      </c>
      <c r="I294" s="6" t="inlineStr">
        <is>
          <t>游走性脾脏并扭转的手术治疗</t>
        </is>
      </c>
      <c r="J294" s="5" t="inlineStr">
        <is>
          <t>10.16260/j.cnki.1009-2188.2015.04.002</t>
        </is>
      </c>
      <c r="K294" s="7" t="inlineStr">
        <is>
          <t>link</t>
        </is>
      </c>
      <c r="L294" s="5" t="inlineStr"/>
      <c r="M294" s="5" t="inlineStr"/>
      <c r="N294" s="5" t="inlineStr"/>
      <c r="O294" s="7" t="inlineStr">
        <is>
          <t>link</t>
        </is>
      </c>
      <c r="P294" s="7" t="inlineStr">
        <is>
          <t>link</t>
        </is>
      </c>
      <c r="Q294" s="5" t="inlineStr"/>
      <c r="R294" s="5" t="inlineStr">
        <is>
          <t>3 Chinese</t>
        </is>
      </c>
      <c r="S294" s="5" t="inlineStr"/>
      <c r="T294" s="5" t="inlineStr">
        <is>
          <t>WS1961.pdf</t>
        </is>
      </c>
      <c r="U294" s="8" t="n"/>
      <c r="V294" s="8" t="n"/>
      <c r="W294" s="8" t="n"/>
      <c r="X294" s="8" t="n"/>
      <c r="Y294" s="8" t="n"/>
      <c r="Z294" s="8" t="n"/>
      <c r="AA294" s="8" t="n"/>
      <c r="AB294" s="8" t="n"/>
      <c r="AC294" s="8" t="n"/>
      <c r="AD294" s="8" t="n"/>
      <c r="AE294" s="8" t="inlineStr">
        <is>
          <t>yes</t>
        </is>
      </c>
    </row>
    <row r="295">
      <c r="A295" s="5" t="n">
        <v>294</v>
      </c>
      <c r="B295" s="5" t="inlineStr">
        <is>
          <t>WS1972</t>
        </is>
      </c>
      <c r="C295" s="5" t="inlineStr">
        <is>
          <t>2014</t>
        </is>
      </c>
      <c r="D295" s="5" t="inlineStr">
        <is>
          <t>Chinese</t>
        </is>
      </c>
      <c r="E295" s="5" t="inlineStr">
        <is>
          <t>JOUR</t>
        </is>
      </c>
      <c r="F295" s="5" t="inlineStr">
        <is>
          <t>王媛媛</t>
        </is>
      </c>
      <c r="G295" s="5" t="inlineStr">
        <is>
          <t>中国超声医学杂志</t>
        </is>
      </c>
      <c r="H295" s="5" t="inlineStr">
        <is>
          <t>30(9):862</t>
        </is>
      </c>
      <c r="I295" s="6" t="inlineStr">
        <is>
          <t>超声诊断内脏反位伴多脾合并游走脾扭转1例</t>
        </is>
      </c>
      <c r="J295" s="5" t="inlineStr">
        <is>
          <t>10.3969/j.issn.1002-0101.2014.09.035</t>
        </is>
      </c>
      <c r="K295" s="7" t="inlineStr">
        <is>
          <t>link</t>
        </is>
      </c>
      <c r="L295" s="5" t="inlineStr"/>
      <c r="M295" s="5" t="inlineStr"/>
      <c r="N295" s="5" t="inlineStr"/>
      <c r="O295" s="7" t="inlineStr">
        <is>
          <t>link</t>
        </is>
      </c>
      <c r="P295" s="7" t="inlineStr">
        <is>
          <t>link</t>
        </is>
      </c>
      <c r="Q295" s="5" t="inlineStr"/>
      <c r="R295" s="5" t="inlineStr">
        <is>
          <t>3 Chinese</t>
        </is>
      </c>
      <c r="S295" s="5" t="inlineStr"/>
      <c r="T295" s="5" t="inlineStr">
        <is>
          <t>WS1972.pdf</t>
        </is>
      </c>
      <c r="U295" s="8" t="n"/>
      <c r="V295" s="8" t="n"/>
      <c r="W295" s="8" t="n"/>
      <c r="X295" s="8" t="n"/>
      <c r="Y295" s="8" t="n"/>
      <c r="Z295" s="8" t="n"/>
      <c r="AA295" s="8" t="n"/>
      <c r="AB295" s="8" t="n"/>
      <c r="AC295" s="8" t="n"/>
      <c r="AD295" s="8" t="n"/>
      <c r="AE295" s="8" t="inlineStr">
        <is>
          <t>yes</t>
        </is>
      </c>
    </row>
    <row r="296">
      <c r="A296" s="5" t="n">
        <v>295</v>
      </c>
      <c r="B296" s="5" t="inlineStr">
        <is>
          <t>WS1979</t>
        </is>
      </c>
      <c r="C296" s="5" t="inlineStr">
        <is>
          <t>2014</t>
        </is>
      </c>
      <c r="D296" s="5" t="inlineStr">
        <is>
          <t>Chinese</t>
        </is>
      </c>
      <c r="E296" s="5" t="inlineStr">
        <is>
          <t>CONF</t>
        </is>
      </c>
      <c r="F296" s="5" t="inlineStr">
        <is>
          <t>江茂情</t>
        </is>
      </c>
      <c r="G296" s="5" t="inlineStr"/>
      <c r="H296" s="5" t="inlineStr">
        <is>
          <t>1</t>
        </is>
      </c>
      <c r="I296" s="6" t="inlineStr">
        <is>
          <t>游走脾脏急性完全扭转一例</t>
        </is>
      </c>
      <c r="J296" s="5" t="inlineStr"/>
      <c r="K296" s="5" t="inlineStr"/>
      <c r="L296" s="5" t="inlineStr"/>
      <c r="M296" s="5" t="inlineStr"/>
      <c r="N296" s="5" t="inlineStr"/>
      <c r="O296" s="7" t="inlineStr">
        <is>
          <t>link</t>
        </is>
      </c>
      <c r="P296" s="5" t="inlineStr"/>
      <c r="Q296" s="5" t="inlineStr"/>
      <c r="R296" s="5" t="inlineStr">
        <is>
          <t>3 Chinese</t>
        </is>
      </c>
      <c r="S296" s="5" t="inlineStr"/>
      <c r="T296" s="5" t="inlineStr">
        <is>
          <t>WS1979.pdf</t>
        </is>
      </c>
      <c r="U296" s="8" t="n"/>
      <c r="V296" s="8" t="n"/>
      <c r="W296" s="8" t="n"/>
      <c r="X296" s="8" t="n"/>
      <c r="Y296" s="8" t="n"/>
      <c r="Z296" s="8" t="n"/>
      <c r="AA296" s="8" t="n"/>
      <c r="AB296" s="8" t="n"/>
      <c r="AC296" s="8" t="n"/>
      <c r="AD296" s="8" t="n"/>
      <c r="AE296" s="8" t="inlineStr">
        <is>
          <t>yes</t>
        </is>
      </c>
    </row>
    <row r="297">
      <c r="A297" s="5" t="n">
        <v>296</v>
      </c>
      <c r="B297" s="5" t="inlineStr">
        <is>
          <t>WS2314</t>
        </is>
      </c>
      <c r="C297" s="5" t="inlineStr">
        <is>
          <t>2014</t>
        </is>
      </c>
      <c r="D297" s="5" t="inlineStr">
        <is>
          <t>Chinese</t>
        </is>
      </c>
      <c r="E297" s="5" t="inlineStr">
        <is>
          <t>JOUR</t>
        </is>
      </c>
      <c r="F297" s="5" t="inlineStr">
        <is>
          <t>张小波</t>
        </is>
      </c>
      <c r="G297" s="5" t="inlineStr">
        <is>
          <t>临床小儿外科杂志</t>
        </is>
      </c>
      <c r="H297" s="5" t="inlineStr">
        <is>
          <t>(4):365-366</t>
        </is>
      </c>
      <c r="I297" s="6" t="inlineStr">
        <is>
          <t>儿童游走脾并蒂扭转、脾坏死1例</t>
        </is>
      </c>
      <c r="J297" s="5" t="inlineStr">
        <is>
          <t>10.3969/j.issn.1671-6353.2014.04.034</t>
        </is>
      </c>
      <c r="K297" s="7" t="inlineStr">
        <is>
          <t>link</t>
        </is>
      </c>
      <c r="L297" s="5" t="inlineStr"/>
      <c r="M297" s="5" t="inlineStr"/>
      <c r="N297" s="5" t="inlineStr"/>
      <c r="O297" s="5" t="inlineStr"/>
      <c r="P297" s="7" t="inlineStr">
        <is>
          <t>link</t>
        </is>
      </c>
      <c r="Q297" s="5" t="inlineStr"/>
      <c r="R297" s="5" t="inlineStr">
        <is>
          <t>3 Chinese</t>
        </is>
      </c>
      <c r="S297" s="5" t="inlineStr">
        <is>
          <t>Y</t>
        </is>
      </c>
      <c r="T297" s="5" t="inlineStr">
        <is>
          <t>WS2314.pdf</t>
        </is>
      </c>
      <c r="U297" s="8" t="n"/>
      <c r="V297" s="8" t="n"/>
      <c r="W297" s="8" t="n"/>
      <c r="X297" s="8" t="n"/>
      <c r="Y297" s="8" t="n"/>
      <c r="Z297" s="8" t="n"/>
      <c r="AA297" s="8" t="n"/>
      <c r="AB297" s="8" t="n"/>
      <c r="AC297" s="8" t="n"/>
      <c r="AD297" s="8" t="n"/>
      <c r="AE297" s="8" t="inlineStr">
        <is>
          <t>yes</t>
        </is>
      </c>
    </row>
    <row r="298">
      <c r="A298" s="5" t="n">
        <v>297</v>
      </c>
      <c r="B298" s="5" t="inlineStr">
        <is>
          <t>WS2373</t>
        </is>
      </c>
      <c r="C298" s="5" t="inlineStr">
        <is>
          <t>2013</t>
        </is>
      </c>
      <c r="D298" s="5" t="inlineStr">
        <is>
          <t>Chinese</t>
        </is>
      </c>
      <c r="E298" s="5" t="inlineStr">
        <is>
          <t>GEN</t>
        </is>
      </c>
      <c r="F298" s="5" t="inlineStr">
        <is>
          <t>任松林</t>
        </is>
      </c>
      <c r="G298" s="5" t="inlineStr"/>
      <c r="H298" s="5" t="inlineStr">
        <is>
          <t>97-97</t>
        </is>
      </c>
      <c r="I298" s="6" t="inlineStr">
        <is>
          <t>儿童脾切除临床特点分析</t>
        </is>
      </c>
      <c r="J298" s="5" t="inlineStr"/>
      <c r="K298" s="5" t="inlineStr"/>
      <c r="L298" s="5" t="inlineStr"/>
      <c r="M298" s="5" t="inlineStr"/>
      <c r="N298" s="5" t="inlineStr"/>
      <c r="O298" s="5" t="inlineStr"/>
      <c r="P298" s="7" t="inlineStr">
        <is>
          <t>link</t>
        </is>
      </c>
      <c r="Q298" s="5" t="inlineStr"/>
      <c r="R298" s="5" t="inlineStr">
        <is>
          <t>3 Chinese</t>
        </is>
      </c>
      <c r="S298" s="5" t="inlineStr"/>
      <c r="T298" s="5" t="inlineStr">
        <is>
          <t>WS2373.pdf</t>
        </is>
      </c>
      <c r="U298" s="8" t="n"/>
      <c r="V298" s="8" t="n"/>
      <c r="W298" s="8" t="n"/>
      <c r="X298" s="8" t="n"/>
      <c r="Y298" s="8" t="n"/>
      <c r="Z298" s="8" t="n"/>
      <c r="AA298" s="8" t="n"/>
      <c r="AB298" s="8" t="n"/>
      <c r="AC298" s="8" t="n"/>
      <c r="AD298" s="8" t="n"/>
      <c r="AE298" s="8" t="inlineStr">
        <is>
          <t>yes</t>
        </is>
      </c>
    </row>
    <row r="299">
      <c r="A299" s="5" t="n">
        <v>298</v>
      </c>
      <c r="B299" s="5" t="inlineStr">
        <is>
          <t>WS2001</t>
        </is>
      </c>
      <c r="C299" s="5" t="inlineStr">
        <is>
          <t>2012</t>
        </is>
      </c>
      <c r="D299" s="5" t="inlineStr">
        <is>
          <t>Chinese</t>
        </is>
      </c>
      <c r="E299" s="5" t="inlineStr">
        <is>
          <t>JOUR</t>
        </is>
      </c>
      <c r="F299" s="5" t="inlineStr">
        <is>
          <t>张飞雪</t>
        </is>
      </c>
      <c r="G299" s="5" t="inlineStr">
        <is>
          <t>中华超声影像学杂志</t>
        </is>
      </c>
      <c r="H299" s="5" t="inlineStr">
        <is>
          <t>21(11):968</t>
        </is>
      </c>
      <c r="I299" s="6" t="inlineStr">
        <is>
          <t>超声诊断小儿游走脾并脾扭转、脾梗死1例</t>
        </is>
      </c>
      <c r="J299" s="5" t="inlineStr">
        <is>
          <t>10.3760/cma.j.issn.1004-4477.2012.11.015</t>
        </is>
      </c>
      <c r="K299" s="7" t="inlineStr">
        <is>
          <t>link</t>
        </is>
      </c>
      <c r="L299" s="5" t="inlineStr"/>
      <c r="M299" s="5" t="inlineStr"/>
      <c r="N299" s="5" t="inlineStr"/>
      <c r="O299" s="7" t="inlineStr">
        <is>
          <t>link</t>
        </is>
      </c>
      <c r="P299" s="7" t="inlineStr">
        <is>
          <t>link</t>
        </is>
      </c>
      <c r="Q299" s="5" t="inlineStr"/>
      <c r="R299" s="5" t="inlineStr">
        <is>
          <t>3 Chinese</t>
        </is>
      </c>
      <c r="S299" s="5" t="inlineStr"/>
      <c r="T299" s="5" t="inlineStr">
        <is>
          <t>WS2001.pdf</t>
        </is>
      </c>
      <c r="U299" s="8" t="n"/>
      <c r="V299" s="8" t="n"/>
      <c r="W299" s="8" t="n"/>
      <c r="X299" s="8" t="n"/>
      <c r="Y299" s="8" t="n"/>
      <c r="Z299" s="8" t="n"/>
      <c r="AA299" s="8" t="n"/>
      <c r="AB299" s="8" t="n"/>
      <c r="AC299" s="8" t="n"/>
      <c r="AD299" s="8" t="n"/>
      <c r="AE299" s="8" t="inlineStr">
        <is>
          <t>yes</t>
        </is>
      </c>
    </row>
    <row r="300">
      <c r="A300" s="5" t="n">
        <v>299</v>
      </c>
      <c r="B300" s="5" t="inlineStr">
        <is>
          <t>WS2003</t>
        </is>
      </c>
      <c r="C300" s="5" t="inlineStr">
        <is>
          <t>2012</t>
        </is>
      </c>
      <c r="D300" s="5" t="inlineStr">
        <is>
          <t>Chinese</t>
        </is>
      </c>
      <c r="E300" s="5" t="inlineStr">
        <is>
          <t>JOUR</t>
        </is>
      </c>
      <c r="F300" s="5" t="inlineStr">
        <is>
          <t>牛振英</t>
        </is>
      </c>
      <c r="G300" s="5" t="inlineStr">
        <is>
          <t>解放军医药杂志</t>
        </is>
      </c>
      <c r="H300" s="5" t="inlineStr">
        <is>
          <t>24(8):76-76</t>
        </is>
      </c>
      <c r="I300" s="6" t="inlineStr">
        <is>
          <t>彩超诊断异位脾一例并文献复习</t>
        </is>
      </c>
      <c r="J300" s="5" t="inlineStr">
        <is>
          <t>10.3969/j.issn.2095-140x.2012.08.026</t>
        </is>
      </c>
      <c r="K300" s="7" t="inlineStr">
        <is>
          <t>link</t>
        </is>
      </c>
      <c r="L300" s="5" t="inlineStr"/>
      <c r="M300" s="5" t="inlineStr"/>
      <c r="N300" s="5" t="inlineStr"/>
      <c r="O300" s="7" t="inlineStr">
        <is>
          <t>link</t>
        </is>
      </c>
      <c r="P300" s="7" t="inlineStr">
        <is>
          <t>link</t>
        </is>
      </c>
      <c r="Q300" s="5" t="inlineStr"/>
      <c r="R300" s="5" t="inlineStr">
        <is>
          <t>3 Chinese</t>
        </is>
      </c>
      <c r="S300" s="5" t="inlineStr"/>
      <c r="T300" s="5" t="inlineStr">
        <is>
          <t>WS2003.pdf</t>
        </is>
      </c>
      <c r="U300" s="8" t="n"/>
      <c r="V300" s="8" t="n"/>
      <c r="W300" s="8" t="n"/>
      <c r="X300" s="8" t="n"/>
      <c r="Y300" s="8" t="n"/>
      <c r="Z300" s="8" t="n"/>
      <c r="AA300" s="8" t="n"/>
      <c r="AB300" s="8" t="n"/>
      <c r="AC300" s="8" t="n"/>
      <c r="AD300" s="8" t="n"/>
      <c r="AE300" s="8" t="inlineStr">
        <is>
          <t>yes</t>
        </is>
      </c>
    </row>
    <row r="301">
      <c r="A301" s="5" t="n">
        <v>300</v>
      </c>
      <c r="B301" s="5" t="inlineStr">
        <is>
          <t>WS2321</t>
        </is>
      </c>
      <c r="C301" s="5" t="inlineStr">
        <is>
          <t>2012</t>
        </is>
      </c>
      <c r="D301" s="5" t="inlineStr">
        <is>
          <t>Chinese</t>
        </is>
      </c>
      <c r="E301" s="5" t="inlineStr">
        <is>
          <t>GEN</t>
        </is>
      </c>
      <c r="F301" s="5" t="inlineStr">
        <is>
          <t>张小波</t>
        </is>
      </c>
      <c r="G301" s="5" t="inlineStr"/>
      <c r="H301" s="5" t="inlineStr">
        <is>
          <t>368-370</t>
        </is>
      </c>
      <c r="I301" s="6" t="inlineStr">
        <is>
          <t>儿童游走脾并蒂扭转、脾坏死1例诊疗分析</t>
        </is>
      </c>
      <c r="J301" s="5" t="inlineStr"/>
      <c r="K301" s="5" t="inlineStr"/>
      <c r="L301" s="5" t="inlineStr"/>
      <c r="M301" s="5" t="inlineStr"/>
      <c r="N301" s="5" t="inlineStr"/>
      <c r="O301" s="5" t="inlineStr"/>
      <c r="P301" s="7" t="inlineStr">
        <is>
          <t>link</t>
        </is>
      </c>
      <c r="Q301" s="5" t="inlineStr"/>
      <c r="R301" s="5" t="inlineStr">
        <is>
          <t>3 Chinese</t>
        </is>
      </c>
      <c r="S301" s="5" t="inlineStr"/>
      <c r="T301" s="5" t="inlineStr">
        <is>
          <t>WS2321.pdf</t>
        </is>
      </c>
      <c r="U301" s="8" t="n"/>
      <c r="V301" s="8" t="n"/>
      <c r="W301" s="8" t="n"/>
      <c r="X301" s="8" t="n"/>
      <c r="Y301" s="8" t="n"/>
      <c r="Z301" s="8" t="n"/>
      <c r="AA301" s="8" t="n"/>
      <c r="AB301" s="8" t="n"/>
      <c r="AC301" s="8" t="n"/>
      <c r="AD301" s="8" t="n"/>
      <c r="AE301" s="8" t="inlineStr">
        <is>
          <t>yes</t>
        </is>
      </c>
    </row>
    <row r="302">
      <c r="A302" s="5" t="n">
        <v>301</v>
      </c>
      <c r="B302" s="5" t="inlineStr">
        <is>
          <t>WS2461</t>
        </is>
      </c>
      <c r="C302" s="5" t="inlineStr">
        <is>
          <t>2012</t>
        </is>
      </c>
      <c r="D302" s="5" t="inlineStr">
        <is>
          <t>Chinese</t>
        </is>
      </c>
      <c r="E302" s="5" t="inlineStr">
        <is>
          <t>JOUR</t>
        </is>
      </c>
      <c r="F302" s="5" t="inlineStr">
        <is>
          <t>邱玲琍</t>
        </is>
      </c>
      <c r="G302" s="5" t="inlineStr">
        <is>
          <t>江西医药</t>
        </is>
      </c>
      <c r="H302" s="5" t="inlineStr">
        <is>
          <t>47(11):1035</t>
        </is>
      </c>
      <c r="I302" s="6" t="inlineStr">
        <is>
          <t>腹膜后异位脾脏误诊为“盆腔包块”1例</t>
        </is>
      </c>
      <c r="J302" s="5" t="inlineStr"/>
      <c r="K302" s="5" t="inlineStr"/>
      <c r="L302" s="5" t="inlineStr"/>
      <c r="M302" s="5" t="inlineStr"/>
      <c r="N302" s="5" t="inlineStr"/>
      <c r="O302" s="5" t="inlineStr"/>
      <c r="P302" s="5" t="inlineStr"/>
      <c r="Q302" s="5" t="inlineStr"/>
      <c r="R302" s="5" t="inlineStr">
        <is>
          <t>3 Chinese</t>
        </is>
      </c>
      <c r="S302" s="5" t="inlineStr"/>
      <c r="T302" s="5" t="inlineStr">
        <is>
          <t>WS2461.pdf</t>
        </is>
      </c>
      <c r="U302" s="8" t="n"/>
      <c r="V302" s="8" t="n"/>
      <c r="W302" s="8" t="n"/>
      <c r="X302" s="8" t="n"/>
      <c r="Y302" s="8" t="n"/>
      <c r="Z302" s="8" t="n"/>
      <c r="AA302" s="8" t="n"/>
      <c r="AB302" s="8" t="n"/>
      <c r="AC302" s="8" t="n"/>
      <c r="AD302" s="8" t="n"/>
      <c r="AE302" s="8" t="inlineStr">
        <is>
          <t>yes</t>
        </is>
      </c>
    </row>
    <row r="303">
      <c r="A303" s="5" t="n">
        <v>302</v>
      </c>
      <c r="B303" s="5" t="inlineStr">
        <is>
          <t>WS2011</t>
        </is>
      </c>
      <c r="C303" s="5" t="inlineStr">
        <is>
          <t>2011</t>
        </is>
      </c>
      <c r="D303" s="5" t="inlineStr">
        <is>
          <t>Chinese</t>
        </is>
      </c>
      <c r="E303" s="5" t="inlineStr">
        <is>
          <t>JOUR</t>
        </is>
      </c>
      <c r="F303" s="5" t="inlineStr">
        <is>
          <t>孙驰</t>
        </is>
      </c>
      <c r="G303" s="5" t="inlineStr">
        <is>
          <t>中华小儿外科杂志</t>
        </is>
      </c>
      <c r="H303" s="5" t="inlineStr">
        <is>
          <t>32(7):558</t>
        </is>
      </c>
      <c r="I303" s="6" t="inlineStr">
        <is>
          <t>腹腔镜脾部分切除、残余脾腹膜外固定术治疗游走脾并扭转一例</t>
        </is>
      </c>
      <c r="J303" s="5" t="inlineStr">
        <is>
          <t>10.3760/cma.j.issn.0253-3006.2011.07.026</t>
        </is>
      </c>
      <c r="K303" s="7" t="inlineStr">
        <is>
          <t>link</t>
        </is>
      </c>
      <c r="L303" s="5" t="inlineStr"/>
      <c r="M303" s="5" t="inlineStr"/>
      <c r="N303" s="5" t="inlineStr"/>
      <c r="O303" s="7" t="inlineStr">
        <is>
          <t>link</t>
        </is>
      </c>
      <c r="P303" s="7" t="inlineStr">
        <is>
          <t>link</t>
        </is>
      </c>
      <c r="Q303" s="5" t="inlineStr"/>
      <c r="R303" s="5" t="inlineStr">
        <is>
          <t>3 Chinese</t>
        </is>
      </c>
      <c r="S303" s="5" t="inlineStr"/>
      <c r="T303" s="5" t="inlineStr">
        <is>
          <t>WS2011.pdf</t>
        </is>
      </c>
      <c r="U303" s="8" t="n"/>
      <c r="V303" s="8" t="n"/>
      <c r="W303" s="8" t="n"/>
      <c r="X303" s="8" t="n"/>
      <c r="Y303" s="8" t="n"/>
      <c r="Z303" s="8" t="n"/>
      <c r="AA303" s="8" t="n"/>
      <c r="AB303" s="8" t="n"/>
      <c r="AC303" s="8" t="n"/>
      <c r="AD303" s="8" t="n"/>
      <c r="AE303" s="8" t="inlineStr">
        <is>
          <t>yes</t>
        </is>
      </c>
    </row>
    <row r="304">
      <c r="A304" s="5" t="n">
        <v>303</v>
      </c>
      <c r="B304" s="5" t="inlineStr">
        <is>
          <t>WS2014</t>
        </is>
      </c>
      <c r="C304" s="5" t="inlineStr">
        <is>
          <t>2011</t>
        </is>
      </c>
      <c r="D304" s="5" t="inlineStr">
        <is>
          <t>Chinese</t>
        </is>
      </c>
      <c r="E304" s="5" t="inlineStr">
        <is>
          <t>JOUR</t>
        </is>
      </c>
      <c r="F304" s="5" t="inlineStr">
        <is>
          <t>石建伟</t>
        </is>
      </c>
      <c r="G304" s="5" t="inlineStr">
        <is>
          <t>临床误诊误治</t>
        </is>
      </c>
      <c r="H304" s="5" t="inlineStr">
        <is>
          <t>24(6):52-53</t>
        </is>
      </c>
      <c r="I304" s="6" t="inlineStr">
        <is>
          <t>游走脾并蒂扭转、脾梗死一例诊治分析</t>
        </is>
      </c>
      <c r="J304" s="5" t="inlineStr">
        <is>
          <t>10.3969/j.issn.1002-3429.2011.06.030</t>
        </is>
      </c>
      <c r="K304" s="7" t="inlineStr">
        <is>
          <t>link</t>
        </is>
      </c>
      <c r="L304" s="5" t="inlineStr"/>
      <c r="M304" s="5" t="inlineStr"/>
      <c r="N304" s="5" t="inlineStr"/>
      <c r="O304" s="7" t="inlineStr">
        <is>
          <t>link</t>
        </is>
      </c>
      <c r="P304" s="7" t="inlineStr">
        <is>
          <t>link</t>
        </is>
      </c>
      <c r="Q304" s="5" t="inlineStr"/>
      <c r="R304" s="5" t="inlineStr">
        <is>
          <t>3 Chinese</t>
        </is>
      </c>
      <c r="S304" s="5" t="inlineStr"/>
      <c r="T304" s="5" t="inlineStr">
        <is>
          <t>WS2014.pdf</t>
        </is>
      </c>
      <c r="U304" s="8" t="n"/>
      <c r="V304" s="8" t="n"/>
      <c r="W304" s="8" t="n"/>
      <c r="X304" s="8" t="n"/>
      <c r="Y304" s="8" t="n"/>
      <c r="Z304" s="8" t="n"/>
      <c r="AA304" s="8" t="n"/>
      <c r="AB304" s="8" t="n"/>
      <c r="AC304" s="8" t="n"/>
      <c r="AD304" s="8" t="n"/>
      <c r="AE304" s="8" t="inlineStr">
        <is>
          <t>yes</t>
        </is>
      </c>
    </row>
    <row r="305">
      <c r="A305" s="5" t="n">
        <v>304</v>
      </c>
      <c r="B305" s="5" t="inlineStr">
        <is>
          <t>WS2018</t>
        </is>
      </c>
      <c r="C305" s="5" t="inlineStr">
        <is>
          <t>2011</t>
        </is>
      </c>
      <c r="D305" s="5" t="inlineStr">
        <is>
          <t>Chinese</t>
        </is>
      </c>
      <c r="E305" s="5" t="inlineStr">
        <is>
          <t>JOUR</t>
        </is>
      </c>
      <c r="F305" s="5" t="inlineStr">
        <is>
          <t>黄从刚</t>
        </is>
      </c>
      <c r="G305" s="5" t="inlineStr">
        <is>
          <t>放射学实践</t>
        </is>
      </c>
      <c r="H305" s="5" t="inlineStr">
        <is>
          <t>26(4):472-472</t>
        </is>
      </c>
      <c r="I305" s="6" t="inlineStr">
        <is>
          <t>CT诊断儿童游走脾伴脾蒂扭转一例</t>
        </is>
      </c>
      <c r="J305" s="5" t="inlineStr">
        <is>
          <t>10.3969/j.issn.1000-0313.2011.04.041</t>
        </is>
      </c>
      <c r="K305" s="7" t="inlineStr">
        <is>
          <t>link</t>
        </is>
      </c>
      <c r="L305" s="5" t="inlineStr"/>
      <c r="M305" s="5" t="inlineStr"/>
      <c r="N305" s="5" t="inlineStr"/>
      <c r="O305" s="7" t="inlineStr">
        <is>
          <t>link</t>
        </is>
      </c>
      <c r="P305" s="7" t="inlineStr">
        <is>
          <t>link</t>
        </is>
      </c>
      <c r="Q305" s="5" t="inlineStr"/>
      <c r="R305" s="5" t="inlineStr">
        <is>
          <t>3 Chinese</t>
        </is>
      </c>
      <c r="S305" s="5" t="inlineStr"/>
      <c r="T305" s="5" t="inlineStr">
        <is>
          <t>WS2018.pdf</t>
        </is>
      </c>
      <c r="U305" s="8" t="n"/>
      <c r="V305" s="8" t="n"/>
      <c r="W305" s="8" t="n"/>
      <c r="X305" s="8" t="n"/>
      <c r="Y305" s="8" t="n"/>
      <c r="Z305" s="8" t="n"/>
      <c r="AA305" s="8" t="n"/>
      <c r="AB305" s="8" t="n"/>
      <c r="AC305" s="8" t="n"/>
      <c r="AD305" s="8" t="n"/>
      <c r="AE305" s="8" t="inlineStr">
        <is>
          <t>yes</t>
        </is>
      </c>
    </row>
    <row r="306">
      <c r="A306" s="5" t="n">
        <v>305</v>
      </c>
      <c r="B306" s="5" t="inlineStr">
        <is>
          <t>WS2023</t>
        </is>
      </c>
      <c r="C306" s="5" t="inlineStr">
        <is>
          <t>2010</t>
        </is>
      </c>
      <c r="D306" s="5" t="inlineStr">
        <is>
          <t>Chinese</t>
        </is>
      </c>
      <c r="E306" s="5" t="inlineStr">
        <is>
          <t>JOUR</t>
        </is>
      </c>
      <c r="F306" s="5" t="inlineStr">
        <is>
          <t>李学杰</t>
        </is>
      </c>
      <c r="G306" s="5" t="inlineStr">
        <is>
          <t>中国中医药现代远程教育</t>
        </is>
      </c>
      <c r="H306" s="5" t="inlineStr">
        <is>
          <t>8(22):70-71</t>
        </is>
      </c>
      <c r="I306" s="6" t="inlineStr">
        <is>
          <t>游走脾的诊断和治疗</t>
        </is>
      </c>
      <c r="J306" s="5" t="inlineStr">
        <is>
          <t>10.3969/j.issn.1672-2779.2010.22.059</t>
        </is>
      </c>
      <c r="K306" s="7" t="inlineStr">
        <is>
          <t>link</t>
        </is>
      </c>
      <c r="L306" s="5" t="inlineStr"/>
      <c r="M306" s="5" t="inlineStr"/>
      <c r="N306" s="5" t="inlineStr"/>
      <c r="O306" s="7" t="inlineStr">
        <is>
          <t>link</t>
        </is>
      </c>
      <c r="P306" s="7" t="inlineStr">
        <is>
          <t>link</t>
        </is>
      </c>
      <c r="Q306" s="5" t="inlineStr"/>
      <c r="R306" s="5" t="inlineStr">
        <is>
          <t>3 Chinese</t>
        </is>
      </c>
      <c r="S306" s="5" t="inlineStr"/>
      <c r="T306" s="5" t="inlineStr">
        <is>
          <t>WS2023.pdf</t>
        </is>
      </c>
      <c r="U306" s="8" t="n"/>
      <c r="V306" s="8" t="n"/>
      <c r="W306" s="8" t="n"/>
      <c r="X306" s="8" t="n"/>
      <c r="Y306" s="8" t="n"/>
      <c r="Z306" s="8" t="n"/>
      <c r="AA306" s="8" t="n"/>
      <c r="AB306" s="8" t="n"/>
      <c r="AC306" s="8" t="n"/>
      <c r="AD306" s="8" t="n"/>
      <c r="AE306" s="8" t="inlineStr">
        <is>
          <t>yes</t>
        </is>
      </c>
    </row>
    <row r="307">
      <c r="A307" s="5" t="n">
        <v>306</v>
      </c>
      <c r="B307" s="5" t="inlineStr">
        <is>
          <t>WS2025</t>
        </is>
      </c>
      <c r="C307" s="5" t="inlineStr">
        <is>
          <t>2010</t>
        </is>
      </c>
      <c r="D307" s="5" t="inlineStr">
        <is>
          <t>Chinese</t>
        </is>
      </c>
      <c r="E307" s="5" t="inlineStr">
        <is>
          <t>JOUR</t>
        </is>
      </c>
      <c r="F307" s="5" t="inlineStr">
        <is>
          <t>范学圣</t>
        </is>
      </c>
      <c r="G307" s="5" t="inlineStr">
        <is>
          <t>中华小儿外科杂志</t>
        </is>
      </c>
      <c r="H307" s="5" t="inlineStr">
        <is>
          <t>(8):585</t>
        </is>
      </c>
      <c r="I307" s="6" t="inlineStr">
        <is>
          <t>游走脾脏一例</t>
        </is>
      </c>
      <c r="J307" s="5" t="inlineStr"/>
      <c r="K307" s="5" t="inlineStr"/>
      <c r="L307" s="5" t="inlineStr"/>
      <c r="M307" s="5" t="inlineStr"/>
      <c r="N307" s="5" t="inlineStr"/>
      <c r="O307" s="7" t="inlineStr">
        <is>
          <t>link</t>
        </is>
      </c>
      <c r="P307" s="5" t="inlineStr"/>
      <c r="Q307" s="5" t="inlineStr"/>
      <c r="R307" s="5" t="inlineStr">
        <is>
          <t>3 Chinese</t>
        </is>
      </c>
      <c r="S307" s="5" t="inlineStr"/>
      <c r="T307" s="5" t="inlineStr">
        <is>
          <t>WS2025.pdf</t>
        </is>
      </c>
      <c r="U307" s="8" t="n"/>
      <c r="V307" s="8" t="n"/>
      <c r="W307" s="8" t="n"/>
      <c r="X307" s="8" t="n"/>
      <c r="Y307" s="8" t="n"/>
      <c r="Z307" s="8" t="n"/>
      <c r="AA307" s="8" t="n"/>
      <c r="AB307" s="8" t="n"/>
      <c r="AC307" s="8" t="n"/>
      <c r="AD307" s="8" t="n"/>
      <c r="AE307" s="8" t="inlineStr">
        <is>
          <t>yes</t>
        </is>
      </c>
    </row>
    <row r="308">
      <c r="A308" s="5" t="n">
        <v>307</v>
      </c>
      <c r="B308" s="5" t="inlineStr">
        <is>
          <t>WS2031</t>
        </is>
      </c>
      <c r="C308" s="5" t="inlineStr">
        <is>
          <t>2010</t>
        </is>
      </c>
      <c r="D308" s="5" t="inlineStr">
        <is>
          <t>Chinese</t>
        </is>
      </c>
      <c r="E308" s="5" t="inlineStr">
        <is>
          <t>JOUR</t>
        </is>
      </c>
      <c r="F308" s="5" t="inlineStr">
        <is>
          <t>姜传武</t>
        </is>
      </c>
      <c r="G308" s="5" t="inlineStr">
        <is>
          <t>中国中西医结合影像学杂志</t>
        </is>
      </c>
      <c r="H308" s="5" t="inlineStr">
        <is>
          <t>8(1):68-70</t>
        </is>
      </c>
      <c r="I308" s="6" t="inlineStr">
        <is>
          <t>游走脾的诊治进展</t>
        </is>
      </c>
      <c r="J308" s="5" t="inlineStr">
        <is>
          <t>10.3969/j.issn.1672-0512.2010.01.024</t>
        </is>
      </c>
      <c r="K308" s="7" t="inlineStr">
        <is>
          <t>link</t>
        </is>
      </c>
      <c r="L308" s="5" t="inlineStr"/>
      <c r="M308" s="5" t="inlineStr"/>
      <c r="N308" s="5" t="inlineStr"/>
      <c r="O308" s="7" t="inlineStr">
        <is>
          <t>link</t>
        </is>
      </c>
      <c r="P308" s="7" t="inlineStr">
        <is>
          <t>link</t>
        </is>
      </c>
      <c r="Q308" s="5" t="inlineStr"/>
      <c r="R308" s="5" t="inlineStr">
        <is>
          <t>3 Chinese</t>
        </is>
      </c>
      <c r="S308" s="5" t="inlineStr">
        <is>
          <t>Y</t>
        </is>
      </c>
      <c r="T308" s="5" t="inlineStr">
        <is>
          <t>WS2031.pdf</t>
        </is>
      </c>
      <c r="U308" s="8" t="n"/>
      <c r="V308" s="8" t="n"/>
      <c r="W308" s="8" t="n"/>
      <c r="X308" s="8" t="n"/>
      <c r="Y308" s="8" t="n"/>
      <c r="Z308" s="8" t="n"/>
      <c r="AA308" s="8" t="n"/>
      <c r="AB308" s="8" t="n"/>
      <c r="AC308" s="8" t="n"/>
      <c r="AD308" s="8" t="n"/>
      <c r="AE308" s="8" t="inlineStr">
        <is>
          <t>yes</t>
        </is>
      </c>
    </row>
    <row r="309">
      <c r="A309" s="5" t="n">
        <v>308</v>
      </c>
      <c r="B309" s="5" t="inlineStr">
        <is>
          <t>WS2032</t>
        </is>
      </c>
      <c r="C309" s="5" t="inlineStr">
        <is>
          <t>2010</t>
        </is>
      </c>
      <c r="D309" s="5" t="inlineStr">
        <is>
          <t>Chinese</t>
        </is>
      </c>
      <c r="E309" s="5" t="inlineStr">
        <is>
          <t>JOUR</t>
        </is>
      </c>
      <c r="F309" s="5" t="inlineStr">
        <is>
          <t>胡小花</t>
        </is>
      </c>
      <c r="G309" s="5" t="inlineStr">
        <is>
          <t>中华小儿外科杂志</t>
        </is>
      </c>
      <c r="H309" s="5" t="inlineStr">
        <is>
          <t>31(1):23</t>
        </is>
      </c>
      <c r="I309" s="6" t="inlineStr">
        <is>
          <t>小儿游离脾扭转一例</t>
        </is>
      </c>
      <c r="J309" s="5" t="inlineStr">
        <is>
          <t>10.3760/cma.j.issn.0253-3006.2010.01.026</t>
        </is>
      </c>
      <c r="K309" s="7" t="inlineStr">
        <is>
          <t>link</t>
        </is>
      </c>
      <c r="L309" s="5" t="inlineStr"/>
      <c r="M309" s="5" t="inlineStr"/>
      <c r="N309" s="5" t="inlineStr"/>
      <c r="O309" s="7" t="inlineStr">
        <is>
          <t>link</t>
        </is>
      </c>
      <c r="P309" s="7" t="inlineStr">
        <is>
          <t>link</t>
        </is>
      </c>
      <c r="Q309" s="5" t="inlineStr"/>
      <c r="R309" s="5" t="inlineStr">
        <is>
          <t>3 Chinese</t>
        </is>
      </c>
      <c r="S309" s="5" t="inlineStr"/>
      <c r="T309" s="5" t="inlineStr">
        <is>
          <t>WS2032.pdf</t>
        </is>
      </c>
      <c r="U309" s="8" t="n"/>
      <c r="V309" s="8" t="n"/>
      <c r="W309" s="8" t="n"/>
      <c r="X309" s="8" t="n"/>
      <c r="Y309" s="8" t="n"/>
      <c r="Z309" s="8" t="n"/>
      <c r="AA309" s="8" t="n"/>
      <c r="AB309" s="8" t="n"/>
      <c r="AC309" s="8" t="n"/>
      <c r="AD309" s="8" t="n"/>
      <c r="AE309" s="8" t="inlineStr">
        <is>
          <t>yes</t>
        </is>
      </c>
    </row>
    <row r="310">
      <c r="A310" s="5" t="n">
        <v>309</v>
      </c>
      <c r="B310" s="5" t="inlineStr">
        <is>
          <t>WS2362</t>
        </is>
      </c>
      <c r="C310" s="5" t="inlineStr">
        <is>
          <t>2010</t>
        </is>
      </c>
      <c r="D310" s="5" t="inlineStr">
        <is>
          <t>Chinese</t>
        </is>
      </c>
      <c r="E310" s="5" t="inlineStr">
        <is>
          <t>JOUR</t>
        </is>
      </c>
      <c r="F310" s="5" t="inlineStr">
        <is>
          <t>姜云三</t>
        </is>
      </c>
      <c r="G310" s="5" t="inlineStr">
        <is>
          <t>中外健康文摘</t>
        </is>
      </c>
      <c r="H310" s="5" t="inlineStr">
        <is>
          <t>7(16):91-92</t>
        </is>
      </c>
      <c r="I310" s="6" t="inlineStr">
        <is>
          <t>21例脾切除手术的临床治疗</t>
        </is>
      </c>
      <c r="J310" s="5" t="inlineStr">
        <is>
          <t>10.3969/j.issn.1672-5085.2010.16.072</t>
        </is>
      </c>
      <c r="K310" s="7" t="inlineStr">
        <is>
          <t>link</t>
        </is>
      </c>
      <c r="L310" s="5" t="inlineStr"/>
      <c r="M310" s="5" t="inlineStr"/>
      <c r="N310" s="5" t="inlineStr"/>
      <c r="O310" s="5" t="inlineStr"/>
      <c r="P310" s="7" t="inlineStr">
        <is>
          <t>link</t>
        </is>
      </c>
      <c r="Q310" s="5" t="inlineStr"/>
      <c r="R310" s="5" t="inlineStr">
        <is>
          <t>3 Chinese</t>
        </is>
      </c>
      <c r="S310" s="5" t="inlineStr"/>
      <c r="T310" s="5" t="inlineStr">
        <is>
          <t>WS2362.pdf</t>
        </is>
      </c>
      <c r="U310" s="8" t="n"/>
      <c r="V310" s="8" t="n"/>
      <c r="W310" s="8" t="n"/>
      <c r="X310" s="8" t="n"/>
      <c r="Y310" s="8" t="n"/>
      <c r="Z310" s="8" t="n"/>
      <c r="AA310" s="8" t="n"/>
      <c r="AB310" s="8" t="n"/>
      <c r="AC310" s="8" t="n"/>
      <c r="AD310" s="8" t="n"/>
      <c r="AE310" s="8" t="inlineStr">
        <is>
          <t>yes</t>
        </is>
      </c>
    </row>
    <row r="311">
      <c r="A311" s="5" t="n">
        <v>310</v>
      </c>
      <c r="B311" s="5" t="inlineStr">
        <is>
          <t>WS2480</t>
        </is>
      </c>
      <c r="C311" s="5" t="inlineStr">
        <is>
          <t>2010</t>
        </is>
      </c>
      <c r="D311" s="5" t="inlineStr">
        <is>
          <t>Chinese</t>
        </is>
      </c>
      <c r="E311" s="5" t="inlineStr">
        <is>
          <t>JOUR</t>
        </is>
      </c>
      <c r="F311" s="5" t="inlineStr">
        <is>
          <t>范学圣</t>
        </is>
      </c>
      <c r="G311" s="5" t="inlineStr">
        <is>
          <t>中华小儿外科杂志</t>
        </is>
      </c>
      <c r="H311" s="5" t="inlineStr">
        <is>
          <t>(8):585</t>
        </is>
      </c>
      <c r="I311" s="6" t="inlineStr">
        <is>
          <t>游走脾脏1例</t>
        </is>
      </c>
      <c r="J311" s="5" t="inlineStr"/>
      <c r="K311" s="5" t="inlineStr"/>
      <c r="L311" s="5" t="inlineStr"/>
      <c r="M311" s="5" t="inlineStr"/>
      <c r="N311" s="5" t="inlineStr"/>
      <c r="O311" s="5" t="inlineStr"/>
      <c r="P311" s="5" t="inlineStr"/>
      <c r="Q311" s="5" t="inlineStr"/>
      <c r="R311" s="5" t="inlineStr">
        <is>
          <t>3 Chinese</t>
        </is>
      </c>
      <c r="S311" s="5" t="inlineStr"/>
      <c r="T311" s="5" t="inlineStr">
        <is>
          <t>WS2480.pdf</t>
        </is>
      </c>
      <c r="U311" s="8" t="n"/>
      <c r="V311" s="8" t="n"/>
      <c r="W311" s="8" t="n"/>
      <c r="X311" s="8" t="n"/>
      <c r="Y311" s="8" t="n"/>
      <c r="Z311" s="8" t="n"/>
      <c r="AA311" s="8" t="n"/>
      <c r="AB311" s="8" t="n"/>
      <c r="AC311" s="8" t="n"/>
      <c r="AD311" s="8" t="n"/>
      <c r="AE311" s="8" t="inlineStr">
        <is>
          <t>yes</t>
        </is>
      </c>
    </row>
    <row r="312">
      <c r="A312" s="5" t="n">
        <v>311</v>
      </c>
      <c r="B312" s="5" t="inlineStr">
        <is>
          <t>WS2484</t>
        </is>
      </c>
      <c r="C312" s="5" t="inlineStr">
        <is>
          <t>2010</t>
        </is>
      </c>
      <c r="D312" s="5" t="inlineStr">
        <is>
          <t>Chinese</t>
        </is>
      </c>
      <c r="E312" s="5" t="inlineStr">
        <is>
          <t>JOUR</t>
        </is>
      </c>
      <c r="F312" s="5" t="inlineStr">
        <is>
          <t>胡小花</t>
        </is>
      </c>
      <c r="G312" s="5" t="inlineStr">
        <is>
          <t>中华小儿外科杂志</t>
        </is>
      </c>
      <c r="H312" s="5" t="inlineStr">
        <is>
          <t>(1):23</t>
        </is>
      </c>
      <c r="I312" s="6" t="inlineStr">
        <is>
          <t>小儿游离脾扭转1例</t>
        </is>
      </c>
      <c r="J312" s="5" t="inlineStr"/>
      <c r="K312" s="5" t="inlineStr"/>
      <c r="L312" s="5" t="inlineStr"/>
      <c r="M312" s="5" t="inlineStr"/>
      <c r="N312" s="5" t="inlineStr"/>
      <c r="O312" s="5" t="inlineStr"/>
      <c r="P312" s="5" t="inlineStr"/>
      <c r="Q312" s="5" t="inlineStr"/>
      <c r="R312" s="5" t="inlineStr">
        <is>
          <t>3 Chinese</t>
        </is>
      </c>
      <c r="S312" s="5" t="inlineStr"/>
      <c r="T312" s="5" t="inlineStr">
        <is>
          <t>WS2484.pdf</t>
        </is>
      </c>
      <c r="U312" s="8" t="n"/>
      <c r="V312" s="8" t="n"/>
      <c r="W312" s="8" t="n"/>
      <c r="X312" s="8" t="n"/>
      <c r="Y312" s="8" t="n"/>
      <c r="Z312" s="8" t="n"/>
      <c r="AA312" s="8" t="n"/>
      <c r="AB312" s="8" t="n"/>
      <c r="AC312" s="8" t="n"/>
      <c r="AD312" s="8" t="n"/>
      <c r="AE312" s="8" t="inlineStr">
        <is>
          <t>yes</t>
        </is>
      </c>
    </row>
    <row r="313">
      <c r="A313" s="5" t="n">
        <v>312</v>
      </c>
      <c r="B313" s="5" t="inlineStr">
        <is>
          <t>WS2033</t>
        </is>
      </c>
      <c r="C313" s="5" t="inlineStr">
        <is>
          <t>2009</t>
        </is>
      </c>
      <c r="D313" s="5" t="inlineStr">
        <is>
          <t>Chinese</t>
        </is>
      </c>
      <c r="E313" s="5" t="inlineStr">
        <is>
          <t>JOUR</t>
        </is>
      </c>
      <c r="F313" s="5" t="inlineStr">
        <is>
          <t>廖桦</t>
        </is>
      </c>
      <c r="G313" s="5" t="inlineStr">
        <is>
          <t>中国实用医药</t>
        </is>
      </c>
      <c r="H313" s="5" t="inlineStr">
        <is>
          <t>4(36):63-64</t>
        </is>
      </c>
      <c r="I313" s="6" t="inlineStr">
        <is>
          <t>150例脾切除手术回顾性分析</t>
        </is>
      </c>
      <c r="J313" s="5" t="inlineStr">
        <is>
          <t>10.3969/j.issn.1673-7555.2009.36.037</t>
        </is>
      </c>
      <c r="K313" s="7" t="inlineStr">
        <is>
          <t>link</t>
        </is>
      </c>
      <c r="L313" s="5" t="inlineStr"/>
      <c r="M313" s="5" t="inlineStr"/>
      <c r="N313" s="5" t="inlineStr"/>
      <c r="O313" s="7" t="inlineStr">
        <is>
          <t>link</t>
        </is>
      </c>
      <c r="P313" s="7" t="inlineStr">
        <is>
          <t>link</t>
        </is>
      </c>
      <c r="Q313" s="5" t="inlineStr"/>
      <c r="R313" s="5" t="inlineStr">
        <is>
          <t>3 Chinese</t>
        </is>
      </c>
      <c r="S313" s="5" t="inlineStr"/>
      <c r="T313" s="5" t="inlineStr">
        <is>
          <t>WS2033.pdf</t>
        </is>
      </c>
      <c r="U313" s="8" t="n"/>
      <c r="V313" s="8" t="n"/>
      <c r="W313" s="8" t="n"/>
      <c r="X313" s="8" t="n"/>
      <c r="Y313" s="8" t="n"/>
      <c r="Z313" s="8" t="n"/>
      <c r="AA313" s="8" t="n"/>
      <c r="AB313" s="8" t="n"/>
      <c r="AC313" s="8" t="n"/>
      <c r="AD313" s="8" t="n"/>
      <c r="AE313" s="8" t="inlineStr">
        <is>
          <t>yes</t>
        </is>
      </c>
    </row>
    <row r="314">
      <c r="A314" s="5" t="n">
        <v>313</v>
      </c>
      <c r="B314" s="5" t="inlineStr">
        <is>
          <t>WS2039</t>
        </is>
      </c>
      <c r="C314" s="5" t="inlineStr">
        <is>
          <t>2009</t>
        </is>
      </c>
      <c r="D314" s="5" t="inlineStr">
        <is>
          <t>Chinese</t>
        </is>
      </c>
      <c r="E314" s="5" t="inlineStr">
        <is>
          <t>JOUR</t>
        </is>
      </c>
      <c r="F314" s="5" t="inlineStr">
        <is>
          <t>朱中权</t>
        </is>
      </c>
      <c r="G314" s="5" t="inlineStr">
        <is>
          <t>临床误诊误治</t>
        </is>
      </c>
      <c r="H314" s="5" t="inlineStr">
        <is>
          <t>22(8):95-95,封三</t>
        </is>
      </c>
      <c r="I314" s="6" t="inlineStr">
        <is>
          <t>异位脾一例误诊为后纵隔肿瘤</t>
        </is>
      </c>
      <c r="J314" s="5" t="inlineStr">
        <is>
          <t>10.3969/j.issn.1002-3429.2009.08.076</t>
        </is>
      </c>
      <c r="K314" s="7" t="inlineStr">
        <is>
          <t>link</t>
        </is>
      </c>
      <c r="L314" s="5" t="inlineStr"/>
      <c r="M314" s="5" t="inlineStr"/>
      <c r="N314" s="5" t="inlineStr"/>
      <c r="O314" s="7" t="inlineStr">
        <is>
          <t>link</t>
        </is>
      </c>
      <c r="P314" s="7" t="inlineStr">
        <is>
          <t>link</t>
        </is>
      </c>
      <c r="Q314" s="5" t="inlineStr"/>
      <c r="R314" s="5" t="inlineStr">
        <is>
          <t>3 Chinese</t>
        </is>
      </c>
      <c r="S314" s="5" t="inlineStr"/>
      <c r="T314" s="5" t="inlineStr">
        <is>
          <t>WS2039.pdf</t>
        </is>
      </c>
      <c r="U314" s="8" t="n"/>
      <c r="V314" s="8" t="n"/>
      <c r="W314" s="8" t="n"/>
      <c r="X314" s="8" t="n"/>
      <c r="Y314" s="8" t="n"/>
      <c r="Z314" s="8" t="n"/>
      <c r="AA314" s="8" t="n"/>
      <c r="AB314" s="8" t="n"/>
      <c r="AC314" s="8" t="n"/>
      <c r="AD314" s="8" t="n"/>
      <c r="AE314" s="8" t="inlineStr">
        <is>
          <t>yes</t>
        </is>
      </c>
    </row>
    <row r="315">
      <c r="A315" s="5" t="n">
        <v>314</v>
      </c>
      <c r="B315" s="5" t="inlineStr">
        <is>
          <t>WS2040</t>
        </is>
      </c>
      <c r="C315" s="5" t="inlineStr">
        <is>
          <t>2009</t>
        </is>
      </c>
      <c r="D315" s="5" t="inlineStr">
        <is>
          <t>Chinese</t>
        </is>
      </c>
      <c r="E315" s="5" t="inlineStr">
        <is>
          <t>JOUR</t>
        </is>
      </c>
      <c r="F315" s="5" t="inlineStr">
        <is>
          <t>姜传武</t>
        </is>
      </c>
      <c r="G315" s="5" t="inlineStr">
        <is>
          <t>中国中西医结合影像学杂志</t>
        </is>
      </c>
      <c r="H315" s="5" t="inlineStr">
        <is>
          <t>7(4):315</t>
        </is>
      </c>
      <c r="I315" s="6" t="inlineStr">
        <is>
          <t>脾扭转的CT诊断1例</t>
        </is>
      </c>
      <c r="J315" s="5" t="inlineStr">
        <is>
          <t>10.3969/j.issn.1672-0512.2009.04.030</t>
        </is>
      </c>
      <c r="K315" s="7" t="inlineStr">
        <is>
          <t>link</t>
        </is>
      </c>
      <c r="L315" s="5" t="inlineStr"/>
      <c r="M315" s="5" t="inlineStr"/>
      <c r="N315" s="5" t="inlineStr"/>
      <c r="O315" s="7" t="inlineStr">
        <is>
          <t>link</t>
        </is>
      </c>
      <c r="P315" s="7" t="inlineStr">
        <is>
          <t>link</t>
        </is>
      </c>
      <c r="Q315" s="5" t="inlineStr"/>
      <c r="R315" s="5" t="inlineStr">
        <is>
          <t>3 Chinese</t>
        </is>
      </c>
      <c r="S315" s="5" t="inlineStr"/>
      <c r="T315" s="5" t="inlineStr">
        <is>
          <t>WS2040.pdf</t>
        </is>
      </c>
      <c r="U315" s="8" t="n"/>
      <c r="V315" s="8" t="n"/>
      <c r="W315" s="8" t="n"/>
      <c r="X315" s="8" t="n"/>
      <c r="Y315" s="8" t="n"/>
      <c r="Z315" s="8" t="n"/>
      <c r="AA315" s="8" t="n"/>
      <c r="AB315" s="8" t="n"/>
      <c r="AC315" s="8" t="n"/>
      <c r="AD315" s="8" t="n"/>
      <c r="AE315" s="8" t="inlineStr">
        <is>
          <t>yes</t>
        </is>
      </c>
    </row>
    <row r="316">
      <c r="A316" s="5" t="n">
        <v>315</v>
      </c>
      <c r="B316" s="5" t="inlineStr">
        <is>
          <t>WS2041</t>
        </is>
      </c>
      <c r="C316" s="5" t="inlineStr">
        <is>
          <t>2009</t>
        </is>
      </c>
      <c r="D316" s="5" t="inlineStr">
        <is>
          <t>Chinese</t>
        </is>
      </c>
      <c r="E316" s="5" t="inlineStr">
        <is>
          <t>JOUR</t>
        </is>
      </c>
      <c r="F316" s="5" t="inlineStr">
        <is>
          <t>肖立志</t>
        </is>
      </c>
      <c r="G316" s="5" t="inlineStr">
        <is>
          <t>临床放射学杂志</t>
        </is>
      </c>
      <c r="H316" s="5" t="inlineStr">
        <is>
          <t>28(8):1190</t>
        </is>
      </c>
      <c r="I316" s="6" t="inlineStr">
        <is>
          <t>游走脾并脾扭转一例</t>
        </is>
      </c>
      <c r="J316" s="5" t="inlineStr">
        <is>
          <t>10.13437/j.cnki.jcr.2009.08.011</t>
        </is>
      </c>
      <c r="K316" s="7" t="inlineStr">
        <is>
          <t>link</t>
        </is>
      </c>
      <c r="L316" s="5" t="inlineStr"/>
      <c r="M316" s="5" t="inlineStr"/>
      <c r="N316" s="5" t="inlineStr"/>
      <c r="O316" s="7" t="inlineStr">
        <is>
          <t>link</t>
        </is>
      </c>
      <c r="P316" s="7" t="inlineStr">
        <is>
          <t>link</t>
        </is>
      </c>
      <c r="Q316" s="5" t="inlineStr"/>
      <c r="R316" s="5" t="inlineStr">
        <is>
          <t>3 Chinese</t>
        </is>
      </c>
      <c r="S316" s="5" t="inlineStr"/>
      <c r="T316" s="5" t="inlineStr">
        <is>
          <t>WS2041.pdf</t>
        </is>
      </c>
      <c r="U316" s="8" t="n"/>
      <c r="V316" s="8" t="n"/>
      <c r="W316" s="8" t="n"/>
      <c r="X316" s="8" t="n"/>
      <c r="Y316" s="8" t="n"/>
      <c r="Z316" s="8" t="n"/>
      <c r="AA316" s="8" t="n"/>
      <c r="AB316" s="8" t="n"/>
      <c r="AC316" s="8" t="n"/>
      <c r="AD316" s="8" t="n"/>
      <c r="AE316" s="8" t="inlineStr">
        <is>
          <t>yes</t>
        </is>
      </c>
    </row>
    <row r="317">
      <c r="A317" s="5" t="n">
        <v>316</v>
      </c>
      <c r="B317" s="5" t="inlineStr">
        <is>
          <t>WS2044</t>
        </is>
      </c>
      <c r="C317" s="5" t="inlineStr">
        <is>
          <t>2009</t>
        </is>
      </c>
      <c r="D317" s="5" t="inlineStr">
        <is>
          <t>Chinese</t>
        </is>
      </c>
      <c r="E317" s="5" t="inlineStr">
        <is>
          <t>CONF</t>
        </is>
      </c>
      <c r="F317" s="5" t="inlineStr">
        <is>
          <t>孙莉</t>
        </is>
      </c>
      <c r="G317" s="5" t="inlineStr"/>
      <c r="H317" s="5" t="inlineStr">
        <is>
          <t>3</t>
        </is>
      </c>
      <c r="I317" s="6" t="inlineStr">
        <is>
          <t>一例小儿游离脾扭转行脾切除围手术期的护理</t>
        </is>
      </c>
      <c r="J317" s="5" t="inlineStr"/>
      <c r="K317" s="5" t="inlineStr"/>
      <c r="L317" s="5" t="inlineStr"/>
      <c r="M317" s="5" t="inlineStr"/>
      <c r="N317" s="5" t="inlineStr"/>
      <c r="O317" s="7" t="inlineStr">
        <is>
          <t>link</t>
        </is>
      </c>
      <c r="P317" s="5" t="inlineStr"/>
      <c r="Q317" s="5" t="inlineStr"/>
      <c r="R317" s="5" t="inlineStr">
        <is>
          <t>3 Chinese</t>
        </is>
      </c>
      <c r="S317" s="5" t="inlineStr"/>
      <c r="T317" s="5" t="inlineStr">
        <is>
          <t>WS2044.pdf</t>
        </is>
      </c>
      <c r="U317" s="8" t="n"/>
      <c r="V317" s="8" t="n"/>
      <c r="W317" s="8" t="n"/>
      <c r="X317" s="8" t="n"/>
      <c r="Y317" s="8" t="n"/>
      <c r="Z317" s="8" t="n"/>
      <c r="AA317" s="8" t="n"/>
      <c r="AB317" s="8" t="n"/>
      <c r="AC317" s="8" t="n"/>
      <c r="AD317" s="8" t="n"/>
      <c r="AE317" s="8" t="inlineStr">
        <is>
          <t>yes</t>
        </is>
      </c>
    </row>
    <row r="318">
      <c r="A318" s="5" t="n">
        <v>317</v>
      </c>
      <c r="B318" s="5" t="inlineStr">
        <is>
          <t>WS2045</t>
        </is>
      </c>
      <c r="C318" s="5" t="inlineStr">
        <is>
          <t>2009</t>
        </is>
      </c>
      <c r="D318" s="5" t="inlineStr">
        <is>
          <t>Chinese</t>
        </is>
      </c>
      <c r="E318" s="5" t="inlineStr">
        <is>
          <t>JOUR</t>
        </is>
      </c>
      <c r="F318" s="5" t="inlineStr">
        <is>
          <t>刘步育</t>
        </is>
      </c>
      <c r="G318" s="5" t="inlineStr">
        <is>
          <t>内蒙古医学杂志</t>
        </is>
      </c>
      <c r="H318" s="5" t="inlineStr">
        <is>
          <t>41(2):254</t>
        </is>
      </c>
      <c r="I318" s="6" t="inlineStr">
        <is>
          <t>彩超诊断游走脾一例报告</t>
        </is>
      </c>
      <c r="J318" s="5" t="inlineStr">
        <is>
          <t>10.3969/j.issn.1004-0951.2009.02.058</t>
        </is>
      </c>
      <c r="K318" s="7" t="inlineStr">
        <is>
          <t>link</t>
        </is>
      </c>
      <c r="L318" s="5" t="inlineStr"/>
      <c r="M318" s="5" t="inlineStr"/>
      <c r="N318" s="5" t="inlineStr"/>
      <c r="O318" s="7" t="inlineStr">
        <is>
          <t>link</t>
        </is>
      </c>
      <c r="P318" s="7" t="inlineStr">
        <is>
          <t>link</t>
        </is>
      </c>
      <c r="Q318" s="5" t="inlineStr"/>
      <c r="R318" s="5" t="inlineStr">
        <is>
          <t>3 Chinese</t>
        </is>
      </c>
      <c r="S318" s="5" t="inlineStr"/>
      <c r="T318" s="5" t="inlineStr">
        <is>
          <t>WS2045.pdf</t>
        </is>
      </c>
      <c r="U318" s="8" t="n"/>
      <c r="V318" s="8" t="n"/>
      <c r="W318" s="8" t="n"/>
      <c r="X318" s="8" t="n"/>
      <c r="Y318" s="8" t="n"/>
      <c r="Z318" s="8" t="n"/>
      <c r="AA318" s="8" t="n"/>
      <c r="AB318" s="8" t="n"/>
      <c r="AC318" s="8" t="n"/>
      <c r="AD318" s="8" t="n"/>
      <c r="AE318" s="8" t="inlineStr">
        <is>
          <t>yes</t>
        </is>
      </c>
    </row>
    <row r="319">
      <c r="A319" s="5" t="n">
        <v>318</v>
      </c>
      <c r="B319" s="5" t="inlineStr">
        <is>
          <t>WS2046</t>
        </is>
      </c>
      <c r="C319" s="5" t="inlineStr">
        <is>
          <t>2009</t>
        </is>
      </c>
      <c r="D319" s="5" t="inlineStr">
        <is>
          <t>Chinese</t>
        </is>
      </c>
      <c r="E319" s="5" t="inlineStr">
        <is>
          <t>JOUR</t>
        </is>
      </c>
      <c r="F319" s="5" t="inlineStr">
        <is>
          <t>葛勇胜</t>
        </is>
      </c>
      <c r="G319" s="5" t="inlineStr">
        <is>
          <t>中国医师进修杂志</t>
        </is>
      </c>
      <c r="H319" s="5" t="inlineStr">
        <is>
          <t>32(2):70-71</t>
        </is>
      </c>
      <c r="I319" s="6" t="inlineStr">
        <is>
          <t>游走脾扭转</t>
        </is>
      </c>
      <c r="J319" s="5" t="inlineStr">
        <is>
          <t>10.3760/cma.j.issn.1673-4904.2009.02.033</t>
        </is>
      </c>
      <c r="K319" s="7" t="inlineStr">
        <is>
          <t>link</t>
        </is>
      </c>
      <c r="L319" s="5" t="inlineStr"/>
      <c r="M319" s="5" t="inlineStr"/>
      <c r="N319" s="5" t="inlineStr"/>
      <c r="O319" s="7" t="inlineStr">
        <is>
          <t>link</t>
        </is>
      </c>
      <c r="P319" s="7" t="inlineStr">
        <is>
          <t>link</t>
        </is>
      </c>
      <c r="Q319" s="5" t="inlineStr"/>
      <c r="R319" s="5" t="inlineStr">
        <is>
          <t>3 Chinese</t>
        </is>
      </c>
      <c r="S319" s="5" t="inlineStr"/>
      <c r="T319" s="5" t="inlineStr">
        <is>
          <t>WS2046.pdf</t>
        </is>
      </c>
      <c r="U319" s="8" t="n"/>
      <c r="V319" s="8" t="n"/>
      <c r="W319" s="8" t="n"/>
      <c r="X319" s="8" t="n"/>
      <c r="Y319" s="8" t="n"/>
      <c r="Z319" s="8" t="n"/>
      <c r="AA319" s="8" t="n"/>
      <c r="AB319" s="8" t="n"/>
      <c r="AC319" s="8" t="n"/>
      <c r="AD319" s="8" t="n"/>
      <c r="AE319" s="8" t="inlineStr">
        <is>
          <t>yes</t>
        </is>
      </c>
    </row>
    <row r="320">
      <c r="A320" s="5" t="n">
        <v>319</v>
      </c>
      <c r="B320" s="5" t="inlineStr">
        <is>
          <t>WS2058</t>
        </is>
      </c>
      <c r="C320" s="5" t="inlineStr">
        <is>
          <t>2008</t>
        </is>
      </c>
      <c r="D320" s="5" t="inlineStr">
        <is>
          <t>Chinese</t>
        </is>
      </c>
      <c r="E320" s="5" t="inlineStr">
        <is>
          <t>JOUR</t>
        </is>
      </c>
      <c r="F320" s="5" t="inlineStr">
        <is>
          <t>林桂凤</t>
        </is>
      </c>
      <c r="G320" s="5" t="inlineStr">
        <is>
          <t>中华超声影像学杂志</t>
        </is>
      </c>
      <c r="H320" s="5" t="inlineStr">
        <is>
          <t>17(1):18</t>
        </is>
      </c>
      <c r="I320" s="6" t="inlineStr">
        <is>
          <t>超声诊断游走脾1例</t>
        </is>
      </c>
      <c r="J320" s="5" t="inlineStr">
        <is>
          <t>10.3321/j.issn:1004-4477.2008.01.028</t>
        </is>
      </c>
      <c r="K320" s="7" t="inlineStr">
        <is>
          <t>link</t>
        </is>
      </c>
      <c r="L320" s="5" t="inlineStr"/>
      <c r="M320" s="5" t="inlineStr"/>
      <c r="N320" s="5" t="inlineStr"/>
      <c r="O320" s="7" t="inlineStr">
        <is>
          <t>link</t>
        </is>
      </c>
      <c r="P320" s="7" t="inlineStr">
        <is>
          <t>link</t>
        </is>
      </c>
      <c r="Q320" s="5" t="inlineStr"/>
      <c r="R320" s="5" t="inlineStr">
        <is>
          <t>3 Chinese</t>
        </is>
      </c>
      <c r="S320" s="5" t="inlineStr"/>
      <c r="T320" s="5" t="inlineStr">
        <is>
          <t>WS2058.pdf</t>
        </is>
      </c>
      <c r="U320" s="8" t="n"/>
      <c r="V320" s="8" t="n"/>
      <c r="W320" s="8" t="n"/>
      <c r="X320" s="8" t="n"/>
      <c r="Y320" s="8" t="n"/>
      <c r="Z320" s="8" t="n"/>
      <c r="AA320" s="8" t="n"/>
      <c r="AB320" s="8" t="n"/>
      <c r="AC320" s="8" t="n"/>
      <c r="AD320" s="8" t="n"/>
      <c r="AE320" s="8" t="inlineStr">
        <is>
          <t>yes</t>
        </is>
      </c>
    </row>
    <row r="321">
      <c r="A321" s="5" t="n">
        <v>320</v>
      </c>
      <c r="B321" s="5" t="inlineStr">
        <is>
          <t>WS2059</t>
        </is>
      </c>
      <c r="C321" s="5" t="inlineStr">
        <is>
          <t>2007</t>
        </is>
      </c>
      <c r="D321" s="5" t="inlineStr">
        <is>
          <t>Chinese</t>
        </is>
      </c>
      <c r="E321" s="5" t="inlineStr">
        <is>
          <t>JOUR</t>
        </is>
      </c>
      <c r="F321" s="5" t="inlineStr">
        <is>
          <t>张征</t>
        </is>
      </c>
      <c r="G321" s="5" t="inlineStr">
        <is>
          <t>中国误诊学杂志</t>
        </is>
      </c>
      <c r="H321" s="5" t="inlineStr">
        <is>
          <t>7(20):4947</t>
        </is>
      </c>
      <c r="I321" s="6" t="inlineStr">
        <is>
          <t>异位脾误诊为盆腔肿物1例</t>
        </is>
      </c>
      <c r="J321" s="5" t="inlineStr"/>
      <c r="K321" s="5" t="inlineStr"/>
      <c r="L321" s="5" t="inlineStr"/>
      <c r="M321" s="5" t="inlineStr"/>
      <c r="N321" s="5" t="inlineStr"/>
      <c r="O321" s="7" t="inlineStr">
        <is>
          <t>link</t>
        </is>
      </c>
      <c r="P321" s="7" t="inlineStr">
        <is>
          <t>link</t>
        </is>
      </c>
      <c r="Q321" s="5" t="inlineStr"/>
      <c r="R321" s="5" t="inlineStr">
        <is>
          <t>3 Chinese</t>
        </is>
      </c>
      <c r="S321" s="5" t="inlineStr"/>
      <c r="T321" s="5" t="inlineStr">
        <is>
          <t>WS2059.pdf</t>
        </is>
      </c>
      <c r="U321" s="8" t="n"/>
      <c r="V321" s="8" t="n"/>
      <c r="W321" s="8" t="n"/>
      <c r="X321" s="8" t="n"/>
      <c r="Y321" s="8" t="n"/>
      <c r="Z321" s="8" t="n"/>
      <c r="AA321" s="8" t="n"/>
      <c r="AB321" s="8" t="n"/>
      <c r="AC321" s="8" t="n"/>
      <c r="AD321" s="8" t="n"/>
      <c r="AE321" s="8" t="inlineStr">
        <is>
          <t>yes</t>
        </is>
      </c>
    </row>
    <row r="322">
      <c r="A322" s="5" t="n">
        <v>321</v>
      </c>
      <c r="B322" s="5" t="inlineStr">
        <is>
          <t>WS2060</t>
        </is>
      </c>
      <c r="C322" s="5" t="inlineStr">
        <is>
          <t>2007</t>
        </is>
      </c>
      <c r="D322" s="5" t="inlineStr">
        <is>
          <t>Chinese</t>
        </is>
      </c>
      <c r="E322" s="5" t="inlineStr">
        <is>
          <t>JOUR</t>
        </is>
      </c>
      <c r="F322" s="5" t="inlineStr">
        <is>
          <t>陆惠霞</t>
        </is>
      </c>
      <c r="G322" s="5" t="inlineStr">
        <is>
          <t>蛇志</t>
        </is>
      </c>
      <c r="H322" s="5" t="inlineStr">
        <is>
          <t>19(3):231-232</t>
        </is>
      </c>
      <c r="I322" s="6" t="inlineStr">
        <is>
          <t>1例游走脾并蒂扭转、脾梗塞术后并发症的观察及护理</t>
        </is>
      </c>
      <c r="J322" s="5" t="inlineStr">
        <is>
          <t>10.3969/j.issn.1001-5639.2007.03.039</t>
        </is>
      </c>
      <c r="K322" s="7" t="inlineStr">
        <is>
          <t>link</t>
        </is>
      </c>
      <c r="L322" s="5" t="inlineStr"/>
      <c r="M322" s="5" t="inlineStr"/>
      <c r="N322" s="5" t="inlineStr"/>
      <c r="O322" s="7" t="inlineStr">
        <is>
          <t>link</t>
        </is>
      </c>
      <c r="P322" s="7" t="inlineStr">
        <is>
          <t>link</t>
        </is>
      </c>
      <c r="Q322" s="5" t="inlineStr"/>
      <c r="R322" s="5" t="inlineStr">
        <is>
          <t>3 Chinese</t>
        </is>
      </c>
      <c r="S322" s="5" t="inlineStr"/>
      <c r="T322" s="5" t="inlineStr">
        <is>
          <t>WS2060.pdf</t>
        </is>
      </c>
      <c r="U322" s="8" t="n"/>
      <c r="V322" s="8" t="n"/>
      <c r="W322" s="8" t="n"/>
      <c r="X322" s="8" t="n"/>
      <c r="Y322" s="8" t="n"/>
      <c r="Z322" s="8" t="n"/>
      <c r="AA322" s="8" t="n"/>
      <c r="AB322" s="8" t="n"/>
      <c r="AC322" s="8" t="n"/>
      <c r="AD322" s="8" t="n"/>
      <c r="AE322" s="8" t="inlineStr">
        <is>
          <t>yes</t>
        </is>
      </c>
    </row>
    <row r="323">
      <c r="A323" s="5" t="n">
        <v>322</v>
      </c>
      <c r="B323" s="5" t="inlineStr">
        <is>
          <t>WS2062</t>
        </is>
      </c>
      <c r="C323" s="5" t="inlineStr">
        <is>
          <t>2007</t>
        </is>
      </c>
      <c r="D323" s="5" t="inlineStr">
        <is>
          <t>Chinese</t>
        </is>
      </c>
      <c r="E323" s="5" t="inlineStr">
        <is>
          <t>JOUR</t>
        </is>
      </c>
      <c r="F323" s="5" t="inlineStr">
        <is>
          <t>黄勇</t>
        </is>
      </c>
      <c r="G323" s="5" t="inlineStr">
        <is>
          <t>腹部外科</t>
        </is>
      </c>
      <c r="H323" s="5" t="inlineStr">
        <is>
          <t>20(3):147</t>
        </is>
      </c>
      <c r="I323" s="6" t="inlineStr">
        <is>
          <t>游走脾合并蒂扭转一例报道</t>
        </is>
      </c>
      <c r="J323" s="5" t="inlineStr">
        <is>
          <t>10.3969/j.issn.1003-5591.2007.03.030</t>
        </is>
      </c>
      <c r="K323" s="7" t="inlineStr">
        <is>
          <t>link</t>
        </is>
      </c>
      <c r="L323" s="5" t="inlineStr"/>
      <c r="M323" s="5" t="inlineStr"/>
      <c r="N323" s="5" t="inlineStr"/>
      <c r="O323" s="7" t="inlineStr">
        <is>
          <t>link</t>
        </is>
      </c>
      <c r="P323" s="7" t="inlineStr">
        <is>
          <t>link</t>
        </is>
      </c>
      <c r="Q323" s="5" t="inlineStr"/>
      <c r="R323" s="5" t="inlineStr">
        <is>
          <t>3 Chinese</t>
        </is>
      </c>
      <c r="S323" s="5" t="inlineStr"/>
      <c r="T323" s="5" t="inlineStr">
        <is>
          <t>WS2062.pdf</t>
        </is>
      </c>
      <c r="U323" s="8" t="n"/>
      <c r="V323" s="8" t="n"/>
      <c r="W323" s="8" t="n"/>
      <c r="X323" s="8" t="n"/>
      <c r="Y323" s="8" t="n"/>
      <c r="Z323" s="8" t="n"/>
      <c r="AA323" s="8" t="n"/>
      <c r="AB323" s="8" t="n"/>
      <c r="AC323" s="8" t="n"/>
      <c r="AD323" s="8" t="n"/>
      <c r="AE323" s="8" t="inlineStr">
        <is>
          <t>yes</t>
        </is>
      </c>
    </row>
    <row r="324">
      <c r="A324" s="5" t="n">
        <v>323</v>
      </c>
      <c r="B324" s="5" t="inlineStr">
        <is>
          <t>WS2076</t>
        </is>
      </c>
      <c r="C324" s="5" t="inlineStr">
        <is>
          <t>2006</t>
        </is>
      </c>
      <c r="D324" s="5" t="inlineStr">
        <is>
          <t>Chinese</t>
        </is>
      </c>
      <c r="E324" s="5" t="inlineStr">
        <is>
          <t>JOUR</t>
        </is>
      </c>
      <c r="F324" s="5" t="inlineStr">
        <is>
          <t>Mcheik J.N.</t>
        </is>
      </c>
      <c r="G324" s="5" t="inlineStr">
        <is>
          <t>世界核心医学期刊文摘(儿科学分册)</t>
        </is>
      </c>
      <c r="H324" s="5" t="inlineStr">
        <is>
          <t>(3):40-41</t>
        </is>
      </c>
      <c r="I324" s="6" t="inlineStr">
        <is>
          <t>儿童脾扭转</t>
        </is>
      </c>
      <c r="J324" s="5" t="inlineStr"/>
      <c r="K324" s="5" t="inlineStr"/>
      <c r="L324" s="5" t="inlineStr"/>
      <c r="M324" s="5" t="inlineStr"/>
      <c r="N324" s="5" t="inlineStr"/>
      <c r="O324" s="7" t="inlineStr">
        <is>
          <t>link</t>
        </is>
      </c>
      <c r="P324" s="7" t="inlineStr">
        <is>
          <t>link</t>
        </is>
      </c>
      <c r="Q324" s="5" t="inlineStr"/>
      <c r="R324" s="5" t="inlineStr">
        <is>
          <t>3 Chinese</t>
        </is>
      </c>
      <c r="S324" s="5" t="inlineStr"/>
      <c r="T324" s="5" t="inlineStr">
        <is>
          <t>WS2076.pdf</t>
        </is>
      </c>
      <c r="U324" s="8" t="n"/>
      <c r="V324" s="8" t="n"/>
      <c r="W324" s="8" t="n"/>
      <c r="X324" s="8" t="n"/>
      <c r="Y324" s="8" t="n"/>
      <c r="Z324" s="8" t="n"/>
      <c r="AA324" s="8" t="n"/>
      <c r="AB324" s="8" t="n"/>
      <c r="AC324" s="8" t="n"/>
      <c r="AD324" s="8" t="n"/>
      <c r="AE324" s="8" t="inlineStr">
        <is>
          <t>yes</t>
        </is>
      </c>
    </row>
    <row r="325">
      <c r="A325" s="5" t="n">
        <v>324</v>
      </c>
      <c r="B325" s="5" t="inlineStr">
        <is>
          <t>WS2435</t>
        </is>
      </c>
      <c r="C325" s="5" t="inlineStr">
        <is>
          <t>2006</t>
        </is>
      </c>
      <c r="D325" s="5" t="inlineStr">
        <is>
          <t>Chinese</t>
        </is>
      </c>
      <c r="E325" s="5" t="inlineStr">
        <is>
          <t>JOUR</t>
        </is>
      </c>
      <c r="F325" s="5" t="inlineStr">
        <is>
          <t>王跃忠</t>
        </is>
      </c>
      <c r="G325" s="5" t="inlineStr">
        <is>
          <t>中国保健</t>
        </is>
      </c>
      <c r="H325" s="5" t="inlineStr">
        <is>
          <t>14(6X):19</t>
        </is>
      </c>
      <c r="I325" s="6" t="inlineStr">
        <is>
          <t>腹膜后异位脾脏1例</t>
        </is>
      </c>
      <c r="J325" s="5" t="inlineStr"/>
      <c r="K325" s="5" t="inlineStr"/>
      <c r="L325" s="5" t="inlineStr"/>
      <c r="M325" s="5" t="inlineStr"/>
      <c r="N325" s="5" t="inlineStr"/>
      <c r="O325" s="5" t="inlineStr"/>
      <c r="P325" s="5" t="inlineStr"/>
      <c r="Q325" s="5" t="inlineStr"/>
      <c r="R325" s="5" t="inlineStr">
        <is>
          <t>3 Chinese</t>
        </is>
      </c>
      <c r="S325" s="5" t="inlineStr"/>
      <c r="T325" s="5" t="inlineStr">
        <is>
          <t>WS2435.pdf</t>
        </is>
      </c>
      <c r="U325" s="8" t="n"/>
      <c r="V325" s="8" t="n"/>
      <c r="W325" s="8" t="n"/>
      <c r="X325" s="8" t="n"/>
      <c r="Y325" s="8" t="n"/>
      <c r="Z325" s="8" t="n"/>
      <c r="AA325" s="8" t="n"/>
      <c r="AB325" s="8" t="n"/>
      <c r="AC325" s="8" t="n"/>
      <c r="AD325" s="8" t="n"/>
      <c r="AE325" s="8" t="inlineStr">
        <is>
          <t>yes</t>
        </is>
      </c>
    </row>
    <row r="326">
      <c r="A326" s="5" t="n">
        <v>325</v>
      </c>
      <c r="B326" s="5" t="inlineStr">
        <is>
          <t>WS2079</t>
        </is>
      </c>
      <c r="C326" s="5" t="inlineStr">
        <is>
          <t>2005</t>
        </is>
      </c>
      <c r="D326" s="5" t="inlineStr">
        <is>
          <t>Chinese</t>
        </is>
      </c>
      <c r="E326" s="5" t="inlineStr">
        <is>
          <t>JOUR</t>
        </is>
      </c>
      <c r="F326" s="5" t="inlineStr">
        <is>
          <t>唐诗彬</t>
        </is>
      </c>
      <c r="G326" s="5" t="inlineStr">
        <is>
          <t>岭南现代临床外科</t>
        </is>
      </c>
      <c r="H326" s="5" t="inlineStr">
        <is>
          <t>5(4):311-312,315</t>
        </is>
      </c>
      <c r="I326" s="6" t="inlineStr">
        <is>
          <t>可吸收网在保脾手术中的应用进展</t>
        </is>
      </c>
      <c r="J326" s="5" t="inlineStr">
        <is>
          <t>10.3969/j.issn.1009-976x.2005.04.028</t>
        </is>
      </c>
      <c r="K326" s="7" t="inlineStr">
        <is>
          <t>link</t>
        </is>
      </c>
      <c r="L326" s="5" t="inlineStr"/>
      <c r="M326" s="5" t="inlineStr"/>
      <c r="N326" s="5" t="inlineStr"/>
      <c r="O326" s="7" t="inlineStr">
        <is>
          <t>link</t>
        </is>
      </c>
      <c r="P326" s="7" t="inlineStr">
        <is>
          <t>link</t>
        </is>
      </c>
      <c r="Q326" s="5" t="inlineStr"/>
      <c r="R326" s="5" t="inlineStr">
        <is>
          <t>3 Chinese</t>
        </is>
      </c>
      <c r="S326" s="5" t="inlineStr"/>
      <c r="T326" s="5" t="inlineStr">
        <is>
          <t>WS2079.pdf</t>
        </is>
      </c>
      <c r="U326" s="8" t="n"/>
      <c r="V326" s="8" t="n"/>
      <c r="W326" s="8" t="n"/>
      <c r="X326" s="8" t="n"/>
      <c r="Y326" s="8" t="n"/>
      <c r="Z326" s="8" t="n"/>
      <c r="AA326" s="8" t="n"/>
      <c r="AB326" s="8" t="n"/>
      <c r="AC326" s="8" t="n"/>
      <c r="AD326" s="8" t="n"/>
      <c r="AE326" s="8" t="inlineStr">
        <is>
          <t>yes</t>
        </is>
      </c>
    </row>
    <row r="327">
      <c r="A327" s="5" t="n">
        <v>326</v>
      </c>
      <c r="B327" s="5" t="inlineStr">
        <is>
          <t>WS2082</t>
        </is>
      </c>
      <c r="C327" s="5" t="inlineStr">
        <is>
          <t>2005</t>
        </is>
      </c>
      <c r="D327" s="5" t="inlineStr">
        <is>
          <t>Chinese</t>
        </is>
      </c>
      <c r="E327" s="5" t="inlineStr">
        <is>
          <t>JOUR</t>
        </is>
      </c>
      <c r="F327" s="5" t="inlineStr">
        <is>
          <t>Martnez-FerroM.</t>
        </is>
      </c>
      <c r="G327" s="5" t="inlineStr">
        <is>
          <t>世界核心医学期刊文摘(儿科学分册)</t>
        </is>
      </c>
      <c r="H327" s="5" t="inlineStr">
        <is>
          <t>(11):58</t>
        </is>
      </c>
      <c r="I327" s="6" t="inlineStr">
        <is>
          <t>病例报道:腹腔镜下游离脾的袋状脾固定术</t>
        </is>
      </c>
      <c r="J327" s="5" t="inlineStr"/>
      <c r="K327" s="5" t="inlineStr"/>
      <c r="L327" s="5" t="inlineStr"/>
      <c r="M327" s="5" t="inlineStr"/>
      <c r="N327" s="5" t="inlineStr"/>
      <c r="O327" s="7" t="inlineStr">
        <is>
          <t>link</t>
        </is>
      </c>
      <c r="P327" s="7" t="inlineStr">
        <is>
          <t>link</t>
        </is>
      </c>
      <c r="Q327" s="5" t="inlineStr"/>
      <c r="R327" s="5" t="inlineStr">
        <is>
          <t>3 Chinese</t>
        </is>
      </c>
      <c r="S327" s="5" t="inlineStr"/>
      <c r="T327" s="5" t="inlineStr">
        <is>
          <t>WS2082.pdf</t>
        </is>
      </c>
      <c r="U327" s="8" t="n"/>
      <c r="V327" s="8" t="n"/>
      <c r="W327" s="8" t="n"/>
      <c r="X327" s="8" t="n"/>
      <c r="Y327" s="8" t="n"/>
      <c r="Z327" s="8" t="n"/>
      <c r="AA327" s="8" t="n"/>
      <c r="AB327" s="8" t="n"/>
      <c r="AC327" s="8" t="n"/>
      <c r="AD327" s="8" t="n"/>
      <c r="AE327" s="8" t="inlineStr">
        <is>
          <t>yes</t>
        </is>
      </c>
    </row>
    <row r="328">
      <c r="A328" s="5" t="n">
        <v>327</v>
      </c>
      <c r="B328" s="5" t="inlineStr">
        <is>
          <t>WS2083</t>
        </is>
      </c>
      <c r="C328" s="5" t="inlineStr">
        <is>
          <t>2005</t>
        </is>
      </c>
      <c r="D328" s="5" t="inlineStr">
        <is>
          <t>Chinese</t>
        </is>
      </c>
      <c r="E328" s="5" t="inlineStr">
        <is>
          <t>JOUR</t>
        </is>
      </c>
      <c r="F328" s="5" t="inlineStr">
        <is>
          <t>冯平勇</t>
        </is>
      </c>
      <c r="G328" s="5" t="inlineStr">
        <is>
          <t>中华放射学杂志</t>
        </is>
      </c>
      <c r="H328" s="5" t="inlineStr">
        <is>
          <t>39(10):1107-1108</t>
        </is>
      </c>
      <c r="I328" s="6" t="inlineStr">
        <is>
          <t>游走脾并脾蒂扭转二例</t>
        </is>
      </c>
      <c r="J328" s="5" t="inlineStr">
        <is>
          <t>10.3760/j.issn:1005-1201.2005.10.025</t>
        </is>
      </c>
      <c r="K328" s="7" t="inlineStr">
        <is>
          <t>link</t>
        </is>
      </c>
      <c r="L328" s="5" t="inlineStr"/>
      <c r="M328" s="5" t="inlineStr"/>
      <c r="N328" s="5" t="inlineStr"/>
      <c r="O328" s="7" t="inlineStr">
        <is>
          <t>link</t>
        </is>
      </c>
      <c r="P328" s="7" t="inlineStr">
        <is>
          <t>link</t>
        </is>
      </c>
      <c r="Q328" s="5" t="inlineStr"/>
      <c r="R328" s="5" t="inlineStr">
        <is>
          <t>3 Chinese</t>
        </is>
      </c>
      <c r="S328" s="5" t="inlineStr"/>
      <c r="T328" s="5" t="inlineStr">
        <is>
          <t>WS2083.pdf</t>
        </is>
      </c>
      <c r="U328" s="8" t="n"/>
      <c r="V328" s="8" t="n"/>
      <c r="W328" s="8" t="n"/>
      <c r="X328" s="8" t="n"/>
      <c r="Y328" s="8" t="n"/>
      <c r="Z328" s="8" t="n"/>
      <c r="AA328" s="8" t="n"/>
      <c r="AB328" s="8" t="n"/>
      <c r="AC328" s="8" t="n"/>
      <c r="AD328" s="8" t="n"/>
      <c r="AE328" s="8" t="inlineStr">
        <is>
          <t>yes</t>
        </is>
      </c>
    </row>
    <row r="329">
      <c r="A329" s="5" t="n">
        <v>328</v>
      </c>
      <c r="B329" s="5" t="inlineStr">
        <is>
          <t>WS2087</t>
        </is>
      </c>
      <c r="C329" s="5" t="inlineStr">
        <is>
          <t>2005</t>
        </is>
      </c>
      <c r="D329" s="5" t="inlineStr">
        <is>
          <t>Chinese</t>
        </is>
      </c>
      <c r="E329" s="5" t="inlineStr">
        <is>
          <t>JOUR</t>
        </is>
      </c>
      <c r="F329" s="5" t="inlineStr">
        <is>
          <t>Schaarschmidt K.</t>
        </is>
      </c>
      <c r="G329" s="5" t="inlineStr">
        <is>
          <t>世界核心医学期刊文摘(儿科学分册)</t>
        </is>
      </c>
      <c r="H329" s="5" t="inlineStr">
        <is>
          <t>(8):47-48</t>
        </is>
      </c>
      <c r="I329" s="6" t="inlineStr">
        <is>
          <t>腹膜后腹腔镜脾固定术治疗小儿游走脾</t>
        </is>
      </c>
      <c r="J329" s="5" t="inlineStr"/>
      <c r="K329" s="5" t="inlineStr"/>
      <c r="L329" s="5" t="inlineStr"/>
      <c r="M329" s="5" t="inlineStr"/>
      <c r="N329" s="5" t="inlineStr"/>
      <c r="O329" s="7" t="inlineStr">
        <is>
          <t>link</t>
        </is>
      </c>
      <c r="P329" s="7" t="inlineStr">
        <is>
          <t>link</t>
        </is>
      </c>
      <c r="Q329" s="5" t="inlineStr"/>
      <c r="R329" s="5" t="inlineStr">
        <is>
          <t>3 Chinese</t>
        </is>
      </c>
      <c r="S329" s="5" t="inlineStr"/>
      <c r="T329" s="5" t="inlineStr">
        <is>
          <t>WS2087.pdf</t>
        </is>
      </c>
      <c r="U329" s="8" t="n"/>
      <c r="V329" s="8" t="n"/>
      <c r="W329" s="8" t="n"/>
      <c r="X329" s="8" t="n"/>
      <c r="Y329" s="8" t="n"/>
      <c r="Z329" s="8" t="n"/>
      <c r="AA329" s="8" t="n"/>
      <c r="AB329" s="8" t="n"/>
      <c r="AC329" s="8" t="n"/>
      <c r="AD329" s="8" t="n"/>
      <c r="AE329" s="8" t="inlineStr">
        <is>
          <t>yes</t>
        </is>
      </c>
    </row>
    <row r="330">
      <c r="A330" s="5" t="n">
        <v>329</v>
      </c>
      <c r="B330" s="5" t="inlineStr">
        <is>
          <t>WS2092</t>
        </is>
      </c>
      <c r="C330" s="5" t="inlineStr">
        <is>
          <t>2004</t>
        </is>
      </c>
      <c r="D330" s="5" t="inlineStr">
        <is>
          <t>Chinese</t>
        </is>
      </c>
      <c r="E330" s="5" t="inlineStr">
        <is>
          <t>JOUR</t>
        </is>
      </c>
      <c r="F330" s="5" t="inlineStr">
        <is>
          <t>高峰</t>
        </is>
      </c>
      <c r="G330" s="5" t="inlineStr">
        <is>
          <t>临床超声医学杂志</t>
        </is>
      </c>
      <c r="H330" s="5" t="inlineStr">
        <is>
          <t>6(4):254</t>
        </is>
      </c>
      <c r="I330" s="6" t="inlineStr">
        <is>
          <t>游离脾扭转1例</t>
        </is>
      </c>
      <c r="J330" s="5" t="inlineStr">
        <is>
          <t>10.3969/j.issn.1008-6978.2004.04.038</t>
        </is>
      </c>
      <c r="K330" s="7" t="inlineStr">
        <is>
          <t>link</t>
        </is>
      </c>
      <c r="L330" s="5" t="inlineStr"/>
      <c r="M330" s="5" t="inlineStr"/>
      <c r="N330" s="5" t="inlineStr"/>
      <c r="O330" s="7" t="inlineStr">
        <is>
          <t>link</t>
        </is>
      </c>
      <c r="P330" s="7" t="inlineStr">
        <is>
          <t>link</t>
        </is>
      </c>
      <c r="Q330" s="5" t="inlineStr"/>
      <c r="R330" s="5" t="inlineStr">
        <is>
          <t>3 Chinese</t>
        </is>
      </c>
      <c r="S330" s="5" t="inlineStr"/>
      <c r="T330" s="5" t="inlineStr">
        <is>
          <t>WS2092.pdf</t>
        </is>
      </c>
      <c r="U330" s="8" t="n"/>
      <c r="V330" s="8" t="n"/>
      <c r="W330" s="8" t="n"/>
      <c r="X330" s="8" t="n"/>
      <c r="Y330" s="8" t="n"/>
      <c r="Z330" s="8" t="n"/>
      <c r="AA330" s="8" t="n"/>
      <c r="AB330" s="8" t="n"/>
      <c r="AC330" s="8" t="n"/>
      <c r="AD330" s="8" t="n"/>
      <c r="AE330" s="8" t="inlineStr">
        <is>
          <t>yes</t>
        </is>
      </c>
    </row>
    <row r="331">
      <c r="A331" s="5" t="n">
        <v>330</v>
      </c>
      <c r="B331" s="5" t="inlineStr">
        <is>
          <t>WS2093</t>
        </is>
      </c>
      <c r="C331" s="5" t="inlineStr">
        <is>
          <t>2004</t>
        </is>
      </c>
      <c r="D331" s="5" t="inlineStr">
        <is>
          <t>Chinese</t>
        </is>
      </c>
      <c r="E331" s="5" t="inlineStr">
        <is>
          <t>JOUR</t>
        </is>
      </c>
      <c r="F331" s="5" t="inlineStr">
        <is>
          <t>于增文</t>
        </is>
      </c>
      <c r="G331" s="5" t="inlineStr">
        <is>
          <t>中华小儿外科杂志</t>
        </is>
      </c>
      <c r="H331" s="5" t="inlineStr">
        <is>
          <t>25(4):317</t>
        </is>
      </c>
      <c r="I331" s="6" t="inlineStr">
        <is>
          <t>腹腔镜下胃固定术治疗小儿胃扭转并游走脾一例</t>
        </is>
      </c>
      <c r="J331" s="5" t="inlineStr">
        <is>
          <t>10.3760/cma.j.issn.0253-3006.2004.04.036</t>
        </is>
      </c>
      <c r="K331" s="7" t="inlineStr">
        <is>
          <t>link</t>
        </is>
      </c>
      <c r="L331" s="5" t="inlineStr"/>
      <c r="M331" s="5" t="inlineStr"/>
      <c r="N331" s="5" t="inlineStr"/>
      <c r="O331" s="7" t="inlineStr">
        <is>
          <t>link</t>
        </is>
      </c>
      <c r="P331" s="7" t="inlineStr">
        <is>
          <t>link</t>
        </is>
      </c>
      <c r="Q331" s="5" t="inlineStr"/>
      <c r="R331" s="5" t="inlineStr">
        <is>
          <t>3 Chinese</t>
        </is>
      </c>
      <c r="S331" s="5" t="inlineStr"/>
      <c r="T331" s="5" t="inlineStr">
        <is>
          <t>WS2093.pdf</t>
        </is>
      </c>
      <c r="U331" s="8" t="n"/>
      <c r="V331" s="8" t="n"/>
      <c r="W331" s="8" t="n"/>
      <c r="X331" s="8" t="n"/>
      <c r="Y331" s="8" t="n"/>
      <c r="Z331" s="8" t="n"/>
      <c r="AA331" s="8" t="n"/>
      <c r="AB331" s="8" t="n"/>
      <c r="AC331" s="8" t="n"/>
      <c r="AD331" s="8" t="n"/>
      <c r="AE331" s="8" t="inlineStr">
        <is>
          <t>yes</t>
        </is>
      </c>
    </row>
    <row r="332">
      <c r="A332" s="5" t="n">
        <v>331</v>
      </c>
      <c r="B332" s="5" t="inlineStr">
        <is>
          <t>WS2101</t>
        </is>
      </c>
      <c r="C332" s="5" t="inlineStr">
        <is>
          <t>2003</t>
        </is>
      </c>
      <c r="D332" s="5" t="inlineStr">
        <is>
          <t>Chinese</t>
        </is>
      </c>
      <c r="E332" s="5" t="inlineStr">
        <is>
          <t>JOUR</t>
        </is>
      </c>
      <c r="F332" s="5" t="inlineStr">
        <is>
          <t>张秀娟</t>
        </is>
      </c>
      <c r="G332" s="5" t="inlineStr">
        <is>
          <t>实用医技杂志</t>
        </is>
      </c>
      <c r="H332" s="5" t="inlineStr">
        <is>
          <t>10(12):1362-1363</t>
        </is>
      </c>
      <c r="I332" s="6" t="inlineStr">
        <is>
          <t>超声诊断异位脾、脾蒂扭转1例</t>
        </is>
      </c>
      <c r="J332" s="5" t="inlineStr">
        <is>
          <t>10.3969/j.issn.1671-5098.2003.12.027</t>
        </is>
      </c>
      <c r="K332" s="7" t="inlineStr">
        <is>
          <t>link</t>
        </is>
      </c>
      <c r="L332" s="5" t="inlineStr"/>
      <c r="M332" s="5" t="inlineStr"/>
      <c r="N332" s="5" t="inlineStr"/>
      <c r="O332" s="7" t="inlineStr">
        <is>
          <t>link</t>
        </is>
      </c>
      <c r="P332" s="7" t="inlineStr">
        <is>
          <t>link</t>
        </is>
      </c>
      <c r="Q332" s="5" t="inlineStr"/>
      <c r="R332" s="5" t="inlineStr">
        <is>
          <t>3 Chinese</t>
        </is>
      </c>
      <c r="S332" s="5" t="inlineStr"/>
      <c r="T332" s="5" t="inlineStr">
        <is>
          <t>WS2101.pdf</t>
        </is>
      </c>
      <c r="U332" s="8" t="n"/>
      <c r="V332" s="8" t="n"/>
      <c r="W332" s="8" t="n"/>
      <c r="X332" s="8" t="n"/>
      <c r="Y332" s="8" t="n"/>
      <c r="Z332" s="8" t="n"/>
      <c r="AA332" s="8" t="n"/>
      <c r="AB332" s="8" t="n"/>
      <c r="AC332" s="8" t="n"/>
      <c r="AD332" s="8" t="n"/>
      <c r="AE332" s="8" t="inlineStr">
        <is>
          <t>yes</t>
        </is>
      </c>
    </row>
    <row r="333">
      <c r="A333" s="5" t="n">
        <v>332</v>
      </c>
      <c r="B333" s="5" t="inlineStr">
        <is>
          <t>WS2111</t>
        </is>
      </c>
      <c r="C333" s="5" t="inlineStr">
        <is>
          <t>2003</t>
        </is>
      </c>
      <c r="D333" s="5" t="inlineStr">
        <is>
          <t>Chinese</t>
        </is>
      </c>
      <c r="E333" s="5" t="inlineStr">
        <is>
          <t>JOUR</t>
        </is>
      </c>
      <c r="F333" s="5" t="inlineStr">
        <is>
          <t>卢晓新</t>
        </is>
      </c>
      <c r="G333" s="5" t="inlineStr">
        <is>
          <t>中华超声影像学杂志</t>
        </is>
      </c>
      <c r="H333" s="5" t="inlineStr">
        <is>
          <t>12(2):85</t>
        </is>
      </c>
      <c r="I333" s="6" t="inlineStr">
        <is>
          <t>异位脾扭转合并副脾误诊1例</t>
        </is>
      </c>
      <c r="J333" s="5" t="inlineStr">
        <is>
          <t>10.3760/j.issn:1004-4477.2003.02.027</t>
        </is>
      </c>
      <c r="K333" s="7" t="inlineStr">
        <is>
          <t>link</t>
        </is>
      </c>
      <c r="L333" s="5" t="inlineStr"/>
      <c r="M333" s="5" t="inlineStr"/>
      <c r="N333" s="5" t="inlineStr"/>
      <c r="O333" s="7" t="inlineStr">
        <is>
          <t>link</t>
        </is>
      </c>
      <c r="P333" s="7" t="inlineStr">
        <is>
          <t>link</t>
        </is>
      </c>
      <c r="Q333" s="5" t="inlineStr"/>
      <c r="R333" s="5" t="inlineStr">
        <is>
          <t>3 Chinese</t>
        </is>
      </c>
      <c r="S333" s="5" t="inlineStr"/>
      <c r="T333" s="5" t="inlineStr">
        <is>
          <t>WS2111.pdf</t>
        </is>
      </c>
      <c r="U333" s="8" t="n"/>
      <c r="V333" s="8" t="n"/>
      <c r="W333" s="8" t="n"/>
      <c r="X333" s="8" t="n"/>
      <c r="Y333" s="8" t="n"/>
      <c r="Z333" s="8" t="n"/>
      <c r="AA333" s="8" t="n"/>
      <c r="AB333" s="8" t="n"/>
      <c r="AC333" s="8" t="n"/>
      <c r="AD333" s="8" t="n"/>
      <c r="AE333" s="8" t="inlineStr">
        <is>
          <t>yes</t>
        </is>
      </c>
    </row>
    <row r="334">
      <c r="A334" s="5" t="n">
        <v>333</v>
      </c>
      <c r="B334" s="5" t="inlineStr">
        <is>
          <t>WS2114</t>
        </is>
      </c>
      <c r="C334" s="5" t="inlineStr">
        <is>
          <t>2002</t>
        </is>
      </c>
      <c r="D334" s="5" t="inlineStr">
        <is>
          <t>Chinese</t>
        </is>
      </c>
      <c r="E334" s="5" t="inlineStr">
        <is>
          <t>JOUR</t>
        </is>
      </c>
      <c r="F334" s="5" t="inlineStr">
        <is>
          <t>杨慧琳</t>
        </is>
      </c>
      <c r="G334" s="5" t="inlineStr">
        <is>
          <t>中原医刊</t>
        </is>
      </c>
      <c r="H334" s="5" t="inlineStr">
        <is>
          <t>29(9):封四</t>
        </is>
      </c>
      <c r="I334" s="6" t="inlineStr">
        <is>
          <t>游离脾扭转误诊为卵巢肿瘤1例</t>
        </is>
      </c>
      <c r="J334" s="5" t="inlineStr">
        <is>
          <t>10.3760/cma.j.issn.1674-4756.2002.09.078</t>
        </is>
      </c>
      <c r="K334" s="7" t="inlineStr">
        <is>
          <t>link</t>
        </is>
      </c>
      <c r="L334" s="5" t="inlineStr"/>
      <c r="M334" s="5" t="inlineStr"/>
      <c r="N334" s="5" t="inlineStr"/>
      <c r="O334" s="7" t="inlineStr">
        <is>
          <t>link</t>
        </is>
      </c>
      <c r="P334" s="7" t="inlineStr">
        <is>
          <t>link</t>
        </is>
      </c>
      <c r="Q334" s="5" t="inlineStr"/>
      <c r="R334" s="5" t="inlineStr">
        <is>
          <t>3 Chinese</t>
        </is>
      </c>
      <c r="S334" s="5" t="inlineStr"/>
      <c r="T334" s="5" t="inlineStr">
        <is>
          <t>WS2114.pdf</t>
        </is>
      </c>
      <c r="U334" s="8" t="n"/>
      <c r="V334" s="8" t="n"/>
      <c r="W334" s="8" t="n"/>
      <c r="X334" s="8" t="n"/>
      <c r="Y334" s="8" t="n"/>
      <c r="Z334" s="8" t="n"/>
      <c r="AA334" s="8" t="n"/>
      <c r="AB334" s="8" t="n"/>
      <c r="AC334" s="8" t="n"/>
      <c r="AD334" s="8" t="n"/>
      <c r="AE334" s="8" t="inlineStr">
        <is>
          <t>yes</t>
        </is>
      </c>
    </row>
    <row r="335">
      <c r="A335" s="5" t="n">
        <v>334</v>
      </c>
      <c r="B335" s="5" t="inlineStr">
        <is>
          <t>WS2116</t>
        </is>
      </c>
      <c r="C335" s="5" t="inlineStr">
        <is>
          <t>2002</t>
        </is>
      </c>
      <c r="D335" s="5" t="inlineStr">
        <is>
          <t>Chinese</t>
        </is>
      </c>
      <c r="E335" s="5" t="inlineStr">
        <is>
          <t>JOUR</t>
        </is>
      </c>
      <c r="F335" s="5" t="inlineStr">
        <is>
          <t>张守红</t>
        </is>
      </c>
      <c r="G335" s="5" t="inlineStr">
        <is>
          <t>中国超声医学杂志</t>
        </is>
      </c>
      <c r="H335" s="5" t="inlineStr">
        <is>
          <t>18(6):412</t>
        </is>
      </c>
      <c r="I335" s="6" t="inlineStr">
        <is>
          <t>超声诊断游走脾1例</t>
        </is>
      </c>
      <c r="J335" s="5" t="inlineStr">
        <is>
          <t>10.3969/j.issn.1002-0101.2002.06.027</t>
        </is>
      </c>
      <c r="K335" s="7" t="inlineStr">
        <is>
          <t>link</t>
        </is>
      </c>
      <c r="L335" s="5" t="inlineStr"/>
      <c r="M335" s="5" t="inlineStr"/>
      <c r="N335" s="5" t="inlineStr"/>
      <c r="O335" s="7" t="inlineStr">
        <is>
          <t>link</t>
        </is>
      </c>
      <c r="P335" s="7" t="inlineStr">
        <is>
          <t>link</t>
        </is>
      </c>
      <c r="Q335" s="5" t="inlineStr"/>
      <c r="R335" s="5" t="inlineStr">
        <is>
          <t>3 Chinese</t>
        </is>
      </c>
      <c r="S335" s="5" t="inlineStr">
        <is>
          <t>Y</t>
        </is>
      </c>
      <c r="T335" s="5" t="inlineStr">
        <is>
          <t>WS2116.pdf</t>
        </is>
      </c>
      <c r="U335" s="8" t="n"/>
      <c r="V335" s="8" t="n"/>
      <c r="W335" s="8" t="n"/>
      <c r="X335" s="8" t="n"/>
      <c r="Y335" s="8" t="n"/>
      <c r="Z335" s="8" t="n"/>
      <c r="AA335" s="8" t="n"/>
      <c r="AB335" s="8" t="n"/>
      <c r="AC335" s="8" t="n"/>
      <c r="AD335" s="8" t="n"/>
      <c r="AE335" s="8" t="inlineStr">
        <is>
          <t>yes</t>
        </is>
      </c>
    </row>
    <row r="336">
      <c r="A336" s="5" t="n">
        <v>335</v>
      </c>
      <c r="B336" s="5" t="inlineStr">
        <is>
          <t>WS2117</t>
        </is>
      </c>
      <c r="C336" s="5" t="inlineStr">
        <is>
          <t>2002</t>
        </is>
      </c>
      <c r="D336" s="5" t="inlineStr">
        <is>
          <t>Chinese</t>
        </is>
      </c>
      <c r="E336" s="5" t="inlineStr">
        <is>
          <t>JOUR</t>
        </is>
      </c>
      <c r="F336" s="5" t="inlineStr">
        <is>
          <t>宋迪</t>
        </is>
      </c>
      <c r="G336" s="5" t="inlineStr">
        <is>
          <t>中华放射学杂志</t>
        </is>
      </c>
      <c r="H336" s="5" t="inlineStr">
        <is>
          <t>36(6):502</t>
        </is>
      </c>
      <c r="I336" s="6" t="inlineStr">
        <is>
          <t>盆腔异位脾一例</t>
        </is>
      </c>
      <c r="J336" s="5" t="inlineStr">
        <is>
          <t>10.3760/j.issn:1005-1201.2002.06.026</t>
        </is>
      </c>
      <c r="K336" s="7" t="inlineStr">
        <is>
          <t>link</t>
        </is>
      </c>
      <c r="L336" s="5" t="inlineStr"/>
      <c r="M336" s="5" t="inlineStr"/>
      <c r="N336" s="5" t="inlineStr"/>
      <c r="O336" s="7" t="inlineStr">
        <is>
          <t>link</t>
        </is>
      </c>
      <c r="P336" s="7" t="inlineStr">
        <is>
          <t>link</t>
        </is>
      </c>
      <c r="Q336" s="5" t="inlineStr"/>
      <c r="R336" s="5" t="inlineStr">
        <is>
          <t>3 Chinese</t>
        </is>
      </c>
      <c r="S336" s="5" t="inlineStr"/>
      <c r="T336" s="5" t="inlineStr">
        <is>
          <t>WS2117.pdf</t>
        </is>
      </c>
      <c r="U336" s="8" t="n"/>
      <c r="V336" s="8" t="n"/>
      <c r="W336" s="8" t="n"/>
      <c r="X336" s="8" t="n"/>
      <c r="Y336" s="8" t="n"/>
      <c r="Z336" s="8" t="n"/>
      <c r="AA336" s="8" t="n"/>
      <c r="AB336" s="8" t="n"/>
      <c r="AC336" s="8" t="n"/>
      <c r="AD336" s="8" t="n"/>
      <c r="AE336" s="8" t="inlineStr">
        <is>
          <t>yes</t>
        </is>
      </c>
    </row>
    <row r="337">
      <c r="A337" s="5" t="n">
        <v>336</v>
      </c>
      <c r="B337" s="5" t="inlineStr">
        <is>
          <t>WS2119</t>
        </is>
      </c>
      <c r="C337" s="5" t="inlineStr">
        <is>
          <t>2002</t>
        </is>
      </c>
      <c r="D337" s="5" t="inlineStr">
        <is>
          <t>Chinese</t>
        </is>
      </c>
      <c r="E337" s="5" t="inlineStr">
        <is>
          <t>JOUR</t>
        </is>
      </c>
      <c r="F337" s="5" t="inlineStr">
        <is>
          <t>赵永红</t>
        </is>
      </c>
      <c r="G337" s="5" t="inlineStr">
        <is>
          <t>承德医学院学报</t>
        </is>
      </c>
      <c r="H337" s="5" t="inlineStr">
        <is>
          <t>19(1):73-74</t>
        </is>
      </c>
      <c r="I337" s="6" t="inlineStr">
        <is>
          <t>脾扭转误诊2例</t>
        </is>
      </c>
      <c r="J337" s="5" t="inlineStr">
        <is>
          <t>10.3969/j.issn.1004-6879.2002.01.055</t>
        </is>
      </c>
      <c r="K337" s="7" t="inlineStr">
        <is>
          <t>link</t>
        </is>
      </c>
      <c r="L337" s="5" t="inlineStr"/>
      <c r="M337" s="5" t="inlineStr"/>
      <c r="N337" s="5" t="inlineStr"/>
      <c r="O337" s="7" t="inlineStr">
        <is>
          <t>link</t>
        </is>
      </c>
      <c r="P337" s="7" t="inlineStr">
        <is>
          <t>link</t>
        </is>
      </c>
      <c r="Q337" s="5" t="inlineStr"/>
      <c r="R337" s="5" t="inlineStr">
        <is>
          <t>3 Chinese</t>
        </is>
      </c>
      <c r="S337" s="5" t="inlineStr"/>
      <c r="T337" s="5" t="inlineStr">
        <is>
          <t>WS2119.pdf</t>
        </is>
      </c>
      <c r="U337" s="8" t="n"/>
      <c r="V337" s="8" t="n"/>
      <c r="W337" s="8" t="n"/>
      <c r="X337" s="8" t="n"/>
      <c r="Y337" s="8" t="n"/>
      <c r="Z337" s="8" t="n"/>
      <c r="AA337" s="8" t="n"/>
      <c r="AB337" s="8" t="n"/>
      <c r="AC337" s="8" t="n"/>
      <c r="AD337" s="8" t="n"/>
      <c r="AE337" s="8" t="inlineStr">
        <is>
          <t>yes</t>
        </is>
      </c>
    </row>
    <row r="338">
      <c r="A338" s="5" t="n">
        <v>337</v>
      </c>
      <c r="B338" s="5" t="inlineStr">
        <is>
          <t>WS2123</t>
        </is>
      </c>
      <c r="C338" s="5" t="inlineStr">
        <is>
          <t>2001</t>
        </is>
      </c>
      <c r="D338" s="5" t="inlineStr">
        <is>
          <t>Chinese</t>
        </is>
      </c>
      <c r="E338" s="5" t="inlineStr">
        <is>
          <t>JOUR</t>
        </is>
      </c>
      <c r="F338" s="5" t="inlineStr">
        <is>
          <t>陶杰</t>
        </is>
      </c>
      <c r="G338" s="5" t="inlineStr">
        <is>
          <t>西南国防医药</t>
        </is>
      </c>
      <c r="H338" s="5" t="inlineStr">
        <is>
          <t>11(6):424-424</t>
        </is>
      </c>
      <c r="I338" s="6" t="inlineStr">
        <is>
          <t>超声对2例游走脾的诊断分析</t>
        </is>
      </c>
      <c r="J338" s="5" t="inlineStr">
        <is>
          <t>10.3969/j.issn.1004-0188.2001.06.048</t>
        </is>
      </c>
      <c r="K338" s="7" t="inlineStr">
        <is>
          <t>link</t>
        </is>
      </c>
      <c r="L338" s="5" t="inlineStr"/>
      <c r="M338" s="5" t="inlineStr"/>
      <c r="N338" s="5" t="inlineStr"/>
      <c r="O338" s="7" t="inlineStr">
        <is>
          <t>link</t>
        </is>
      </c>
      <c r="P338" s="7" t="inlineStr">
        <is>
          <t>link</t>
        </is>
      </c>
      <c r="Q338" s="5" t="inlineStr"/>
      <c r="R338" s="5" t="inlineStr">
        <is>
          <t>3 Chinese</t>
        </is>
      </c>
      <c r="S338" s="5" t="inlineStr"/>
      <c r="T338" s="5" t="inlineStr">
        <is>
          <t>WS2123.pdf</t>
        </is>
      </c>
      <c r="U338" s="8" t="n"/>
      <c r="V338" s="8" t="n"/>
      <c r="W338" s="8" t="n"/>
      <c r="X338" s="8" t="n"/>
      <c r="Y338" s="8" t="n"/>
      <c r="Z338" s="8" t="n"/>
      <c r="AA338" s="8" t="n"/>
      <c r="AB338" s="8" t="n"/>
      <c r="AC338" s="8" t="n"/>
      <c r="AD338" s="8" t="n"/>
      <c r="AE338" s="8" t="inlineStr">
        <is>
          <t>yes</t>
        </is>
      </c>
    </row>
    <row r="339">
      <c r="A339" s="5" t="n">
        <v>338</v>
      </c>
      <c r="B339" s="5" t="inlineStr">
        <is>
          <t>WS2125</t>
        </is>
      </c>
      <c r="C339" s="5" t="inlineStr">
        <is>
          <t>2001</t>
        </is>
      </c>
      <c r="D339" s="5" t="inlineStr">
        <is>
          <t>Chinese</t>
        </is>
      </c>
      <c r="E339" s="5" t="inlineStr">
        <is>
          <t>JOUR</t>
        </is>
      </c>
      <c r="F339" s="5" t="inlineStr">
        <is>
          <t>孙刚毅</t>
        </is>
      </c>
      <c r="G339" s="5" t="inlineStr">
        <is>
          <t>潍坊医学院学报</t>
        </is>
      </c>
      <c r="H339" s="5" t="inlineStr">
        <is>
          <t>23(3):239-239</t>
        </is>
      </c>
      <c r="I339" s="6" t="inlineStr">
        <is>
          <t>游走脾误诊为卵巢性腺瘤1例</t>
        </is>
      </c>
      <c r="J339" s="5" t="inlineStr">
        <is>
          <t>10.3969/j.issn.1004-3101.2001.03.076</t>
        </is>
      </c>
      <c r="K339" s="7" t="inlineStr">
        <is>
          <t>link</t>
        </is>
      </c>
      <c r="L339" s="5" t="inlineStr"/>
      <c r="M339" s="5" t="inlineStr"/>
      <c r="N339" s="5" t="inlineStr"/>
      <c r="O339" s="7" t="inlineStr">
        <is>
          <t>link</t>
        </is>
      </c>
      <c r="P339" s="7" t="inlineStr">
        <is>
          <t>link</t>
        </is>
      </c>
      <c r="Q339" s="5" t="inlineStr"/>
      <c r="R339" s="5" t="inlineStr">
        <is>
          <t>3 Chinese</t>
        </is>
      </c>
      <c r="S339" s="5" t="inlineStr"/>
      <c r="T339" s="5" t="inlineStr">
        <is>
          <t>WS2125.pdf</t>
        </is>
      </c>
      <c r="U339" s="8" t="n"/>
      <c r="V339" s="8" t="n"/>
      <c r="W339" s="8" t="n"/>
      <c r="X339" s="8" t="n"/>
      <c r="Y339" s="8" t="n"/>
      <c r="Z339" s="8" t="n"/>
      <c r="AA339" s="8" t="n"/>
      <c r="AB339" s="8" t="n"/>
      <c r="AC339" s="8" t="n"/>
      <c r="AD339" s="8" t="n"/>
      <c r="AE339" s="8" t="inlineStr">
        <is>
          <t>yes</t>
        </is>
      </c>
    </row>
    <row r="340">
      <c r="A340" s="5" t="n">
        <v>339</v>
      </c>
      <c r="B340" s="5" t="inlineStr">
        <is>
          <t>WS2127</t>
        </is>
      </c>
      <c r="C340" s="5" t="inlineStr">
        <is>
          <t>2001</t>
        </is>
      </c>
      <c r="D340" s="5" t="inlineStr">
        <is>
          <t>Chinese</t>
        </is>
      </c>
      <c r="E340" s="5" t="inlineStr">
        <is>
          <t>JOUR</t>
        </is>
      </c>
      <c r="F340" s="5" t="inlineStr">
        <is>
          <t>庞术科</t>
        </is>
      </c>
      <c r="G340" s="5" t="inlineStr">
        <is>
          <t>中国超声诊断杂志</t>
        </is>
      </c>
      <c r="H340" s="5" t="inlineStr">
        <is>
          <t>2(6):43-44</t>
        </is>
      </c>
      <c r="I340" s="6" t="inlineStr">
        <is>
          <t>B超诊断游走脾蒂扭转脾梗塞1例</t>
        </is>
      </c>
      <c r="J340" s="5" t="inlineStr"/>
      <c r="K340" s="5" t="inlineStr"/>
      <c r="L340" s="5" t="inlineStr"/>
      <c r="M340" s="5" t="inlineStr"/>
      <c r="N340" s="5" t="inlineStr"/>
      <c r="O340" s="7" t="inlineStr">
        <is>
          <t>link</t>
        </is>
      </c>
      <c r="P340" s="7" t="inlineStr">
        <is>
          <t>link</t>
        </is>
      </c>
      <c r="Q340" s="5" t="inlineStr"/>
      <c r="R340" s="5" t="inlineStr">
        <is>
          <t>3 Chinese</t>
        </is>
      </c>
      <c r="S340" s="5" t="inlineStr"/>
      <c r="T340" s="5" t="inlineStr">
        <is>
          <t>WS2127.pdf</t>
        </is>
      </c>
      <c r="U340" s="8" t="n"/>
      <c r="V340" s="8" t="n"/>
      <c r="W340" s="8" t="n"/>
      <c r="X340" s="8" t="n"/>
      <c r="Y340" s="8" t="n"/>
      <c r="Z340" s="8" t="n"/>
      <c r="AA340" s="8" t="n"/>
      <c r="AB340" s="8" t="n"/>
      <c r="AC340" s="8" t="n"/>
      <c r="AD340" s="8" t="n"/>
      <c r="AE340" s="8" t="inlineStr">
        <is>
          <t>yes</t>
        </is>
      </c>
    </row>
    <row r="341">
      <c r="A341" s="5" t="n">
        <v>340</v>
      </c>
      <c r="B341" s="5" t="inlineStr">
        <is>
          <t>WS2130</t>
        </is>
      </c>
      <c r="C341" s="5" t="inlineStr">
        <is>
          <t>2001</t>
        </is>
      </c>
      <c r="D341" s="5" t="inlineStr">
        <is>
          <t>Chinese</t>
        </is>
      </c>
      <c r="E341" s="5" t="inlineStr">
        <is>
          <t>JOUR</t>
        </is>
      </c>
      <c r="F341" s="5" t="inlineStr">
        <is>
          <t>李霞</t>
        </is>
      </c>
      <c r="G341" s="5" t="inlineStr">
        <is>
          <t>山西临床医药</t>
        </is>
      </c>
      <c r="H341" s="5" t="inlineStr">
        <is>
          <t>10(4):307</t>
        </is>
      </c>
      <c r="I341" s="6" t="inlineStr">
        <is>
          <t>小儿游走脾致脾梗死1例</t>
        </is>
      </c>
      <c r="J341" s="5" t="inlineStr">
        <is>
          <t>10.3969/j.issn.1671-8631.2001.04.049</t>
        </is>
      </c>
      <c r="K341" s="7" t="inlineStr">
        <is>
          <t>link</t>
        </is>
      </c>
      <c r="L341" s="5" t="inlineStr"/>
      <c r="M341" s="5" t="inlineStr"/>
      <c r="N341" s="5" t="inlineStr"/>
      <c r="O341" s="7" t="inlineStr">
        <is>
          <t>link</t>
        </is>
      </c>
      <c r="P341" s="7" t="inlineStr">
        <is>
          <t>link</t>
        </is>
      </c>
      <c r="Q341" s="5" t="inlineStr"/>
      <c r="R341" s="5" t="inlineStr">
        <is>
          <t>3 Chinese</t>
        </is>
      </c>
      <c r="S341" s="5" t="inlineStr"/>
      <c r="T341" s="5" t="inlineStr">
        <is>
          <t>WS2130.pdf</t>
        </is>
      </c>
      <c r="U341" s="8" t="n"/>
      <c r="V341" s="8" t="n"/>
      <c r="W341" s="8" t="n"/>
      <c r="X341" s="8" t="n"/>
      <c r="Y341" s="8" t="n"/>
      <c r="Z341" s="8" t="n"/>
      <c r="AA341" s="8" t="n"/>
      <c r="AB341" s="8" t="n"/>
      <c r="AC341" s="8" t="n"/>
      <c r="AD341" s="8" t="n"/>
      <c r="AE341" s="8" t="inlineStr">
        <is>
          <t>yes</t>
        </is>
      </c>
    </row>
    <row r="342">
      <c r="A342" s="5" t="n">
        <v>341</v>
      </c>
      <c r="B342" s="5" t="inlineStr">
        <is>
          <t>WS2131</t>
        </is>
      </c>
      <c r="C342" s="5" t="inlineStr">
        <is>
          <t>2001</t>
        </is>
      </c>
      <c r="D342" s="5" t="inlineStr">
        <is>
          <t>Chinese</t>
        </is>
      </c>
      <c r="E342" s="5" t="inlineStr">
        <is>
          <t>JOUR</t>
        </is>
      </c>
      <c r="F342" s="5" t="inlineStr">
        <is>
          <t>陶杰</t>
        </is>
      </c>
      <c r="G342" s="5" t="inlineStr">
        <is>
          <t>成都军区医院学报</t>
        </is>
      </c>
      <c r="H342" s="5" t="inlineStr">
        <is>
          <t>3(2):53</t>
        </is>
      </c>
      <c r="I342" s="6" t="inlineStr">
        <is>
          <t>超声检查对游走脾的诊断分析</t>
        </is>
      </c>
      <c r="J342" s="5" t="inlineStr"/>
      <c r="K342" s="5" t="inlineStr"/>
      <c r="L342" s="5" t="inlineStr"/>
      <c r="M342" s="5" t="inlineStr"/>
      <c r="N342" s="5" t="inlineStr"/>
      <c r="O342" s="7" t="inlineStr">
        <is>
          <t>link</t>
        </is>
      </c>
      <c r="P342" s="7" t="inlineStr">
        <is>
          <t>link</t>
        </is>
      </c>
      <c r="Q342" s="5" t="inlineStr"/>
      <c r="R342" s="5" t="inlineStr">
        <is>
          <t>3 Chinese</t>
        </is>
      </c>
      <c r="S342" s="5" t="inlineStr"/>
      <c r="T342" s="5" t="inlineStr">
        <is>
          <t>WS2131.pdf</t>
        </is>
      </c>
      <c r="U342" s="8" t="n"/>
      <c r="V342" s="8" t="n"/>
      <c r="W342" s="8" t="n"/>
      <c r="X342" s="8" t="n"/>
      <c r="Y342" s="8" t="n"/>
      <c r="Z342" s="8" t="n"/>
      <c r="AA342" s="8" t="n"/>
      <c r="AB342" s="8" t="n"/>
      <c r="AC342" s="8" t="n"/>
      <c r="AD342" s="8" t="n"/>
      <c r="AE342" s="8" t="inlineStr">
        <is>
          <t>yes</t>
        </is>
      </c>
    </row>
    <row r="343">
      <c r="A343" s="5" t="n">
        <v>342</v>
      </c>
      <c r="B343" s="5" t="inlineStr">
        <is>
          <t>WS2135</t>
        </is>
      </c>
      <c r="C343" s="5" t="inlineStr">
        <is>
          <t>2001</t>
        </is>
      </c>
      <c r="D343" s="5" t="inlineStr">
        <is>
          <t>Chinese</t>
        </is>
      </c>
      <c r="E343" s="5" t="inlineStr">
        <is>
          <t>JOUR</t>
        </is>
      </c>
      <c r="F343" s="5" t="inlineStr">
        <is>
          <t>郑力</t>
        </is>
      </c>
      <c r="G343" s="5" t="inlineStr">
        <is>
          <t>中华超声影像学杂志</t>
        </is>
      </c>
      <c r="H343" s="5" t="inlineStr">
        <is>
          <t>10(2):108</t>
        </is>
      </c>
      <c r="I343" s="6" t="inlineStr">
        <is>
          <t>超声诊断小儿游走脾伴脾蒂扭转2例</t>
        </is>
      </c>
      <c r="J343" s="5" t="inlineStr">
        <is>
          <t>10.3760/j.issn:1004-4477.2001.02.031</t>
        </is>
      </c>
      <c r="K343" s="7" t="inlineStr">
        <is>
          <t>link</t>
        </is>
      </c>
      <c r="L343" s="5" t="inlineStr"/>
      <c r="M343" s="5" t="inlineStr"/>
      <c r="N343" s="5" t="inlineStr"/>
      <c r="O343" s="7" t="inlineStr">
        <is>
          <t>link</t>
        </is>
      </c>
      <c r="P343" s="7" t="inlineStr">
        <is>
          <t>link</t>
        </is>
      </c>
      <c r="Q343" s="5" t="inlineStr"/>
      <c r="R343" s="5" t="inlineStr">
        <is>
          <t>3 Chinese</t>
        </is>
      </c>
      <c r="S343" s="5" t="inlineStr"/>
      <c r="T343" s="5" t="inlineStr">
        <is>
          <t>WS2135.pdf</t>
        </is>
      </c>
      <c r="U343" s="8" t="n"/>
      <c r="V343" s="8" t="n"/>
      <c r="W343" s="8" t="n"/>
      <c r="X343" s="8" t="n"/>
      <c r="Y343" s="8" t="n"/>
      <c r="Z343" s="8" t="n"/>
      <c r="AA343" s="8" t="n"/>
      <c r="AB343" s="8" t="n"/>
      <c r="AC343" s="8" t="n"/>
      <c r="AD343" s="8" t="n"/>
      <c r="AE343" s="8" t="inlineStr">
        <is>
          <t>yes</t>
        </is>
      </c>
    </row>
    <row r="344">
      <c r="A344" s="5" t="n">
        <v>343</v>
      </c>
      <c r="B344" s="5" t="inlineStr">
        <is>
          <t>WS2342</t>
        </is>
      </c>
      <c r="C344" s="5" t="inlineStr">
        <is>
          <t>2001</t>
        </is>
      </c>
      <c r="D344" s="5" t="inlineStr">
        <is>
          <t>Chinese</t>
        </is>
      </c>
      <c r="E344" s="5" t="inlineStr">
        <is>
          <t>JOUR</t>
        </is>
      </c>
      <c r="F344" s="5" t="inlineStr">
        <is>
          <t>徐创明</t>
        </is>
      </c>
      <c r="G344" s="5" t="inlineStr">
        <is>
          <t>华北煤炭医学院学报</t>
        </is>
      </c>
      <c r="H344" s="5" t="inlineStr">
        <is>
          <t>3(4):441-441</t>
        </is>
      </c>
      <c r="I344" s="6" t="inlineStr">
        <is>
          <t>阑尾炎误诊的辩证分析</t>
        </is>
      </c>
      <c r="J344" s="5" t="inlineStr">
        <is>
          <t>10.3969/j.issn.1008-6633.2001.04.036</t>
        </is>
      </c>
      <c r="K344" s="7" t="inlineStr">
        <is>
          <t>link</t>
        </is>
      </c>
      <c r="L344" s="5" t="inlineStr"/>
      <c r="M344" s="5" t="inlineStr"/>
      <c r="N344" s="5" t="inlineStr"/>
      <c r="O344" s="5" t="inlineStr"/>
      <c r="P344" s="7" t="inlineStr">
        <is>
          <t>link</t>
        </is>
      </c>
      <c r="Q344" s="5" t="inlineStr"/>
      <c r="R344" s="5" t="inlineStr">
        <is>
          <t>3 Chinese</t>
        </is>
      </c>
      <c r="S344" s="5" t="inlineStr"/>
      <c r="T344" s="5" t="inlineStr">
        <is>
          <t>WS2342.pdf</t>
        </is>
      </c>
      <c r="U344" s="8" t="n"/>
      <c r="V344" s="8" t="n"/>
      <c r="W344" s="8" t="n"/>
      <c r="X344" s="8" t="n"/>
      <c r="Y344" s="8" t="n"/>
      <c r="Z344" s="8" t="n"/>
      <c r="AA344" s="8" t="n"/>
      <c r="AB344" s="8" t="n"/>
      <c r="AC344" s="8" t="n"/>
      <c r="AD344" s="8" t="n"/>
      <c r="AE344" s="8" t="inlineStr">
        <is>
          <t>yes</t>
        </is>
      </c>
    </row>
    <row r="345">
      <c r="A345" s="5" t="n">
        <v>344</v>
      </c>
      <c r="B345" s="5" t="inlineStr">
        <is>
          <t>WS2137</t>
        </is>
      </c>
      <c r="C345" s="5" t="inlineStr">
        <is>
          <t>2000</t>
        </is>
      </c>
      <c r="D345" s="5" t="inlineStr">
        <is>
          <t>Chinese</t>
        </is>
      </c>
      <c r="E345" s="5" t="inlineStr">
        <is>
          <t>JOUR</t>
        </is>
      </c>
      <c r="F345" s="5" t="inlineStr">
        <is>
          <t>李小奎</t>
        </is>
      </c>
      <c r="G345" s="5" t="inlineStr">
        <is>
          <t>中国煤炭工业医学杂志</t>
        </is>
      </c>
      <c r="H345" s="5" t="inlineStr">
        <is>
          <t>3(11):1158</t>
        </is>
      </c>
      <c r="I345" s="6" t="inlineStr">
        <is>
          <t>游走脾并蒂扭转1例报告</t>
        </is>
      </c>
      <c r="J345" s="5" t="inlineStr">
        <is>
          <t>10.3969/j.issn.1007-9564.2000.11.100</t>
        </is>
      </c>
      <c r="K345" s="7" t="inlineStr">
        <is>
          <t>link</t>
        </is>
      </c>
      <c r="L345" s="5" t="inlineStr"/>
      <c r="M345" s="5" t="inlineStr"/>
      <c r="N345" s="5" t="inlineStr"/>
      <c r="O345" s="7" t="inlineStr">
        <is>
          <t>link</t>
        </is>
      </c>
      <c r="P345" s="7" t="inlineStr">
        <is>
          <t>link</t>
        </is>
      </c>
      <c r="Q345" s="5" t="inlineStr"/>
      <c r="R345" s="5" t="inlineStr">
        <is>
          <t>3 Chinese</t>
        </is>
      </c>
      <c r="S345" s="5" t="inlineStr"/>
      <c r="T345" s="5" t="inlineStr">
        <is>
          <t>WS2137.pdf</t>
        </is>
      </c>
      <c r="U345" s="8" t="n"/>
      <c r="V345" s="8" t="n"/>
      <c r="W345" s="8" t="n"/>
      <c r="X345" s="8" t="n"/>
      <c r="Y345" s="8" t="n"/>
      <c r="Z345" s="8" t="n"/>
      <c r="AA345" s="8" t="n"/>
      <c r="AB345" s="8" t="n"/>
      <c r="AC345" s="8" t="n"/>
      <c r="AD345" s="8" t="n"/>
      <c r="AE345" s="8" t="inlineStr">
        <is>
          <t>yes</t>
        </is>
      </c>
    </row>
    <row r="346">
      <c r="A346" s="5" t="n">
        <v>345</v>
      </c>
      <c r="B346" s="5" t="inlineStr">
        <is>
          <t>WS2138</t>
        </is>
      </c>
      <c r="C346" s="5" t="inlineStr">
        <is>
          <t>2000</t>
        </is>
      </c>
      <c r="D346" s="5" t="inlineStr">
        <is>
          <t>Chinese</t>
        </is>
      </c>
      <c r="E346" s="5" t="inlineStr">
        <is>
          <t>JOUR</t>
        </is>
      </c>
      <c r="F346" s="5" t="inlineStr">
        <is>
          <t>曹龙</t>
        </is>
      </c>
      <c r="G346" s="5" t="inlineStr">
        <is>
          <t>中国普外基础与临床杂志</t>
        </is>
      </c>
      <c r="H346" s="5" t="inlineStr">
        <is>
          <t>7(6):420-420</t>
        </is>
      </c>
      <c r="I346" s="6" t="inlineStr">
        <is>
          <t>游走脾伴脾蒂扭转1例报告</t>
        </is>
      </c>
      <c r="J346" s="5" t="inlineStr">
        <is>
          <t>10.3969/j.issn.1007-9424.2000.06.040</t>
        </is>
      </c>
      <c r="K346" s="7" t="inlineStr">
        <is>
          <t>link</t>
        </is>
      </c>
      <c r="L346" s="5" t="inlineStr"/>
      <c r="M346" s="5" t="inlineStr"/>
      <c r="N346" s="5" t="inlineStr"/>
      <c r="O346" s="7" t="inlineStr">
        <is>
          <t>link</t>
        </is>
      </c>
      <c r="P346" s="7" t="inlineStr">
        <is>
          <t>link</t>
        </is>
      </c>
      <c r="Q346" s="5" t="inlineStr"/>
      <c r="R346" s="5" t="inlineStr">
        <is>
          <t>3 Chinese</t>
        </is>
      </c>
      <c r="S346" s="5" t="inlineStr"/>
      <c r="T346" s="5" t="inlineStr">
        <is>
          <t>WS2138.pdf</t>
        </is>
      </c>
      <c r="U346" s="8" t="n"/>
      <c r="V346" s="8" t="n"/>
      <c r="W346" s="8" t="n"/>
      <c r="X346" s="8" t="n"/>
      <c r="Y346" s="8" t="n"/>
      <c r="Z346" s="8" t="n"/>
      <c r="AA346" s="8" t="n"/>
      <c r="AB346" s="8" t="n"/>
      <c r="AC346" s="8" t="n"/>
      <c r="AD346" s="8" t="n"/>
      <c r="AE346" s="8" t="inlineStr">
        <is>
          <t>yes</t>
        </is>
      </c>
    </row>
    <row r="347">
      <c r="A347" s="5" t="n">
        <v>346</v>
      </c>
      <c r="B347" s="5" t="inlineStr">
        <is>
          <t>WS2144</t>
        </is>
      </c>
      <c r="C347" s="5" t="inlineStr">
        <is>
          <t>2000</t>
        </is>
      </c>
      <c r="D347" s="5" t="inlineStr">
        <is>
          <t>Chinese</t>
        </is>
      </c>
      <c r="E347" s="5" t="inlineStr">
        <is>
          <t>JOUR</t>
        </is>
      </c>
      <c r="F347" s="5" t="inlineStr"/>
      <c r="G347" s="5" t="inlineStr">
        <is>
          <t>国外科技资料目录.医药卫生</t>
        </is>
      </c>
      <c r="H347" s="5" t="inlineStr">
        <is>
          <t>(1):72-73</t>
        </is>
      </c>
      <c r="I347" s="6" t="inlineStr">
        <is>
          <t>脾脏</t>
        </is>
      </c>
      <c r="J347" s="5" t="inlineStr"/>
      <c r="K347" s="5" t="inlineStr"/>
      <c r="L347" s="5" t="inlineStr"/>
      <c r="M347" s="5" t="inlineStr"/>
      <c r="N347" s="5" t="inlineStr"/>
      <c r="O347" s="7" t="inlineStr">
        <is>
          <t>link</t>
        </is>
      </c>
      <c r="P347" s="7" t="inlineStr">
        <is>
          <t>link</t>
        </is>
      </c>
      <c r="Q347" s="5" t="inlineStr"/>
      <c r="R347" s="5" t="inlineStr">
        <is>
          <t>3 Chinese</t>
        </is>
      </c>
      <c r="S347" s="5" t="inlineStr"/>
      <c r="T347" s="5" t="inlineStr">
        <is>
          <t>WS2144.pdf</t>
        </is>
      </c>
      <c r="U347" s="8" t="n"/>
      <c r="V347" s="8" t="n"/>
      <c r="W347" s="8" t="n"/>
      <c r="X347" s="8" t="n"/>
      <c r="Y347" s="8" t="n"/>
      <c r="Z347" s="8" t="n"/>
      <c r="AA347" s="8" t="n"/>
      <c r="AB347" s="8" t="n"/>
      <c r="AC347" s="8" t="n"/>
      <c r="AD347" s="8" t="n"/>
      <c r="AE347" s="8" t="inlineStr">
        <is>
          <t>yes</t>
        </is>
      </c>
    </row>
    <row r="348">
      <c r="A348" s="5" t="n">
        <v>347</v>
      </c>
      <c r="B348" s="5" t="inlineStr">
        <is>
          <t>WS1601</t>
        </is>
      </c>
      <c r="C348" s="5" t="inlineStr">
        <is>
          <t>2021</t>
        </is>
      </c>
      <c r="D348" s="5" t="inlineStr">
        <is>
          <t>English</t>
        </is>
      </c>
      <c r="E348" s="5" t="inlineStr">
        <is>
          <t>JOUR</t>
        </is>
      </c>
      <c r="F348" s="5" t="inlineStr">
        <is>
          <t>Kumar</t>
        </is>
      </c>
      <c r="G348" s="5" t="inlineStr">
        <is>
          <t>Journal of the Indian Medical Association</t>
        </is>
      </c>
      <c r="H348" s="5" t="inlineStr">
        <is>
          <t>119(6):44-49</t>
        </is>
      </c>
      <c r="I348" s="6" t="inlineStr">
        <is>
          <t>Vomiting in children: How to identify the surgical masqueraders ?</t>
        </is>
      </c>
      <c r="J348" s="5" t="inlineStr"/>
      <c r="K348" s="5" t="inlineStr"/>
      <c r="L348" s="5" t="inlineStr"/>
      <c r="M348" s="5" t="inlineStr"/>
      <c r="N348" s="5" t="inlineStr"/>
      <c r="O348" s="5" t="inlineStr"/>
      <c r="P348" s="5" t="inlineStr"/>
      <c r="Q348" s="7" t="inlineStr">
        <is>
          <t>link</t>
        </is>
      </c>
      <c r="R348" s="5" t="inlineStr">
        <is>
          <t>4 English, no DOI and no PubMed link</t>
        </is>
      </c>
      <c r="S348" s="5" t="inlineStr"/>
      <c r="T348" s="5" t="inlineStr">
        <is>
          <t>WS1601.pdf</t>
        </is>
      </c>
      <c r="U348" s="8" t="n"/>
      <c r="V348" s="8" t="n"/>
      <c r="W348" s="8" t="n"/>
      <c r="X348" s="8" t="n"/>
      <c r="Y348" s="8" t="n"/>
      <c r="Z348" s="8" t="n"/>
      <c r="AA348" s="8" t="n"/>
      <c r="AB348" s="8" t="n"/>
      <c r="AC348" s="8" t="n"/>
      <c r="AD348" s="8" t="n"/>
      <c r="AE348" s="8" t="inlineStr">
        <is>
          <t>yes</t>
        </is>
      </c>
    </row>
    <row r="349">
      <c r="A349" s="5" t="n">
        <v>348</v>
      </c>
      <c r="B349" s="5" t="inlineStr">
        <is>
          <t>WS1550</t>
        </is>
      </c>
      <c r="C349" s="5" t="inlineStr">
        <is>
          <t>2020</t>
        </is>
      </c>
      <c r="D349" s="5" t="inlineStr">
        <is>
          <t>English</t>
        </is>
      </c>
      <c r="E349" s="5" t="inlineStr">
        <is>
          <t>JOUR</t>
        </is>
      </c>
      <c r="F349" s="5" t="inlineStr">
        <is>
          <t>Kebede</t>
        </is>
      </c>
      <c r="G349" s="5" t="inlineStr">
        <is>
          <t>Ethiopian Medical Journal</t>
        </is>
      </c>
      <c r="H349" s="5" t="inlineStr">
        <is>
          <t>58(4):369-372</t>
        </is>
      </c>
      <c r="I349" s="6" t="inlineStr">
        <is>
          <t>WANDERING SPLEEN WITH TORSION: A RARE CAUSE ACUTE ABDOMEN IN CHILDREN</t>
        </is>
      </c>
      <c r="J349" s="5" t="inlineStr"/>
      <c r="K349" s="5" t="inlineStr"/>
      <c r="L349" s="5" t="inlineStr"/>
      <c r="M349" s="5" t="inlineStr"/>
      <c r="N349" s="5" t="inlineStr"/>
      <c r="O349" s="5" t="inlineStr"/>
      <c r="P349" s="5" t="inlineStr"/>
      <c r="Q349" s="7" t="inlineStr">
        <is>
          <t>link</t>
        </is>
      </c>
      <c r="R349" s="5" t="inlineStr">
        <is>
          <t>4 English, no DOI and no PubMed link</t>
        </is>
      </c>
      <c r="S349" s="5" t="inlineStr"/>
      <c r="T349" s="5" t="inlineStr">
        <is>
          <t>WS1550.pdf</t>
        </is>
      </c>
      <c r="U349" s="8" t="n"/>
      <c r="V349" s="8" t="n"/>
      <c r="W349" s="8" t="n"/>
      <c r="X349" s="8" t="n"/>
      <c r="Y349" s="8" t="n"/>
      <c r="Z349" s="8" t="n"/>
      <c r="AA349" s="8" t="n"/>
      <c r="AB349" s="8" t="n"/>
      <c r="AC349" s="8" t="n"/>
      <c r="AD349" s="8" t="n"/>
      <c r="AE349" s="8" t="inlineStr">
        <is>
          <t>yes</t>
        </is>
      </c>
    </row>
    <row r="350">
      <c r="A350" s="5" t="n">
        <v>349</v>
      </c>
      <c r="B350" s="5" t="inlineStr">
        <is>
          <t>WS1384</t>
        </is>
      </c>
      <c r="C350" s="5" t="inlineStr">
        <is>
          <t>2018</t>
        </is>
      </c>
      <c r="D350" s="5" t="inlineStr">
        <is>
          <t>English</t>
        </is>
      </c>
      <c r="E350" s="5" t="inlineStr">
        <is>
          <t>JOUR</t>
        </is>
      </c>
      <c r="F350" s="5" t="inlineStr">
        <is>
          <t>Al-Hammad</t>
        </is>
      </c>
      <c r="G350" s="5" t="inlineStr">
        <is>
          <t>Kuwait Medical Journal</t>
        </is>
      </c>
      <c r="H350" s="5" t="inlineStr">
        <is>
          <t>50(4):473-477</t>
        </is>
      </c>
      <c r="I350" s="6" t="inlineStr">
        <is>
          <t>Wandering spleen containing mesothelial cyst: A case report and review of literature</t>
        </is>
      </c>
      <c r="J350" s="5" t="inlineStr"/>
      <c r="K350" s="5" t="inlineStr"/>
      <c r="L350" s="5" t="inlineStr"/>
      <c r="M350" s="5" t="inlineStr"/>
      <c r="N350" s="5" t="inlineStr"/>
      <c r="O350" s="5" t="inlineStr"/>
      <c r="P350" s="5" t="inlineStr"/>
      <c r="Q350" s="7" t="inlineStr">
        <is>
          <t>link</t>
        </is>
      </c>
      <c r="R350" s="5" t="inlineStr">
        <is>
          <t>4 English, no DOI and no PubMed link</t>
        </is>
      </c>
      <c r="S350" s="5" t="inlineStr"/>
      <c r="T350" s="5" t="inlineStr">
        <is>
          <t>WS1384.pdf</t>
        </is>
      </c>
      <c r="U350" s="8" t="n"/>
      <c r="V350" s="8" t="n"/>
      <c r="W350" s="8" t="n"/>
      <c r="X350" s="8" t="n"/>
      <c r="Y350" s="8" t="n"/>
      <c r="Z350" s="8" t="n"/>
      <c r="AA350" s="8" t="n"/>
      <c r="AB350" s="8" t="n"/>
      <c r="AC350" s="8" t="n"/>
      <c r="AD350" s="8" t="n"/>
      <c r="AE350" s="8" t="inlineStr">
        <is>
          <t>yes</t>
        </is>
      </c>
    </row>
    <row r="351">
      <c r="A351" s="5" t="n">
        <v>350</v>
      </c>
      <c r="B351" s="5" t="inlineStr">
        <is>
          <t>WS1612</t>
        </is>
      </c>
      <c r="C351" s="5" t="inlineStr">
        <is>
          <t>2018</t>
        </is>
      </c>
      <c r="D351" s="5" t="inlineStr">
        <is>
          <t>English</t>
        </is>
      </c>
      <c r="E351" s="5" t="inlineStr">
        <is>
          <t>JOUR</t>
        </is>
      </c>
      <c r="F351" s="5" t="inlineStr">
        <is>
          <t>Ghahremani</t>
        </is>
      </c>
      <c r="G351" s="5" t="inlineStr">
        <is>
          <t>Iranian Journal of Nuclear Medicine</t>
        </is>
      </c>
      <c r="H351" s="5" t="inlineStr">
        <is>
          <t>26(1):66-67</t>
        </is>
      </c>
      <c r="I351" s="6" t="inlineStr">
        <is>
          <t>A wandering spleen detected by 99mTc-denatured RBC scan</t>
        </is>
      </c>
      <c r="J351" s="5" t="inlineStr"/>
      <c r="K351" s="5" t="inlineStr"/>
      <c r="L351" s="5" t="inlineStr"/>
      <c r="M351" s="5" t="inlineStr"/>
      <c r="N351" s="5" t="inlineStr"/>
      <c r="O351" s="5" t="inlineStr"/>
      <c r="P351" s="5" t="inlineStr"/>
      <c r="Q351" s="7" t="inlineStr">
        <is>
          <t>link</t>
        </is>
      </c>
      <c r="R351" s="5" t="inlineStr">
        <is>
          <t>4 English, no DOI and no PubMed link</t>
        </is>
      </c>
      <c r="S351" s="5" t="inlineStr"/>
      <c r="T351" s="5" t="inlineStr">
        <is>
          <t>WS1612.pdf</t>
        </is>
      </c>
      <c r="U351" s="8" t="n"/>
      <c r="V351" s="8" t="n"/>
      <c r="W351" s="8" t="n"/>
      <c r="X351" s="8" t="n"/>
      <c r="Y351" s="8" t="n"/>
      <c r="Z351" s="8" t="n"/>
      <c r="AA351" s="8" t="n"/>
      <c r="AB351" s="8" t="n"/>
      <c r="AC351" s="8" t="n"/>
      <c r="AD351" s="8" t="n"/>
      <c r="AE351" s="8" t="inlineStr">
        <is>
          <t>yes</t>
        </is>
      </c>
    </row>
    <row r="352">
      <c r="A352" s="5" t="n">
        <v>351</v>
      </c>
      <c r="B352" s="5" t="inlineStr">
        <is>
          <t>WS1620</t>
        </is>
      </c>
      <c r="C352" s="5" t="inlineStr">
        <is>
          <t>2018</t>
        </is>
      </c>
      <c r="D352" s="5" t="inlineStr">
        <is>
          <t>English</t>
        </is>
      </c>
      <c r="E352" s="5" t="inlineStr">
        <is>
          <t>JOUR</t>
        </is>
      </c>
      <c r="F352" s="5" t="inlineStr">
        <is>
          <t>Fuňáková</t>
        </is>
      </c>
      <c r="G352" s="5" t="inlineStr">
        <is>
          <t>Lekarsky Obzor</t>
        </is>
      </c>
      <c r="H352" s="5" t="inlineStr">
        <is>
          <t>67(1):42-45</t>
        </is>
      </c>
      <c r="I352" s="6" t="inlineStr">
        <is>
          <t>Wandering spleen presenting as acute abdomen - two cases in a year</t>
        </is>
      </c>
      <c r="J352" s="5" t="inlineStr"/>
      <c r="K352" s="5" t="inlineStr"/>
      <c r="L352" s="5" t="inlineStr"/>
      <c r="M352" s="5" t="inlineStr"/>
      <c r="N352" s="5" t="inlineStr"/>
      <c r="O352" s="5" t="inlineStr"/>
      <c r="P352" s="5" t="inlineStr"/>
      <c r="Q352" s="7" t="inlineStr">
        <is>
          <t>link</t>
        </is>
      </c>
      <c r="R352" s="5" t="inlineStr">
        <is>
          <t>4 English, no DOI and no PubMed link</t>
        </is>
      </c>
      <c r="S352" s="5" t="inlineStr"/>
      <c r="T352" s="5" t="inlineStr">
        <is>
          <t>WS1620.pdf</t>
        </is>
      </c>
      <c r="U352" s="8" t="n"/>
      <c r="V352" s="8" t="n"/>
      <c r="W352" s="8" t="n"/>
      <c r="X352" s="8" t="n"/>
      <c r="Y352" s="8" t="n"/>
      <c r="Z352" s="8" t="n"/>
      <c r="AA352" s="8" t="n"/>
      <c r="AB352" s="8" t="n"/>
      <c r="AC352" s="8" t="n"/>
      <c r="AD352" s="8" t="n"/>
      <c r="AE352" s="8" t="inlineStr">
        <is>
          <t>yes</t>
        </is>
      </c>
    </row>
    <row r="353">
      <c r="A353" s="5" t="n">
        <v>352</v>
      </c>
      <c r="B353" s="5" t="inlineStr">
        <is>
          <t>WS1494</t>
        </is>
      </c>
      <c r="C353" s="5" t="inlineStr">
        <is>
          <t>2016</t>
        </is>
      </c>
      <c r="D353" s="5" t="inlineStr">
        <is>
          <t>English</t>
        </is>
      </c>
      <c r="E353" s="5" t="inlineStr">
        <is>
          <t>JOUR</t>
        </is>
      </c>
      <c r="F353" s="5" t="inlineStr">
        <is>
          <t>Tsai</t>
        </is>
      </c>
      <c r="G353" s="5" t="inlineStr">
        <is>
          <t>Chinese Journal of Radiology (Taiwan)</t>
        </is>
      </c>
      <c r="H353" s="5" t="inlineStr">
        <is>
          <t>41(2):53-56</t>
        </is>
      </c>
      <c r="I353" s="6" t="inlineStr">
        <is>
          <t>Wandering spleen in a child with atypical abdominal pain</t>
        </is>
      </c>
      <c r="J353" s="5" t="inlineStr"/>
      <c r="K353" s="5" t="inlineStr"/>
      <c r="L353" s="5" t="inlineStr"/>
      <c r="M353" s="5" t="inlineStr"/>
      <c r="N353" s="5" t="inlineStr"/>
      <c r="O353" s="5" t="inlineStr"/>
      <c r="P353" s="5" t="inlineStr"/>
      <c r="Q353" s="7" t="inlineStr">
        <is>
          <t>link</t>
        </is>
      </c>
      <c r="R353" s="5" t="inlineStr">
        <is>
          <t>4 English, no DOI and no PubMed link</t>
        </is>
      </c>
      <c r="S353" s="5" t="inlineStr"/>
      <c r="T353" s="5" t="inlineStr">
        <is>
          <t>WS1494.pdf</t>
        </is>
      </c>
      <c r="U353" s="8" t="n"/>
      <c r="V353" s="8" t="n"/>
      <c r="W353" s="8" t="n"/>
      <c r="X353" s="8" t="n"/>
      <c r="Y353" s="8" t="n"/>
      <c r="Z353" s="8" t="n"/>
      <c r="AA353" s="8" t="n"/>
      <c r="AB353" s="8" t="n"/>
      <c r="AC353" s="8" t="n"/>
      <c r="AD353" s="8" t="n"/>
      <c r="AE353" s="8" t="inlineStr">
        <is>
          <t>yes</t>
        </is>
      </c>
    </row>
    <row r="354">
      <c r="A354" s="5" t="n">
        <v>353</v>
      </c>
      <c r="B354" s="5" t="inlineStr">
        <is>
          <t>WS1705</t>
        </is>
      </c>
      <c r="C354" s="5" t="inlineStr">
        <is>
          <t>2013</t>
        </is>
      </c>
      <c r="D354" s="5" t="inlineStr">
        <is>
          <t>English</t>
        </is>
      </c>
      <c r="E354" s="5" t="inlineStr">
        <is>
          <t>JOUR</t>
        </is>
      </c>
      <c r="F354" s="5" t="inlineStr">
        <is>
          <t>Al Shobaki</t>
        </is>
      </c>
      <c r="G354" s="5" t="inlineStr">
        <is>
          <t>Rawal Medical Journal</t>
        </is>
      </c>
      <c r="H354" s="5" t="inlineStr">
        <is>
          <t>38(3):321-322</t>
        </is>
      </c>
      <c r="I354" s="6" t="inlineStr">
        <is>
          <t>Wandering spleen causing acute abdomen</t>
        </is>
      </c>
      <c r="J354" s="5" t="inlineStr"/>
      <c r="K354" s="5" t="inlineStr"/>
      <c r="L354" s="5" t="inlineStr"/>
      <c r="M354" s="5" t="inlineStr"/>
      <c r="N354" s="5" t="inlineStr"/>
      <c r="O354" s="5" t="inlineStr"/>
      <c r="P354" s="5" t="inlineStr"/>
      <c r="Q354" s="7" t="inlineStr">
        <is>
          <t>link</t>
        </is>
      </c>
      <c r="R354" s="5" t="inlineStr">
        <is>
          <t>4 English, no DOI and no PubMed link</t>
        </is>
      </c>
      <c r="S354" s="5" t="inlineStr"/>
      <c r="T354" s="5" t="inlineStr">
        <is>
          <t>WS1705.pdf</t>
        </is>
      </c>
      <c r="U354" s="8" t="n"/>
      <c r="V354" s="8" t="n"/>
      <c r="W354" s="8" t="n"/>
      <c r="X354" s="8" t="n"/>
      <c r="Y354" s="8" t="n"/>
      <c r="Z354" s="8" t="n"/>
      <c r="AA354" s="8" t="n"/>
      <c r="AB354" s="8" t="n"/>
      <c r="AC354" s="8" t="n"/>
      <c r="AD354" s="8" t="n"/>
      <c r="AE354" s="8" t="inlineStr">
        <is>
          <t>yes</t>
        </is>
      </c>
    </row>
    <row r="355">
      <c r="A355" s="5" t="n">
        <v>354</v>
      </c>
      <c r="B355" s="5" t="inlineStr">
        <is>
          <t>WS1706</t>
        </is>
      </c>
      <c r="C355" s="5" t="inlineStr">
        <is>
          <t>2009</t>
        </is>
      </c>
      <c r="D355" s="5" t="inlineStr">
        <is>
          <t>English</t>
        </is>
      </c>
      <c r="E355" s="5" t="inlineStr">
        <is>
          <t>JOUR</t>
        </is>
      </c>
      <c r="F355" s="5" t="inlineStr">
        <is>
          <t>Utpal</t>
        </is>
      </c>
      <c r="G355" s="5" t="inlineStr">
        <is>
          <t>Journal of Chinese Clinical Medicine</t>
        </is>
      </c>
      <c r="H355" s="5" t="inlineStr">
        <is>
          <t>4(5):286-287</t>
        </is>
      </c>
      <c r="I355" s="6" t="inlineStr">
        <is>
          <t>Laparoscopic management of splenic torsion</t>
        </is>
      </c>
      <c r="J355" s="5" t="inlineStr"/>
      <c r="K355" s="5" t="inlineStr"/>
      <c r="L355" s="5" t="inlineStr"/>
      <c r="M355" s="5" t="inlineStr"/>
      <c r="N355" s="5" t="inlineStr"/>
      <c r="O355" s="5" t="inlineStr"/>
      <c r="P355" s="5" t="inlineStr"/>
      <c r="Q355" s="7" t="inlineStr">
        <is>
          <t>link</t>
        </is>
      </c>
      <c r="R355" s="5" t="inlineStr">
        <is>
          <t>4 English, no DOI and no PubMed link</t>
        </is>
      </c>
      <c r="S355" s="5" t="inlineStr"/>
      <c r="T355" s="5" t="inlineStr">
        <is>
          <t>WS1706.pdf</t>
        </is>
      </c>
      <c r="U355" s="8" t="n"/>
      <c r="V355" s="8" t="n"/>
      <c r="W355" s="8" t="n"/>
      <c r="X355" s="8" t="n"/>
      <c r="Y355" s="8" t="n"/>
      <c r="Z355" s="8" t="n"/>
      <c r="AA355" s="8" t="n"/>
      <c r="AB355" s="8" t="n"/>
      <c r="AC355" s="8" t="n"/>
      <c r="AD355" s="8" t="n"/>
      <c r="AE355" s="8" t="inlineStr">
        <is>
          <t>yes</t>
        </is>
      </c>
    </row>
    <row r="356">
      <c r="A356" s="5" t="n">
        <v>355</v>
      </c>
      <c r="B356" s="5" t="inlineStr">
        <is>
          <t>WS1329</t>
        </is>
      </c>
      <c r="C356" s="5" t="inlineStr">
        <is>
          <t>2008</t>
        </is>
      </c>
      <c r="D356" s="5" t="inlineStr">
        <is>
          <t>English</t>
        </is>
      </c>
      <c r="E356" s="5" t="inlineStr">
        <is>
          <t>JOUR</t>
        </is>
      </c>
      <c r="F356" s="5" t="inlineStr">
        <is>
          <t>Zandi</t>
        </is>
      </c>
      <c r="G356" s="5" t="inlineStr">
        <is>
          <t>Iranian Journal of Radiology</t>
        </is>
      </c>
      <c r="H356" s="5" t="inlineStr">
        <is>
          <t>5(3):141-144</t>
        </is>
      </c>
      <c r="I356" s="6" t="inlineStr">
        <is>
          <t>Wandering spleen presenting as an asymptomatic pelvic mass: A case report</t>
        </is>
      </c>
      <c r="J356" s="5" t="inlineStr"/>
      <c r="K356" s="5" t="inlineStr"/>
      <c r="L356" s="5" t="inlineStr"/>
      <c r="M356" s="5" t="inlineStr"/>
      <c r="N356" s="5" t="inlineStr"/>
      <c r="O356" s="5" t="inlineStr"/>
      <c r="P356" s="5" t="inlineStr"/>
      <c r="Q356" s="7" t="inlineStr">
        <is>
          <t>link</t>
        </is>
      </c>
      <c r="R356" s="5" t="inlineStr">
        <is>
          <t>4 English, no DOI and no PubMed link</t>
        </is>
      </c>
      <c r="S356" s="5" t="inlineStr"/>
      <c r="T356" s="5" t="inlineStr">
        <is>
          <t>WS1329.pdf</t>
        </is>
      </c>
      <c r="U356" s="8" t="n"/>
      <c r="V356" s="8" t="n"/>
      <c r="W356" s="8" t="n"/>
      <c r="X356" s="8" t="n"/>
      <c r="Y356" s="8" t="n"/>
      <c r="Z356" s="8" t="n"/>
      <c r="AA356" s="8" t="n"/>
      <c r="AB356" s="8" t="n"/>
      <c r="AC356" s="8" t="n"/>
      <c r="AD356" s="8" t="n"/>
      <c r="AE356" s="8" t="inlineStr">
        <is>
          <t>yes</t>
        </is>
      </c>
    </row>
    <row r="357">
      <c r="A357" s="5" t="n">
        <v>356</v>
      </c>
      <c r="B357" s="5" t="inlineStr">
        <is>
          <t>WS1645</t>
        </is>
      </c>
      <c r="C357" s="5" t="inlineStr">
        <is>
          <t>2008</t>
        </is>
      </c>
      <c r="D357" s="5" t="inlineStr">
        <is>
          <t>English</t>
        </is>
      </c>
      <c r="E357" s="5" t="inlineStr">
        <is>
          <t>JOUR</t>
        </is>
      </c>
      <c r="F357" s="5" t="inlineStr">
        <is>
          <t>Ugwu</t>
        </is>
      </c>
      <c r="G357" s="5" t="inlineStr">
        <is>
          <t>Online Journal of Health and Allied Sciences</t>
        </is>
      </c>
      <c r="H357" s="5" t="inlineStr">
        <is>
          <t>7(4)</t>
        </is>
      </c>
      <c r="I357" s="6" t="inlineStr">
        <is>
          <t>Wandering spleen: A common presentation of an uncommon anomaly</t>
        </is>
      </c>
      <c r="J357" s="5" t="inlineStr"/>
      <c r="K357" s="5" t="inlineStr"/>
      <c r="L357" s="5" t="inlineStr"/>
      <c r="M357" s="5" t="inlineStr"/>
      <c r="N357" s="5" t="inlineStr"/>
      <c r="O357" s="5" t="inlineStr"/>
      <c r="P357" s="5" t="inlineStr"/>
      <c r="Q357" s="7" t="inlineStr">
        <is>
          <t>link</t>
        </is>
      </c>
      <c r="R357" s="5" t="inlineStr">
        <is>
          <t>4 English, no DOI and no PubMed link</t>
        </is>
      </c>
      <c r="S357" s="5" t="inlineStr"/>
      <c r="T357" s="5" t="inlineStr">
        <is>
          <t>WS1645.pdf</t>
        </is>
      </c>
      <c r="U357" s="8" t="n"/>
      <c r="V357" s="8" t="n"/>
      <c r="W357" s="8" t="n"/>
      <c r="X357" s="8" t="n"/>
      <c r="Y357" s="8" t="n"/>
      <c r="Z357" s="8" t="n"/>
      <c r="AA357" s="8" t="n"/>
      <c r="AB357" s="8" t="n"/>
      <c r="AC357" s="8" t="n"/>
      <c r="AD357" s="8" t="n"/>
      <c r="AE357" s="8" t="inlineStr">
        <is>
          <t>yes</t>
        </is>
      </c>
    </row>
    <row r="358">
      <c r="A358" s="5" t="n">
        <v>357</v>
      </c>
      <c r="B358" s="5" t="inlineStr">
        <is>
          <t>WS1666</t>
        </is>
      </c>
      <c r="C358" s="5" t="inlineStr">
        <is>
          <t>2007</t>
        </is>
      </c>
      <c r="D358" s="5" t="inlineStr">
        <is>
          <t>English</t>
        </is>
      </c>
      <c r="E358" s="5" t="inlineStr">
        <is>
          <t>JOUR</t>
        </is>
      </c>
      <c r="F358" s="5" t="inlineStr">
        <is>
          <t>Feroci</t>
        </is>
      </c>
      <c r="G358" s="5" t="inlineStr">
        <is>
          <t>Chirurgia</t>
        </is>
      </c>
      <c r="H358" s="5" t="inlineStr">
        <is>
          <t>20(5):257-259</t>
        </is>
      </c>
      <c r="I358" s="6" t="inlineStr">
        <is>
          <t>The torsion of a wandering pelvic spleen: A case report and review of the literature</t>
        </is>
      </c>
      <c r="J358" s="5" t="inlineStr"/>
      <c r="K358" s="5" t="inlineStr"/>
      <c r="L358" s="5" t="inlineStr"/>
      <c r="M358" s="5" t="inlineStr"/>
      <c r="N358" s="5" t="inlineStr"/>
      <c r="O358" s="5" t="inlineStr"/>
      <c r="P358" s="5" t="inlineStr"/>
      <c r="Q358" s="7" t="inlineStr">
        <is>
          <t>link</t>
        </is>
      </c>
      <c r="R358" s="5" t="inlineStr">
        <is>
          <t>4 English, no DOI and no PubMed link</t>
        </is>
      </c>
      <c r="S358" s="5" t="inlineStr"/>
      <c r="T358" s="5" t="inlineStr">
        <is>
          <t>WS1666.pdf</t>
        </is>
      </c>
      <c r="U358" s="8" t="n"/>
      <c r="V358" s="8" t="n"/>
      <c r="W358" s="8" t="n"/>
      <c r="X358" s="8" t="n"/>
      <c r="Y358" s="8" t="n"/>
      <c r="Z358" s="8" t="n"/>
      <c r="AA358" s="8" t="n"/>
      <c r="AB358" s="8" t="n"/>
      <c r="AC358" s="8" t="n"/>
      <c r="AD358" s="8" t="n"/>
      <c r="AE358" s="8" t="inlineStr">
        <is>
          <t>yes</t>
        </is>
      </c>
    </row>
    <row r="359">
      <c r="A359" s="5" t="n">
        <v>358</v>
      </c>
      <c r="B359" s="5" t="inlineStr">
        <is>
          <t>WS1653</t>
        </is>
      </c>
      <c r="C359" s="5" t="inlineStr">
        <is>
          <t>2006</t>
        </is>
      </c>
      <c r="D359" s="5" t="inlineStr">
        <is>
          <t>English</t>
        </is>
      </c>
      <c r="E359" s="5" t="inlineStr">
        <is>
          <t>JOUR</t>
        </is>
      </c>
      <c r="F359" s="5" t="inlineStr">
        <is>
          <t>De Vivo</t>
        </is>
      </c>
      <c r="G359" s="5" t="inlineStr">
        <is>
          <t>Italian Journal of Pediatrics</t>
        </is>
      </c>
      <c r="H359" s="5" t="inlineStr">
        <is>
          <t>32(5):308-311</t>
        </is>
      </c>
      <c r="I359" s="6" t="inlineStr">
        <is>
          <t>Acute torsion of wandering spleen</t>
        </is>
      </c>
      <c r="J359" s="5" t="inlineStr"/>
      <c r="K359" s="5" t="inlineStr"/>
      <c r="L359" s="5" t="inlineStr"/>
      <c r="M359" s="5" t="inlineStr"/>
      <c r="N359" s="5" t="inlineStr"/>
      <c r="O359" s="5" t="inlineStr"/>
      <c r="P359" s="5" t="inlineStr"/>
      <c r="Q359" s="7" t="inlineStr">
        <is>
          <t>link</t>
        </is>
      </c>
      <c r="R359" s="5" t="inlineStr">
        <is>
          <t>4 English, no DOI and no PubMed link</t>
        </is>
      </c>
      <c r="S359" s="5" t="inlineStr"/>
      <c r="T359" s="5" t="inlineStr">
        <is>
          <t>WS1653.pdf</t>
        </is>
      </c>
      <c r="U359" s="8" t="n"/>
      <c r="V359" s="8" t="n"/>
      <c r="W359" s="8" t="n"/>
      <c r="X359" s="8" t="n"/>
      <c r="Y359" s="8" t="n"/>
      <c r="Z359" s="8" t="n"/>
      <c r="AA359" s="8" t="n"/>
      <c r="AB359" s="8" t="n"/>
      <c r="AC359" s="8" t="n"/>
      <c r="AD359" s="8" t="n"/>
      <c r="AE359" s="8" t="inlineStr">
        <is>
          <t>yes</t>
        </is>
      </c>
    </row>
    <row r="360">
      <c r="A360" s="5" t="n">
        <v>359</v>
      </c>
      <c r="B360" s="5" t="inlineStr">
        <is>
          <t>WS1628</t>
        </is>
      </c>
      <c r="C360" s="5" t="inlineStr">
        <is>
          <t>2005</t>
        </is>
      </c>
      <c r="D360" s="5" t="inlineStr">
        <is>
          <t>English</t>
        </is>
      </c>
      <c r="E360" s="5" t="inlineStr">
        <is>
          <t>JOUR</t>
        </is>
      </c>
      <c r="F360" s="5" t="inlineStr">
        <is>
          <t>Khan</t>
        </is>
      </c>
      <c r="G360" s="5" t="inlineStr">
        <is>
          <t>JK Practitioner</t>
        </is>
      </c>
      <c r="H360" s="5" t="inlineStr">
        <is>
          <t>12(3):135-136</t>
        </is>
      </c>
      <c r="I360" s="6" t="inlineStr">
        <is>
          <t>Incidental detection of a wandering spleen by Technetium - 99m sulfur colloid imaging in a patient undergoing evaluation for abdominal pain</t>
        </is>
      </c>
      <c r="J360" s="5" t="inlineStr"/>
      <c r="K360" s="5" t="inlineStr"/>
      <c r="L360" s="5" t="inlineStr"/>
      <c r="M360" s="5" t="inlineStr"/>
      <c r="N360" s="5" t="inlineStr"/>
      <c r="O360" s="5" t="inlineStr"/>
      <c r="P360" s="5" t="inlineStr"/>
      <c r="Q360" s="7" t="inlineStr">
        <is>
          <t>link</t>
        </is>
      </c>
      <c r="R360" s="5" t="inlineStr">
        <is>
          <t>4 English, no DOI and no PubMed link</t>
        </is>
      </c>
      <c r="S360" s="5" t="inlineStr"/>
      <c r="T360" s="5" t="inlineStr">
        <is>
          <t>WS1628.pdf</t>
        </is>
      </c>
      <c r="U360" s="8" t="n"/>
      <c r="V360" s="8" t="n"/>
      <c r="W360" s="8" t="n"/>
      <c r="X360" s="8" t="n"/>
      <c r="Y360" s="8" t="n"/>
      <c r="Z360" s="8" t="n"/>
      <c r="AA360" s="8" t="n"/>
      <c r="AB360" s="8" t="n"/>
      <c r="AC360" s="8" t="n"/>
      <c r="AD360" s="8" t="n"/>
      <c r="AE360" s="8" t="inlineStr">
        <is>
          <t>yes</t>
        </is>
      </c>
    </row>
    <row r="361">
      <c r="A361" s="5" t="n">
        <v>360</v>
      </c>
      <c r="B361" s="5" t="inlineStr">
        <is>
          <t>WS1684</t>
        </is>
      </c>
      <c r="C361" s="5" t="inlineStr">
        <is>
          <t>2005</t>
        </is>
      </c>
      <c r="D361" s="5" t="inlineStr">
        <is>
          <t>English</t>
        </is>
      </c>
      <c r="E361" s="5" t="inlineStr">
        <is>
          <t>JOUR</t>
        </is>
      </c>
      <c r="F361" s="5" t="inlineStr">
        <is>
          <t>Alawi</t>
        </is>
      </c>
      <c r="G361" s="5" t="inlineStr">
        <is>
          <t>Pakistan Journal of Medical Sciences</t>
        </is>
      </c>
      <c r="H361" s="5" t="inlineStr">
        <is>
          <t>21(4):482-484</t>
        </is>
      </c>
      <c r="I361" s="6" t="inlineStr">
        <is>
          <t>Wandering spleen: A challenging diagnosis</t>
        </is>
      </c>
      <c r="J361" s="5" t="inlineStr"/>
      <c r="K361" s="5" t="inlineStr"/>
      <c r="L361" s="5" t="inlineStr"/>
      <c r="M361" s="5" t="inlineStr"/>
      <c r="N361" s="5" t="inlineStr"/>
      <c r="O361" s="5" t="inlineStr"/>
      <c r="P361" s="5" t="inlineStr"/>
      <c r="Q361" s="7" t="inlineStr">
        <is>
          <t>link</t>
        </is>
      </c>
      <c r="R361" s="5" t="inlineStr">
        <is>
          <t>4 English, no DOI and no PubMed link</t>
        </is>
      </c>
      <c r="S361" s="5" t="inlineStr"/>
      <c r="T361" s="5" t="inlineStr">
        <is>
          <t>WS1684.pdf</t>
        </is>
      </c>
      <c r="U361" s="8" t="n"/>
      <c r="V361" s="8" t="n"/>
      <c r="W361" s="8" t="n"/>
      <c r="X361" s="8" t="n"/>
      <c r="Y361" s="8" t="n"/>
      <c r="Z361" s="8" t="n"/>
      <c r="AA361" s="8" t="n"/>
      <c r="AB361" s="8" t="n"/>
      <c r="AC361" s="8" t="n"/>
      <c r="AD361" s="8" t="n"/>
      <c r="AE361" s="8" t="inlineStr">
        <is>
          <t>yes</t>
        </is>
      </c>
    </row>
    <row r="362">
      <c r="A362" s="5" t="n">
        <v>361</v>
      </c>
      <c r="B362" s="5" t="inlineStr">
        <is>
          <t>WS1668</t>
        </is>
      </c>
      <c r="C362" s="5" t="inlineStr">
        <is>
          <t>2002</t>
        </is>
      </c>
      <c r="D362" s="5" t="inlineStr">
        <is>
          <t>English</t>
        </is>
      </c>
      <c r="E362" s="5" t="inlineStr">
        <is>
          <t>JOUR</t>
        </is>
      </c>
      <c r="F362" s="5" t="inlineStr">
        <is>
          <t>Shirani</t>
        </is>
      </c>
      <c r="G362" s="5" t="inlineStr">
        <is>
          <t>Archives of Iranian Medicine</t>
        </is>
      </c>
      <c r="H362" s="5" t="inlineStr">
        <is>
          <t>5(2):124-125</t>
        </is>
      </c>
      <c r="I362" s="6" t="inlineStr">
        <is>
          <t>Torsion of wandering spleen and tail of pancreas</t>
        </is>
      </c>
      <c r="J362" s="5" t="inlineStr"/>
      <c r="K362" s="5" t="inlineStr"/>
      <c r="L362" s="5" t="inlineStr"/>
      <c r="M362" s="5" t="inlineStr"/>
      <c r="N362" s="5" t="inlineStr"/>
      <c r="O362" s="5" t="inlineStr"/>
      <c r="P362" s="5" t="inlineStr"/>
      <c r="Q362" s="7" t="inlineStr">
        <is>
          <t>link</t>
        </is>
      </c>
      <c r="R362" s="5" t="inlineStr">
        <is>
          <t>4 English, no DOI and no PubMed link</t>
        </is>
      </c>
      <c r="S362" s="5" t="inlineStr"/>
      <c r="T362" s="5" t="inlineStr">
        <is>
          <t>WS1668.pdf</t>
        </is>
      </c>
      <c r="U362" s="8" t="n"/>
      <c r="V362" s="8" t="n"/>
      <c r="W362" s="8" t="n"/>
      <c r="X362" s="8" t="n"/>
      <c r="Y362" s="8" t="n"/>
      <c r="Z362" s="8" t="n"/>
      <c r="AA362" s="8" t="n"/>
      <c r="AB362" s="8" t="n"/>
      <c r="AC362" s="8" t="n"/>
      <c r="AD362" s="8" t="n"/>
      <c r="AE362" s="8" t="inlineStr">
        <is>
          <t>yes</t>
        </is>
      </c>
    </row>
    <row r="363">
      <c r="A363" s="5" t="n">
        <v>362</v>
      </c>
      <c r="B363" s="5" t="inlineStr">
        <is>
          <t>WS1306</t>
        </is>
      </c>
      <c r="C363" s="5" t="inlineStr">
        <is>
          <t>2000</t>
        </is>
      </c>
      <c r="D363" s="5" t="inlineStr">
        <is>
          <t>English</t>
        </is>
      </c>
      <c r="E363" s="5" t="inlineStr">
        <is>
          <t>JOUR</t>
        </is>
      </c>
      <c r="F363" s="5" t="inlineStr">
        <is>
          <t>Ameh</t>
        </is>
      </c>
      <c r="G363" s="5" t="inlineStr">
        <is>
          <t>East African Medical Journal</t>
        </is>
      </c>
      <c r="H363" s="5" t="inlineStr">
        <is>
          <t>77(12):681-683</t>
        </is>
      </c>
      <c r="I363" s="6" t="inlineStr">
        <is>
          <t>Management of the wandering spleen in childhood: Report of two cases</t>
        </is>
      </c>
      <c r="J363" s="5" t="inlineStr"/>
      <c r="K363" s="5" t="inlineStr"/>
      <c r="L363" s="5" t="inlineStr"/>
      <c r="M363" s="5" t="inlineStr"/>
      <c r="N363" s="5" t="inlineStr"/>
      <c r="O363" s="5" t="inlineStr"/>
      <c r="P363" s="5" t="inlineStr"/>
      <c r="Q363" s="7" t="inlineStr">
        <is>
          <t>link</t>
        </is>
      </c>
      <c r="R363" s="5" t="inlineStr">
        <is>
          <t>4 English, no DOI and no PubMed link</t>
        </is>
      </c>
      <c r="S363" s="5" t="inlineStr"/>
      <c r="T363" s="5" t="inlineStr">
        <is>
          <t>WS1306.pdf</t>
        </is>
      </c>
      <c r="U363" s="8" t="n"/>
      <c r="V363" s="8" t="n"/>
      <c r="W363" s="8" t="n"/>
      <c r="X363" s="8" t="n"/>
      <c r="Y363" s="8" t="n"/>
      <c r="Z363" s="8" t="n"/>
      <c r="AA363" s="8" t="n"/>
      <c r="AB363" s="8" t="n"/>
      <c r="AC363" s="8" t="n"/>
      <c r="AD363" s="8" t="n"/>
      <c r="AE363" s="8" t="inlineStr">
        <is>
          <t>yes</t>
        </is>
      </c>
    </row>
    <row r="364">
      <c r="A364" s="5" t="n">
        <v>363</v>
      </c>
      <c r="B364" s="5" t="inlineStr">
        <is>
          <t>WS0010</t>
        </is>
      </c>
      <c r="C364" s="5" t="inlineStr">
        <is>
          <t>2026</t>
        </is>
      </c>
      <c r="D364" s="5" t="inlineStr">
        <is>
          <t>English</t>
        </is>
      </c>
      <c r="E364" s="5" t="inlineStr">
        <is>
          <t>JOUR</t>
        </is>
      </c>
      <c r="F364" s="5" t="inlineStr">
        <is>
          <t>Zhang</t>
        </is>
      </c>
      <c r="G364" s="5" t="inlineStr">
        <is>
          <t>Hepatobiliary surgery and nutrition</t>
        </is>
      </c>
      <c r="H364" s="5" t="inlineStr">
        <is>
          <t>15(3):96</t>
        </is>
      </c>
      <c r="I364" s="6" t="inlineStr">
        <is>
          <t>Wandering spleen.</t>
        </is>
      </c>
      <c r="J364" s="5" t="inlineStr">
        <is>
          <t>10.21037/hbsn-2026-1-0077</t>
        </is>
      </c>
      <c r="K364" s="7" t="inlineStr">
        <is>
          <t>link</t>
        </is>
      </c>
      <c r="L364" s="7" t="inlineStr">
        <is>
          <t>link</t>
        </is>
      </c>
      <c r="M364" s="5" t="inlineStr">
        <is>
          <t>PMC13247767</t>
        </is>
      </c>
      <c r="N364" s="7" t="inlineStr">
        <is>
          <t>link</t>
        </is>
      </c>
      <c r="O364" s="5" t="inlineStr"/>
      <c r="P364" s="5" t="inlineStr"/>
      <c r="Q364" s="5" t="inlineStr"/>
      <c r="R364" s="5" t="inlineStr">
        <is>
          <t>1 PMC record exists</t>
        </is>
      </c>
      <c r="S364" s="5" t="inlineStr"/>
      <c r="T364" s="5" t="inlineStr">
        <is>
          <t>WS0010.pdf</t>
        </is>
      </c>
      <c r="U364" s="8" t="n"/>
      <c r="V364" s="8" t="n"/>
      <c r="W364" s="8" t="n"/>
      <c r="X364" s="8" t="n"/>
      <c r="Y364" s="8" t="n"/>
      <c r="Z364" s="8" t="n"/>
      <c r="AA364" s="8" t="n"/>
      <c r="AB364" s="8" t="n"/>
      <c r="AC364" s="8" t="n"/>
      <c r="AD364" s="8" t="n"/>
      <c r="AE364" s="8" t="inlineStr">
        <is>
          <t>no</t>
        </is>
      </c>
    </row>
    <row r="365">
      <c r="A365" s="5" t="n">
        <v>364</v>
      </c>
      <c r="B365" s="5" t="inlineStr">
        <is>
          <t>WS0069</t>
        </is>
      </c>
      <c r="C365" s="5" t="inlineStr">
        <is>
          <t>2025</t>
        </is>
      </c>
      <c r="D365" s="5" t="inlineStr">
        <is>
          <t>English</t>
        </is>
      </c>
      <c r="E365" s="5" t="inlineStr">
        <is>
          <t>JOUR</t>
        </is>
      </c>
      <c r="F365" s="5" t="inlineStr">
        <is>
          <t>Tang</t>
        </is>
      </c>
      <c r="G365" s="5" t="inlineStr">
        <is>
          <t>Journal of the American College of Emergency Physicians open</t>
        </is>
      </c>
      <c r="H365" s="5" t="inlineStr">
        <is>
          <t>6(3):100105</t>
        </is>
      </c>
      <c r="I365" s="6" t="inlineStr">
        <is>
          <t>An Unusual Cause of Pediatric Anemia and Jaundice.</t>
        </is>
      </c>
      <c r="J365" s="5" t="inlineStr">
        <is>
          <t>10.1016/j.acepjo.2025.100105</t>
        </is>
      </c>
      <c r="K365" s="7" t="inlineStr">
        <is>
          <t>link</t>
        </is>
      </c>
      <c r="L365" s="7" t="inlineStr">
        <is>
          <t>link</t>
        </is>
      </c>
      <c r="M365" s="5" t="inlineStr">
        <is>
          <t>PMC11995703</t>
        </is>
      </c>
      <c r="N365" s="7" t="inlineStr">
        <is>
          <t>link</t>
        </is>
      </c>
      <c r="O365" s="5" t="inlineStr"/>
      <c r="P365" s="5" t="inlineStr"/>
      <c r="Q365" s="5" t="inlineStr"/>
      <c r="R365" s="5" t="inlineStr">
        <is>
          <t>1 PMC record exists</t>
        </is>
      </c>
      <c r="S365" s="5" t="inlineStr"/>
      <c r="T365" s="5" t="inlineStr">
        <is>
          <t>WS0069.pdf</t>
        </is>
      </c>
      <c r="U365" s="8" t="n"/>
      <c r="V365" s="8" t="n"/>
      <c r="W365" s="8" t="n"/>
      <c r="X365" s="8" t="n"/>
      <c r="Y365" s="8" t="n"/>
      <c r="Z365" s="8" t="n"/>
      <c r="AA365" s="8" t="n"/>
      <c r="AB365" s="8" t="n"/>
      <c r="AC365" s="8" t="n"/>
      <c r="AD365" s="8" t="n"/>
      <c r="AE365" s="8" t="inlineStr">
        <is>
          <t>no</t>
        </is>
      </c>
    </row>
    <row r="366">
      <c r="A366" s="5" t="n">
        <v>365</v>
      </c>
      <c r="B366" s="5" t="inlineStr">
        <is>
          <t>WS0123</t>
        </is>
      </c>
      <c r="C366" s="5" t="inlineStr">
        <is>
          <t>2023</t>
        </is>
      </c>
      <c r="D366" s="5" t="inlineStr">
        <is>
          <t>English</t>
        </is>
      </c>
      <c r="E366" s="5" t="inlineStr">
        <is>
          <t>JOUR</t>
        </is>
      </c>
      <c r="F366" s="5" t="inlineStr">
        <is>
          <t>Chopko</t>
        </is>
      </c>
      <c r="G366" s="5" t="inlineStr">
        <is>
          <t>BMJ case reports</t>
        </is>
      </c>
      <c r="H366" s="5" t="inlineStr">
        <is>
          <t>16(11)</t>
        </is>
      </c>
      <c r="I366" s="6" t="inlineStr">
        <is>
          <t>Mesenteroaxial volvulus due to wandering spleen: a unique repair via mesenteric splenopexy and gastropexy.</t>
        </is>
      </c>
      <c r="J366" s="5" t="inlineStr">
        <is>
          <t>10.1136/bcr-2023-258235</t>
        </is>
      </c>
      <c r="K366" s="7" t="inlineStr">
        <is>
          <t>link</t>
        </is>
      </c>
      <c r="L366" s="7" t="inlineStr">
        <is>
          <t>link</t>
        </is>
      </c>
      <c r="M366" s="5" t="inlineStr">
        <is>
          <t>PMC10685920</t>
        </is>
      </c>
      <c r="N366" s="7" t="inlineStr">
        <is>
          <t>link</t>
        </is>
      </c>
      <c r="O366" s="5" t="inlineStr"/>
      <c r="P366" s="5" t="inlineStr"/>
      <c r="Q366" s="5" t="inlineStr"/>
      <c r="R366" s="5" t="inlineStr">
        <is>
          <t>1 PMC record exists</t>
        </is>
      </c>
      <c r="S366" s="5" t="inlineStr"/>
      <c r="T366" s="5" t="inlineStr">
        <is>
          <t>WS0123.pdf</t>
        </is>
      </c>
      <c r="U366" s="8" t="n"/>
      <c r="V366" s="8" t="n"/>
      <c r="W366" s="8" t="n"/>
      <c r="X366" s="8" t="n"/>
      <c r="Y366" s="8" t="n"/>
      <c r="Z366" s="8" t="n"/>
      <c r="AA366" s="8" t="n"/>
      <c r="AB366" s="8" t="n"/>
      <c r="AC366" s="8" t="n"/>
      <c r="AD366" s="8" t="n"/>
      <c r="AE366" s="8" t="inlineStr">
        <is>
          <t>no</t>
        </is>
      </c>
    </row>
    <row r="367">
      <c r="A367" s="5" t="n">
        <v>366</v>
      </c>
      <c r="B367" s="5" t="inlineStr">
        <is>
          <t>WS0283</t>
        </is>
      </c>
      <c r="C367" s="5" t="inlineStr">
        <is>
          <t>2019</t>
        </is>
      </c>
      <c r="D367" s="5" t="inlineStr">
        <is>
          <t>English</t>
        </is>
      </c>
      <c r="E367" s="5" t="inlineStr">
        <is>
          <t>JOUR</t>
        </is>
      </c>
      <c r="F367" s="5" t="inlineStr">
        <is>
          <t>Sahoo</t>
        </is>
      </c>
      <c r="G367" s="5" t="inlineStr">
        <is>
          <t>The Turkish journal of gastroenterology : the official journal of Turkish Society of Gastroenterology</t>
        </is>
      </c>
      <c r="H367" s="5" t="inlineStr">
        <is>
          <t>30(9):843-845</t>
        </is>
      </c>
      <c r="I367" s="6" t="inlineStr">
        <is>
          <t>What is a disappearing intra-abdominal mass?</t>
        </is>
      </c>
      <c r="J367" s="5" t="inlineStr">
        <is>
          <t>10.5152/tjg.2019.18657</t>
        </is>
      </c>
      <c r="K367" s="7" t="inlineStr">
        <is>
          <t>link</t>
        </is>
      </c>
      <c r="L367" s="7" t="inlineStr">
        <is>
          <t>link</t>
        </is>
      </c>
      <c r="M367" s="5" t="inlineStr">
        <is>
          <t>PMC6750813</t>
        </is>
      </c>
      <c r="N367" s="7" t="inlineStr">
        <is>
          <t>link</t>
        </is>
      </c>
      <c r="O367" s="5" t="inlineStr"/>
      <c r="P367" s="5" t="inlineStr"/>
      <c r="Q367" s="5" t="inlineStr"/>
      <c r="R367" s="5" t="inlineStr">
        <is>
          <t>1 PMC record exists</t>
        </is>
      </c>
      <c r="S367" s="5" t="inlineStr">
        <is>
          <t>Y</t>
        </is>
      </c>
      <c r="T367" s="5" t="inlineStr">
        <is>
          <t>WS0283.pdf</t>
        </is>
      </c>
      <c r="U367" s="8" t="n"/>
      <c r="V367" s="8" t="n"/>
      <c r="W367" s="8" t="n"/>
      <c r="X367" s="8" t="n"/>
      <c r="Y367" s="8" t="n"/>
      <c r="Z367" s="8" t="n"/>
      <c r="AA367" s="8" t="n"/>
      <c r="AB367" s="8" t="n"/>
      <c r="AC367" s="8" t="n"/>
      <c r="AD367" s="8" t="n"/>
      <c r="AE367" s="8" t="inlineStr">
        <is>
          <t>no</t>
        </is>
      </c>
    </row>
    <row r="368">
      <c r="A368" s="5" t="n">
        <v>367</v>
      </c>
      <c r="B368" s="5" t="inlineStr">
        <is>
          <t>WS0314</t>
        </is>
      </c>
      <c r="C368" s="5" t="inlineStr">
        <is>
          <t>2018</t>
        </is>
      </c>
      <c r="D368" s="5" t="inlineStr">
        <is>
          <t>English</t>
        </is>
      </c>
      <c r="E368" s="5" t="inlineStr">
        <is>
          <t>JOUR</t>
        </is>
      </c>
      <c r="F368" s="5" t="inlineStr">
        <is>
          <t>Kariya</t>
        </is>
      </c>
      <c r="G368" s="5" t="inlineStr">
        <is>
          <t>BMJ case reports</t>
        </is>
      </c>
      <c r="H368" s="5" t="inlineStr">
        <is>
          <t>2018</t>
        </is>
      </c>
      <c r="I368" s="6" t="inlineStr">
        <is>
          <t>Wandering spleen caused by subcapsular haemorrhage.</t>
        </is>
      </c>
      <c r="J368" s="5" t="inlineStr">
        <is>
          <t>10.1136/bcr-2018-224917</t>
        </is>
      </c>
      <c r="K368" s="7" t="inlineStr">
        <is>
          <t>link</t>
        </is>
      </c>
      <c r="L368" s="7" t="inlineStr">
        <is>
          <t>link</t>
        </is>
      </c>
      <c r="M368" s="5" t="inlineStr">
        <is>
          <t>PMC6101342</t>
        </is>
      </c>
      <c r="N368" s="7" t="inlineStr">
        <is>
          <t>link</t>
        </is>
      </c>
      <c r="O368" s="5" t="inlineStr"/>
      <c r="P368" s="5" t="inlineStr"/>
      <c r="Q368" s="5" t="inlineStr"/>
      <c r="R368" s="5" t="inlineStr">
        <is>
          <t>1 PMC record exists</t>
        </is>
      </c>
      <c r="S368" s="5" t="inlineStr"/>
      <c r="T368" s="5" t="inlineStr">
        <is>
          <t>WS0314.pdf</t>
        </is>
      </c>
      <c r="U368" s="8" t="n"/>
      <c r="V368" s="8" t="n"/>
      <c r="W368" s="8" t="n"/>
      <c r="X368" s="8" t="n"/>
      <c r="Y368" s="8" t="n"/>
      <c r="Z368" s="8" t="n"/>
      <c r="AA368" s="8" t="n"/>
      <c r="AB368" s="8" t="n"/>
      <c r="AC368" s="8" t="n"/>
      <c r="AD368" s="8" t="n"/>
      <c r="AE368" s="8" t="inlineStr">
        <is>
          <t>no</t>
        </is>
      </c>
    </row>
    <row r="369">
      <c r="A369" s="5" t="n">
        <v>368</v>
      </c>
      <c r="B369" s="5" t="inlineStr">
        <is>
          <t>WS0320</t>
        </is>
      </c>
      <c r="C369" s="5" t="inlineStr">
        <is>
          <t>2018</t>
        </is>
      </c>
      <c r="D369" s="5" t="inlineStr">
        <is>
          <t>English</t>
        </is>
      </c>
      <c r="E369" s="5" t="inlineStr">
        <is>
          <t>JOUR</t>
        </is>
      </c>
      <c r="F369" s="5" t="inlineStr">
        <is>
          <t>Anand</t>
        </is>
      </c>
      <c r="G369" s="5" t="inlineStr">
        <is>
          <t>BMJ case reports</t>
        </is>
      </c>
      <c r="H369" s="5" t="inlineStr">
        <is>
          <t>2018</t>
        </is>
      </c>
      <c r="I369" s="6" t="inlineStr">
        <is>
          <t>Acute torsion of a wandering spleen: a paediatric emergency.</t>
        </is>
      </c>
      <c r="J369" s="5" t="inlineStr">
        <is>
          <t>10.1136/bcr-2018-225496</t>
        </is>
      </c>
      <c r="K369" s="7" t="inlineStr">
        <is>
          <t>link</t>
        </is>
      </c>
      <c r="L369" s="7" t="inlineStr">
        <is>
          <t>link</t>
        </is>
      </c>
      <c r="M369" s="5" t="inlineStr">
        <is>
          <t>PMC6020928</t>
        </is>
      </c>
      <c r="N369" s="7" t="inlineStr">
        <is>
          <t>link</t>
        </is>
      </c>
      <c r="O369" s="5" t="inlineStr"/>
      <c r="P369" s="5" t="inlineStr"/>
      <c r="Q369" s="5" t="inlineStr"/>
      <c r="R369" s="5" t="inlineStr">
        <is>
          <t>1 PMC record exists</t>
        </is>
      </c>
      <c r="S369" s="5" t="inlineStr"/>
      <c r="T369" s="5" t="inlineStr">
        <is>
          <t>WS0320.pdf</t>
        </is>
      </c>
      <c r="U369" s="8" t="n"/>
      <c r="V369" s="8" t="n"/>
      <c r="W369" s="8" t="n"/>
      <c r="X369" s="8" t="n"/>
      <c r="Y369" s="8" t="n"/>
      <c r="Z369" s="8" t="n"/>
      <c r="AA369" s="8" t="n"/>
      <c r="AB369" s="8" t="n"/>
      <c r="AC369" s="8" t="n"/>
      <c r="AD369" s="8" t="n"/>
      <c r="AE369" s="8" t="inlineStr">
        <is>
          <t>no</t>
        </is>
      </c>
    </row>
    <row r="370">
      <c r="A370" s="5" t="n">
        <v>369</v>
      </c>
      <c r="B370" s="5" t="inlineStr">
        <is>
          <t>WS0335</t>
        </is>
      </c>
      <c r="C370" s="5" t="inlineStr">
        <is>
          <t>2017</t>
        </is>
      </c>
      <c r="D370" s="5" t="inlineStr">
        <is>
          <t>English</t>
        </is>
      </c>
      <c r="E370" s="5" t="inlineStr">
        <is>
          <t>JOUR</t>
        </is>
      </c>
      <c r="F370" s="5" t="inlineStr">
        <is>
          <t>Danse</t>
        </is>
      </c>
      <c r="G370" s="5" t="inlineStr">
        <is>
          <t>BMJ case reports</t>
        </is>
      </c>
      <c r="H370" s="5" t="inlineStr">
        <is>
          <t>2017</t>
        </is>
      </c>
      <c r="I370" s="6" t="inlineStr">
        <is>
          <t>Volvulus of a wandering pelvic spleen: CT diagnosis with 3D reformatted illustration.</t>
        </is>
      </c>
      <c r="J370" s="5" t="inlineStr">
        <is>
          <t>10.1136/bcr-2017-222214</t>
        </is>
      </c>
      <c r="K370" s="7" t="inlineStr">
        <is>
          <t>link</t>
        </is>
      </c>
      <c r="L370" s="7" t="inlineStr">
        <is>
          <t>link</t>
        </is>
      </c>
      <c r="M370" s="5" t="inlineStr">
        <is>
          <t>PMC5720287</t>
        </is>
      </c>
      <c r="N370" s="7" t="inlineStr">
        <is>
          <t>link</t>
        </is>
      </c>
      <c r="O370" s="5" t="inlineStr"/>
      <c r="P370" s="5" t="inlineStr"/>
      <c r="Q370" s="5" t="inlineStr"/>
      <c r="R370" s="5" t="inlineStr">
        <is>
          <t>1 PMC record exists</t>
        </is>
      </c>
      <c r="S370" s="5" t="inlineStr"/>
      <c r="T370" s="5" t="inlineStr">
        <is>
          <t>WS0335.pdf</t>
        </is>
      </c>
      <c r="U370" s="8" t="n"/>
      <c r="V370" s="8" t="n"/>
      <c r="W370" s="8" t="n"/>
      <c r="X370" s="8" t="n"/>
      <c r="Y370" s="8" t="n"/>
      <c r="Z370" s="8" t="n"/>
      <c r="AA370" s="8" t="n"/>
      <c r="AB370" s="8" t="n"/>
      <c r="AC370" s="8" t="n"/>
      <c r="AD370" s="8" t="n"/>
      <c r="AE370" s="8" t="inlineStr">
        <is>
          <t>no</t>
        </is>
      </c>
    </row>
    <row r="371">
      <c r="A371" s="5" t="n">
        <v>370</v>
      </c>
      <c r="B371" s="5" t="inlineStr">
        <is>
          <t>WS0348</t>
        </is>
      </c>
      <c r="C371" s="5" t="inlineStr">
        <is>
          <t>2017</t>
        </is>
      </c>
      <c r="D371" s="5" t="inlineStr">
        <is>
          <t>English</t>
        </is>
      </c>
      <c r="E371" s="5" t="inlineStr">
        <is>
          <t>JOUR</t>
        </is>
      </c>
      <c r="F371" s="5" t="inlineStr">
        <is>
          <t>Jha</t>
        </is>
      </c>
      <c r="G371" s="5" t="inlineStr">
        <is>
          <t>ACG case reports journal</t>
        </is>
      </c>
      <c r="H371" s="5" t="inlineStr">
        <is>
          <t>4:e54</t>
        </is>
      </c>
      <c r="I371" s="6" t="inlineStr">
        <is>
          <t>Wandering Spleen and Portal Hypertension: A Vicious Interplay.</t>
        </is>
      </c>
      <c r="J371" s="5" t="inlineStr">
        <is>
          <t>10.14309/crj.2017.54</t>
        </is>
      </c>
      <c r="K371" s="7" t="inlineStr">
        <is>
          <t>link</t>
        </is>
      </c>
      <c r="L371" s="7" t="inlineStr">
        <is>
          <t>link</t>
        </is>
      </c>
      <c r="M371" s="5" t="inlineStr">
        <is>
          <t>PMC5404629</t>
        </is>
      </c>
      <c r="N371" s="7" t="inlineStr">
        <is>
          <t>link</t>
        </is>
      </c>
      <c r="O371" s="5" t="inlineStr"/>
      <c r="P371" s="5" t="inlineStr"/>
      <c r="Q371" s="5" t="inlineStr"/>
      <c r="R371" s="5" t="inlineStr">
        <is>
          <t>1 PMC record exists</t>
        </is>
      </c>
      <c r="S371" s="5" t="inlineStr"/>
      <c r="T371" s="5" t="inlineStr">
        <is>
          <t>WS0348.pdf</t>
        </is>
      </c>
      <c r="U371" s="8" t="n"/>
      <c r="V371" s="8" t="n"/>
      <c r="W371" s="8" t="n"/>
      <c r="X371" s="8" t="n"/>
      <c r="Y371" s="8" t="n"/>
      <c r="Z371" s="8" t="n"/>
      <c r="AA371" s="8" t="n"/>
      <c r="AB371" s="8" t="n"/>
      <c r="AC371" s="8" t="n"/>
      <c r="AD371" s="8" t="n"/>
      <c r="AE371" s="8" t="inlineStr">
        <is>
          <t>no</t>
        </is>
      </c>
    </row>
    <row r="372">
      <c r="A372" s="5" t="n">
        <v>371</v>
      </c>
      <c r="B372" s="5" t="inlineStr">
        <is>
          <t>WS0378</t>
        </is>
      </c>
      <c r="C372" s="5" t="inlineStr">
        <is>
          <t>2016</t>
        </is>
      </c>
      <c r="D372" s="5" t="inlineStr">
        <is>
          <t>English</t>
        </is>
      </c>
      <c r="E372" s="5" t="inlineStr">
        <is>
          <t>JOUR</t>
        </is>
      </c>
      <c r="F372" s="5" t="inlineStr">
        <is>
          <t>Hussain</t>
        </is>
      </c>
      <c r="G372" s="5" t="inlineStr">
        <is>
          <t>International journal of pediatrics &amp; adolescent medicine</t>
        </is>
      </c>
      <c r="H372" s="5" t="inlineStr">
        <is>
          <t>3(1):43-45</t>
        </is>
      </c>
      <c r="I372" s="6" t="inlineStr">
        <is>
          <t>Torsion of wandering spleen.</t>
        </is>
      </c>
      <c r="J372" s="5" t="inlineStr">
        <is>
          <t>10.1016/j.ijpam.2015.12.001</t>
        </is>
      </c>
      <c r="K372" s="7" t="inlineStr">
        <is>
          <t>link</t>
        </is>
      </c>
      <c r="L372" s="7" t="inlineStr">
        <is>
          <t>link</t>
        </is>
      </c>
      <c r="M372" s="5" t="inlineStr">
        <is>
          <t>PMC6372406</t>
        </is>
      </c>
      <c r="N372" s="7" t="inlineStr">
        <is>
          <t>link</t>
        </is>
      </c>
      <c r="O372" s="5" t="inlineStr"/>
      <c r="P372" s="5" t="inlineStr"/>
      <c r="Q372" s="5" t="inlineStr"/>
      <c r="R372" s="5" t="inlineStr">
        <is>
          <t>1 PMC record exists</t>
        </is>
      </c>
      <c r="S372" s="5" t="inlineStr"/>
      <c r="T372" s="5" t="inlineStr">
        <is>
          <t>WS0378.pdf</t>
        </is>
      </c>
      <c r="U372" s="8" t="n"/>
      <c r="V372" s="8" t="n"/>
      <c r="W372" s="8" t="n"/>
      <c r="X372" s="8" t="n"/>
      <c r="Y372" s="8" t="n"/>
      <c r="Z372" s="8" t="n"/>
      <c r="AA372" s="8" t="n"/>
      <c r="AB372" s="8" t="n"/>
      <c r="AC372" s="8" t="n"/>
      <c r="AD372" s="8" t="n"/>
      <c r="AE372" s="8" t="inlineStr">
        <is>
          <t>no</t>
        </is>
      </c>
    </row>
    <row r="373">
      <c r="A373" s="5" t="n">
        <v>372</v>
      </c>
      <c r="B373" s="5" t="inlineStr">
        <is>
          <t>WS0526</t>
        </is>
      </c>
      <c r="C373" s="5" t="inlineStr">
        <is>
          <t>2010</t>
        </is>
      </c>
      <c r="D373" s="5" t="inlineStr">
        <is>
          <t>English</t>
        </is>
      </c>
      <c r="E373" s="5" t="inlineStr">
        <is>
          <t>JOUR</t>
        </is>
      </c>
      <c r="F373" s="5" t="inlineStr">
        <is>
          <t>Broadis</t>
        </is>
      </c>
      <c r="G373" s="5" t="inlineStr">
        <is>
          <t>Malawi medical journal : the journal of Medical Association of Malawi</t>
        </is>
      </c>
      <c r="H373" s="5" t="inlineStr">
        <is>
          <t>22(4):120-1</t>
        </is>
      </c>
      <c r="I373" s="6" t="inlineStr">
        <is>
          <t>Paediatric wandering spleens in Malawi.</t>
        </is>
      </c>
      <c r="J373" s="5" t="inlineStr">
        <is>
          <t>10.4314/mmj.v22i4.63948</t>
        </is>
      </c>
      <c r="K373" s="7" t="inlineStr">
        <is>
          <t>link</t>
        </is>
      </c>
      <c r="L373" s="7" t="inlineStr">
        <is>
          <t>link</t>
        </is>
      </c>
      <c r="M373" s="5" t="inlineStr">
        <is>
          <t>PMC3345773</t>
        </is>
      </c>
      <c r="N373" s="7" t="inlineStr">
        <is>
          <t>link</t>
        </is>
      </c>
      <c r="O373" s="5" t="inlineStr"/>
      <c r="P373" s="5" t="inlineStr"/>
      <c r="Q373" s="5" t="inlineStr"/>
      <c r="R373" s="5" t="inlineStr">
        <is>
          <t>1 PMC record exists</t>
        </is>
      </c>
      <c r="S373" s="5" t="inlineStr"/>
      <c r="T373" s="5" t="inlineStr">
        <is>
          <t>WS0526.pdf</t>
        </is>
      </c>
      <c r="U373" s="8" t="n"/>
      <c r="V373" s="8" t="n"/>
      <c r="W373" s="8" t="n"/>
      <c r="X373" s="8" t="n"/>
      <c r="Y373" s="8" t="n"/>
      <c r="Z373" s="8" t="n"/>
      <c r="AA373" s="8" t="n"/>
      <c r="AB373" s="8" t="n"/>
      <c r="AC373" s="8" t="n"/>
      <c r="AD373" s="8" t="n"/>
      <c r="AE373" s="8" t="inlineStr">
        <is>
          <t>no</t>
        </is>
      </c>
    </row>
    <row r="374">
      <c r="A374" s="5" t="n">
        <v>373</v>
      </c>
      <c r="B374" s="5" t="inlineStr">
        <is>
          <t>WS0548</t>
        </is>
      </c>
      <c r="C374" s="5" t="inlineStr">
        <is>
          <t>2010</t>
        </is>
      </c>
      <c r="D374" s="5" t="inlineStr">
        <is>
          <t>English</t>
        </is>
      </c>
      <c r="E374" s="5" t="inlineStr">
        <is>
          <t>JOUR</t>
        </is>
      </c>
      <c r="F374" s="5" t="inlineStr">
        <is>
          <t>Saouab</t>
        </is>
      </c>
      <c r="G374" s="5" t="inlineStr">
        <is>
          <t>The British journal of radiology</t>
        </is>
      </c>
      <c r="H374" s="5" t="inlineStr">
        <is>
          <t>83(993):804-6</t>
        </is>
      </c>
      <c r="I374" s="6" t="inlineStr">
        <is>
          <t>Post-traumatic acute abdominal pain.</t>
        </is>
      </c>
      <c r="J374" s="5" t="inlineStr">
        <is>
          <t>10.1259/bjr/88857252</t>
        </is>
      </c>
      <c r="K374" s="7" t="inlineStr">
        <is>
          <t>link</t>
        </is>
      </c>
      <c r="L374" s="7" t="inlineStr">
        <is>
          <t>link</t>
        </is>
      </c>
      <c r="M374" s="5" t="inlineStr">
        <is>
          <t>PMC3473410</t>
        </is>
      </c>
      <c r="N374" s="7" t="inlineStr">
        <is>
          <t>link</t>
        </is>
      </c>
      <c r="O374" s="5" t="inlineStr"/>
      <c r="P374" s="5" t="inlineStr"/>
      <c r="Q374" s="5" t="inlineStr"/>
      <c r="R374" s="5" t="inlineStr">
        <is>
          <t>1 PMC record exists</t>
        </is>
      </c>
      <c r="S374" s="5" t="inlineStr"/>
      <c r="T374" s="5" t="inlineStr">
        <is>
          <t>WS0548.pdf</t>
        </is>
      </c>
      <c r="U374" s="8" t="n"/>
      <c r="V374" s="8" t="n"/>
      <c r="W374" s="8" t="n"/>
      <c r="X374" s="8" t="n"/>
      <c r="Y374" s="8" t="n"/>
      <c r="Z374" s="8" t="n"/>
      <c r="AA374" s="8" t="n"/>
      <c r="AB374" s="8" t="n"/>
      <c r="AC374" s="8" t="n"/>
      <c r="AD374" s="8" t="n"/>
      <c r="AE374" s="8" t="inlineStr">
        <is>
          <t>no</t>
        </is>
      </c>
    </row>
    <row r="375">
      <c r="A375" s="5" t="n">
        <v>374</v>
      </c>
      <c r="B375" s="5" t="inlineStr">
        <is>
          <t>WS0662</t>
        </is>
      </c>
      <c r="C375" s="5" t="inlineStr">
        <is>
          <t>2006</t>
        </is>
      </c>
      <c r="D375" s="5" t="inlineStr">
        <is>
          <t>English</t>
        </is>
      </c>
      <c r="E375" s="5" t="inlineStr">
        <is>
          <t>JOUR</t>
        </is>
      </c>
      <c r="F375" s="5" t="inlineStr">
        <is>
          <t>Alam</t>
        </is>
      </c>
      <c r="G375" s="5" t="inlineStr">
        <is>
          <t>Medical journal, Armed Forces India</t>
        </is>
      </c>
      <c r="H375" s="5" t="inlineStr">
        <is>
          <t>62(1):81-2</t>
        </is>
      </c>
      <c r="I375" s="6" t="inlineStr">
        <is>
          <t>Torsion of Wandering Spleen: Diagnosis using Magnetic Resonance Imaging.</t>
        </is>
      </c>
      <c r="J375" s="5" t="inlineStr">
        <is>
          <t>10.1016/s0377-1237(06)80169-3</t>
        </is>
      </c>
      <c r="K375" s="7" t="inlineStr">
        <is>
          <t>link</t>
        </is>
      </c>
      <c r="L375" s="7" t="inlineStr">
        <is>
          <t>link</t>
        </is>
      </c>
      <c r="M375" s="5" t="inlineStr">
        <is>
          <t>PMC4923347</t>
        </is>
      </c>
      <c r="N375" s="7" t="inlineStr">
        <is>
          <t>link</t>
        </is>
      </c>
      <c r="O375" s="5" t="inlineStr"/>
      <c r="P375" s="5" t="inlineStr"/>
      <c r="Q375" s="5" t="inlineStr"/>
      <c r="R375" s="5" t="inlineStr">
        <is>
          <t>1 PMC record exists</t>
        </is>
      </c>
      <c r="S375" s="5" t="inlineStr"/>
      <c r="T375" s="5" t="inlineStr">
        <is>
          <t>WS0662.pdf</t>
        </is>
      </c>
      <c r="U375" s="8" t="n"/>
      <c r="V375" s="8" t="n"/>
      <c r="W375" s="8" t="n"/>
      <c r="X375" s="8" t="n"/>
      <c r="Y375" s="8" t="n"/>
      <c r="Z375" s="8" t="n"/>
      <c r="AA375" s="8" t="n"/>
      <c r="AB375" s="8" t="n"/>
      <c r="AC375" s="8" t="n"/>
      <c r="AD375" s="8" t="n"/>
      <c r="AE375" s="8" t="inlineStr">
        <is>
          <t>no</t>
        </is>
      </c>
    </row>
    <row r="376">
      <c r="A376" s="5" t="n">
        <v>375</v>
      </c>
      <c r="B376" s="5" t="inlineStr">
        <is>
          <t>WS0677</t>
        </is>
      </c>
      <c r="C376" s="5" t="inlineStr">
        <is>
          <t>2005</t>
        </is>
      </c>
      <c r="D376" s="5" t="inlineStr">
        <is>
          <t>English</t>
        </is>
      </c>
      <c r="E376" s="5" t="inlineStr">
        <is>
          <t>JOUR</t>
        </is>
      </c>
      <c r="F376" s="5" t="inlineStr">
        <is>
          <t>Awe</t>
        </is>
      </c>
      <c r="G376" s="5" t="inlineStr">
        <is>
          <t>Annals of Saudi medicine</t>
        </is>
      </c>
      <c r="H376" s="5" t="inlineStr">
        <is>
          <t>25(2):168-70</t>
        </is>
      </c>
      <c r="I376" s="6" t="inlineStr">
        <is>
          <t>Wandering spleen associated with a splenic cyst.</t>
        </is>
      </c>
      <c r="J376" s="5" t="inlineStr">
        <is>
          <t>10.5144/0256-4947.2005.168</t>
        </is>
      </c>
      <c r="K376" s="7" t="inlineStr">
        <is>
          <t>link</t>
        </is>
      </c>
      <c r="L376" s="7" t="inlineStr">
        <is>
          <t>link</t>
        </is>
      </c>
      <c r="M376" s="5" t="inlineStr">
        <is>
          <t>PMC6147954</t>
        </is>
      </c>
      <c r="N376" s="7" t="inlineStr">
        <is>
          <t>link</t>
        </is>
      </c>
      <c r="O376" s="5" t="inlineStr"/>
      <c r="P376" s="5" t="inlineStr"/>
      <c r="Q376" s="5" t="inlineStr"/>
      <c r="R376" s="5" t="inlineStr">
        <is>
          <t>1 PMC record exists</t>
        </is>
      </c>
      <c r="S376" s="5" t="inlineStr"/>
      <c r="T376" s="5" t="inlineStr">
        <is>
          <t>WS0677.pdf</t>
        </is>
      </c>
      <c r="U376" s="8" t="n"/>
      <c r="V376" s="8" t="n"/>
      <c r="W376" s="8" t="n"/>
      <c r="X376" s="8" t="n"/>
      <c r="Y376" s="8" t="n"/>
      <c r="Z376" s="8" t="n"/>
      <c r="AA376" s="8" t="n"/>
      <c r="AB376" s="8" t="n"/>
      <c r="AC376" s="8" t="n"/>
      <c r="AD376" s="8" t="n"/>
      <c r="AE376" s="8" t="inlineStr">
        <is>
          <t>no</t>
        </is>
      </c>
    </row>
    <row r="377">
      <c r="A377" s="5" t="n">
        <v>376</v>
      </c>
      <c r="B377" s="5" t="inlineStr">
        <is>
          <t>WS0032</t>
        </is>
      </c>
      <c r="C377" s="5" t="inlineStr">
        <is>
          <t>2026</t>
        </is>
      </c>
      <c r="D377" s="5" t="inlineStr">
        <is>
          <t>English</t>
        </is>
      </c>
      <c r="E377" s="5" t="inlineStr">
        <is>
          <t>JOUR</t>
        </is>
      </c>
      <c r="F377" s="5" t="inlineStr">
        <is>
          <t>Aggarwal</t>
        </is>
      </c>
      <c r="G377" s="5" t="inlineStr">
        <is>
          <t>Abdominal radiology (New York)</t>
        </is>
      </c>
      <c r="H377" s="5" t="inlineStr">
        <is>
          <t>51(7):3716-3717</t>
        </is>
      </c>
      <c r="I377" s="6" t="inlineStr">
        <is>
          <t>Whirl sign in splenic torsion: an uncommon complication of wandering spleen.</t>
        </is>
      </c>
      <c r="J377" s="5" t="inlineStr">
        <is>
          <t>10.1007/s00261-025-05322-y</t>
        </is>
      </c>
      <c r="K377" s="7" t="inlineStr">
        <is>
          <t>link</t>
        </is>
      </c>
      <c r="L377" s="7" t="inlineStr">
        <is>
          <t>link</t>
        </is>
      </c>
      <c r="M377" s="5" t="inlineStr"/>
      <c r="N377" s="5" t="inlineStr"/>
      <c r="O377" s="5" t="inlineStr"/>
      <c r="P377" s="5" t="inlineStr"/>
      <c r="Q377" s="5" t="inlineStr"/>
      <c r="R377" s="5" t="inlineStr">
        <is>
          <t>2 English, DOI or PubMed link</t>
        </is>
      </c>
      <c r="S377" s="5" t="inlineStr"/>
      <c r="T377" s="5" t="inlineStr">
        <is>
          <t>WS0032.pdf</t>
        </is>
      </c>
      <c r="U377" s="8" t="n"/>
      <c r="V377" s="8" t="n"/>
      <c r="W377" s="8" t="n"/>
      <c r="X377" s="8" t="n"/>
      <c r="Y377" s="8" t="n"/>
      <c r="Z377" s="8" t="n"/>
      <c r="AA377" s="8" t="n"/>
      <c r="AB377" s="8" t="n"/>
      <c r="AC377" s="8" t="n"/>
      <c r="AD377" s="8" t="n"/>
      <c r="AE377" s="8" t="inlineStr">
        <is>
          <t>no</t>
        </is>
      </c>
    </row>
    <row r="378">
      <c r="A378" s="5" t="n">
        <v>377</v>
      </c>
      <c r="B378" s="5" t="inlineStr">
        <is>
          <t>WS1299</t>
        </is>
      </c>
      <c r="C378" s="5" t="inlineStr">
        <is>
          <t>2026</t>
        </is>
      </c>
      <c r="D378" s="5" t="inlineStr">
        <is>
          <t>English</t>
        </is>
      </c>
      <c r="E378" s="5" t="inlineStr">
        <is>
          <t>JOUR</t>
        </is>
      </c>
      <c r="F378" s="5" t="inlineStr">
        <is>
          <t>Carmichael</t>
        </is>
      </c>
      <c r="G378" s="5" t="inlineStr">
        <is>
          <t>BJS-BRITISH JOURNAL OF SURGERY</t>
        </is>
      </c>
      <c r="H378" s="5" t="inlineStr">
        <is>
          <t>113</t>
        </is>
      </c>
      <c r="I378" s="6" t="inlineStr">
        <is>
          <t>Wandering Spleen with Torsion and Coexisting Splenic Cyst: A Rare Triple Pathology in a Single Case</t>
        </is>
      </c>
      <c r="J378" s="5" t="inlineStr">
        <is>
          <t>10.1093/bjs/znag063.356</t>
        </is>
      </c>
      <c r="K378" s="7" t="inlineStr">
        <is>
          <t>link</t>
        </is>
      </c>
      <c r="L378" s="5" t="inlineStr"/>
      <c r="M378" s="5" t="inlineStr"/>
      <c r="N378" s="5" t="inlineStr"/>
      <c r="O378" s="5" t="inlineStr"/>
      <c r="P378" s="5" t="inlineStr"/>
      <c r="Q378" s="5" t="inlineStr"/>
      <c r="R378" s="5" t="inlineStr">
        <is>
          <t>2 English, DOI or PubMed link</t>
        </is>
      </c>
      <c r="S378" s="5" t="inlineStr"/>
      <c r="T378" s="5" t="inlineStr">
        <is>
          <t>WS1299.pdf</t>
        </is>
      </c>
      <c r="U378" s="8" t="n"/>
      <c r="V378" s="8" t="n"/>
      <c r="W378" s="8" t="n"/>
      <c r="X378" s="8" t="n"/>
      <c r="Y378" s="8" t="n"/>
      <c r="Z378" s="8" t="n"/>
      <c r="AA378" s="8" t="n"/>
      <c r="AB378" s="8" t="n"/>
      <c r="AC378" s="8" t="n"/>
      <c r="AD378" s="8" t="n"/>
      <c r="AE378" s="8" t="inlineStr">
        <is>
          <t>no</t>
        </is>
      </c>
    </row>
    <row r="379">
      <c r="A379" s="5" t="n">
        <v>378</v>
      </c>
      <c r="B379" s="5" t="inlineStr">
        <is>
          <t>WS1526</t>
        </is>
      </c>
      <c r="C379" s="5" t="inlineStr">
        <is>
          <t>2026</t>
        </is>
      </c>
      <c r="D379" s="5" t="inlineStr">
        <is>
          <t>English</t>
        </is>
      </c>
      <c r="E379" s="5" t="inlineStr">
        <is>
          <t>JOUR</t>
        </is>
      </c>
      <c r="F379" s="5" t="inlineStr">
        <is>
          <t>Zhang</t>
        </is>
      </c>
      <c r="G379" s="5" t="inlineStr">
        <is>
          <t>Asian Journal of Surgery</t>
        </is>
      </c>
      <c r="H379" s="5" t="inlineStr">
        <is>
          <t>49(10):5387-5388</t>
        </is>
      </c>
      <c r="I379" s="6" t="inlineStr">
        <is>
          <t>Splenic torsion secondary to a pelvic wandering spleen</t>
        </is>
      </c>
      <c r="J379" s="5" t="inlineStr">
        <is>
          <t>10.1016/j.asjsur.2026.02.220</t>
        </is>
      </c>
      <c r="K379" s="7" t="inlineStr">
        <is>
          <t>link</t>
        </is>
      </c>
      <c r="L379" s="5" t="inlineStr"/>
      <c r="M379" s="5" t="inlineStr"/>
      <c r="N379" s="5" t="inlineStr"/>
      <c r="O379" s="5" t="inlineStr"/>
      <c r="P379" s="5" t="inlineStr"/>
      <c r="Q379" s="7" t="inlineStr">
        <is>
          <t>link</t>
        </is>
      </c>
      <c r="R379" s="5" t="inlineStr">
        <is>
          <t>2 English, DOI or PubMed link</t>
        </is>
      </c>
      <c r="S379" s="5" t="inlineStr"/>
      <c r="T379" s="5" t="inlineStr">
        <is>
          <t>WS1526.pdf</t>
        </is>
      </c>
      <c r="U379" s="8" t="n"/>
      <c r="V379" s="8" t="n"/>
      <c r="W379" s="8" t="n"/>
      <c r="X379" s="8" t="n"/>
      <c r="Y379" s="8" t="n"/>
      <c r="Z379" s="8" t="n"/>
      <c r="AA379" s="8" t="n"/>
      <c r="AB379" s="8" t="n"/>
      <c r="AC379" s="8" t="n"/>
      <c r="AD379" s="8" t="n"/>
      <c r="AE379" s="8" t="inlineStr">
        <is>
          <t>no</t>
        </is>
      </c>
    </row>
    <row r="380">
      <c r="A380" s="5" t="n">
        <v>379</v>
      </c>
      <c r="B380" s="5" t="inlineStr">
        <is>
          <t>WS0065</t>
        </is>
      </c>
      <c r="C380" s="5" t="inlineStr">
        <is>
          <t>2025</t>
        </is>
      </c>
      <c r="D380" s="5" t="inlineStr">
        <is>
          <t>English</t>
        </is>
      </c>
      <c r="E380" s="5" t="inlineStr">
        <is>
          <t>JOUR</t>
        </is>
      </c>
      <c r="F380" s="5" t="inlineStr">
        <is>
          <t>Garcia-Hidalgo</t>
        </is>
      </c>
      <c r="G380" s="5" t="inlineStr">
        <is>
          <t>Radiologia</t>
        </is>
      </c>
      <c r="H380" s="5" t="inlineStr">
        <is>
          <t>67(3):395-398</t>
        </is>
      </c>
      <c r="I380" s="6" t="inlineStr">
        <is>
          <t>Acute abdomen secondary to torsion of a wandering spleen.</t>
        </is>
      </c>
      <c r="J380" s="5" t="inlineStr">
        <is>
          <t>10.1016/j.rxeng.2024.11.006</t>
        </is>
      </c>
      <c r="K380" s="7" t="inlineStr">
        <is>
          <t>link</t>
        </is>
      </c>
      <c r="L380" s="7" t="inlineStr">
        <is>
          <t>link</t>
        </is>
      </c>
      <c r="M380" s="5" t="inlineStr"/>
      <c r="N380" s="5" t="inlineStr"/>
      <c r="O380" s="5" t="inlineStr"/>
      <c r="P380" s="5" t="inlineStr"/>
      <c r="Q380" s="5" t="inlineStr"/>
      <c r="R380" s="5" t="inlineStr">
        <is>
          <t>2 English, DOI or PubMed link</t>
        </is>
      </c>
      <c r="S380" s="5" t="inlineStr"/>
      <c r="T380" s="5" t="inlineStr">
        <is>
          <t>WS0065.pdf</t>
        </is>
      </c>
      <c r="U380" s="8" t="n"/>
      <c r="V380" s="8" t="n"/>
      <c r="W380" s="8" t="n"/>
      <c r="X380" s="8" t="n"/>
      <c r="Y380" s="8" t="n"/>
      <c r="Z380" s="8" t="n"/>
      <c r="AA380" s="8" t="n"/>
      <c r="AB380" s="8" t="n"/>
      <c r="AC380" s="8" t="n"/>
      <c r="AD380" s="8" t="n"/>
      <c r="AE380" s="8" t="inlineStr">
        <is>
          <t>no</t>
        </is>
      </c>
    </row>
    <row r="381">
      <c r="A381" s="5" t="n">
        <v>380</v>
      </c>
      <c r="B381" s="5" t="inlineStr">
        <is>
          <t>WS0066</t>
        </is>
      </c>
      <c r="C381" s="5" t="inlineStr">
        <is>
          <t>2025</t>
        </is>
      </c>
      <c r="D381" s="5" t="inlineStr">
        <is>
          <t>English</t>
        </is>
      </c>
      <c r="E381" s="5" t="inlineStr">
        <is>
          <t>JOUR</t>
        </is>
      </c>
      <c r="F381" s="5" t="inlineStr">
        <is>
          <t>Guerra</t>
        </is>
      </c>
      <c r="G381" s="5" t="inlineStr">
        <is>
          <t>Clinics and research in hepatology and gastroenterology</t>
        </is>
      </c>
      <c r="H381" s="5" t="inlineStr">
        <is>
          <t>49(6):102614</t>
        </is>
      </c>
      <c r="I381" s="6" t="inlineStr">
        <is>
          <t>A wandering spleen.</t>
        </is>
      </c>
      <c r="J381" s="5" t="inlineStr">
        <is>
          <t>10.1016/j.clinre.2025.102614</t>
        </is>
      </c>
      <c r="K381" s="7" t="inlineStr">
        <is>
          <t>link</t>
        </is>
      </c>
      <c r="L381" s="7" t="inlineStr">
        <is>
          <t>link</t>
        </is>
      </c>
      <c r="M381" s="5" t="inlineStr"/>
      <c r="N381" s="5" t="inlineStr"/>
      <c r="O381" s="5" t="inlineStr"/>
      <c r="P381" s="5" t="inlineStr"/>
      <c r="Q381" s="5" t="inlineStr"/>
      <c r="R381" s="5" t="inlineStr">
        <is>
          <t>2 English, DOI or PubMed link</t>
        </is>
      </c>
      <c r="S381" s="5" t="inlineStr"/>
      <c r="T381" s="5" t="inlineStr">
        <is>
          <t>WS0066.pdf</t>
        </is>
      </c>
      <c r="U381" s="8" t="n"/>
      <c r="V381" s="8" t="n"/>
      <c r="W381" s="8" t="n"/>
      <c r="X381" s="8" t="n"/>
      <c r="Y381" s="8" t="n"/>
      <c r="Z381" s="8" t="n"/>
      <c r="AA381" s="8" t="n"/>
      <c r="AB381" s="8" t="n"/>
      <c r="AC381" s="8" t="n"/>
      <c r="AD381" s="8" t="n"/>
      <c r="AE381" s="8" t="inlineStr">
        <is>
          <t>no</t>
        </is>
      </c>
    </row>
    <row r="382">
      <c r="A382" s="5" t="n">
        <v>381</v>
      </c>
      <c r="B382" s="5" t="inlineStr">
        <is>
          <t>WS0075</t>
        </is>
      </c>
      <c r="C382" s="5" t="inlineStr">
        <is>
          <t>2025</t>
        </is>
      </c>
      <c r="D382" s="5" t="inlineStr">
        <is>
          <t>English</t>
        </is>
      </c>
      <c r="E382" s="5" t="inlineStr">
        <is>
          <t>JOUR</t>
        </is>
      </c>
      <c r="F382" s="5" t="inlineStr">
        <is>
          <t>Li</t>
        </is>
      </c>
      <c r="G382" s="5" t="inlineStr">
        <is>
          <t>Medical ultrasonography</t>
        </is>
      </c>
      <c r="H382" s="5" t="inlineStr">
        <is>
          <t>27(1):110-111</t>
        </is>
      </c>
      <c r="I382" s="6" t="inlineStr">
        <is>
          <t>Torsion with necrosis of a wandering spleen in a child.</t>
        </is>
      </c>
      <c r="J382" s="5" t="inlineStr">
        <is>
          <t>10.11152/mu-4484</t>
        </is>
      </c>
      <c r="K382" s="7" t="inlineStr">
        <is>
          <t>link</t>
        </is>
      </c>
      <c r="L382" s="7" t="inlineStr">
        <is>
          <t>link</t>
        </is>
      </c>
      <c r="M382" s="5" t="inlineStr"/>
      <c r="N382" s="5" t="inlineStr"/>
      <c r="O382" s="5" t="inlineStr"/>
      <c r="P382" s="5" t="inlineStr"/>
      <c r="Q382" s="5" t="inlineStr"/>
      <c r="R382" s="5" t="inlineStr">
        <is>
          <t>2 English, DOI or PubMed link</t>
        </is>
      </c>
      <c r="S382" s="5" t="inlineStr"/>
      <c r="T382" s="5" t="inlineStr">
        <is>
          <t>WS0075.pdf</t>
        </is>
      </c>
      <c r="U382" s="8" t="n"/>
      <c r="V382" s="8" t="n"/>
      <c r="W382" s="8" t="n"/>
      <c r="X382" s="8" t="n"/>
      <c r="Y382" s="8" t="n"/>
      <c r="Z382" s="8" t="n"/>
      <c r="AA382" s="8" t="n"/>
      <c r="AB382" s="8" t="n"/>
      <c r="AC382" s="8" t="n"/>
      <c r="AD382" s="8" t="n"/>
      <c r="AE382" s="8" t="inlineStr">
        <is>
          <t>no</t>
        </is>
      </c>
    </row>
    <row r="383">
      <c r="A383" s="5" t="n">
        <v>382</v>
      </c>
      <c r="B383" s="5" t="inlineStr">
        <is>
          <t>WS0078</t>
        </is>
      </c>
      <c r="C383" s="5" t="inlineStr">
        <is>
          <t>2025</t>
        </is>
      </c>
      <c r="D383" s="5" t="inlineStr">
        <is>
          <t>English</t>
        </is>
      </c>
      <c r="E383" s="5" t="inlineStr">
        <is>
          <t>JOUR</t>
        </is>
      </c>
      <c r="F383" s="5" t="inlineStr">
        <is>
          <t>Chen</t>
        </is>
      </c>
      <c r="G383" s="5" t="inlineStr">
        <is>
          <t>Pediatrics and neonatology</t>
        </is>
      </c>
      <c r="H383" s="5" t="inlineStr">
        <is>
          <t>66(3):289-290</t>
        </is>
      </c>
      <c r="I383" s="6" t="inlineStr">
        <is>
          <t>A case of mesenteroaxial gastric volvulus with wandering spleen in a 2-year-old boy.</t>
        </is>
      </c>
      <c r="J383" s="5" t="inlineStr">
        <is>
          <t>10.1016/j.pedneo.2024.12.002</t>
        </is>
      </c>
      <c r="K383" s="7" t="inlineStr">
        <is>
          <t>link</t>
        </is>
      </c>
      <c r="L383" s="7" t="inlineStr">
        <is>
          <t>link</t>
        </is>
      </c>
      <c r="M383" s="5" t="inlineStr"/>
      <c r="N383" s="5" t="inlineStr"/>
      <c r="O383" s="5" t="inlineStr"/>
      <c r="P383" s="5" t="inlineStr"/>
      <c r="Q383" s="5" t="inlineStr"/>
      <c r="R383" s="5" t="inlineStr">
        <is>
          <t>2 English, DOI or PubMed link</t>
        </is>
      </c>
      <c r="S383" s="5" t="inlineStr"/>
      <c r="T383" s="5" t="inlineStr">
        <is>
          <t>WS0078.pdf</t>
        </is>
      </c>
      <c r="U383" s="8" t="n"/>
      <c r="V383" s="8" t="n"/>
      <c r="W383" s="8" t="n"/>
      <c r="X383" s="8" t="n"/>
      <c r="Y383" s="8" t="n"/>
      <c r="Z383" s="8" t="n"/>
      <c r="AA383" s="8" t="n"/>
      <c r="AB383" s="8" t="n"/>
      <c r="AC383" s="8" t="n"/>
      <c r="AD383" s="8" t="n"/>
      <c r="AE383" s="8" t="inlineStr">
        <is>
          <t>no</t>
        </is>
      </c>
    </row>
    <row r="384">
      <c r="A384" s="5" t="n">
        <v>383</v>
      </c>
      <c r="B384" s="5" t="inlineStr">
        <is>
          <t>WS0096</t>
        </is>
      </c>
      <c r="C384" s="5" t="inlineStr">
        <is>
          <t>2025</t>
        </is>
      </c>
      <c r="D384" s="5" t="inlineStr">
        <is>
          <t>English</t>
        </is>
      </c>
      <c r="E384" s="5" t="inlineStr">
        <is>
          <t>JOUR</t>
        </is>
      </c>
      <c r="F384" s="5" t="inlineStr">
        <is>
          <t>Abellan Lopez</t>
        </is>
      </c>
      <c r="G384" s="5" t="inlineStr">
        <is>
          <t>Cirugia espanola</t>
        </is>
      </c>
      <c r="H384" s="5" t="inlineStr">
        <is>
          <t>103(1):54</t>
        </is>
      </c>
      <c r="I384" s="6" t="inlineStr">
        <is>
          <t>Wandering spleen as a cause of acute abdomen.</t>
        </is>
      </c>
      <c r="J384" s="5" t="inlineStr">
        <is>
          <t>10.1016/j.cireng.2024.05.019</t>
        </is>
      </c>
      <c r="K384" s="7" t="inlineStr">
        <is>
          <t>link</t>
        </is>
      </c>
      <c r="L384" s="7" t="inlineStr">
        <is>
          <t>link</t>
        </is>
      </c>
      <c r="M384" s="5" t="inlineStr"/>
      <c r="N384" s="5" t="inlineStr"/>
      <c r="O384" s="5" t="inlineStr"/>
      <c r="P384" s="5" t="inlineStr"/>
      <c r="Q384" s="5" t="inlineStr"/>
      <c r="R384" s="5" t="inlineStr">
        <is>
          <t>2 English, DOI or PubMed link</t>
        </is>
      </c>
      <c r="S384" s="5" t="inlineStr"/>
      <c r="T384" s="5" t="inlineStr">
        <is>
          <t>WS0096.pdf</t>
        </is>
      </c>
      <c r="U384" s="8" t="n"/>
      <c r="V384" s="8" t="n"/>
      <c r="W384" s="8" t="n"/>
      <c r="X384" s="8" t="n"/>
      <c r="Y384" s="8" t="n"/>
      <c r="Z384" s="8" t="n"/>
      <c r="AA384" s="8" t="n"/>
      <c r="AB384" s="8" t="n"/>
      <c r="AC384" s="8" t="n"/>
      <c r="AD384" s="8" t="n"/>
      <c r="AE384" s="8" t="inlineStr">
        <is>
          <t>no</t>
        </is>
      </c>
    </row>
    <row r="385">
      <c r="A385" s="5" t="n">
        <v>384</v>
      </c>
      <c r="B385" s="5" t="inlineStr">
        <is>
          <t>WS1279</t>
        </is>
      </c>
      <c r="C385" s="5" t="inlineStr">
        <is>
          <t>2025</t>
        </is>
      </c>
      <c r="D385" s="5" t="inlineStr">
        <is>
          <t>English</t>
        </is>
      </c>
      <c r="E385" s="5" t="inlineStr">
        <is>
          <t>JOUR</t>
        </is>
      </c>
      <c r="F385" s="5" t="inlineStr">
        <is>
          <t>Gandhi</t>
        </is>
      </c>
      <c r="G385" s="5" t="inlineStr">
        <is>
          <t>BJS-BRITISH JOURNAL OF SURGERY</t>
        </is>
      </c>
      <c r="H385" s="5" t="inlineStr">
        <is>
          <t>112</t>
        </is>
      </c>
      <c r="I385" s="6" t="inlineStr">
        <is>
          <t>Acute Splenic Torsion of Wandering Spleen in Association with Intestinal Nonrotation and Situs Inversus</t>
        </is>
      </c>
      <c r="J385" s="5" t="inlineStr">
        <is>
          <t>10.1093/bjs/znaf270.063</t>
        </is>
      </c>
      <c r="K385" s="7" t="inlineStr">
        <is>
          <t>link</t>
        </is>
      </c>
      <c r="L385" s="5" t="inlineStr"/>
      <c r="M385" s="5" t="inlineStr"/>
      <c r="N385" s="5" t="inlineStr"/>
      <c r="O385" s="5" t="inlineStr"/>
      <c r="P385" s="5" t="inlineStr"/>
      <c r="Q385" s="5" t="inlineStr"/>
      <c r="R385" s="5" t="inlineStr">
        <is>
          <t>2 English, DOI or PubMed link</t>
        </is>
      </c>
      <c r="S385" s="5" t="inlineStr"/>
      <c r="T385" s="5" t="inlineStr">
        <is>
          <t>WS1279.pdf</t>
        </is>
      </c>
      <c r="U385" s="8" t="n"/>
      <c r="V385" s="8" t="n"/>
      <c r="W385" s="8" t="n"/>
      <c r="X385" s="8" t="n"/>
      <c r="Y385" s="8" t="n"/>
      <c r="Z385" s="8" t="n"/>
      <c r="AA385" s="8" t="n"/>
      <c r="AB385" s="8" t="n"/>
      <c r="AC385" s="8" t="n"/>
      <c r="AD385" s="8" t="n"/>
      <c r="AE385" s="8" t="inlineStr">
        <is>
          <t>no</t>
        </is>
      </c>
    </row>
    <row r="386">
      <c r="A386" s="5" t="n">
        <v>385</v>
      </c>
      <c r="B386" s="5" t="inlineStr">
        <is>
          <t>WS1542</t>
        </is>
      </c>
      <c r="C386" s="5" t="inlineStr">
        <is>
          <t>2025</t>
        </is>
      </c>
      <c r="D386" s="5" t="inlineStr">
        <is>
          <t>English</t>
        </is>
      </c>
      <c r="E386" s="5" t="inlineStr">
        <is>
          <t>JOUR</t>
        </is>
      </c>
      <c r="F386" s="5" t="inlineStr">
        <is>
          <t>Kaba</t>
        </is>
      </c>
      <c r="G386" s="5" t="inlineStr">
        <is>
          <t>Annals of Emergency Medicine</t>
        </is>
      </c>
      <c r="H386" s="5" t="inlineStr">
        <is>
          <t>86(1):103-104</t>
        </is>
      </c>
      <c r="I386" s="6" t="inlineStr">
        <is>
          <t>Acute-Onset Left Upper Quadrant Pain in a Young Woman</t>
        </is>
      </c>
      <c r="J386" s="5" t="inlineStr">
        <is>
          <t>10.1016/j.annemergmed.2025.01.020</t>
        </is>
      </c>
      <c r="K386" s="7" t="inlineStr">
        <is>
          <t>link</t>
        </is>
      </c>
      <c r="L386" s="5" t="inlineStr"/>
      <c r="M386" s="5" t="inlineStr"/>
      <c r="N386" s="5" t="inlineStr"/>
      <c r="O386" s="5" t="inlineStr"/>
      <c r="P386" s="5" t="inlineStr"/>
      <c r="Q386" s="7" t="inlineStr">
        <is>
          <t>link</t>
        </is>
      </c>
      <c r="R386" s="5" t="inlineStr">
        <is>
          <t>2 English, DOI or PubMed link</t>
        </is>
      </c>
      <c r="S386" s="5" t="inlineStr"/>
      <c r="T386" s="5" t="inlineStr">
        <is>
          <t>WS1542.pdf</t>
        </is>
      </c>
      <c r="U386" s="8" t="n"/>
      <c r="V386" s="8" t="n"/>
      <c r="W386" s="8" t="n"/>
      <c r="X386" s="8" t="n"/>
      <c r="Y386" s="8" t="n"/>
      <c r="Z386" s="8" t="n"/>
      <c r="AA386" s="8" t="n"/>
      <c r="AB386" s="8" t="n"/>
      <c r="AC386" s="8" t="n"/>
      <c r="AD386" s="8" t="n"/>
      <c r="AE386" s="8" t="inlineStr">
        <is>
          <t>no</t>
        </is>
      </c>
    </row>
    <row r="387">
      <c r="A387" s="5" t="n">
        <v>386</v>
      </c>
      <c r="B387" s="5" t="inlineStr">
        <is>
          <t>WS0093</t>
        </is>
      </c>
      <c r="C387" s="5" t="inlineStr">
        <is>
          <t>2024</t>
        </is>
      </c>
      <c r="D387" s="5" t="inlineStr">
        <is>
          <t>English</t>
        </is>
      </c>
      <c r="E387" s="5" t="inlineStr">
        <is>
          <t>JOUR</t>
        </is>
      </c>
      <c r="F387" s="5" t="inlineStr">
        <is>
          <t>Hiraba</t>
        </is>
      </c>
      <c r="G387" s="5" t="inlineStr">
        <is>
          <t>Pediatrics international : official journal of the Japan Pediatric Society</t>
        </is>
      </c>
      <c r="H387" s="5" t="inlineStr">
        <is>
          <t>66(1):e15810</t>
        </is>
      </c>
      <c r="I387" s="6" t="inlineStr">
        <is>
          <t>Two cases of pediatric splenic torsion as a possible late complication of laparoscopic fundoplication.</t>
        </is>
      </c>
      <c r="J387" s="5" t="inlineStr">
        <is>
          <t>10.1111/ped.15810</t>
        </is>
      </c>
      <c r="K387" s="7" t="inlineStr">
        <is>
          <t>link</t>
        </is>
      </c>
      <c r="L387" s="7" t="inlineStr">
        <is>
          <t>link</t>
        </is>
      </c>
      <c r="M387" s="5" t="inlineStr"/>
      <c r="N387" s="5" t="inlineStr"/>
      <c r="O387" s="5" t="inlineStr"/>
      <c r="P387" s="5" t="inlineStr"/>
      <c r="Q387" s="5" t="inlineStr"/>
      <c r="R387" s="5" t="inlineStr">
        <is>
          <t>2 English, DOI or PubMed link</t>
        </is>
      </c>
      <c r="S387" s="5" t="inlineStr"/>
      <c r="T387" s="5" t="inlineStr">
        <is>
          <t>WS0093.pdf</t>
        </is>
      </c>
      <c r="U387" s="8" t="n"/>
      <c r="V387" s="8" t="n"/>
      <c r="W387" s="8" t="n"/>
      <c r="X387" s="8" t="n"/>
      <c r="Y387" s="8" t="n"/>
      <c r="Z387" s="8" t="n"/>
      <c r="AA387" s="8" t="n"/>
      <c r="AB387" s="8" t="n"/>
      <c r="AC387" s="8" t="n"/>
      <c r="AD387" s="8" t="n"/>
      <c r="AE387" s="8" t="inlineStr">
        <is>
          <t>no</t>
        </is>
      </c>
    </row>
    <row r="388">
      <c r="A388" s="5" t="n">
        <v>387</v>
      </c>
      <c r="B388" s="5" t="inlineStr">
        <is>
          <t>WS0124</t>
        </is>
      </c>
      <c r="C388" s="5" t="inlineStr">
        <is>
          <t>2024</t>
        </is>
      </c>
      <c r="D388" s="5" t="inlineStr">
        <is>
          <t>English</t>
        </is>
      </c>
      <c r="E388" s="5" t="inlineStr">
        <is>
          <t>JOUR</t>
        </is>
      </c>
      <c r="F388" s="5" t="inlineStr">
        <is>
          <t>Lajusticia</t>
        </is>
      </c>
      <c r="G388" s="5" t="inlineStr">
        <is>
          <t>Anales de pediatria</t>
        </is>
      </c>
      <c r="H388" s="5" t="inlineStr">
        <is>
          <t>100(1):79-80</t>
        </is>
      </c>
      <c r="I388" s="6" t="inlineStr">
        <is>
          <t>Splenic torsion as a cause of acute abdomen.</t>
        </is>
      </c>
      <c r="J388" s="5" t="inlineStr">
        <is>
          <t>10.1016/j.anpede.2023.11.004</t>
        </is>
      </c>
      <c r="K388" s="7" t="inlineStr">
        <is>
          <t>link</t>
        </is>
      </c>
      <c r="L388" s="7" t="inlineStr">
        <is>
          <t>link</t>
        </is>
      </c>
      <c r="M388" s="5" t="inlineStr"/>
      <c r="N388" s="5" t="inlineStr"/>
      <c r="O388" s="5" t="inlineStr"/>
      <c r="P388" s="5" t="inlineStr"/>
      <c r="Q388" s="5" t="inlineStr"/>
      <c r="R388" s="5" t="inlineStr">
        <is>
          <t>2 English, DOI or PubMed link</t>
        </is>
      </c>
      <c r="S388" s="5" t="inlineStr"/>
      <c r="T388" s="5" t="inlineStr">
        <is>
          <t>WS0124.pdf</t>
        </is>
      </c>
      <c r="U388" s="8" t="n"/>
      <c r="V388" s="8" t="n"/>
      <c r="W388" s="8" t="n"/>
      <c r="X388" s="8" t="n"/>
      <c r="Y388" s="8" t="n"/>
      <c r="Z388" s="8" t="n"/>
      <c r="AA388" s="8" t="n"/>
      <c r="AB388" s="8" t="n"/>
      <c r="AC388" s="8" t="n"/>
      <c r="AD388" s="8" t="n"/>
      <c r="AE388" s="8" t="inlineStr">
        <is>
          <t>no</t>
        </is>
      </c>
    </row>
    <row r="389">
      <c r="A389" s="5" t="n">
        <v>388</v>
      </c>
      <c r="B389" s="5" t="inlineStr">
        <is>
          <t>WS0137</t>
        </is>
      </c>
      <c r="C389" s="5" t="inlineStr">
        <is>
          <t>2024</t>
        </is>
      </c>
      <c r="D389" s="5" t="inlineStr">
        <is>
          <t>English</t>
        </is>
      </c>
      <c r="E389" s="5" t="inlineStr">
        <is>
          <t>JOUR</t>
        </is>
      </c>
      <c r="F389" s="5" t="inlineStr">
        <is>
          <t>Chen</t>
        </is>
      </c>
      <c r="G389" s="5" t="inlineStr">
        <is>
          <t>Gastrointestinal endoscopy</t>
        </is>
      </c>
      <c r="H389" s="5" t="inlineStr">
        <is>
          <t>99(1):121-122</t>
        </is>
      </c>
      <c r="I389" s="6" t="inlineStr">
        <is>
          <t>Isolated gastric varices resulting from a wandering spleen.</t>
        </is>
      </c>
      <c r="J389" s="5" t="inlineStr">
        <is>
          <t>10.1016/j.gie.2023.07.005</t>
        </is>
      </c>
      <c r="K389" s="7" t="inlineStr">
        <is>
          <t>link</t>
        </is>
      </c>
      <c r="L389" s="7" t="inlineStr">
        <is>
          <t>link</t>
        </is>
      </c>
      <c r="M389" s="5" t="inlineStr"/>
      <c r="N389" s="5" t="inlineStr"/>
      <c r="O389" s="5" t="inlineStr"/>
      <c r="P389" s="5" t="inlineStr"/>
      <c r="Q389" s="5" t="inlineStr"/>
      <c r="R389" s="5" t="inlineStr">
        <is>
          <t>2 English, DOI or PubMed link</t>
        </is>
      </c>
      <c r="S389" s="5" t="inlineStr"/>
      <c r="T389" s="5" t="inlineStr">
        <is>
          <t>WS0137.pdf</t>
        </is>
      </c>
      <c r="U389" s="8" t="n"/>
      <c r="V389" s="8" t="n"/>
      <c r="W389" s="8" t="n"/>
      <c r="X389" s="8" t="n"/>
      <c r="Y389" s="8" t="n"/>
      <c r="Z389" s="8" t="n"/>
      <c r="AA389" s="8" t="n"/>
      <c r="AB389" s="8" t="n"/>
      <c r="AC389" s="8" t="n"/>
      <c r="AD389" s="8" t="n"/>
      <c r="AE389" s="8" t="inlineStr">
        <is>
          <t>no</t>
        </is>
      </c>
    </row>
    <row r="390">
      <c r="A390" s="5" t="n">
        <v>389</v>
      </c>
      <c r="B390" s="5" t="inlineStr">
        <is>
          <t>WS1352</t>
        </is>
      </c>
      <c r="C390" s="5" t="inlineStr">
        <is>
          <t>2024</t>
        </is>
      </c>
      <c r="D390" s="5" t="inlineStr">
        <is>
          <t>English</t>
        </is>
      </c>
      <c r="E390" s="5" t="inlineStr">
        <is>
          <t>JOUR</t>
        </is>
      </c>
      <c r="F390" s="5" t="inlineStr">
        <is>
          <t>Yang</t>
        </is>
      </c>
      <c r="G390" s="5" t="inlineStr">
        <is>
          <t>Singapore Medical Journal</t>
        </is>
      </c>
      <c r="H390" s="5" t="inlineStr">
        <is>
          <t>65(1):45-50</t>
        </is>
      </c>
      <c r="I390" s="6" t="inlineStr">
        <is>
          <t>Clinics in diagnostic imaging (218)</t>
        </is>
      </c>
      <c r="J390" s="5" t="inlineStr">
        <is>
          <t>10.4103/singaporemedj.smj-2022-120</t>
        </is>
      </c>
      <c r="K390" s="7" t="inlineStr">
        <is>
          <t>link</t>
        </is>
      </c>
      <c r="L390" s="5" t="inlineStr"/>
      <c r="M390" s="5" t="inlineStr"/>
      <c r="N390" s="5" t="inlineStr"/>
      <c r="O390" s="5" t="inlineStr"/>
      <c r="P390" s="5" t="inlineStr"/>
      <c r="Q390" s="7" t="inlineStr">
        <is>
          <t>link</t>
        </is>
      </c>
      <c r="R390" s="5" t="inlineStr">
        <is>
          <t>2 English, DOI or PubMed link</t>
        </is>
      </c>
      <c r="S390" s="5" t="inlineStr"/>
      <c r="T390" s="5" t="inlineStr">
        <is>
          <t>WS1352.pdf</t>
        </is>
      </c>
      <c r="U390" s="8" t="n"/>
      <c r="V390" s="8" t="n"/>
      <c r="W390" s="8" t="n"/>
      <c r="X390" s="8" t="n"/>
      <c r="Y390" s="8" t="n"/>
      <c r="Z390" s="8" t="n"/>
      <c r="AA390" s="8" t="n"/>
      <c r="AB390" s="8" t="n"/>
      <c r="AC390" s="8" t="n"/>
      <c r="AD390" s="8" t="n"/>
      <c r="AE390" s="8" t="inlineStr">
        <is>
          <t>no</t>
        </is>
      </c>
    </row>
    <row r="391">
      <c r="A391" s="5" t="n">
        <v>390</v>
      </c>
      <c r="B391" s="5" t="inlineStr">
        <is>
          <t>WS1533</t>
        </is>
      </c>
      <c r="C391" s="5" t="inlineStr">
        <is>
          <t>2024</t>
        </is>
      </c>
      <c r="D391" s="5" t="inlineStr">
        <is>
          <t>English</t>
        </is>
      </c>
      <c r="E391" s="5" t="inlineStr">
        <is>
          <t>JOUR</t>
        </is>
      </c>
      <c r="F391" s="5" t="inlineStr">
        <is>
          <t>Atamanalp</t>
        </is>
      </c>
      <c r="G391" s="5" t="inlineStr">
        <is>
          <t>American Journal of Emergency Medicine</t>
        </is>
      </c>
      <c r="H391" s="5" t="inlineStr">
        <is>
          <t>83:144-145</t>
        </is>
      </c>
      <c r="I391" s="6" t="inlineStr">
        <is>
          <t>Comments on “Spleno-sigmoid knotting – An unfamiliar cause of intestinal obstruction”</t>
        </is>
      </c>
      <c r="J391" s="5" t="inlineStr">
        <is>
          <t>10.1016/j.ajem.2024.07.016</t>
        </is>
      </c>
      <c r="K391" s="7" t="inlineStr">
        <is>
          <t>link</t>
        </is>
      </c>
      <c r="L391" s="5" t="inlineStr"/>
      <c r="M391" s="5" t="inlineStr"/>
      <c r="N391" s="5" t="inlineStr"/>
      <c r="O391" s="5" t="inlineStr"/>
      <c r="P391" s="5" t="inlineStr"/>
      <c r="Q391" s="7" t="inlineStr">
        <is>
          <t>link</t>
        </is>
      </c>
      <c r="R391" s="5" t="inlineStr">
        <is>
          <t>2 English, DOI or PubMed link</t>
        </is>
      </c>
      <c r="S391" s="5" t="inlineStr"/>
      <c r="T391" s="5" t="inlineStr">
        <is>
          <t>WS1533.pdf</t>
        </is>
      </c>
      <c r="U391" s="8" t="n"/>
      <c r="V391" s="8" t="n"/>
      <c r="W391" s="8" t="n"/>
      <c r="X391" s="8" t="n"/>
      <c r="Y391" s="8" t="n"/>
      <c r="Z391" s="8" t="n"/>
      <c r="AA391" s="8" t="n"/>
      <c r="AB391" s="8" t="n"/>
      <c r="AC391" s="8" t="n"/>
      <c r="AD391" s="8" t="n"/>
      <c r="AE391" s="8" t="inlineStr">
        <is>
          <t>no</t>
        </is>
      </c>
    </row>
    <row r="392">
      <c r="A392" s="5" t="n">
        <v>391</v>
      </c>
      <c r="B392" s="5" t="inlineStr">
        <is>
          <t>WS1584</t>
        </is>
      </c>
      <c r="C392" s="5" t="inlineStr">
        <is>
          <t>2024</t>
        </is>
      </c>
      <c r="D392" s="5" t="inlineStr">
        <is>
          <t>English</t>
        </is>
      </c>
      <c r="E392" s="5" t="inlineStr">
        <is>
          <t>JOUR</t>
        </is>
      </c>
      <c r="F392" s="5" t="inlineStr">
        <is>
          <t>Liu</t>
        </is>
      </c>
      <c r="G392" s="5" t="inlineStr">
        <is>
          <t>JACEP Open</t>
        </is>
      </c>
      <c r="H392" s="5" t="inlineStr">
        <is>
          <t>5(1)</t>
        </is>
      </c>
      <c r="I392" s="6" t="inlineStr">
        <is>
          <t>Unusual gastric distention in a 1-year-old infant</t>
        </is>
      </c>
      <c r="J392" s="5" t="inlineStr">
        <is>
          <t>10.1002/emp2.13124</t>
        </is>
      </c>
      <c r="K392" s="7" t="inlineStr">
        <is>
          <t>link</t>
        </is>
      </c>
      <c r="L392" s="5" t="inlineStr"/>
      <c r="M392" s="5" t="inlineStr"/>
      <c r="N392" s="5" t="inlineStr"/>
      <c r="O392" s="5" t="inlineStr"/>
      <c r="P392" s="5" t="inlineStr"/>
      <c r="Q392" s="7" t="inlineStr">
        <is>
          <t>link</t>
        </is>
      </c>
      <c r="R392" s="5" t="inlineStr">
        <is>
          <t>2 English, DOI or PubMed link</t>
        </is>
      </c>
      <c r="S392" s="5" t="inlineStr"/>
      <c r="T392" s="5" t="inlineStr">
        <is>
          <t>WS1584.pdf</t>
        </is>
      </c>
      <c r="U392" s="8" t="n"/>
      <c r="V392" s="8" t="n"/>
      <c r="W392" s="8" t="n"/>
      <c r="X392" s="8" t="n"/>
      <c r="Y392" s="8" t="n"/>
      <c r="Z392" s="8" t="n"/>
      <c r="AA392" s="8" t="n"/>
      <c r="AB392" s="8" t="n"/>
      <c r="AC392" s="8" t="n"/>
      <c r="AD392" s="8" t="n"/>
      <c r="AE392" s="8" t="inlineStr">
        <is>
          <t>no</t>
        </is>
      </c>
    </row>
    <row r="393">
      <c r="A393" s="5" t="n">
        <v>392</v>
      </c>
      <c r="B393" s="5" t="inlineStr">
        <is>
          <t>WS0134</t>
        </is>
      </c>
      <c r="C393" s="5" t="inlineStr">
        <is>
          <t>2023</t>
        </is>
      </c>
      <c r="D393" s="5" t="inlineStr">
        <is>
          <t>English</t>
        </is>
      </c>
      <c r="E393" s="5" t="inlineStr">
        <is>
          <t>JOUR</t>
        </is>
      </c>
      <c r="F393" s="5" t="inlineStr">
        <is>
          <t>Zhou</t>
        </is>
      </c>
      <c r="G393" s="5" t="inlineStr">
        <is>
          <t>The American journal of the medical sciences</t>
        </is>
      </c>
      <c r="H393" s="5" t="inlineStr">
        <is>
          <t>366(6):e107-e108</t>
        </is>
      </c>
      <c r="I393" s="6" t="inlineStr">
        <is>
          <t>Torsion of pelvic wandering spleen with infarction.</t>
        </is>
      </c>
      <c r="J393" s="5" t="inlineStr">
        <is>
          <t>10.1016/j.amjms.2023.08.005</t>
        </is>
      </c>
      <c r="K393" s="7" t="inlineStr">
        <is>
          <t>link</t>
        </is>
      </c>
      <c r="L393" s="7" t="inlineStr">
        <is>
          <t>link</t>
        </is>
      </c>
      <c r="M393" s="5" t="inlineStr"/>
      <c r="N393" s="5" t="inlineStr"/>
      <c r="O393" s="5" t="inlineStr"/>
      <c r="P393" s="5" t="inlineStr"/>
      <c r="Q393" s="5" t="inlineStr"/>
      <c r="R393" s="5" t="inlineStr">
        <is>
          <t>2 English, DOI or PubMed link</t>
        </is>
      </c>
      <c r="S393" s="5" t="inlineStr"/>
      <c r="T393" s="5" t="inlineStr">
        <is>
          <t>WS0134.pdf</t>
        </is>
      </c>
      <c r="U393" s="8" t="n"/>
      <c r="V393" s="8" t="n"/>
      <c r="W393" s="8" t="n"/>
      <c r="X393" s="8" t="n"/>
      <c r="Y393" s="8" t="n"/>
      <c r="Z393" s="8" t="n"/>
      <c r="AA393" s="8" t="n"/>
      <c r="AB393" s="8" t="n"/>
      <c r="AC393" s="8" t="n"/>
      <c r="AD393" s="8" t="n"/>
      <c r="AE393" s="8" t="inlineStr">
        <is>
          <t>no</t>
        </is>
      </c>
    </row>
    <row r="394">
      <c r="A394" s="5" t="n">
        <v>393</v>
      </c>
      <c r="B394" s="5" t="inlineStr">
        <is>
          <t>WS0155</t>
        </is>
      </c>
      <c r="C394" s="5" t="inlineStr">
        <is>
          <t>2023</t>
        </is>
      </c>
      <c r="D394" s="5" t="inlineStr">
        <is>
          <t>English</t>
        </is>
      </c>
      <c r="E394" s="5" t="inlineStr">
        <is>
          <t>JOUR</t>
        </is>
      </c>
      <c r="F394" s="5" t="inlineStr">
        <is>
          <t>Borsani</t>
        </is>
      </c>
      <c r="G394" s="5" t="inlineStr">
        <is>
          <t>Clinical gastroenterology and hepatology : the official clinical practice journal of the American Gastroenterological Association</t>
        </is>
      </c>
      <c r="H394" s="5" t="inlineStr">
        <is>
          <t>21(5):A19-A20</t>
        </is>
      </c>
      <c r="I394" s="6" t="inlineStr">
        <is>
          <t>Wandering Spleen: An Unusual Cause of Recurrent Abdominal Pain.</t>
        </is>
      </c>
      <c r="J394" s="5" t="inlineStr">
        <is>
          <t>10.1016/j.cgh.2022.11.003</t>
        </is>
      </c>
      <c r="K394" s="7" t="inlineStr">
        <is>
          <t>link</t>
        </is>
      </c>
      <c r="L394" s="7" t="inlineStr">
        <is>
          <t>link</t>
        </is>
      </c>
      <c r="M394" s="5" t="inlineStr"/>
      <c r="N394" s="5" t="inlineStr"/>
      <c r="O394" s="5" t="inlineStr"/>
      <c r="P394" s="5" t="inlineStr"/>
      <c r="Q394" s="5" t="inlineStr"/>
      <c r="R394" s="5" t="inlineStr">
        <is>
          <t>2 English, DOI or PubMed link</t>
        </is>
      </c>
      <c r="S394" s="5" t="inlineStr"/>
      <c r="T394" s="5" t="inlineStr">
        <is>
          <t>WS0155.pdf</t>
        </is>
      </c>
      <c r="U394" s="8" t="n"/>
      <c r="V394" s="8" t="n"/>
      <c r="W394" s="8" t="n"/>
      <c r="X394" s="8" t="n"/>
      <c r="Y394" s="8" t="n"/>
      <c r="Z394" s="8" t="n"/>
      <c r="AA394" s="8" t="n"/>
      <c r="AB394" s="8" t="n"/>
      <c r="AC394" s="8" t="n"/>
      <c r="AD394" s="8" t="n"/>
      <c r="AE394" s="8" t="inlineStr">
        <is>
          <t>no</t>
        </is>
      </c>
    </row>
    <row r="395">
      <c r="A395" s="5" t="n">
        <v>394</v>
      </c>
      <c r="B395" s="5" t="inlineStr">
        <is>
          <t>WS0168</t>
        </is>
      </c>
      <c r="C395" s="5" t="inlineStr">
        <is>
          <t>2023</t>
        </is>
      </c>
      <c r="D395" s="5" t="inlineStr">
        <is>
          <t>English</t>
        </is>
      </c>
      <c r="E395" s="5" t="inlineStr">
        <is>
          <t>JOUR</t>
        </is>
      </c>
      <c r="F395" s="5" t="inlineStr">
        <is>
          <t>Liao</t>
        </is>
      </c>
      <c r="G395" s="5" t="inlineStr">
        <is>
          <t>Asian journal of surgery</t>
        </is>
      </c>
      <c r="H395" s="5" t="inlineStr">
        <is>
          <t>46(2):1174-1175</t>
        </is>
      </c>
      <c r="I395" s="6" t="inlineStr">
        <is>
          <t>A new surgical approach for a child with acute torsion of the wandering spleen: A case report.</t>
        </is>
      </c>
      <c r="J395" s="5" t="inlineStr">
        <is>
          <t>10.1016/j.asjsur.2022.08.031</t>
        </is>
      </c>
      <c r="K395" s="7" t="inlineStr">
        <is>
          <t>link</t>
        </is>
      </c>
      <c r="L395" s="7" t="inlineStr">
        <is>
          <t>link</t>
        </is>
      </c>
      <c r="M395" s="5" t="inlineStr"/>
      <c r="N395" s="5" t="inlineStr"/>
      <c r="O395" s="5" t="inlineStr"/>
      <c r="P395" s="5" t="inlineStr"/>
      <c r="Q395" s="5" t="inlineStr"/>
      <c r="R395" s="5" t="inlineStr">
        <is>
          <t>2 English, DOI or PubMed link</t>
        </is>
      </c>
      <c r="S395" s="5" t="inlineStr"/>
      <c r="T395" s="5" t="inlineStr">
        <is>
          <t>WS0168.pdf</t>
        </is>
      </c>
      <c r="U395" s="8" t="n"/>
      <c r="V395" s="8" t="n"/>
      <c r="W395" s="8" t="n"/>
      <c r="X395" s="8" t="n"/>
      <c r="Y395" s="8" t="n"/>
      <c r="Z395" s="8" t="n"/>
      <c r="AA395" s="8" t="n"/>
      <c r="AB395" s="8" t="n"/>
      <c r="AC395" s="8" t="n"/>
      <c r="AD395" s="8" t="n"/>
      <c r="AE395" s="8" t="inlineStr">
        <is>
          <t>no</t>
        </is>
      </c>
    </row>
    <row r="396">
      <c r="A396" s="5" t="n">
        <v>395</v>
      </c>
      <c r="B396" s="5" t="inlineStr">
        <is>
          <t>WS0171</t>
        </is>
      </c>
      <c r="C396" s="5" t="inlineStr">
        <is>
          <t>2023</t>
        </is>
      </c>
      <c r="D396" s="5" t="inlineStr">
        <is>
          <t>English</t>
        </is>
      </c>
      <c r="E396" s="5" t="inlineStr">
        <is>
          <t>JOUR</t>
        </is>
      </c>
      <c r="F396" s="5" t="inlineStr">
        <is>
          <t>Ferrer-Inaebnit</t>
        </is>
      </c>
      <c r="G396" s="5" t="inlineStr">
        <is>
          <t>Cirugia espanola</t>
        </is>
      </c>
      <c r="H396" s="5" t="inlineStr">
        <is>
          <t>101(3):217-218</t>
        </is>
      </c>
      <c r="I396" s="6" t="inlineStr">
        <is>
          <t>Laparoscopic approach to accessory wandering spleen, an uncommon association.</t>
        </is>
      </c>
      <c r="J396" s="5" t="inlineStr">
        <is>
          <t>10.1016/j.cireng.2022.07.013</t>
        </is>
      </c>
      <c r="K396" s="7" t="inlineStr">
        <is>
          <t>link</t>
        </is>
      </c>
      <c r="L396" s="7" t="inlineStr">
        <is>
          <t>link</t>
        </is>
      </c>
      <c r="M396" s="5" t="inlineStr"/>
      <c r="N396" s="5" t="inlineStr"/>
      <c r="O396" s="5" t="inlineStr"/>
      <c r="P396" s="5" t="inlineStr"/>
      <c r="Q396" s="5" t="inlineStr"/>
      <c r="R396" s="5" t="inlineStr">
        <is>
          <t>2 English, DOI or PubMed link</t>
        </is>
      </c>
      <c r="S396" s="5" t="inlineStr"/>
      <c r="T396" s="5" t="inlineStr">
        <is>
          <t>WS0171.pdf</t>
        </is>
      </c>
      <c r="U396" s="8" t="n"/>
      <c r="V396" s="8" t="n"/>
      <c r="W396" s="8" t="n"/>
      <c r="X396" s="8" t="n"/>
      <c r="Y396" s="8" t="n"/>
      <c r="Z396" s="8" t="n"/>
      <c r="AA396" s="8" t="n"/>
      <c r="AB396" s="8" t="n"/>
      <c r="AC396" s="8" t="n"/>
      <c r="AD396" s="8" t="n"/>
      <c r="AE396" s="8" t="inlineStr">
        <is>
          <t>no</t>
        </is>
      </c>
    </row>
    <row r="397">
      <c r="A397" s="5" t="n">
        <v>396</v>
      </c>
      <c r="B397" s="5" t="inlineStr">
        <is>
          <t>WS1288</t>
        </is>
      </c>
      <c r="C397" s="5" t="inlineStr">
        <is>
          <t>2023</t>
        </is>
      </c>
      <c r="D397" s="5" t="inlineStr">
        <is>
          <t>English</t>
        </is>
      </c>
      <c r="E397" s="5" t="inlineStr">
        <is>
          <t>JOUR</t>
        </is>
      </c>
      <c r="F397" s="5" t="inlineStr">
        <is>
          <t>Nebo</t>
        </is>
      </c>
      <c r="G397" s="5" t="inlineStr">
        <is>
          <t>BRITISH JOURNAL OF SURGERY</t>
        </is>
      </c>
      <c r="H397" s="5" t="inlineStr">
        <is>
          <t>110</t>
        </is>
      </c>
      <c r="I397" s="6" t="inlineStr">
        <is>
          <t>The Acute Abdomen: Have You Ruled Out Splenic Torsion?</t>
        </is>
      </c>
      <c r="J397" s="5" t="inlineStr">
        <is>
          <t>10.1093/bjs/znad258.365</t>
        </is>
      </c>
      <c r="K397" s="7" t="inlineStr">
        <is>
          <t>link</t>
        </is>
      </c>
      <c r="L397" s="5" t="inlineStr"/>
      <c r="M397" s="5" t="inlineStr"/>
      <c r="N397" s="5" t="inlineStr"/>
      <c r="O397" s="5" t="inlineStr"/>
      <c r="P397" s="5" t="inlineStr"/>
      <c r="Q397" s="5" t="inlineStr"/>
      <c r="R397" s="5" t="inlineStr">
        <is>
          <t>2 English, DOI or PubMed link</t>
        </is>
      </c>
      <c r="S397" s="5" t="inlineStr"/>
      <c r="T397" s="5" t="inlineStr">
        <is>
          <t>WS1288.pdf</t>
        </is>
      </c>
      <c r="U397" s="8" t="n"/>
      <c r="V397" s="8" t="n"/>
      <c r="W397" s="8" t="n"/>
      <c r="X397" s="8" t="n"/>
      <c r="Y397" s="8" t="n"/>
      <c r="Z397" s="8" t="n"/>
      <c r="AA397" s="8" t="n"/>
      <c r="AB397" s="8" t="n"/>
      <c r="AC397" s="8" t="n"/>
      <c r="AD397" s="8" t="n"/>
      <c r="AE397" s="8" t="inlineStr">
        <is>
          <t>no</t>
        </is>
      </c>
    </row>
    <row r="398">
      <c r="A398" s="5" t="n">
        <v>397</v>
      </c>
      <c r="B398" s="5" t="inlineStr">
        <is>
          <t>WS1344</t>
        </is>
      </c>
      <c r="C398" s="5" t="inlineStr">
        <is>
          <t>2023</t>
        </is>
      </c>
      <c r="D398" s="5" t="inlineStr">
        <is>
          <t>English</t>
        </is>
      </c>
      <c r="E398" s="5" t="inlineStr">
        <is>
          <t>JOUR</t>
        </is>
      </c>
      <c r="F398" s="5" t="inlineStr">
        <is>
          <t>Rowland</t>
        </is>
      </c>
      <c r="G398" s="5" t="inlineStr">
        <is>
          <t>AMERICAN JOURNAL OF GASTROENTEROLOGY</t>
        </is>
      </c>
      <c r="H398" s="5" t="inlineStr">
        <is>
          <t>118(10S):S1519-S1519</t>
        </is>
      </c>
      <c r="I398" s="6" t="inlineStr">
        <is>
          <t>A Twisted Tale of Intractable Vomiting: The Wandering Spleen</t>
        </is>
      </c>
      <c r="J398" s="5" t="inlineStr">
        <is>
          <t>10.14309/01.ajg.0000958004.08164.44</t>
        </is>
      </c>
      <c r="K398" s="7" t="inlineStr">
        <is>
          <t>link</t>
        </is>
      </c>
      <c r="L398" s="5" t="inlineStr"/>
      <c r="M398" s="5" t="inlineStr"/>
      <c r="N398" s="5" t="inlineStr"/>
      <c r="O398" s="5" t="inlineStr"/>
      <c r="P398" s="5" t="inlineStr"/>
      <c r="Q398" s="5" t="inlineStr"/>
      <c r="R398" s="5" t="inlineStr">
        <is>
          <t>2 English, DOI or PubMed link</t>
        </is>
      </c>
      <c r="S398" s="5" t="inlineStr"/>
      <c r="T398" s="5" t="inlineStr">
        <is>
          <t>WS1344.pdf</t>
        </is>
      </c>
      <c r="U398" s="8" t="n"/>
      <c r="V398" s="8" t="n"/>
      <c r="W398" s="8" t="n"/>
      <c r="X398" s="8" t="n"/>
      <c r="Y398" s="8" t="n"/>
      <c r="Z398" s="8" t="n"/>
      <c r="AA398" s="8" t="n"/>
      <c r="AB398" s="8" t="n"/>
      <c r="AC398" s="8" t="n"/>
      <c r="AD398" s="8" t="n"/>
      <c r="AE398" s="8" t="inlineStr">
        <is>
          <t>no</t>
        </is>
      </c>
    </row>
    <row r="399">
      <c r="A399" s="5" t="n">
        <v>398</v>
      </c>
      <c r="B399" s="5" t="inlineStr">
        <is>
          <t>WS1482</t>
        </is>
      </c>
      <c r="C399" s="5" t="inlineStr">
        <is>
          <t>2023</t>
        </is>
      </c>
      <c r="D399" s="5" t="inlineStr">
        <is>
          <t>English</t>
        </is>
      </c>
      <c r="E399" s="5" t="inlineStr">
        <is>
          <t>JOUR</t>
        </is>
      </c>
      <c r="F399" s="5" t="inlineStr">
        <is>
          <t>Cheng</t>
        </is>
      </c>
      <c r="G399" s="5" t="inlineStr">
        <is>
          <t>Annals of Emergency Medicine</t>
        </is>
      </c>
      <c r="H399" s="5" t="inlineStr">
        <is>
          <t>82(3):e89-e90</t>
        </is>
      </c>
      <c r="I399" s="6" t="inlineStr">
        <is>
          <t>Woman With Scooter Injury</t>
        </is>
      </c>
      <c r="J399" s="5" t="inlineStr">
        <is>
          <t>10.1016/j.annemergmed.2023.03.008</t>
        </is>
      </c>
      <c r="K399" s="7" t="inlineStr">
        <is>
          <t>link</t>
        </is>
      </c>
      <c r="L399" s="5" t="inlineStr"/>
      <c r="M399" s="5" t="inlineStr"/>
      <c r="N399" s="5" t="inlineStr"/>
      <c r="O399" s="5" t="inlineStr"/>
      <c r="P399" s="5" t="inlineStr"/>
      <c r="Q399" s="7" t="inlineStr">
        <is>
          <t>link</t>
        </is>
      </c>
      <c r="R399" s="5" t="inlineStr">
        <is>
          <t>2 English, DOI or PubMed link</t>
        </is>
      </c>
      <c r="S399" s="5" t="inlineStr"/>
      <c r="T399" s="5" t="inlineStr">
        <is>
          <t>WS1482.pdf</t>
        </is>
      </c>
      <c r="U399" s="8" t="n"/>
      <c r="V399" s="8" t="n"/>
      <c r="W399" s="8" t="n"/>
      <c r="X399" s="8" t="n"/>
      <c r="Y399" s="8" t="n"/>
      <c r="Z399" s="8" t="n"/>
      <c r="AA399" s="8" t="n"/>
      <c r="AB399" s="8" t="n"/>
      <c r="AC399" s="8" t="n"/>
      <c r="AD399" s="8" t="n"/>
      <c r="AE399" s="8" t="inlineStr">
        <is>
          <t>no</t>
        </is>
      </c>
    </row>
    <row r="400">
      <c r="A400" s="5" t="n">
        <v>399</v>
      </c>
      <c r="B400" s="5" t="inlineStr">
        <is>
          <t>WS0167</t>
        </is>
      </c>
      <c r="C400" s="5" t="inlineStr">
        <is>
          <t>2022</t>
        </is>
      </c>
      <c r="D400" s="5" t="inlineStr">
        <is>
          <t>English</t>
        </is>
      </c>
      <c r="E400" s="5" t="inlineStr">
        <is>
          <t>JOUR</t>
        </is>
      </c>
      <c r="F400" s="5" t="inlineStr">
        <is>
          <t>Antona</t>
        </is>
      </c>
      <c r="G400" s="5" t="inlineStr">
        <is>
          <t>The Journal of pediatrics</t>
        </is>
      </c>
      <c r="H400" s="5" t="inlineStr">
        <is>
          <t>251:209-210</t>
        </is>
      </c>
      <c r="I400" s="6" t="inlineStr">
        <is>
          <t>Pediatric Splenic Torsion in an Orthotopic Spleen without Fixation Elements.</t>
        </is>
      </c>
      <c r="J400" s="5" t="inlineStr">
        <is>
          <t>10.1016/j.jpeds.2022.08.021</t>
        </is>
      </c>
      <c r="K400" s="7" t="inlineStr">
        <is>
          <t>link</t>
        </is>
      </c>
      <c r="L400" s="7" t="inlineStr">
        <is>
          <t>link</t>
        </is>
      </c>
      <c r="M400" s="5" t="inlineStr"/>
      <c r="N400" s="5" t="inlineStr"/>
      <c r="O400" s="5" t="inlineStr"/>
      <c r="P400" s="5" t="inlineStr"/>
      <c r="Q400" s="5" t="inlineStr"/>
      <c r="R400" s="5" t="inlineStr">
        <is>
          <t>2 English, DOI or PubMed link</t>
        </is>
      </c>
      <c r="S400" s="5" t="inlineStr"/>
      <c r="T400" s="5" t="inlineStr">
        <is>
          <t>WS0167.pdf</t>
        </is>
      </c>
      <c r="U400" s="8" t="n"/>
      <c r="V400" s="8" t="n"/>
      <c r="W400" s="8" t="n"/>
      <c r="X400" s="8" t="n"/>
      <c r="Y400" s="8" t="n"/>
      <c r="Z400" s="8" t="n"/>
      <c r="AA400" s="8" t="n"/>
      <c r="AB400" s="8" t="n"/>
      <c r="AC400" s="8" t="n"/>
      <c r="AD400" s="8" t="n"/>
      <c r="AE400" s="8" t="inlineStr">
        <is>
          <t>no</t>
        </is>
      </c>
    </row>
    <row r="401">
      <c r="A401" s="5" t="n">
        <v>400</v>
      </c>
      <c r="B401" s="5" t="inlineStr">
        <is>
          <t>WS0175</t>
        </is>
      </c>
      <c r="C401" s="5" t="inlineStr">
        <is>
          <t>2022</t>
        </is>
      </c>
      <c r="D401" s="5" t="inlineStr">
        <is>
          <t>English</t>
        </is>
      </c>
      <c r="E401" s="5" t="inlineStr">
        <is>
          <t>JOUR</t>
        </is>
      </c>
      <c r="F401" s="5" t="inlineStr">
        <is>
          <t>Giannattasio</t>
        </is>
      </c>
      <c r="G401" s="5" t="inlineStr">
        <is>
          <t>Journal of paediatrics and child health</t>
        </is>
      </c>
      <c r="H401" s="5" t="inlineStr">
        <is>
          <t>58(9):1704-1705</t>
        </is>
      </c>
      <c r="I401" s="6" t="inlineStr">
        <is>
          <t>Acute Abdomen Due to Torsion of a Wandering Spleen in a Child.</t>
        </is>
      </c>
      <c r="J401" s="5" t="inlineStr">
        <is>
          <t>10.1111/jpc.16124</t>
        </is>
      </c>
      <c r="K401" s="7" t="inlineStr">
        <is>
          <t>link</t>
        </is>
      </c>
      <c r="L401" s="7" t="inlineStr">
        <is>
          <t>link</t>
        </is>
      </c>
      <c r="M401" s="5" t="inlineStr"/>
      <c r="N401" s="5" t="inlineStr"/>
      <c r="O401" s="5" t="inlineStr"/>
      <c r="P401" s="5" t="inlineStr"/>
      <c r="Q401" s="5" t="inlineStr"/>
      <c r="R401" s="5" t="inlineStr">
        <is>
          <t>2 English, DOI or PubMed link</t>
        </is>
      </c>
      <c r="S401" s="5" t="inlineStr"/>
      <c r="T401" s="5" t="inlineStr">
        <is>
          <t>WS0175.pdf</t>
        </is>
      </c>
      <c r="U401" s="8" t="n"/>
      <c r="V401" s="8" t="n"/>
      <c r="W401" s="8" t="n"/>
      <c r="X401" s="8" t="n"/>
      <c r="Y401" s="8" t="n"/>
      <c r="Z401" s="8" t="n"/>
      <c r="AA401" s="8" t="n"/>
      <c r="AB401" s="8" t="n"/>
      <c r="AC401" s="8" t="n"/>
      <c r="AD401" s="8" t="n"/>
      <c r="AE401" s="8" t="inlineStr">
        <is>
          <t>no</t>
        </is>
      </c>
    </row>
    <row r="402">
      <c r="A402" s="5" t="n">
        <v>401</v>
      </c>
      <c r="B402" s="5" t="inlineStr">
        <is>
          <t>WS0180</t>
        </is>
      </c>
      <c r="C402" s="5" t="inlineStr">
        <is>
          <t>2022</t>
        </is>
      </c>
      <c r="D402" s="5" t="inlineStr">
        <is>
          <t>English</t>
        </is>
      </c>
      <c r="E402" s="5" t="inlineStr">
        <is>
          <t>JOUR</t>
        </is>
      </c>
      <c r="F402" s="5" t="inlineStr">
        <is>
          <t>Wen</t>
        </is>
      </c>
      <c r="G402" s="5" t="inlineStr">
        <is>
          <t>Asian journal of surgery</t>
        </is>
      </c>
      <c r="H402" s="5" t="inlineStr">
        <is>
          <t>45(11):2413-2414</t>
        </is>
      </c>
      <c r="I402" s="6" t="inlineStr">
        <is>
          <t>Spontaneous reset of the wandering spleen with acute torsion.</t>
        </is>
      </c>
      <c r="J402" s="5" t="inlineStr">
        <is>
          <t>10.1016/j.asjsur.2022.05.073</t>
        </is>
      </c>
      <c r="K402" s="7" t="inlineStr">
        <is>
          <t>link</t>
        </is>
      </c>
      <c r="L402" s="7" t="inlineStr">
        <is>
          <t>link</t>
        </is>
      </c>
      <c r="M402" s="5" t="inlineStr"/>
      <c r="N402" s="5" t="inlineStr"/>
      <c r="O402" s="5" t="inlineStr"/>
      <c r="P402" s="5" t="inlineStr"/>
      <c r="Q402" s="5" t="inlineStr"/>
      <c r="R402" s="5" t="inlineStr">
        <is>
          <t>2 English, DOI or PubMed link</t>
        </is>
      </c>
      <c r="S402" s="5" t="inlineStr"/>
      <c r="T402" s="5" t="inlineStr">
        <is>
          <t>WS0180.pdf</t>
        </is>
      </c>
      <c r="U402" s="8" t="n"/>
      <c r="V402" s="8" t="n"/>
      <c r="W402" s="8" t="n"/>
      <c r="X402" s="8" t="n"/>
      <c r="Y402" s="8" t="n"/>
      <c r="Z402" s="8" t="n"/>
      <c r="AA402" s="8" t="n"/>
      <c r="AB402" s="8" t="n"/>
      <c r="AC402" s="8" t="n"/>
      <c r="AD402" s="8" t="n"/>
      <c r="AE402" s="8" t="inlineStr">
        <is>
          <t>no</t>
        </is>
      </c>
    </row>
    <row r="403">
      <c r="A403" s="5" t="n">
        <v>402</v>
      </c>
      <c r="B403" s="5" t="inlineStr">
        <is>
          <t>WS0245</t>
        </is>
      </c>
      <c r="C403" s="5" t="inlineStr">
        <is>
          <t>2022</t>
        </is>
      </c>
      <c r="D403" s="5" t="inlineStr">
        <is>
          <t>English</t>
        </is>
      </c>
      <c r="E403" s="5" t="inlineStr">
        <is>
          <t>JOUR</t>
        </is>
      </c>
      <c r="F403" s="5" t="inlineStr">
        <is>
          <t>Safaya</t>
        </is>
      </c>
      <c r="G403" s="5" t="inlineStr">
        <is>
          <t>The American surgeon</t>
        </is>
      </c>
      <c r="H403" s="5" t="inlineStr">
        <is>
          <t>88(6):1361-1363</t>
        </is>
      </c>
      <c r="I403" s="6" t="inlineStr">
        <is>
          <t>Wandering Spleen With Splenic Torsion and Pancreatitis : Spleen Preserving Management.</t>
        </is>
      </c>
      <c r="J403" s="5" t="inlineStr">
        <is>
          <t>10.1177/0003134820945288</t>
        </is>
      </c>
      <c r="K403" s="7" t="inlineStr">
        <is>
          <t>link</t>
        </is>
      </c>
      <c r="L403" s="7" t="inlineStr">
        <is>
          <t>link</t>
        </is>
      </c>
      <c r="M403" s="5" t="inlineStr"/>
      <c r="N403" s="5" t="inlineStr"/>
      <c r="O403" s="5" t="inlineStr"/>
      <c r="P403" s="5" t="inlineStr"/>
      <c r="Q403" s="5" t="inlineStr"/>
      <c r="R403" s="5" t="inlineStr">
        <is>
          <t>2 English, DOI or PubMed link</t>
        </is>
      </c>
      <c r="S403" s="5" t="inlineStr"/>
      <c r="T403" s="5" t="inlineStr">
        <is>
          <t>WS0245.pdf</t>
        </is>
      </c>
      <c r="U403" s="8" t="n"/>
      <c r="V403" s="8" t="n"/>
      <c r="W403" s="8" t="n"/>
      <c r="X403" s="8" t="n"/>
      <c r="Y403" s="8" t="n"/>
      <c r="Z403" s="8" t="n"/>
      <c r="AA403" s="8" t="n"/>
      <c r="AB403" s="8" t="n"/>
      <c r="AC403" s="8" t="n"/>
      <c r="AD403" s="8" t="n"/>
      <c r="AE403" s="8" t="inlineStr">
        <is>
          <t>no</t>
        </is>
      </c>
    </row>
    <row r="404">
      <c r="A404" s="5" t="n">
        <v>403</v>
      </c>
      <c r="B404" s="5" t="inlineStr">
        <is>
          <t>WS1359</t>
        </is>
      </c>
      <c r="C404" s="5" t="inlineStr">
        <is>
          <t>2022</t>
        </is>
      </c>
      <c r="D404" s="5" t="inlineStr">
        <is>
          <t>English</t>
        </is>
      </c>
      <c r="E404" s="5" t="inlineStr">
        <is>
          <t>JOUR</t>
        </is>
      </c>
      <c r="F404" s="5" t="inlineStr">
        <is>
          <t>Sosa</t>
        </is>
      </c>
      <c r="G404" s="5" t="inlineStr">
        <is>
          <t>INDIAN JOURNAL OF MEDICAL SPECIALITIES</t>
        </is>
      </c>
      <c r="H404" s="5" t="inlineStr">
        <is>
          <t>13(3):201-202</t>
        </is>
      </c>
      <c r="I404" s="6" t="inlineStr">
        <is>
          <t>Wandering Spleen Torsion: A Rare Case of Acute Abdomen</t>
        </is>
      </c>
      <c r="J404" s="5" t="inlineStr">
        <is>
          <t>10.4103/injms.injms_18_22</t>
        </is>
      </c>
      <c r="K404" s="7" t="inlineStr">
        <is>
          <t>link</t>
        </is>
      </c>
      <c r="L404" s="5" t="inlineStr"/>
      <c r="M404" s="5" t="inlineStr"/>
      <c r="N404" s="5" t="inlineStr"/>
      <c r="O404" s="5" t="inlineStr"/>
      <c r="P404" s="5" t="inlineStr"/>
      <c r="Q404" s="5" t="inlineStr"/>
      <c r="R404" s="5" t="inlineStr">
        <is>
          <t>2 English, DOI or PubMed link</t>
        </is>
      </c>
      <c r="S404" s="5" t="inlineStr"/>
      <c r="T404" s="5" t="inlineStr">
        <is>
          <t>WS1359.pdf</t>
        </is>
      </c>
      <c r="U404" s="8" t="n"/>
      <c r="V404" s="8" t="n"/>
      <c r="W404" s="8" t="n"/>
      <c r="X404" s="8" t="n"/>
      <c r="Y404" s="8" t="n"/>
      <c r="Z404" s="8" t="n"/>
      <c r="AA404" s="8" t="n"/>
      <c r="AB404" s="8" t="n"/>
      <c r="AC404" s="8" t="n"/>
      <c r="AD404" s="8" t="n"/>
      <c r="AE404" s="8" t="inlineStr">
        <is>
          <t>no</t>
        </is>
      </c>
    </row>
    <row r="405">
      <c r="A405" s="5" t="n">
        <v>404</v>
      </c>
      <c r="B405" s="5" t="inlineStr">
        <is>
          <t>WS0215</t>
        </is>
      </c>
      <c r="C405" s="5" t="inlineStr">
        <is>
          <t>2021</t>
        </is>
      </c>
      <c r="D405" s="5" t="inlineStr">
        <is>
          <t>English</t>
        </is>
      </c>
      <c r="E405" s="5" t="inlineStr">
        <is>
          <t>JOUR</t>
        </is>
      </c>
      <c r="F405" s="5" t="inlineStr">
        <is>
          <t>Labiad</t>
        </is>
      </c>
      <c r="G405" s="5" t="inlineStr">
        <is>
          <t>Journal of gastrointestinal surgery : official journal of the Society for Surgery of the Alimentary Tract</t>
        </is>
      </c>
      <c r="H405" s="5" t="inlineStr">
        <is>
          <t>25(11):2999-3000</t>
        </is>
      </c>
      <c r="I405" s="6" t="inlineStr">
        <is>
          <t>Splenic Volvulus and 2q37 Deletion Syndrome.</t>
        </is>
      </c>
      <c r="J405" s="5" t="inlineStr">
        <is>
          <t>10.1007/s11605-021-05013-1</t>
        </is>
      </c>
      <c r="K405" s="7" t="inlineStr">
        <is>
          <t>link</t>
        </is>
      </c>
      <c r="L405" s="7" t="inlineStr">
        <is>
          <t>link</t>
        </is>
      </c>
      <c r="M405" s="5" t="inlineStr"/>
      <c r="N405" s="5" t="inlineStr"/>
      <c r="O405" s="5" t="inlineStr"/>
      <c r="P405" s="5" t="inlineStr"/>
      <c r="Q405" s="5" t="inlineStr"/>
      <c r="R405" s="5" t="inlineStr">
        <is>
          <t>2 English, DOI or PubMed link</t>
        </is>
      </c>
      <c r="S405" s="5" t="inlineStr"/>
      <c r="T405" s="5" t="inlineStr">
        <is>
          <t>WS0215.pdf</t>
        </is>
      </c>
      <c r="U405" s="8" t="n"/>
      <c r="V405" s="8" t="n"/>
      <c r="W405" s="8" t="n"/>
      <c r="X405" s="8" t="n"/>
      <c r="Y405" s="8" t="n"/>
      <c r="Z405" s="8" t="n"/>
      <c r="AA405" s="8" t="n"/>
      <c r="AB405" s="8" t="n"/>
      <c r="AC405" s="8" t="n"/>
      <c r="AD405" s="8" t="n"/>
      <c r="AE405" s="8" t="inlineStr">
        <is>
          <t>no</t>
        </is>
      </c>
    </row>
    <row r="406">
      <c r="A406" s="5" t="n">
        <v>405</v>
      </c>
      <c r="B406" s="5" t="inlineStr">
        <is>
          <t>WS0221</t>
        </is>
      </c>
      <c r="C406" s="5" t="inlineStr">
        <is>
          <t>2021</t>
        </is>
      </c>
      <c r="D406" s="5" t="inlineStr">
        <is>
          <t>English</t>
        </is>
      </c>
      <c r="E406" s="5" t="inlineStr">
        <is>
          <t>JOUR</t>
        </is>
      </c>
      <c r="F406" s="5" t="inlineStr">
        <is>
          <t>Kumarasamy</t>
        </is>
      </c>
      <c r="G406" s="5" t="inlineStr">
        <is>
          <t>ANZ journal of surgery</t>
        </is>
      </c>
      <c r="H406" s="5" t="inlineStr">
        <is>
          <t>91(11):2531-2533</t>
        </is>
      </c>
      <c r="I406" s="6" t="inlineStr">
        <is>
          <t>Surgical abdominal emergency due to torsion of wandering spleen.</t>
        </is>
      </c>
      <c r="J406" s="5" t="inlineStr">
        <is>
          <t>10.1111/ans.16733</t>
        </is>
      </c>
      <c r="K406" s="7" t="inlineStr">
        <is>
          <t>link</t>
        </is>
      </c>
      <c r="L406" s="7" t="inlineStr">
        <is>
          <t>link</t>
        </is>
      </c>
      <c r="M406" s="5" t="inlineStr"/>
      <c r="N406" s="5" t="inlineStr"/>
      <c r="O406" s="5" t="inlineStr"/>
      <c r="P406" s="5" t="inlineStr"/>
      <c r="Q406" s="5" t="inlineStr"/>
      <c r="R406" s="5" t="inlineStr">
        <is>
          <t>2 English, DOI or PubMed link</t>
        </is>
      </c>
      <c r="S406" s="5" t="inlineStr"/>
      <c r="T406" s="5" t="inlineStr">
        <is>
          <t>WS0221.pdf</t>
        </is>
      </c>
      <c r="U406" s="8" t="n"/>
      <c r="V406" s="8" t="n"/>
      <c r="W406" s="8" t="n"/>
      <c r="X406" s="8" t="n"/>
      <c r="Y406" s="8" t="n"/>
      <c r="Z406" s="8" t="n"/>
      <c r="AA406" s="8" t="n"/>
      <c r="AB406" s="8" t="n"/>
      <c r="AC406" s="8" t="n"/>
      <c r="AD406" s="8" t="n"/>
      <c r="AE406" s="8" t="inlineStr">
        <is>
          <t>no</t>
        </is>
      </c>
    </row>
    <row r="407">
      <c r="A407" s="5" t="n">
        <v>406</v>
      </c>
      <c r="B407" s="5" t="inlineStr">
        <is>
          <t>WS0224</t>
        </is>
      </c>
      <c r="C407" s="5" t="inlineStr">
        <is>
          <t>2021</t>
        </is>
      </c>
      <c r="D407" s="5" t="inlineStr">
        <is>
          <t>English</t>
        </is>
      </c>
      <c r="E407" s="5" t="inlineStr">
        <is>
          <t>JOUR</t>
        </is>
      </c>
      <c r="F407" s="5" t="inlineStr">
        <is>
          <t>Hayati</t>
        </is>
      </c>
      <c r="G407" s="5" t="inlineStr">
        <is>
          <t>ANZ journal of surgery</t>
        </is>
      </c>
      <c r="H407" s="5" t="inlineStr">
        <is>
          <t>91(1-2):214</t>
        </is>
      </c>
      <c r="I407" s="6" t="inlineStr">
        <is>
          <t>Re: Rare case of wandering spleen causing intra-thoracic megacolon.</t>
        </is>
      </c>
      <c r="J407" s="5" t="inlineStr">
        <is>
          <t>10.1111/ans.16380</t>
        </is>
      </c>
      <c r="K407" s="7" t="inlineStr">
        <is>
          <t>link</t>
        </is>
      </c>
      <c r="L407" s="7" t="inlineStr">
        <is>
          <t>link</t>
        </is>
      </c>
      <c r="M407" s="5" t="inlineStr"/>
      <c r="N407" s="5" t="inlineStr"/>
      <c r="O407" s="5" t="inlineStr"/>
      <c r="P407" s="5" t="inlineStr"/>
      <c r="Q407" s="5" t="inlineStr"/>
      <c r="R407" s="5" t="inlineStr">
        <is>
          <t>2 English, DOI or PubMed link</t>
        </is>
      </c>
      <c r="S407" s="5" t="inlineStr"/>
      <c r="T407" s="5" t="inlineStr">
        <is>
          <t>WS0224.pdf</t>
        </is>
      </c>
      <c r="U407" s="8" t="n"/>
      <c r="V407" s="8" t="n"/>
      <c r="W407" s="8" t="n"/>
      <c r="X407" s="8" t="n"/>
      <c r="Y407" s="8" t="n"/>
      <c r="Z407" s="8" t="n"/>
      <c r="AA407" s="8" t="n"/>
      <c r="AB407" s="8" t="n"/>
      <c r="AC407" s="8" t="n"/>
      <c r="AD407" s="8" t="n"/>
      <c r="AE407" s="8" t="inlineStr">
        <is>
          <t>no</t>
        </is>
      </c>
    </row>
    <row r="408">
      <c r="A408" s="5" t="n">
        <v>407</v>
      </c>
      <c r="B408" s="5" t="inlineStr">
        <is>
          <t>WS0251</t>
        </is>
      </c>
      <c r="C408" s="5" t="inlineStr">
        <is>
          <t>2021</t>
        </is>
      </c>
      <c r="D408" s="5" t="inlineStr">
        <is>
          <t>English</t>
        </is>
      </c>
      <c r="E408" s="5" t="inlineStr">
        <is>
          <t>JOUR</t>
        </is>
      </c>
      <c r="F408" s="5" t="inlineStr">
        <is>
          <t>Perez-Rosillo</t>
        </is>
      </c>
      <c r="G408" s="5" t="inlineStr">
        <is>
          <t>Gastroenterologia y hepatologia</t>
        </is>
      </c>
      <c r="H408" s="5" t="inlineStr">
        <is>
          <t>44(8):585-586</t>
        </is>
      </c>
      <c r="I408" s="6" t="inlineStr">
        <is>
          <t>Acute abdomen secondary to torsion and infarction of a wandering spleen.</t>
        </is>
      </c>
      <c r="J408" s="5" t="inlineStr">
        <is>
          <t>10.1016/j.gastrohep.2020.05.013</t>
        </is>
      </c>
      <c r="K408" s="7" t="inlineStr">
        <is>
          <t>link</t>
        </is>
      </c>
      <c r="L408" s="7" t="inlineStr">
        <is>
          <t>link</t>
        </is>
      </c>
      <c r="M408" s="5" t="inlineStr"/>
      <c r="N408" s="5" t="inlineStr"/>
      <c r="O408" s="5" t="inlineStr"/>
      <c r="P408" s="5" t="inlineStr"/>
      <c r="Q408" s="5" t="inlineStr"/>
      <c r="R408" s="5" t="inlineStr">
        <is>
          <t>2 English, DOI or PubMed link</t>
        </is>
      </c>
      <c r="S408" s="5" t="inlineStr"/>
      <c r="T408" s="5" t="inlineStr">
        <is>
          <t>WS0251.pdf</t>
        </is>
      </c>
      <c r="U408" s="8" t="n"/>
      <c r="V408" s="8" t="n"/>
      <c r="W408" s="8" t="n"/>
      <c r="X408" s="8" t="n"/>
      <c r="Y408" s="8" t="n"/>
      <c r="Z408" s="8" t="n"/>
      <c r="AA408" s="8" t="n"/>
      <c r="AB408" s="8" t="n"/>
      <c r="AC408" s="8" t="n"/>
      <c r="AD408" s="8" t="n"/>
      <c r="AE408" s="8" t="inlineStr">
        <is>
          <t>no</t>
        </is>
      </c>
    </row>
    <row r="409">
      <c r="A409" s="5" t="n">
        <v>408</v>
      </c>
      <c r="B409" s="5" t="inlineStr">
        <is>
          <t>WS0252</t>
        </is>
      </c>
      <c r="C409" s="5" t="inlineStr">
        <is>
          <t>2021</t>
        </is>
      </c>
      <c r="D409" s="5" t="inlineStr">
        <is>
          <t>English</t>
        </is>
      </c>
      <c r="E409" s="5" t="inlineStr">
        <is>
          <t>JOUR</t>
        </is>
      </c>
      <c r="F409" s="5" t="inlineStr">
        <is>
          <t>Lebeul</t>
        </is>
      </c>
      <c r="G409" s="5" t="inlineStr">
        <is>
          <t>Digestive and liver disease : official journal of the Italian Society of Gastroenterology and the Italian Association for the Study of the Liver</t>
        </is>
      </c>
      <c r="H409" s="5" t="inlineStr">
        <is>
          <t>53(4):500-501</t>
        </is>
      </c>
      <c r="I409" s="6" t="inlineStr">
        <is>
          <t>A wandering SPLEEN.</t>
        </is>
      </c>
      <c r="J409" s="5" t="inlineStr">
        <is>
          <t>10.1016/j.dld.2020.06.025</t>
        </is>
      </c>
      <c r="K409" s="7" t="inlineStr">
        <is>
          <t>link</t>
        </is>
      </c>
      <c r="L409" s="7" t="inlineStr">
        <is>
          <t>link</t>
        </is>
      </c>
      <c r="M409" s="5" t="inlineStr"/>
      <c r="N409" s="5" t="inlineStr"/>
      <c r="O409" s="5" t="inlineStr"/>
      <c r="P409" s="5" t="inlineStr"/>
      <c r="Q409" s="5" t="inlineStr"/>
      <c r="R409" s="5" t="inlineStr">
        <is>
          <t>2 English, DOI or PubMed link</t>
        </is>
      </c>
      <c r="S409" s="5" t="inlineStr"/>
      <c r="T409" s="5" t="inlineStr">
        <is>
          <t>WS0252.pdf</t>
        </is>
      </c>
      <c r="U409" s="8" t="n"/>
      <c r="V409" s="8" t="n"/>
      <c r="W409" s="8" t="n"/>
      <c r="X409" s="8" t="n"/>
      <c r="Y409" s="8" t="n"/>
      <c r="Z409" s="8" t="n"/>
      <c r="AA409" s="8" t="n"/>
      <c r="AB409" s="8" t="n"/>
      <c r="AC409" s="8" t="n"/>
      <c r="AD409" s="8" t="n"/>
      <c r="AE409" s="8" t="inlineStr">
        <is>
          <t>no</t>
        </is>
      </c>
    </row>
    <row r="410">
      <c r="A410" s="5" t="n">
        <v>409</v>
      </c>
      <c r="B410" s="5" t="inlineStr">
        <is>
          <t>WS1292</t>
        </is>
      </c>
      <c r="C410" s="5" t="inlineStr">
        <is>
          <t>2021</t>
        </is>
      </c>
      <c r="D410" s="5" t="inlineStr">
        <is>
          <t>English</t>
        </is>
      </c>
      <c r="E410" s="5" t="inlineStr">
        <is>
          <t>JOUR</t>
        </is>
      </c>
      <c r="F410" s="5" t="inlineStr">
        <is>
          <t>Freesmeyer</t>
        </is>
      </c>
      <c r="G410" s="5" t="inlineStr">
        <is>
          <t>European Journal of Nuclear Medicine and Molecular Imaging</t>
        </is>
      </c>
      <c r="H410" s="5" t="inlineStr">
        <is>
          <t>48(2):644-646</t>
        </is>
      </c>
      <c r="I410" s="6" t="inlineStr">
        <is>
          <t>PET/CT with [68Ga]gallium-oxine-labeled heat-denatured red blood cells for detection of dystopic splenic tissue</t>
        </is>
      </c>
      <c r="J410" s="5" t="inlineStr">
        <is>
          <t>10.1007/s00259-020-04899-4</t>
        </is>
      </c>
      <c r="K410" s="7" t="inlineStr">
        <is>
          <t>link</t>
        </is>
      </c>
      <c r="L410" s="5" t="inlineStr"/>
      <c r="M410" s="5" t="inlineStr"/>
      <c r="N410" s="5" t="inlineStr"/>
      <c r="O410" s="5" t="inlineStr"/>
      <c r="P410" s="5" t="inlineStr"/>
      <c r="Q410" s="7" t="inlineStr">
        <is>
          <t>link</t>
        </is>
      </c>
      <c r="R410" s="5" t="inlineStr">
        <is>
          <t>2 English, DOI or PubMed link</t>
        </is>
      </c>
      <c r="S410" s="5" t="inlineStr"/>
      <c r="T410" s="5" t="inlineStr">
        <is>
          <t>WS1292.pdf</t>
        </is>
      </c>
      <c r="U410" s="8" t="n"/>
      <c r="V410" s="8" t="n"/>
      <c r="W410" s="8" t="n"/>
      <c r="X410" s="8" t="n"/>
      <c r="Y410" s="8" t="n"/>
      <c r="Z410" s="8" t="n"/>
      <c r="AA410" s="8" t="n"/>
      <c r="AB410" s="8" t="n"/>
      <c r="AC410" s="8" t="n"/>
      <c r="AD410" s="8" t="n"/>
      <c r="AE410" s="8" t="inlineStr">
        <is>
          <t>no</t>
        </is>
      </c>
    </row>
    <row r="411">
      <c r="A411" s="5" t="n">
        <v>410</v>
      </c>
      <c r="B411" s="5" t="inlineStr">
        <is>
          <t>WS0249</t>
        </is>
      </c>
      <c r="C411" s="5" t="inlineStr">
        <is>
          <t>2020</t>
        </is>
      </c>
      <c r="D411" s="5" t="inlineStr">
        <is>
          <t>English</t>
        </is>
      </c>
      <c r="E411" s="5" t="inlineStr">
        <is>
          <t>JOUR</t>
        </is>
      </c>
      <c r="F411" s="5" t="inlineStr">
        <is>
          <t>Pouchot</t>
        </is>
      </c>
      <c r="G411" s="5" t="inlineStr">
        <is>
          <t>Lancet (London, England)</t>
        </is>
      </c>
      <c r="H411" s="5" t="inlineStr">
        <is>
          <t>396(10248):412</t>
        </is>
      </c>
      <c r="I411" s="6" t="inlineStr">
        <is>
          <t>A wandering spleen, splenomegaly, hypersplenism, and iron deficiency anaemia.</t>
        </is>
      </c>
      <c r="J411" s="5" t="inlineStr">
        <is>
          <t>10.1016/s0140-6736(20)31552-x</t>
        </is>
      </c>
      <c r="K411" s="7" t="inlineStr">
        <is>
          <t>link</t>
        </is>
      </c>
      <c r="L411" s="7" t="inlineStr">
        <is>
          <t>link</t>
        </is>
      </c>
      <c r="M411" s="5" t="inlineStr"/>
      <c r="N411" s="5" t="inlineStr"/>
      <c r="O411" s="5" t="inlineStr"/>
      <c r="P411" s="5" t="inlineStr"/>
      <c r="Q411" s="5" t="inlineStr"/>
      <c r="R411" s="5" t="inlineStr">
        <is>
          <t>2 English, DOI or PubMed link</t>
        </is>
      </c>
      <c r="S411" s="5" t="inlineStr"/>
      <c r="T411" s="5" t="inlineStr">
        <is>
          <t>WS0249.pdf</t>
        </is>
      </c>
      <c r="U411" s="8" t="n"/>
      <c r="V411" s="8" t="n"/>
      <c r="W411" s="8" t="n"/>
      <c r="X411" s="8" t="n"/>
      <c r="Y411" s="8" t="n"/>
      <c r="Z411" s="8" t="n"/>
      <c r="AA411" s="8" t="n"/>
      <c r="AB411" s="8" t="n"/>
      <c r="AC411" s="8" t="n"/>
      <c r="AD411" s="8" t="n"/>
      <c r="AE411" s="8" t="inlineStr">
        <is>
          <t>no</t>
        </is>
      </c>
    </row>
    <row r="412">
      <c r="A412" s="5" t="n">
        <v>411</v>
      </c>
      <c r="B412" s="5" t="inlineStr">
        <is>
          <t>WS0259</t>
        </is>
      </c>
      <c r="C412" s="5" t="inlineStr">
        <is>
          <t>2020</t>
        </is>
      </c>
      <c r="D412" s="5" t="inlineStr">
        <is>
          <t>English</t>
        </is>
      </c>
      <c r="E412" s="5" t="inlineStr">
        <is>
          <t>JOUR</t>
        </is>
      </c>
      <c r="F412" s="5" t="inlineStr">
        <is>
          <t>Mocanu</t>
        </is>
      </c>
      <c r="G412" s="5" t="inlineStr">
        <is>
          <t>ANZ journal of surgery</t>
        </is>
      </c>
      <c r="H412" s="5" t="inlineStr">
        <is>
          <t>90(12):E186-E187</t>
        </is>
      </c>
      <c r="I412" s="6" t="inlineStr">
        <is>
          <t>Atypical mesenteroaxial gastric volvulus with wandering spleen as a late complication of vagotomy and pyloromyotomy for peptic duodenal ulcer.</t>
        </is>
      </c>
      <c r="J412" s="5" t="inlineStr">
        <is>
          <t>10.1111/ans.15966</t>
        </is>
      </c>
      <c r="K412" s="7" t="inlineStr">
        <is>
          <t>link</t>
        </is>
      </c>
      <c r="L412" s="7" t="inlineStr">
        <is>
          <t>link</t>
        </is>
      </c>
      <c r="M412" s="5" t="inlineStr"/>
      <c r="N412" s="5" t="inlineStr"/>
      <c r="O412" s="5" t="inlineStr"/>
      <c r="P412" s="5" t="inlineStr"/>
      <c r="Q412" s="5" t="inlineStr"/>
      <c r="R412" s="5" t="inlineStr">
        <is>
          <t>2 English, DOI or PubMed link</t>
        </is>
      </c>
      <c r="S412" s="5" t="inlineStr"/>
      <c r="T412" s="5" t="inlineStr">
        <is>
          <t>WS0259.pdf</t>
        </is>
      </c>
      <c r="U412" s="8" t="n"/>
      <c r="V412" s="8" t="n"/>
      <c r="W412" s="8" t="n"/>
      <c r="X412" s="8" t="n"/>
      <c r="Y412" s="8" t="n"/>
      <c r="Z412" s="8" t="n"/>
      <c r="AA412" s="8" t="n"/>
      <c r="AB412" s="8" t="n"/>
      <c r="AC412" s="8" t="n"/>
      <c r="AD412" s="8" t="n"/>
      <c r="AE412" s="8" t="inlineStr">
        <is>
          <t>no</t>
        </is>
      </c>
    </row>
    <row r="413">
      <c r="A413" s="5" t="n">
        <v>412</v>
      </c>
      <c r="B413" s="5" t="inlineStr">
        <is>
          <t>WS0263</t>
        </is>
      </c>
      <c r="C413" s="5" t="inlineStr">
        <is>
          <t>2020</t>
        </is>
      </c>
      <c r="D413" s="5" t="inlineStr">
        <is>
          <t>English</t>
        </is>
      </c>
      <c r="E413" s="5" t="inlineStr">
        <is>
          <t>JOUR</t>
        </is>
      </c>
      <c r="F413" s="5" t="inlineStr">
        <is>
          <t>Perez Reyes</t>
        </is>
      </c>
      <c r="G413" s="5" t="inlineStr">
        <is>
          <t>Cirugia espanola</t>
        </is>
      </c>
      <c r="H413" s="5" t="inlineStr">
        <is>
          <t>98(10):627</t>
        </is>
      </c>
      <c r="I413" s="6" t="inlineStr">
        <is>
          <t>Massive splenic infarction in a wandering spleen: A rare indication for emergency splenectomy.</t>
        </is>
      </c>
      <c r="J413" s="5" t="inlineStr">
        <is>
          <t>10.1016/j.ciresp.2020.02.001</t>
        </is>
      </c>
      <c r="K413" s="7" t="inlineStr">
        <is>
          <t>link</t>
        </is>
      </c>
      <c r="L413" s="7" t="inlineStr">
        <is>
          <t>link</t>
        </is>
      </c>
      <c r="M413" s="5" t="inlineStr"/>
      <c r="N413" s="5" t="inlineStr"/>
      <c r="O413" s="5" t="inlineStr"/>
      <c r="P413" s="5" t="inlineStr"/>
      <c r="Q413" s="5" t="inlineStr"/>
      <c r="R413" s="5" t="inlineStr">
        <is>
          <t>2 English, DOI or PubMed link</t>
        </is>
      </c>
      <c r="S413" s="5" t="inlineStr"/>
      <c r="T413" s="5" t="inlineStr">
        <is>
          <t>WS0263.pdf</t>
        </is>
      </c>
      <c r="U413" s="8" t="n"/>
      <c r="V413" s="8" t="n"/>
      <c r="W413" s="8" t="n"/>
      <c r="X413" s="8" t="n"/>
      <c r="Y413" s="8" t="n"/>
      <c r="Z413" s="8" t="n"/>
      <c r="AA413" s="8" t="n"/>
      <c r="AB413" s="8" t="n"/>
      <c r="AC413" s="8" t="n"/>
      <c r="AD413" s="8" t="n"/>
      <c r="AE413" s="8" t="inlineStr">
        <is>
          <t>no</t>
        </is>
      </c>
    </row>
    <row r="414">
      <c r="A414" s="5" t="n">
        <v>413</v>
      </c>
      <c r="B414" s="5" t="inlineStr">
        <is>
          <t>WS0267</t>
        </is>
      </c>
      <c r="C414" s="5" t="inlineStr">
        <is>
          <t>2020</t>
        </is>
      </c>
      <c r="D414" s="5" t="inlineStr">
        <is>
          <t>English</t>
        </is>
      </c>
      <c r="E414" s="5" t="inlineStr">
        <is>
          <t>JOUR</t>
        </is>
      </c>
      <c r="F414" s="5" t="inlineStr">
        <is>
          <t>Chue</t>
        </is>
      </c>
      <c r="G414" s="5" t="inlineStr">
        <is>
          <t>ANZ journal of surgery</t>
        </is>
      </c>
      <c r="H414" s="5" t="inlineStr">
        <is>
          <t>90(10):2124-2125</t>
        </is>
      </c>
      <c r="I414" s="6" t="inlineStr">
        <is>
          <t>Laparoscopic splenectomy for a wandering spleen with resultant splenomegaly and gastric varices.</t>
        </is>
      </c>
      <c r="J414" s="5" t="inlineStr">
        <is>
          <t>10.1111/ans.15737</t>
        </is>
      </c>
      <c r="K414" s="7" t="inlineStr">
        <is>
          <t>link</t>
        </is>
      </c>
      <c r="L414" s="7" t="inlineStr">
        <is>
          <t>link</t>
        </is>
      </c>
      <c r="M414" s="5" t="inlineStr"/>
      <c r="N414" s="5" t="inlineStr"/>
      <c r="O414" s="5" t="inlineStr"/>
      <c r="P414" s="5" t="inlineStr"/>
      <c r="Q414" s="5" t="inlineStr"/>
      <c r="R414" s="5" t="inlineStr">
        <is>
          <t>2 English, DOI or PubMed link</t>
        </is>
      </c>
      <c r="S414" s="5" t="inlineStr"/>
      <c r="T414" s="5" t="inlineStr">
        <is>
          <t>WS0267.pdf</t>
        </is>
      </c>
      <c r="U414" s="8" t="n"/>
      <c r="V414" s="8" t="n"/>
      <c r="W414" s="8" t="n"/>
      <c r="X414" s="8" t="n"/>
      <c r="Y414" s="8" t="n"/>
      <c r="Z414" s="8" t="n"/>
      <c r="AA414" s="8" t="n"/>
      <c r="AB414" s="8" t="n"/>
      <c r="AC414" s="8" t="n"/>
      <c r="AD414" s="8" t="n"/>
      <c r="AE414" s="8" t="inlineStr">
        <is>
          <t>no</t>
        </is>
      </c>
    </row>
    <row r="415">
      <c r="A415" s="5" t="n">
        <v>414</v>
      </c>
      <c r="B415" s="5" t="inlineStr">
        <is>
          <t>WS0277</t>
        </is>
      </c>
      <c r="C415" s="5" t="inlineStr">
        <is>
          <t>2020</t>
        </is>
      </c>
      <c r="D415" s="5" t="inlineStr">
        <is>
          <t>English</t>
        </is>
      </c>
      <c r="E415" s="5" t="inlineStr">
        <is>
          <t>JOUR</t>
        </is>
      </c>
      <c r="F415" s="5" t="inlineStr">
        <is>
          <t>Rey Valles</t>
        </is>
      </c>
      <c r="G415" s="5" t="inlineStr">
        <is>
          <t>Cirugia espanola</t>
        </is>
      </c>
      <c r="H415" s="5" t="inlineStr">
        <is>
          <t>98(7):418-419</t>
        </is>
      </c>
      <c r="I415" s="6" t="inlineStr">
        <is>
          <t>Torsion of a wandering spleen.</t>
        </is>
      </c>
      <c r="J415" s="5" t="inlineStr">
        <is>
          <t>10.1016/j.ciresp.2019.09.009</t>
        </is>
      </c>
      <c r="K415" s="7" t="inlineStr">
        <is>
          <t>link</t>
        </is>
      </c>
      <c r="L415" s="7" t="inlineStr">
        <is>
          <t>link</t>
        </is>
      </c>
      <c r="M415" s="5" t="inlineStr"/>
      <c r="N415" s="5" t="inlineStr"/>
      <c r="O415" s="5" t="inlineStr"/>
      <c r="P415" s="5" t="inlineStr"/>
      <c r="Q415" s="5" t="inlineStr"/>
      <c r="R415" s="5" t="inlineStr">
        <is>
          <t>2 English, DOI or PubMed link</t>
        </is>
      </c>
      <c r="S415" s="5" t="inlineStr"/>
      <c r="T415" s="5" t="inlineStr">
        <is>
          <t>WS0277.pdf</t>
        </is>
      </c>
      <c r="U415" s="8" t="n"/>
      <c r="V415" s="8" t="n"/>
      <c r="W415" s="8" t="n"/>
      <c r="X415" s="8" t="n"/>
      <c r="Y415" s="8" t="n"/>
      <c r="Z415" s="8" t="n"/>
      <c r="AA415" s="8" t="n"/>
      <c r="AB415" s="8" t="n"/>
      <c r="AC415" s="8" t="n"/>
      <c r="AD415" s="8" t="n"/>
      <c r="AE415" s="8" t="inlineStr">
        <is>
          <t>no</t>
        </is>
      </c>
    </row>
    <row r="416">
      <c r="A416" s="5" t="n">
        <v>415</v>
      </c>
      <c r="B416" s="5" t="inlineStr">
        <is>
          <t>WS0278</t>
        </is>
      </c>
      <c r="C416" s="5" t="inlineStr">
        <is>
          <t>2020</t>
        </is>
      </c>
      <c r="D416" s="5" t="inlineStr">
        <is>
          <t>English</t>
        </is>
      </c>
      <c r="E416" s="5" t="inlineStr">
        <is>
          <t>JOUR</t>
        </is>
      </c>
      <c r="F416" s="5" t="inlineStr">
        <is>
          <t>Han</t>
        </is>
      </c>
      <c r="G416" s="5" t="inlineStr">
        <is>
          <t>ANZ journal of surgery</t>
        </is>
      </c>
      <c r="H416" s="5" t="inlineStr">
        <is>
          <t>90(6):1192-1193</t>
        </is>
      </c>
      <c r="I416" s="6" t="inlineStr">
        <is>
          <t>Rare case of wandering spleen causing intra-thoracic megacolon.</t>
        </is>
      </c>
      <c r="J416" s="5" t="inlineStr">
        <is>
          <t>10.1111/ans.15542</t>
        </is>
      </c>
      <c r="K416" s="7" t="inlineStr">
        <is>
          <t>link</t>
        </is>
      </c>
      <c r="L416" s="7" t="inlineStr">
        <is>
          <t>link</t>
        </is>
      </c>
      <c r="M416" s="5" t="inlineStr"/>
      <c r="N416" s="5" t="inlineStr"/>
      <c r="O416" s="5" t="inlineStr"/>
      <c r="P416" s="5" t="inlineStr"/>
      <c r="Q416" s="5" t="inlineStr"/>
      <c r="R416" s="5" t="inlineStr">
        <is>
          <t>2 English, DOI or PubMed link</t>
        </is>
      </c>
      <c r="S416" s="5" t="inlineStr"/>
      <c r="T416" s="5" t="inlineStr">
        <is>
          <t>WS0278.pdf</t>
        </is>
      </c>
      <c r="U416" s="8" t="n"/>
      <c r="V416" s="8" t="n"/>
      <c r="W416" s="8" t="n"/>
      <c r="X416" s="8" t="n"/>
      <c r="Y416" s="8" t="n"/>
      <c r="Z416" s="8" t="n"/>
      <c r="AA416" s="8" t="n"/>
      <c r="AB416" s="8" t="n"/>
      <c r="AC416" s="8" t="n"/>
      <c r="AD416" s="8" t="n"/>
      <c r="AE416" s="8" t="inlineStr">
        <is>
          <t>no</t>
        </is>
      </c>
    </row>
    <row r="417">
      <c r="A417" s="5" t="n">
        <v>416</v>
      </c>
      <c r="B417" s="5" t="inlineStr">
        <is>
          <t>WS1373</t>
        </is>
      </c>
      <c r="C417" s="5" t="inlineStr">
        <is>
          <t>2020</t>
        </is>
      </c>
      <c r="D417" s="5" t="inlineStr">
        <is>
          <t>English</t>
        </is>
      </c>
      <c r="E417" s="5" t="inlineStr">
        <is>
          <t>JOUR</t>
        </is>
      </c>
      <c r="F417" s="5" t="inlineStr">
        <is>
          <t>Wilson</t>
        </is>
      </c>
      <c r="G417" s="5" t="inlineStr">
        <is>
          <t>SURGERY</t>
        </is>
      </c>
      <c r="H417" s="5" t="inlineStr">
        <is>
          <t>168(2):E9-E10</t>
        </is>
      </c>
      <c r="I417" s="6" t="inlineStr">
        <is>
          <t>Wandering spleen in a pediatric patient</t>
        </is>
      </c>
      <c r="J417" s="5" t="inlineStr">
        <is>
          <t>10.1016/j.surg.2020.04.022</t>
        </is>
      </c>
      <c r="K417" s="7" t="inlineStr">
        <is>
          <t>link</t>
        </is>
      </c>
      <c r="L417" s="5" t="inlineStr"/>
      <c r="M417" s="5" t="inlineStr"/>
      <c r="N417" s="5" t="inlineStr"/>
      <c r="O417" s="5" t="inlineStr"/>
      <c r="P417" s="5" t="inlineStr"/>
      <c r="Q417" s="5" t="inlineStr"/>
      <c r="R417" s="5" t="inlineStr">
        <is>
          <t>2 English, DOI or PubMed link</t>
        </is>
      </c>
      <c r="S417" s="5" t="inlineStr"/>
      <c r="T417" s="5" t="inlineStr">
        <is>
          <t>WS1373.pdf</t>
        </is>
      </c>
      <c r="U417" s="8" t="n"/>
      <c r="V417" s="8" t="n"/>
      <c r="W417" s="8" t="n"/>
      <c r="X417" s="8" t="n"/>
      <c r="Y417" s="8" t="n"/>
      <c r="Z417" s="8" t="n"/>
      <c r="AA417" s="8" t="n"/>
      <c r="AB417" s="8" t="n"/>
      <c r="AC417" s="8" t="n"/>
      <c r="AD417" s="8" t="n"/>
      <c r="AE417" s="8" t="inlineStr">
        <is>
          <t>no</t>
        </is>
      </c>
    </row>
    <row r="418">
      <c r="A418" s="5" t="n">
        <v>417</v>
      </c>
      <c r="B418" s="5" t="inlineStr">
        <is>
          <t>WS0281</t>
        </is>
      </c>
      <c r="C418" s="5" t="inlineStr">
        <is>
          <t>2019</t>
        </is>
      </c>
      <c r="D418" s="5" t="inlineStr">
        <is>
          <t>English</t>
        </is>
      </c>
      <c r="E418" s="5" t="inlineStr">
        <is>
          <t>JOUR</t>
        </is>
      </c>
      <c r="F418" s="5" t="inlineStr">
        <is>
          <t>Ng</t>
        </is>
      </c>
      <c r="G418" s="5" t="inlineStr">
        <is>
          <t>The American surgeon</t>
        </is>
      </c>
      <c r="H418" s="5" t="inlineStr">
        <is>
          <t>85(8):e430-e432</t>
        </is>
      </c>
      <c r="I418" s="6" t="inlineStr">
        <is>
          <t>Wandering Spleen with 720-degree Torsion Treated with Splenectomy and Distal Pancreatectomy.</t>
        </is>
      </c>
      <c r="J418" s="5" t="inlineStr"/>
      <c r="K418" s="5" t="inlineStr"/>
      <c r="L418" s="7" t="inlineStr">
        <is>
          <t>link</t>
        </is>
      </c>
      <c r="M418" s="5" t="inlineStr"/>
      <c r="N418" s="5" t="inlineStr"/>
      <c r="O418" s="5" t="inlineStr"/>
      <c r="P418" s="5" t="inlineStr"/>
      <c r="Q418" s="5" t="inlineStr"/>
      <c r="R418" s="5" t="inlineStr">
        <is>
          <t>2 English, DOI or PubMed link</t>
        </is>
      </c>
      <c r="S418" s="5" t="inlineStr"/>
      <c r="T418" s="5" t="inlineStr">
        <is>
          <t>WS0281.pdf</t>
        </is>
      </c>
      <c r="U418" s="8" t="n"/>
      <c r="V418" s="8" t="n"/>
      <c r="W418" s="8" t="n"/>
      <c r="X418" s="8" t="n"/>
      <c r="Y418" s="8" t="n"/>
      <c r="Z418" s="8" t="n"/>
      <c r="AA418" s="8" t="n"/>
      <c r="AB418" s="8" t="n"/>
      <c r="AC418" s="8" t="n"/>
      <c r="AD418" s="8" t="n"/>
      <c r="AE418" s="8" t="inlineStr">
        <is>
          <t>no</t>
        </is>
      </c>
    </row>
    <row r="419">
      <c r="A419" s="5" t="n">
        <v>418</v>
      </c>
      <c r="B419" s="5" t="inlineStr">
        <is>
          <t>WS0290</t>
        </is>
      </c>
      <c r="C419" s="5" t="inlineStr">
        <is>
          <t>2019</t>
        </is>
      </c>
      <c r="D419" s="5" t="inlineStr">
        <is>
          <t>English</t>
        </is>
      </c>
      <c r="E419" s="5" t="inlineStr">
        <is>
          <t>JOUR</t>
        </is>
      </c>
      <c r="F419" s="5" t="inlineStr">
        <is>
          <t>De'Ath</t>
        </is>
      </c>
      <c r="G419" s="5" t="inlineStr">
        <is>
          <t>Gastroenterology</t>
        </is>
      </c>
      <c r="H419" s="5" t="inlineStr">
        <is>
          <t>157(6):e11-e12</t>
        </is>
      </c>
      <c r="I419" s="6" t="inlineStr">
        <is>
          <t>Overeating and a Wandering Spleen: What Is the Link?</t>
        </is>
      </c>
      <c r="J419" s="5" t="inlineStr">
        <is>
          <t>10.1053/j.gastro.2019.07.022</t>
        </is>
      </c>
      <c r="K419" s="7" t="inlineStr">
        <is>
          <t>link</t>
        </is>
      </c>
      <c r="L419" s="7" t="inlineStr">
        <is>
          <t>link</t>
        </is>
      </c>
      <c r="M419" s="5" t="inlineStr"/>
      <c r="N419" s="5" t="inlineStr"/>
      <c r="O419" s="5" t="inlineStr"/>
      <c r="P419" s="5" t="inlineStr"/>
      <c r="Q419" s="5" t="inlineStr"/>
      <c r="R419" s="5" t="inlineStr">
        <is>
          <t>2 English, DOI or PubMed link</t>
        </is>
      </c>
      <c r="S419" s="5" t="inlineStr"/>
      <c r="T419" s="5" t="inlineStr">
        <is>
          <t>WS0290.pdf</t>
        </is>
      </c>
      <c r="U419" s="8" t="n"/>
      <c r="V419" s="8" t="n"/>
      <c r="W419" s="8" t="n"/>
      <c r="X419" s="8" t="n"/>
      <c r="Y419" s="8" t="n"/>
      <c r="Z419" s="8" t="n"/>
      <c r="AA419" s="8" t="n"/>
      <c r="AB419" s="8" t="n"/>
      <c r="AC419" s="8" t="n"/>
      <c r="AD419" s="8" t="n"/>
      <c r="AE419" s="8" t="inlineStr">
        <is>
          <t>no</t>
        </is>
      </c>
    </row>
    <row r="420">
      <c r="A420" s="5" t="n">
        <v>419</v>
      </c>
      <c r="B420" s="5" t="inlineStr">
        <is>
          <t>WS0299</t>
        </is>
      </c>
      <c r="C420" s="5" t="inlineStr">
        <is>
          <t>2019</t>
        </is>
      </c>
      <c r="D420" s="5" t="inlineStr">
        <is>
          <t>English</t>
        </is>
      </c>
      <c r="E420" s="5" t="inlineStr">
        <is>
          <t>JOUR</t>
        </is>
      </c>
      <c r="F420" s="5" t="inlineStr">
        <is>
          <t>Karapolat</t>
        </is>
      </c>
      <c r="G420" s="5" t="inlineStr">
        <is>
          <t>The American journal of the medical sciences</t>
        </is>
      </c>
      <c r="H420" s="5" t="inlineStr">
        <is>
          <t>357(5):e17-e18</t>
        </is>
      </c>
      <c r="I420" s="6" t="inlineStr">
        <is>
          <t>Torsion of the Wandering Spleen.</t>
        </is>
      </c>
      <c r="J420" s="5" t="inlineStr">
        <is>
          <t>10.1016/j.amjms.2019.01.016</t>
        </is>
      </c>
      <c r="K420" s="7" t="inlineStr">
        <is>
          <t>link</t>
        </is>
      </c>
      <c r="L420" s="7" t="inlineStr">
        <is>
          <t>link</t>
        </is>
      </c>
      <c r="M420" s="5" t="inlineStr"/>
      <c r="N420" s="5" t="inlineStr"/>
      <c r="O420" s="5" t="inlineStr"/>
      <c r="P420" s="5" t="inlineStr"/>
      <c r="Q420" s="5" t="inlineStr"/>
      <c r="R420" s="5" t="inlineStr">
        <is>
          <t>2 English, DOI or PubMed link</t>
        </is>
      </c>
      <c r="S420" s="5" t="inlineStr"/>
      <c r="T420" s="5" t="inlineStr">
        <is>
          <t>WS0299.pdf</t>
        </is>
      </c>
      <c r="U420" s="8" t="n"/>
      <c r="V420" s="8" t="n"/>
      <c r="W420" s="8" t="n"/>
      <c r="X420" s="8" t="n"/>
      <c r="Y420" s="8" t="n"/>
      <c r="Z420" s="8" t="n"/>
      <c r="AA420" s="8" t="n"/>
      <c r="AB420" s="8" t="n"/>
      <c r="AC420" s="8" t="n"/>
      <c r="AD420" s="8" t="n"/>
      <c r="AE420" s="8" t="inlineStr">
        <is>
          <t>no</t>
        </is>
      </c>
    </row>
    <row r="421">
      <c r="A421" s="5" t="n">
        <v>420</v>
      </c>
      <c r="B421" s="5" t="inlineStr">
        <is>
          <t>WS0312</t>
        </is>
      </c>
      <c r="C421" s="5" t="inlineStr">
        <is>
          <t>2019</t>
        </is>
      </c>
      <c r="D421" s="5" t="inlineStr">
        <is>
          <t>English</t>
        </is>
      </c>
      <c r="E421" s="5" t="inlineStr">
        <is>
          <t>JOUR</t>
        </is>
      </c>
      <c r="F421" s="5" t="inlineStr">
        <is>
          <t>Guvendi</t>
        </is>
      </c>
      <c r="G421" s="5" t="inlineStr">
        <is>
          <t>Cirugia espanola</t>
        </is>
      </c>
      <c r="H421" s="5" t="inlineStr">
        <is>
          <t>97(4):232</t>
        </is>
      </c>
      <c r="I421" s="6" t="inlineStr">
        <is>
          <t>Wandering spleen and intestinal malrotation.</t>
        </is>
      </c>
      <c r="J421" s="5" t="inlineStr">
        <is>
          <t>10.1016/j.ciresp.2018.08.014</t>
        </is>
      </c>
      <c r="K421" s="7" t="inlineStr">
        <is>
          <t>link</t>
        </is>
      </c>
      <c r="L421" s="7" t="inlineStr">
        <is>
          <t>link</t>
        </is>
      </c>
      <c r="M421" s="5" t="inlineStr"/>
      <c r="N421" s="5" t="inlineStr"/>
      <c r="O421" s="5" t="inlineStr"/>
      <c r="P421" s="5" t="inlineStr"/>
      <c r="Q421" s="5" t="inlineStr"/>
      <c r="R421" s="5" t="inlineStr">
        <is>
          <t>2 English, DOI or PubMed link</t>
        </is>
      </c>
      <c r="S421" s="5" t="inlineStr"/>
      <c r="T421" s="5" t="inlineStr">
        <is>
          <t>WS0312.pdf</t>
        </is>
      </c>
      <c r="U421" s="8" t="n"/>
      <c r="V421" s="8" t="n"/>
      <c r="W421" s="8" t="n"/>
      <c r="X421" s="8" t="n"/>
      <c r="Y421" s="8" t="n"/>
      <c r="Z421" s="8" t="n"/>
      <c r="AA421" s="8" t="n"/>
      <c r="AB421" s="8" t="n"/>
      <c r="AC421" s="8" t="n"/>
      <c r="AD421" s="8" t="n"/>
      <c r="AE421" s="8" t="inlineStr">
        <is>
          <t>no</t>
        </is>
      </c>
    </row>
    <row r="422">
      <c r="A422" s="5" t="n">
        <v>421</v>
      </c>
      <c r="B422" s="5" t="inlineStr">
        <is>
          <t>WS1337</t>
        </is>
      </c>
      <c r="C422" s="5" t="inlineStr">
        <is>
          <t>2019</t>
        </is>
      </c>
      <c r="D422" s="5" t="inlineStr">
        <is>
          <t>English</t>
        </is>
      </c>
      <c r="E422" s="5" t="inlineStr">
        <is>
          <t>JOUR</t>
        </is>
      </c>
      <c r="F422" s="5" t="inlineStr">
        <is>
          <t>Canty</t>
        </is>
      </c>
      <c r="G422" s="5" t="inlineStr">
        <is>
          <t>ARCHIVES OF DISEASE IN CHILDHOOD</t>
        </is>
      </c>
      <c r="H422" s="5" t="inlineStr">
        <is>
          <t>104:A189-A189</t>
        </is>
      </c>
      <c r="I422" s="6" t="inlineStr">
        <is>
          <t>IN PURSUIT OF A WANDERING SPLEEN</t>
        </is>
      </c>
      <c r="J422" s="5" t="inlineStr">
        <is>
          <t>10.1136/archdischild-2019-epa.437</t>
        </is>
      </c>
      <c r="K422" s="7" t="inlineStr">
        <is>
          <t>link</t>
        </is>
      </c>
      <c r="L422" s="5" t="inlineStr"/>
      <c r="M422" s="5" t="inlineStr"/>
      <c r="N422" s="5" t="inlineStr"/>
      <c r="O422" s="5" t="inlineStr"/>
      <c r="P422" s="5" t="inlineStr"/>
      <c r="Q422" s="5" t="inlineStr"/>
      <c r="R422" s="5" t="inlineStr">
        <is>
          <t>2 English, DOI or PubMed link</t>
        </is>
      </c>
      <c r="S422" s="5" t="inlineStr"/>
      <c r="T422" s="5" t="inlineStr">
        <is>
          <t>WS1337.pdf</t>
        </is>
      </c>
      <c r="U422" s="8" t="n"/>
      <c r="V422" s="8" t="n"/>
      <c r="W422" s="8" t="n"/>
      <c r="X422" s="8" t="n"/>
      <c r="Y422" s="8" t="n"/>
      <c r="Z422" s="8" t="n"/>
      <c r="AA422" s="8" t="n"/>
      <c r="AB422" s="8" t="n"/>
      <c r="AC422" s="8" t="n"/>
      <c r="AD422" s="8" t="n"/>
      <c r="AE422" s="8" t="inlineStr">
        <is>
          <t>no</t>
        </is>
      </c>
    </row>
    <row r="423">
      <c r="A423" s="5" t="n">
        <v>422</v>
      </c>
      <c r="B423" s="5" t="inlineStr">
        <is>
          <t>WS0306</t>
        </is>
      </c>
      <c r="C423" s="5" t="inlineStr">
        <is>
          <t>2018</t>
        </is>
      </c>
      <c r="D423" s="5" t="inlineStr">
        <is>
          <t>English</t>
        </is>
      </c>
      <c r="E423" s="5" t="inlineStr">
        <is>
          <t>JOUR</t>
        </is>
      </c>
      <c r="F423" s="5" t="inlineStr">
        <is>
          <t>Bernardes Filho</t>
        </is>
      </c>
      <c r="G423" s="5" t="inlineStr">
        <is>
          <t>Revista da Associacao Medica Brasileira (1992)</t>
        </is>
      </c>
      <c r="H423" s="5" t="inlineStr">
        <is>
          <t>64(12):1075-1076</t>
        </is>
      </c>
      <c r="I423" s="6" t="inlineStr">
        <is>
          <t>An unusual cause of acute abdomen: wandering spleen with infarction.</t>
        </is>
      </c>
      <c r="J423" s="5" t="inlineStr">
        <is>
          <t>10.1590/1806-9282.64.12.1075</t>
        </is>
      </c>
      <c r="K423" s="7" t="inlineStr">
        <is>
          <t>link</t>
        </is>
      </c>
      <c r="L423" s="7" t="inlineStr">
        <is>
          <t>link</t>
        </is>
      </c>
      <c r="M423" s="5" t="inlineStr"/>
      <c r="N423" s="5" t="inlineStr"/>
      <c r="O423" s="5" t="inlineStr"/>
      <c r="P423" s="5" t="inlineStr"/>
      <c r="Q423" s="5" t="inlineStr"/>
      <c r="R423" s="5" t="inlineStr">
        <is>
          <t>2 English, DOI or PubMed link</t>
        </is>
      </c>
      <c r="S423" s="5" t="inlineStr"/>
      <c r="T423" s="5" t="inlineStr">
        <is>
          <t>WS0306.pdf</t>
        </is>
      </c>
      <c r="U423" s="8" t="n"/>
      <c r="V423" s="8" t="n"/>
      <c r="W423" s="8" t="n"/>
      <c r="X423" s="8" t="n"/>
      <c r="Y423" s="8" t="n"/>
      <c r="Z423" s="8" t="n"/>
      <c r="AA423" s="8" t="n"/>
      <c r="AB423" s="8" t="n"/>
      <c r="AC423" s="8" t="n"/>
      <c r="AD423" s="8" t="n"/>
      <c r="AE423" s="8" t="inlineStr">
        <is>
          <t>no</t>
        </is>
      </c>
    </row>
    <row r="424">
      <c r="A424" s="5" t="n">
        <v>423</v>
      </c>
      <c r="B424" s="5" t="inlineStr">
        <is>
          <t>WS0311</t>
        </is>
      </c>
      <c r="C424" s="5" t="inlineStr">
        <is>
          <t>2018</t>
        </is>
      </c>
      <c r="D424" s="5" t="inlineStr">
        <is>
          <t>English</t>
        </is>
      </c>
      <c r="E424" s="5" t="inlineStr">
        <is>
          <t>JOUR</t>
        </is>
      </c>
      <c r="F424" s="5" t="inlineStr">
        <is>
          <t>Vaynshtein</t>
        </is>
      </c>
      <c r="G424" s="5" t="inlineStr">
        <is>
          <t>The Israel Medical Association journal : IMAJ</t>
        </is>
      </c>
      <c r="H424" s="5" t="inlineStr">
        <is>
          <t>20(10):656-657</t>
        </is>
      </c>
      <c r="I424" s="6" t="inlineStr">
        <is>
          <t>Wandering Spleen: Three Subsequent Cases in Young Women.</t>
        </is>
      </c>
      <c r="J424" s="5" t="inlineStr"/>
      <c r="K424" s="5" t="inlineStr"/>
      <c r="L424" s="7" t="inlineStr">
        <is>
          <t>link</t>
        </is>
      </c>
      <c r="M424" s="5" t="inlineStr"/>
      <c r="N424" s="5" t="inlineStr"/>
      <c r="O424" s="5" t="inlineStr"/>
      <c r="P424" s="5" t="inlineStr"/>
      <c r="Q424" s="5" t="inlineStr"/>
      <c r="R424" s="5" t="inlineStr">
        <is>
          <t>2 English, DOI or PubMed link</t>
        </is>
      </c>
      <c r="S424" s="5" t="inlineStr"/>
      <c r="T424" s="5" t="inlineStr">
        <is>
          <t>WS0311.pdf</t>
        </is>
      </c>
      <c r="U424" s="8" t="n"/>
      <c r="V424" s="8" t="n"/>
      <c r="W424" s="8" t="n"/>
      <c r="X424" s="8" t="n"/>
      <c r="Y424" s="8" t="n"/>
      <c r="Z424" s="8" t="n"/>
      <c r="AA424" s="8" t="n"/>
      <c r="AB424" s="8" t="n"/>
      <c r="AC424" s="8" t="n"/>
      <c r="AD424" s="8" t="n"/>
      <c r="AE424" s="8" t="inlineStr">
        <is>
          <t>no</t>
        </is>
      </c>
    </row>
    <row r="425">
      <c r="A425" s="5" t="n">
        <v>424</v>
      </c>
      <c r="B425" s="5" t="inlineStr">
        <is>
          <t>WS0322</t>
        </is>
      </c>
      <c r="C425" s="5" t="inlineStr">
        <is>
          <t>2018</t>
        </is>
      </c>
      <c r="D425" s="5" t="inlineStr">
        <is>
          <t>English</t>
        </is>
      </c>
      <c r="E425" s="5" t="inlineStr">
        <is>
          <t>JOUR</t>
        </is>
      </c>
      <c r="F425" s="5" t="inlineStr">
        <is>
          <t>Spears</t>
        </is>
      </c>
      <c r="G425" s="5" t="inlineStr">
        <is>
          <t>Journal of the American Veterinary Medical Association</t>
        </is>
      </c>
      <c r="H425" s="5" t="inlineStr">
        <is>
          <t>252(12):1463-1466</t>
        </is>
      </c>
      <c r="I425" s="6" t="inlineStr">
        <is>
          <t>What Is Your Diagnosis?</t>
        </is>
      </c>
      <c r="J425" s="5" t="inlineStr">
        <is>
          <t>10.2460/javma.252.12.1463</t>
        </is>
      </c>
      <c r="K425" s="7" t="inlineStr">
        <is>
          <t>link</t>
        </is>
      </c>
      <c r="L425" s="7" t="inlineStr">
        <is>
          <t>link</t>
        </is>
      </c>
      <c r="M425" s="5" t="inlineStr"/>
      <c r="N425" s="5" t="inlineStr"/>
      <c r="O425" s="5" t="inlineStr"/>
      <c r="P425" s="5" t="inlineStr"/>
      <c r="Q425" s="5" t="inlineStr"/>
      <c r="R425" s="5" t="inlineStr">
        <is>
          <t>2 English, DOI or PubMed link</t>
        </is>
      </c>
      <c r="S425" s="5" t="inlineStr"/>
      <c r="T425" s="5" t="inlineStr">
        <is>
          <t>WS0322.pdf</t>
        </is>
      </c>
      <c r="U425" s="8" t="n"/>
      <c r="V425" s="8" t="n"/>
      <c r="W425" s="8" t="n"/>
      <c r="X425" s="8" t="n"/>
      <c r="Y425" s="8" t="n"/>
      <c r="Z425" s="8" t="n"/>
      <c r="AA425" s="8" t="n"/>
      <c r="AB425" s="8" t="n"/>
      <c r="AC425" s="8" t="n"/>
      <c r="AD425" s="8" t="n"/>
      <c r="AE425" s="8" t="inlineStr">
        <is>
          <t>no</t>
        </is>
      </c>
    </row>
    <row r="426">
      <c r="A426" s="5" t="n">
        <v>425</v>
      </c>
      <c r="B426" s="5" t="inlineStr">
        <is>
          <t>WS0331</t>
        </is>
      </c>
      <c r="C426" s="5" t="inlineStr">
        <is>
          <t>2018</t>
        </is>
      </c>
      <c r="D426" s="5" t="inlineStr">
        <is>
          <t>English</t>
        </is>
      </c>
      <c r="E426" s="5" t="inlineStr">
        <is>
          <t>JOUR</t>
        </is>
      </c>
      <c r="F426" s="5" t="inlineStr">
        <is>
          <t>Hallisey</t>
        </is>
      </c>
      <c r="G426" s="5" t="inlineStr">
        <is>
          <t>Annals of emergency medicine</t>
        </is>
      </c>
      <c r="H426" s="5" t="inlineStr">
        <is>
          <t>71(3):430-438</t>
        </is>
      </c>
      <c r="I426" s="6" t="inlineStr">
        <is>
          <t>Man With Abdominal Pain.</t>
        </is>
      </c>
      <c r="J426" s="5" t="inlineStr">
        <is>
          <t>10.1016/j.annemergmed.2017.09.030</t>
        </is>
      </c>
      <c r="K426" s="7" t="inlineStr">
        <is>
          <t>link</t>
        </is>
      </c>
      <c r="L426" s="7" t="inlineStr">
        <is>
          <t>link</t>
        </is>
      </c>
      <c r="M426" s="5" t="inlineStr"/>
      <c r="N426" s="5" t="inlineStr"/>
      <c r="O426" s="5" t="inlineStr"/>
      <c r="P426" s="5" t="inlineStr"/>
      <c r="Q426" s="5" t="inlineStr"/>
      <c r="R426" s="5" t="inlineStr">
        <is>
          <t>2 English, DOI or PubMed link</t>
        </is>
      </c>
      <c r="S426" s="5" t="inlineStr"/>
      <c r="T426" s="5" t="inlineStr">
        <is>
          <t>WS0331.pdf</t>
        </is>
      </c>
      <c r="U426" s="8" t="n"/>
      <c r="V426" s="8" t="n"/>
      <c r="W426" s="8" t="n"/>
      <c r="X426" s="8" t="n"/>
      <c r="Y426" s="8" t="n"/>
      <c r="Z426" s="8" t="n"/>
      <c r="AA426" s="8" t="n"/>
      <c r="AB426" s="8" t="n"/>
      <c r="AC426" s="8" t="n"/>
      <c r="AD426" s="8" t="n"/>
      <c r="AE426" s="8" t="inlineStr">
        <is>
          <t>no</t>
        </is>
      </c>
    </row>
    <row r="427">
      <c r="A427" s="5" t="n">
        <v>426</v>
      </c>
      <c r="B427" s="5" t="inlineStr">
        <is>
          <t>WS0332</t>
        </is>
      </c>
      <c r="C427" s="5" t="inlineStr">
        <is>
          <t>2018</t>
        </is>
      </c>
      <c r="D427" s="5" t="inlineStr">
        <is>
          <t>English</t>
        </is>
      </c>
      <c r="E427" s="5" t="inlineStr">
        <is>
          <t>JOUR</t>
        </is>
      </c>
      <c r="F427" s="5" t="inlineStr">
        <is>
          <t>Zhang</t>
        </is>
      </c>
      <c r="G427" s="5" t="inlineStr">
        <is>
          <t>Abdominal radiology (New York)</t>
        </is>
      </c>
      <c r="H427" s="5" t="inlineStr">
        <is>
          <t>43(9):2525-2526</t>
        </is>
      </c>
      <c r="I427" s="6" t="inlineStr">
        <is>
          <t>A "wandering spleen".</t>
        </is>
      </c>
      <c r="J427" s="5" t="inlineStr">
        <is>
          <t>10.1007/s00261-018-1488-1</t>
        </is>
      </c>
      <c r="K427" s="7" t="inlineStr">
        <is>
          <t>link</t>
        </is>
      </c>
      <c r="L427" s="7" t="inlineStr">
        <is>
          <t>link</t>
        </is>
      </c>
      <c r="M427" s="5" t="inlineStr"/>
      <c r="N427" s="5" t="inlineStr"/>
      <c r="O427" s="5" t="inlineStr"/>
      <c r="P427" s="5" t="inlineStr"/>
      <c r="Q427" s="5" t="inlineStr"/>
      <c r="R427" s="5" t="inlineStr">
        <is>
          <t>2 English, DOI or PubMed link</t>
        </is>
      </c>
      <c r="S427" s="5" t="inlineStr"/>
      <c r="T427" s="5" t="inlineStr">
        <is>
          <t>WS0332.pdf</t>
        </is>
      </c>
      <c r="U427" s="8" t="n"/>
      <c r="V427" s="8" t="n"/>
      <c r="W427" s="8" t="n"/>
      <c r="X427" s="8" t="n"/>
      <c r="Y427" s="8" t="n"/>
      <c r="Z427" s="8" t="n"/>
      <c r="AA427" s="8" t="n"/>
      <c r="AB427" s="8" t="n"/>
      <c r="AC427" s="8" t="n"/>
      <c r="AD427" s="8" t="n"/>
      <c r="AE427" s="8" t="inlineStr">
        <is>
          <t>no</t>
        </is>
      </c>
    </row>
    <row r="428">
      <c r="A428" s="5" t="n">
        <v>427</v>
      </c>
      <c r="B428" s="5" t="inlineStr">
        <is>
          <t>WS0333</t>
        </is>
      </c>
      <c r="C428" s="5" t="inlineStr">
        <is>
          <t>2018</t>
        </is>
      </c>
      <c r="D428" s="5" t="inlineStr">
        <is>
          <t>English</t>
        </is>
      </c>
      <c r="E428" s="5" t="inlineStr">
        <is>
          <t>JOUR</t>
        </is>
      </c>
      <c r="F428" s="5" t="inlineStr">
        <is>
          <t>Taydas</t>
        </is>
      </c>
      <c r="G428" s="5" t="inlineStr">
        <is>
          <t>Gastroenterology</t>
        </is>
      </c>
      <c r="H428" s="5" t="inlineStr">
        <is>
          <t>155(1):e16-e17</t>
        </is>
      </c>
      <c r="I428" s="6" t="inlineStr">
        <is>
          <t>A Multicystic, Malrotated Pancreas in a Patient With Wandering Spleen.</t>
        </is>
      </c>
      <c r="J428" s="5" t="inlineStr">
        <is>
          <t>10.1053/j.gastro.2017.11.288</t>
        </is>
      </c>
      <c r="K428" s="7" t="inlineStr">
        <is>
          <t>link</t>
        </is>
      </c>
      <c r="L428" s="7" t="inlineStr">
        <is>
          <t>link</t>
        </is>
      </c>
      <c r="M428" s="5" t="inlineStr"/>
      <c r="N428" s="5" t="inlineStr"/>
      <c r="O428" s="5" t="inlineStr"/>
      <c r="P428" s="5" t="inlineStr"/>
      <c r="Q428" s="5" t="inlineStr"/>
      <c r="R428" s="5" t="inlineStr">
        <is>
          <t>2 English, DOI or PubMed link</t>
        </is>
      </c>
      <c r="S428" s="5" t="inlineStr"/>
      <c r="T428" s="5" t="inlineStr">
        <is>
          <t>WS0333.pdf</t>
        </is>
      </c>
      <c r="U428" s="8" t="n"/>
      <c r="V428" s="8" t="n"/>
      <c r="W428" s="8" t="n"/>
      <c r="X428" s="8" t="n"/>
      <c r="Y428" s="8" t="n"/>
      <c r="Z428" s="8" t="n"/>
      <c r="AA428" s="8" t="n"/>
      <c r="AB428" s="8" t="n"/>
      <c r="AC428" s="8" t="n"/>
      <c r="AD428" s="8" t="n"/>
      <c r="AE428" s="8" t="inlineStr">
        <is>
          <t>no</t>
        </is>
      </c>
    </row>
    <row r="429">
      <c r="A429" s="5" t="n">
        <v>428</v>
      </c>
      <c r="B429" s="5" t="inlineStr">
        <is>
          <t>WS0338</t>
        </is>
      </c>
      <c r="C429" s="5" t="inlineStr">
        <is>
          <t>2018</t>
        </is>
      </c>
      <c r="D429" s="5" t="inlineStr">
        <is>
          <t>English</t>
        </is>
      </c>
      <c r="E429" s="5" t="inlineStr">
        <is>
          <t>JOUR</t>
        </is>
      </c>
      <c r="F429" s="5" t="inlineStr">
        <is>
          <t>Tagliabue</t>
        </is>
      </c>
      <c r="G429" s="5" t="inlineStr">
        <is>
          <t>Journal of gastrointestinal surgery : official journal of the Society for Surgery of the Alimentary Tract</t>
        </is>
      </c>
      <c r="H429" s="5" t="inlineStr">
        <is>
          <t>22(3):546-547</t>
        </is>
      </c>
      <c r="I429" s="6" t="inlineStr">
        <is>
          <t>The Wandering Spleen.</t>
        </is>
      </c>
      <c r="J429" s="5" t="inlineStr">
        <is>
          <t>10.1007/s11605-017-3560-5</t>
        </is>
      </c>
      <c r="K429" s="7" t="inlineStr">
        <is>
          <t>link</t>
        </is>
      </c>
      <c r="L429" s="7" t="inlineStr">
        <is>
          <t>link</t>
        </is>
      </c>
      <c r="M429" s="5" t="inlineStr"/>
      <c r="N429" s="5" t="inlineStr"/>
      <c r="O429" s="5" t="inlineStr"/>
      <c r="P429" s="5" t="inlineStr"/>
      <c r="Q429" s="5" t="inlineStr"/>
      <c r="R429" s="5" t="inlineStr">
        <is>
          <t>2 English, DOI or PubMed link</t>
        </is>
      </c>
      <c r="S429" s="5" t="inlineStr"/>
      <c r="T429" s="5" t="inlineStr">
        <is>
          <t>WS0338.pdf</t>
        </is>
      </c>
      <c r="U429" s="8" t="n"/>
      <c r="V429" s="8" t="n"/>
      <c r="W429" s="8" t="n"/>
      <c r="X429" s="8" t="n"/>
      <c r="Y429" s="8" t="n"/>
      <c r="Z429" s="8" t="n"/>
      <c r="AA429" s="8" t="n"/>
      <c r="AB429" s="8" t="n"/>
      <c r="AC429" s="8" t="n"/>
      <c r="AD429" s="8" t="n"/>
      <c r="AE429" s="8" t="inlineStr">
        <is>
          <t>no</t>
        </is>
      </c>
    </row>
    <row r="430">
      <c r="A430" s="5" t="n">
        <v>429</v>
      </c>
      <c r="B430" s="5" t="inlineStr">
        <is>
          <t>WS0339</t>
        </is>
      </c>
      <c r="C430" s="5" t="inlineStr">
        <is>
          <t>2018</t>
        </is>
      </c>
      <c r="D430" s="5" t="inlineStr">
        <is>
          <t>English</t>
        </is>
      </c>
      <c r="E430" s="5" t="inlineStr">
        <is>
          <t>JOUR</t>
        </is>
      </c>
      <c r="F430" s="5" t="inlineStr">
        <is>
          <t>Ayyildiz</t>
        </is>
      </c>
      <c r="G430" s="5" t="inlineStr">
        <is>
          <t>Cirugia espanola</t>
        </is>
      </c>
      <c r="H430" s="5" t="inlineStr">
        <is>
          <t>96(3):171</t>
        </is>
      </c>
      <c r="I430" s="6" t="inlineStr">
        <is>
          <t>Wandering spleen.</t>
        </is>
      </c>
      <c r="J430" s="5" t="inlineStr">
        <is>
          <t>10.1016/j.ciresp.2017.05.011</t>
        </is>
      </c>
      <c r="K430" s="7" t="inlineStr">
        <is>
          <t>link</t>
        </is>
      </c>
      <c r="L430" s="7" t="inlineStr">
        <is>
          <t>link</t>
        </is>
      </c>
      <c r="M430" s="5" t="inlineStr"/>
      <c r="N430" s="5" t="inlineStr"/>
      <c r="O430" s="5" t="inlineStr"/>
      <c r="P430" s="5" t="inlineStr"/>
      <c r="Q430" s="5" t="inlineStr"/>
      <c r="R430" s="5" t="inlineStr">
        <is>
          <t>2 English, DOI or PubMed link</t>
        </is>
      </c>
      <c r="S430" s="5" t="inlineStr"/>
      <c r="T430" s="5" t="inlineStr">
        <is>
          <t>WS0339.pdf</t>
        </is>
      </c>
      <c r="U430" s="8" t="n"/>
      <c r="V430" s="8" t="n"/>
      <c r="W430" s="8" t="n"/>
      <c r="X430" s="8" t="n"/>
      <c r="Y430" s="8" t="n"/>
      <c r="Z430" s="8" t="n"/>
      <c r="AA430" s="8" t="n"/>
      <c r="AB430" s="8" t="n"/>
      <c r="AC430" s="8" t="n"/>
      <c r="AD430" s="8" t="n"/>
      <c r="AE430" s="8" t="inlineStr">
        <is>
          <t>no</t>
        </is>
      </c>
    </row>
    <row r="431">
      <c r="A431" s="5" t="n">
        <v>430</v>
      </c>
      <c r="B431" s="5" t="inlineStr">
        <is>
          <t>WS0354</t>
        </is>
      </c>
      <c r="C431" s="5" t="inlineStr">
        <is>
          <t>2018</t>
        </is>
      </c>
      <c r="D431" s="5" t="inlineStr">
        <is>
          <t>English</t>
        </is>
      </c>
      <c r="E431" s="5" t="inlineStr">
        <is>
          <t>JOUR</t>
        </is>
      </c>
      <c r="F431" s="5" t="inlineStr">
        <is>
          <t>Lai</t>
        </is>
      </c>
      <c r="G431" s="5" t="inlineStr">
        <is>
          <t>ANZ journal of surgery</t>
        </is>
      </c>
      <c r="H431" s="5" t="inlineStr">
        <is>
          <t>88(11):E805-E806</t>
        </is>
      </c>
      <c r="I431" s="6" t="inlineStr">
        <is>
          <t>You wander... you lose! Importance of surgical intervention in wandering spleen.</t>
        </is>
      </c>
      <c r="J431" s="5" t="inlineStr">
        <is>
          <t>10.1111/ans.13859</t>
        </is>
      </c>
      <c r="K431" s="7" t="inlineStr">
        <is>
          <t>link</t>
        </is>
      </c>
      <c r="L431" s="7" t="inlineStr">
        <is>
          <t>link</t>
        </is>
      </c>
      <c r="M431" s="5" t="inlineStr"/>
      <c r="N431" s="5" t="inlineStr"/>
      <c r="O431" s="5" t="inlineStr"/>
      <c r="P431" s="5" t="inlineStr"/>
      <c r="Q431" s="5" t="inlineStr"/>
      <c r="R431" s="5" t="inlineStr">
        <is>
          <t>2 English, DOI or PubMed link</t>
        </is>
      </c>
      <c r="S431" s="5" t="inlineStr"/>
      <c r="T431" s="5" t="inlineStr">
        <is>
          <t>WS0354.pdf</t>
        </is>
      </c>
      <c r="U431" s="8" t="n"/>
      <c r="V431" s="8" t="n"/>
      <c r="W431" s="8" t="n"/>
      <c r="X431" s="8" t="n"/>
      <c r="Y431" s="8" t="n"/>
      <c r="Z431" s="8" t="n"/>
      <c r="AA431" s="8" t="n"/>
      <c r="AB431" s="8" t="n"/>
      <c r="AC431" s="8" t="n"/>
      <c r="AD431" s="8" t="n"/>
      <c r="AE431" s="8" t="inlineStr">
        <is>
          <t>no</t>
        </is>
      </c>
    </row>
    <row r="432">
      <c r="A432" s="5" t="n">
        <v>431</v>
      </c>
      <c r="B432" s="5" t="inlineStr">
        <is>
          <t>WS0394</t>
        </is>
      </c>
      <c r="C432" s="5" t="inlineStr">
        <is>
          <t>2018</t>
        </is>
      </c>
      <c r="D432" s="5" t="inlineStr">
        <is>
          <t>English</t>
        </is>
      </c>
      <c r="E432" s="5" t="inlineStr">
        <is>
          <t>JOUR</t>
        </is>
      </c>
      <c r="F432" s="5" t="inlineStr">
        <is>
          <t>Urbonas</t>
        </is>
      </c>
      <c r="G432" s="5" t="inlineStr">
        <is>
          <t>ANZ journal of surgery</t>
        </is>
      </c>
      <c r="H432" s="5" t="inlineStr">
        <is>
          <t>88(4):E357-E358</t>
        </is>
      </c>
      <c r="I432" s="6" t="inlineStr">
        <is>
          <t>Torsion of an ectopic spleen: a possible late complication of paraoesophageal hernia repair.</t>
        </is>
      </c>
      <c r="J432" s="5" t="inlineStr">
        <is>
          <t>10.1111/ans.13372</t>
        </is>
      </c>
      <c r="K432" s="7" t="inlineStr">
        <is>
          <t>link</t>
        </is>
      </c>
      <c r="L432" s="7" t="inlineStr">
        <is>
          <t>link</t>
        </is>
      </c>
      <c r="M432" s="5" t="inlineStr"/>
      <c r="N432" s="5" t="inlineStr"/>
      <c r="O432" s="5" t="inlineStr"/>
      <c r="P432" s="5" t="inlineStr"/>
      <c r="Q432" s="5" t="inlineStr"/>
      <c r="R432" s="5" t="inlineStr">
        <is>
          <t>2 English, DOI or PubMed link</t>
        </is>
      </c>
      <c r="S432" s="5" t="inlineStr"/>
      <c r="T432" s="5" t="inlineStr">
        <is>
          <t>WS0394.pdf</t>
        </is>
      </c>
      <c r="U432" s="8" t="n"/>
      <c r="V432" s="8" t="n"/>
      <c r="W432" s="8" t="n"/>
      <c r="X432" s="8" t="n"/>
      <c r="Y432" s="8" t="n"/>
      <c r="Z432" s="8" t="n"/>
      <c r="AA432" s="8" t="n"/>
      <c r="AB432" s="8" t="n"/>
      <c r="AC432" s="8" t="n"/>
      <c r="AD432" s="8" t="n"/>
      <c r="AE432" s="8" t="inlineStr">
        <is>
          <t>no</t>
        </is>
      </c>
    </row>
    <row r="433">
      <c r="A433" s="5" t="n">
        <v>432</v>
      </c>
      <c r="B433" s="5" t="inlineStr">
        <is>
          <t>WS1498</t>
        </is>
      </c>
      <c r="C433" s="5" t="inlineStr">
        <is>
          <t>2018</t>
        </is>
      </c>
      <c r="D433" s="5" t="inlineStr">
        <is>
          <t>English</t>
        </is>
      </c>
      <c r="E433" s="5" t="inlineStr">
        <is>
          <t>JOUR</t>
        </is>
      </c>
      <c r="F433" s="5" t="inlineStr">
        <is>
          <t>Davies</t>
        </is>
      </c>
      <c r="G433" s="5" t="inlineStr">
        <is>
          <t>BMJ (Online)</t>
        </is>
      </c>
      <c r="H433" s="5" t="inlineStr">
        <is>
          <t>361</t>
        </is>
      </c>
      <c r="I433" s="6" t="inlineStr">
        <is>
          <t>A wanderer returns</t>
        </is>
      </c>
      <c r="J433" s="5" t="inlineStr">
        <is>
          <t>10.1136/bmj.k2324</t>
        </is>
      </c>
      <c r="K433" s="7" t="inlineStr">
        <is>
          <t>link</t>
        </is>
      </c>
      <c r="L433" s="5" t="inlineStr"/>
      <c r="M433" s="5" t="inlineStr"/>
      <c r="N433" s="5" t="inlineStr"/>
      <c r="O433" s="5" t="inlineStr"/>
      <c r="P433" s="5" t="inlineStr"/>
      <c r="Q433" s="7" t="inlineStr">
        <is>
          <t>link</t>
        </is>
      </c>
      <c r="R433" s="5" t="inlineStr">
        <is>
          <t>2 English, DOI or PubMed link</t>
        </is>
      </c>
      <c r="S433" s="5" t="inlineStr"/>
      <c r="T433" s="5" t="inlineStr">
        <is>
          <t>WS1498.pdf</t>
        </is>
      </c>
      <c r="U433" s="8" t="n"/>
      <c r="V433" s="8" t="n"/>
      <c r="W433" s="8" t="n"/>
      <c r="X433" s="8" t="n"/>
      <c r="Y433" s="8" t="n"/>
      <c r="Z433" s="8" t="n"/>
      <c r="AA433" s="8" t="n"/>
      <c r="AB433" s="8" t="n"/>
      <c r="AC433" s="8" t="n"/>
      <c r="AD433" s="8" t="n"/>
      <c r="AE433" s="8" t="inlineStr">
        <is>
          <t>no</t>
        </is>
      </c>
    </row>
    <row r="434">
      <c r="A434" s="5" t="n">
        <v>433</v>
      </c>
      <c r="B434" s="5" t="inlineStr">
        <is>
          <t>WS1286</t>
        </is>
      </c>
      <c r="C434" s="5" t="inlineStr">
        <is>
          <t>2017</t>
        </is>
      </c>
      <c r="D434" s="5" t="inlineStr">
        <is>
          <t>English</t>
        </is>
      </c>
      <c r="E434" s="5" t="inlineStr">
        <is>
          <t>JOUR</t>
        </is>
      </c>
      <c r="F434" s="5" t="inlineStr">
        <is>
          <t>Uy</t>
        </is>
      </c>
      <c r="G434" s="5" t="inlineStr">
        <is>
          <t>AMERICAN JOURNAL OF GASTROENTEROLOGY</t>
        </is>
      </c>
      <c r="H434" s="5" t="inlineStr">
        <is>
          <t>112:S1436-S1436</t>
        </is>
      </c>
      <c r="I434" s="6" t="inlineStr">
        <is>
          <t>Torsion of a Wandering Spleen With Splenic and Gastric Varices Presenting as Abdominal Pain</t>
        </is>
      </c>
      <c r="J434" s="5" t="inlineStr">
        <is>
          <t>10.14309/00000434-201710001-02622</t>
        </is>
      </c>
      <c r="K434" s="7" t="inlineStr">
        <is>
          <t>link</t>
        </is>
      </c>
      <c r="L434" s="5" t="inlineStr"/>
      <c r="M434" s="5" t="inlineStr"/>
      <c r="N434" s="5" t="inlineStr"/>
      <c r="O434" s="5" t="inlineStr"/>
      <c r="P434" s="5" t="inlineStr"/>
      <c r="Q434" s="5" t="inlineStr"/>
      <c r="R434" s="5" t="inlineStr">
        <is>
          <t>2 English, DOI or PubMed link</t>
        </is>
      </c>
      <c r="S434" s="5" t="inlineStr"/>
      <c r="T434" s="5" t="inlineStr">
        <is>
          <t>WS1286.pdf</t>
        </is>
      </c>
      <c r="U434" s="8" t="n"/>
      <c r="V434" s="8" t="n"/>
      <c r="W434" s="8" t="n"/>
      <c r="X434" s="8" t="n"/>
      <c r="Y434" s="8" t="n"/>
      <c r="Z434" s="8" t="n"/>
      <c r="AA434" s="8" t="n"/>
      <c r="AB434" s="8" t="n"/>
      <c r="AC434" s="8" t="n"/>
      <c r="AD434" s="8" t="n"/>
      <c r="AE434" s="8" t="inlineStr">
        <is>
          <t>no</t>
        </is>
      </c>
    </row>
    <row r="435">
      <c r="A435" s="5" t="n">
        <v>434</v>
      </c>
      <c r="B435" s="5" t="inlineStr">
        <is>
          <t>WS1553</t>
        </is>
      </c>
      <c r="C435" s="5" t="inlineStr">
        <is>
          <t>2017</t>
        </is>
      </c>
      <c r="D435" s="5" t="inlineStr">
        <is>
          <t>English</t>
        </is>
      </c>
      <c r="E435" s="5" t="inlineStr">
        <is>
          <t>JOUR</t>
        </is>
      </c>
      <c r="F435" s="5" t="inlineStr">
        <is>
          <t>Eamer</t>
        </is>
      </c>
      <c r="G435" s="5" t="inlineStr">
        <is>
          <t>Journal of Pediatric Surgery Case Reports</t>
        </is>
      </c>
      <c r="H435" s="5" t="inlineStr">
        <is>
          <t>25:40-43</t>
        </is>
      </c>
      <c r="I435" s="6" t="inlineStr">
        <is>
          <t>Splenic and pancreatic torsion after giant omphalocele repair</t>
        </is>
      </c>
      <c r="J435" s="5" t="inlineStr">
        <is>
          <t>10.1016/j.epsc.2017.08.002</t>
        </is>
      </c>
      <c r="K435" s="7" t="inlineStr">
        <is>
          <t>link</t>
        </is>
      </c>
      <c r="L435" s="5" t="inlineStr"/>
      <c r="M435" s="5" t="inlineStr"/>
      <c r="N435" s="5" t="inlineStr"/>
      <c r="O435" s="5" t="inlineStr"/>
      <c r="P435" s="5" t="inlineStr"/>
      <c r="Q435" s="7" t="inlineStr">
        <is>
          <t>link</t>
        </is>
      </c>
      <c r="R435" s="5" t="inlineStr">
        <is>
          <t>2 English, DOI or PubMed link</t>
        </is>
      </c>
      <c r="S435" s="5" t="inlineStr"/>
      <c r="T435" s="5" t="inlineStr">
        <is>
          <t>WS1553.pdf</t>
        </is>
      </c>
      <c r="U435" s="8" t="n"/>
      <c r="V435" s="8" t="n"/>
      <c r="W435" s="8" t="n"/>
      <c r="X435" s="8" t="n"/>
      <c r="Y435" s="8" t="n"/>
      <c r="Z435" s="8" t="n"/>
      <c r="AA435" s="8" t="n"/>
      <c r="AB435" s="8" t="n"/>
      <c r="AC435" s="8" t="n"/>
      <c r="AD435" s="8" t="n"/>
      <c r="AE435" s="8" t="inlineStr">
        <is>
          <t>no</t>
        </is>
      </c>
    </row>
    <row r="436">
      <c r="A436" s="5" t="n">
        <v>435</v>
      </c>
      <c r="B436" s="5" t="inlineStr">
        <is>
          <t>WS1564</t>
        </is>
      </c>
      <c r="C436" s="5" t="inlineStr">
        <is>
          <t>2017</t>
        </is>
      </c>
      <c r="D436" s="5" t="inlineStr">
        <is>
          <t>English</t>
        </is>
      </c>
      <c r="E436" s="5" t="inlineStr">
        <is>
          <t>JOUR</t>
        </is>
      </c>
      <c r="F436" s="5" t="inlineStr">
        <is>
          <t>Lin</t>
        </is>
      </c>
      <c r="G436" s="5" t="inlineStr">
        <is>
          <t>Visual Journal of Emergency Medicine</t>
        </is>
      </c>
      <c r="H436" s="5" t="inlineStr">
        <is>
          <t>8:1-2</t>
        </is>
      </c>
      <c r="I436" s="6" t="inlineStr">
        <is>
          <t>Wandering spleen with torsion of vascular pedicle</t>
        </is>
      </c>
      <c r="J436" s="5" t="inlineStr">
        <is>
          <t>10.1016/j.visj.2017.01.024</t>
        </is>
      </c>
      <c r="K436" s="7" t="inlineStr">
        <is>
          <t>link</t>
        </is>
      </c>
      <c r="L436" s="5" t="inlineStr"/>
      <c r="M436" s="5" t="inlineStr"/>
      <c r="N436" s="5" t="inlineStr"/>
      <c r="O436" s="5" t="inlineStr"/>
      <c r="P436" s="5" t="inlineStr"/>
      <c r="Q436" s="7" t="inlineStr">
        <is>
          <t>link</t>
        </is>
      </c>
      <c r="R436" s="5" t="inlineStr">
        <is>
          <t>2 English, DOI or PubMed link</t>
        </is>
      </c>
      <c r="S436" s="5" t="inlineStr"/>
      <c r="T436" s="5" t="inlineStr">
        <is>
          <t>WS1564.pdf</t>
        </is>
      </c>
      <c r="U436" s="8" t="n"/>
      <c r="V436" s="8" t="n"/>
      <c r="W436" s="8" t="n"/>
      <c r="X436" s="8" t="n"/>
      <c r="Y436" s="8" t="n"/>
      <c r="Z436" s="8" t="n"/>
      <c r="AA436" s="8" t="n"/>
      <c r="AB436" s="8" t="n"/>
      <c r="AC436" s="8" t="n"/>
      <c r="AD436" s="8" t="n"/>
      <c r="AE436" s="8" t="inlineStr">
        <is>
          <t>no</t>
        </is>
      </c>
    </row>
    <row r="437">
      <c r="A437" s="5" t="n">
        <v>436</v>
      </c>
      <c r="B437" s="5" t="inlineStr">
        <is>
          <t>WS1577</t>
        </is>
      </c>
      <c r="C437" s="5" t="inlineStr">
        <is>
          <t>2017</t>
        </is>
      </c>
      <c r="D437" s="5" t="inlineStr">
        <is>
          <t>English</t>
        </is>
      </c>
      <c r="E437" s="5" t="inlineStr">
        <is>
          <t>JOUR</t>
        </is>
      </c>
      <c r="F437" s="5" t="inlineStr">
        <is>
          <t>Walsh</t>
        </is>
      </c>
      <c r="G437" s="5" t="inlineStr">
        <is>
          <t>European Journal of Human Genetics</t>
        </is>
      </c>
      <c r="H437" s="5" t="inlineStr">
        <is>
          <t>25(8):905-906</t>
        </is>
      </c>
      <c r="I437" s="6" t="inlineStr">
        <is>
          <t>Update on a previously reported male with a FLNA missense mutation</t>
        </is>
      </c>
      <c r="J437" s="5" t="inlineStr">
        <is>
          <t>10.1038/ejhg.2016.156</t>
        </is>
      </c>
      <c r="K437" s="7" t="inlineStr">
        <is>
          <t>link</t>
        </is>
      </c>
      <c r="L437" s="5" t="inlineStr"/>
      <c r="M437" s="5" t="inlineStr"/>
      <c r="N437" s="5" t="inlineStr"/>
      <c r="O437" s="5" t="inlineStr"/>
      <c r="P437" s="5" t="inlineStr"/>
      <c r="Q437" s="7" t="inlineStr">
        <is>
          <t>link</t>
        </is>
      </c>
      <c r="R437" s="5" t="inlineStr">
        <is>
          <t>2 English, DOI or PubMed link</t>
        </is>
      </c>
      <c r="S437" s="5" t="inlineStr"/>
      <c r="T437" s="5" t="inlineStr">
        <is>
          <t>WS1577.pdf</t>
        </is>
      </c>
      <c r="U437" s="8" t="n"/>
      <c r="V437" s="8" t="n"/>
      <c r="W437" s="8" t="n"/>
      <c r="X437" s="8" t="n"/>
      <c r="Y437" s="8" t="n"/>
      <c r="Z437" s="8" t="n"/>
      <c r="AA437" s="8" t="n"/>
      <c r="AB437" s="8" t="n"/>
      <c r="AC437" s="8" t="n"/>
      <c r="AD437" s="8" t="n"/>
      <c r="AE437" s="8" t="inlineStr">
        <is>
          <t>no</t>
        </is>
      </c>
    </row>
    <row r="438">
      <c r="A438" s="5" t="n">
        <v>437</v>
      </c>
      <c r="B438" s="5" t="inlineStr">
        <is>
          <t>WS1374</t>
        </is>
      </c>
      <c r="C438" s="5" t="inlineStr">
        <is>
          <t>2016</t>
        </is>
      </c>
      <c r="D438" s="5" t="inlineStr">
        <is>
          <t>English</t>
        </is>
      </c>
      <c r="E438" s="5" t="inlineStr">
        <is>
          <t>JOUR</t>
        </is>
      </c>
      <c r="F438" s="5" t="inlineStr">
        <is>
          <t>Lau</t>
        </is>
      </c>
      <c r="G438" s="5" t="inlineStr">
        <is>
          <t>MOLECULAR GENETICS AND METABOLISM</t>
        </is>
      </c>
      <c r="H438" s="5" t="inlineStr">
        <is>
          <t>117(2):S71-S72</t>
        </is>
      </c>
      <c r="I438" s="6" t="inlineStr">
        <is>
          <t>Wandering spleen in 2 Gaucher patients on enzyme replacement therapy: Diagnosis and management</t>
        </is>
      </c>
      <c r="J438" s="5" t="inlineStr">
        <is>
          <t>10.1016/j.ymgme.2015.12.333</t>
        </is>
      </c>
      <c r="K438" s="7" t="inlineStr">
        <is>
          <t>link</t>
        </is>
      </c>
      <c r="L438" s="5" t="inlineStr"/>
      <c r="M438" s="5" t="inlineStr"/>
      <c r="N438" s="5" t="inlineStr"/>
      <c r="O438" s="5" t="inlineStr"/>
      <c r="P438" s="5" t="inlineStr"/>
      <c r="Q438" s="5" t="inlineStr"/>
      <c r="R438" s="5" t="inlineStr">
        <is>
          <t>2 English, DOI or PubMed link</t>
        </is>
      </c>
      <c r="S438" s="5" t="inlineStr"/>
      <c r="T438" s="5" t="inlineStr">
        <is>
          <t>WS1374.pdf</t>
        </is>
      </c>
      <c r="U438" s="8" t="n"/>
      <c r="V438" s="8" t="n"/>
      <c r="W438" s="8" t="n"/>
      <c r="X438" s="8" t="n"/>
      <c r="Y438" s="8" t="n"/>
      <c r="Z438" s="8" t="n"/>
      <c r="AA438" s="8" t="n"/>
      <c r="AB438" s="8" t="n"/>
      <c r="AC438" s="8" t="n"/>
      <c r="AD438" s="8" t="n"/>
      <c r="AE438" s="8" t="inlineStr">
        <is>
          <t>no</t>
        </is>
      </c>
    </row>
    <row r="439">
      <c r="A439" s="5" t="n">
        <v>438</v>
      </c>
      <c r="B439" s="5" t="inlineStr">
        <is>
          <t>WS1600</t>
        </is>
      </c>
      <c r="C439" s="5" t="inlineStr">
        <is>
          <t>2016</t>
        </is>
      </c>
      <c r="D439" s="5" t="inlineStr">
        <is>
          <t>English</t>
        </is>
      </c>
      <c r="E439" s="5" t="inlineStr">
        <is>
          <t>JOUR</t>
        </is>
      </c>
      <c r="F439" s="5" t="inlineStr">
        <is>
          <t>Hornez</t>
        </is>
      </c>
      <c r="G439" s="5" t="inlineStr">
        <is>
          <t>Journal de Chirurgie Viscerale</t>
        </is>
      </c>
      <c r="H439" s="5" t="inlineStr">
        <is>
          <t>153(6):498-502</t>
        </is>
      </c>
      <c r="I439" s="6" t="inlineStr">
        <is>
          <t>A wandering spleen</t>
        </is>
      </c>
      <c r="J439" s="5" t="inlineStr">
        <is>
          <t>10.1016/j.jchirv.2016.06.003</t>
        </is>
      </c>
      <c r="K439" s="7" t="inlineStr">
        <is>
          <t>link</t>
        </is>
      </c>
      <c r="L439" s="5" t="inlineStr"/>
      <c r="M439" s="5" t="inlineStr"/>
      <c r="N439" s="5" t="inlineStr"/>
      <c r="O439" s="5" t="inlineStr"/>
      <c r="P439" s="5" t="inlineStr"/>
      <c r="Q439" s="7" t="inlineStr">
        <is>
          <t>link</t>
        </is>
      </c>
      <c r="R439" s="5" t="inlineStr">
        <is>
          <t>2 English, DOI or PubMed link</t>
        </is>
      </c>
      <c r="S439" s="5" t="inlineStr"/>
      <c r="T439" s="5" t="inlineStr">
        <is>
          <t>WS1600.pdf</t>
        </is>
      </c>
      <c r="U439" s="8" t="n"/>
      <c r="V439" s="8" t="n"/>
      <c r="W439" s="8" t="n"/>
      <c r="X439" s="8" t="n"/>
      <c r="Y439" s="8" t="n"/>
      <c r="Z439" s="8" t="n"/>
      <c r="AA439" s="8" t="n"/>
      <c r="AB439" s="8" t="n"/>
      <c r="AC439" s="8" t="n"/>
      <c r="AD439" s="8" t="n"/>
      <c r="AE439" s="8" t="inlineStr">
        <is>
          <t>no</t>
        </is>
      </c>
    </row>
    <row r="440">
      <c r="A440" s="5" t="n">
        <v>439</v>
      </c>
      <c r="B440" s="5" t="inlineStr">
        <is>
          <t>WS0410</t>
        </is>
      </c>
      <c r="C440" s="5" t="inlineStr">
        <is>
          <t>2015</t>
        </is>
      </c>
      <c r="D440" s="5" t="inlineStr">
        <is>
          <t>English</t>
        </is>
      </c>
      <c r="E440" s="5" t="inlineStr">
        <is>
          <t>JOUR</t>
        </is>
      </c>
      <c r="F440" s="5" t="inlineStr">
        <is>
          <t>Sojo-Rodriguez</t>
        </is>
      </c>
      <c r="G440" s="5" t="inlineStr">
        <is>
          <t>Revista espanola de enfermedades digestivas</t>
        </is>
      </c>
      <c r="H440" s="5" t="inlineStr">
        <is>
          <t>107(4):229-30</t>
        </is>
      </c>
      <c r="I440" s="6" t="inlineStr">
        <is>
          <t>Acute abdomen due to torsion of the wandering spleen.</t>
        </is>
      </c>
      <c r="J440" s="5" t="inlineStr"/>
      <c r="K440" s="5" t="inlineStr"/>
      <c r="L440" s="7" t="inlineStr">
        <is>
          <t>link</t>
        </is>
      </c>
      <c r="M440" s="5" t="inlineStr"/>
      <c r="N440" s="5" t="inlineStr"/>
      <c r="O440" s="5" t="inlineStr"/>
      <c r="P440" s="5" t="inlineStr"/>
      <c r="Q440" s="5" t="inlineStr"/>
      <c r="R440" s="5" t="inlineStr">
        <is>
          <t>2 English, DOI or PubMed link</t>
        </is>
      </c>
      <c r="S440" s="5" t="inlineStr"/>
      <c r="T440" s="5" t="inlineStr">
        <is>
          <t>WS0410.pdf</t>
        </is>
      </c>
      <c r="U440" s="8" t="n"/>
      <c r="V440" s="8" t="n"/>
      <c r="W440" s="8" t="n"/>
      <c r="X440" s="8" t="n"/>
      <c r="Y440" s="8" t="n"/>
      <c r="Z440" s="8" t="n"/>
      <c r="AA440" s="8" t="n"/>
      <c r="AB440" s="8" t="n"/>
      <c r="AC440" s="8" t="n"/>
      <c r="AD440" s="8" t="n"/>
      <c r="AE440" s="8" t="inlineStr">
        <is>
          <t>no</t>
        </is>
      </c>
    </row>
    <row r="441">
      <c r="A441" s="5" t="n">
        <v>440</v>
      </c>
      <c r="B441" s="5" t="inlineStr">
        <is>
          <t>WS0440</t>
        </is>
      </c>
      <c r="C441" s="5" t="inlineStr">
        <is>
          <t>2015</t>
        </is>
      </c>
      <c r="D441" s="5" t="inlineStr">
        <is>
          <t>English</t>
        </is>
      </c>
      <c r="E441" s="5" t="inlineStr">
        <is>
          <t>JOUR</t>
        </is>
      </c>
      <c r="F441" s="5" t="inlineStr">
        <is>
          <t>Gu</t>
        </is>
      </c>
      <c r="G441" s="5" t="inlineStr">
        <is>
          <t>ANZ journal of surgery</t>
        </is>
      </c>
      <c r="H441" s="5" t="inlineStr">
        <is>
          <t>85(10):789-90</t>
        </is>
      </c>
      <c r="I441" s="6" t="inlineStr">
        <is>
          <t>Acute torsion of a wandering spleen.</t>
        </is>
      </c>
      <c r="J441" s="5" t="inlineStr">
        <is>
          <t>10.1111/ans.12551</t>
        </is>
      </c>
      <c r="K441" s="7" t="inlineStr">
        <is>
          <t>link</t>
        </is>
      </c>
      <c r="L441" s="7" t="inlineStr">
        <is>
          <t>link</t>
        </is>
      </c>
      <c r="M441" s="5" t="inlineStr"/>
      <c r="N441" s="5" t="inlineStr"/>
      <c r="O441" s="5" t="inlineStr"/>
      <c r="P441" s="5" t="inlineStr"/>
      <c r="Q441" s="5" t="inlineStr"/>
      <c r="R441" s="5" t="inlineStr">
        <is>
          <t>2 English, DOI or PubMed link</t>
        </is>
      </c>
      <c r="S441" s="5" t="inlineStr"/>
      <c r="T441" s="5" t="inlineStr">
        <is>
          <t>WS0440.pdf</t>
        </is>
      </c>
      <c r="U441" s="8" t="n"/>
      <c r="V441" s="8" t="n"/>
      <c r="W441" s="8" t="n"/>
      <c r="X441" s="8" t="n"/>
      <c r="Y441" s="8" t="n"/>
      <c r="Z441" s="8" t="n"/>
      <c r="AA441" s="8" t="n"/>
      <c r="AB441" s="8" t="n"/>
      <c r="AC441" s="8" t="n"/>
      <c r="AD441" s="8" t="n"/>
      <c r="AE441" s="8" t="inlineStr">
        <is>
          <t>no</t>
        </is>
      </c>
    </row>
    <row r="442">
      <c r="A442" s="5" t="n">
        <v>441</v>
      </c>
      <c r="B442" s="5" t="inlineStr">
        <is>
          <t>WS1674</t>
        </is>
      </c>
      <c r="C442" s="5" t="inlineStr">
        <is>
          <t>2015</t>
        </is>
      </c>
      <c r="D442" s="5" t="inlineStr">
        <is>
          <t>English</t>
        </is>
      </c>
      <c r="E442" s="5" t="inlineStr">
        <is>
          <t>JOUR</t>
        </is>
      </c>
      <c r="F442" s="5" t="inlineStr">
        <is>
          <t>Nikaido</t>
        </is>
      </c>
      <c r="G442" s="5" t="inlineStr">
        <is>
          <t>Clinical Gastroenterology and Hepatology</t>
        </is>
      </c>
      <c r="H442" s="5" t="inlineStr">
        <is>
          <t>13(2):e11-e12</t>
        </is>
      </c>
      <c r="I442" s="6" t="inlineStr">
        <is>
          <t>Prevention of Gastric Volvulus-induced Recurrent Acute Pancreatitis by Percutaneous Endoscopic Gastropexy</t>
        </is>
      </c>
      <c r="J442" s="5" t="inlineStr">
        <is>
          <t>10.1016/j.cgh.2014.09.035</t>
        </is>
      </c>
      <c r="K442" s="7" t="inlineStr">
        <is>
          <t>link</t>
        </is>
      </c>
      <c r="L442" s="5" t="inlineStr"/>
      <c r="M442" s="5" t="inlineStr"/>
      <c r="N442" s="5" t="inlineStr"/>
      <c r="O442" s="5" t="inlineStr"/>
      <c r="P442" s="5" t="inlineStr"/>
      <c r="Q442" s="7" t="inlineStr">
        <is>
          <t>link</t>
        </is>
      </c>
      <c r="R442" s="5" t="inlineStr">
        <is>
          <t>2 English, DOI or PubMed link</t>
        </is>
      </c>
      <c r="S442" s="5" t="inlineStr"/>
      <c r="T442" s="5" t="inlineStr">
        <is>
          <t>WS1674.pdf</t>
        </is>
      </c>
      <c r="U442" s="8" t="n"/>
      <c r="V442" s="8" t="n"/>
      <c r="W442" s="8" t="n"/>
      <c r="X442" s="8" t="n"/>
      <c r="Y442" s="8" t="n"/>
      <c r="Z442" s="8" t="n"/>
      <c r="AA442" s="8" t="n"/>
      <c r="AB442" s="8" t="n"/>
      <c r="AC442" s="8" t="n"/>
      <c r="AD442" s="8" t="n"/>
      <c r="AE442" s="8" t="inlineStr">
        <is>
          <t>no</t>
        </is>
      </c>
    </row>
    <row r="443">
      <c r="A443" s="5" t="n">
        <v>442</v>
      </c>
      <c r="B443" s="5" t="inlineStr">
        <is>
          <t>WS0397</t>
        </is>
      </c>
      <c r="C443" s="5" t="inlineStr">
        <is>
          <t>2014</t>
        </is>
      </c>
      <c r="D443" s="5" t="inlineStr">
        <is>
          <t>English</t>
        </is>
      </c>
      <c r="E443" s="5" t="inlineStr">
        <is>
          <t>JOUR</t>
        </is>
      </c>
      <c r="F443" s="5" t="inlineStr">
        <is>
          <t>Singla</t>
        </is>
      </c>
      <c r="G443" s="5" t="inlineStr">
        <is>
          <t>Tropical gastroenterology : official journal of the Digestive Diseases Foundation</t>
        </is>
      </c>
      <c r="H443" s="5" t="inlineStr">
        <is>
          <t>35(4):273-4</t>
        </is>
      </c>
      <c r="I443" s="6" t="inlineStr">
        <is>
          <t>Wandering spleen: a rare clinical entity.</t>
        </is>
      </c>
      <c r="J443" s="5" t="inlineStr">
        <is>
          <t>10.7869/tg.234</t>
        </is>
      </c>
      <c r="K443" s="7" t="inlineStr">
        <is>
          <t>link</t>
        </is>
      </c>
      <c r="L443" s="7" t="inlineStr">
        <is>
          <t>link</t>
        </is>
      </c>
      <c r="M443" s="5" t="inlineStr"/>
      <c r="N443" s="5" t="inlineStr"/>
      <c r="O443" s="5" t="inlineStr"/>
      <c r="P443" s="5" t="inlineStr"/>
      <c r="Q443" s="5" t="inlineStr"/>
      <c r="R443" s="5" t="inlineStr">
        <is>
          <t>2 English, DOI or PubMed link</t>
        </is>
      </c>
      <c r="S443" s="5" t="inlineStr"/>
      <c r="T443" s="5" t="inlineStr">
        <is>
          <t>WS0397.pdf</t>
        </is>
      </c>
      <c r="U443" s="8" t="n"/>
      <c r="V443" s="8" t="n"/>
      <c r="W443" s="8" t="n"/>
      <c r="X443" s="8" t="n"/>
      <c r="Y443" s="8" t="n"/>
      <c r="Z443" s="8" t="n"/>
      <c r="AA443" s="8" t="n"/>
      <c r="AB443" s="8" t="n"/>
      <c r="AC443" s="8" t="n"/>
      <c r="AD443" s="8" t="n"/>
      <c r="AE443" s="8" t="inlineStr">
        <is>
          <t>no</t>
        </is>
      </c>
    </row>
    <row r="444">
      <c r="A444" s="5" t="n">
        <v>443</v>
      </c>
      <c r="B444" s="5" t="inlineStr">
        <is>
          <t>WS0435</t>
        </is>
      </c>
      <c r="C444" s="5" t="inlineStr">
        <is>
          <t>2014</t>
        </is>
      </c>
      <c r="D444" s="5" t="inlineStr">
        <is>
          <t>English</t>
        </is>
      </c>
      <c r="E444" s="5" t="inlineStr">
        <is>
          <t>JOUR</t>
        </is>
      </c>
      <c r="F444" s="5" t="inlineStr">
        <is>
          <t>Karakus</t>
        </is>
      </c>
      <c r="G444" s="5" t="inlineStr">
        <is>
          <t>Indian journal of pediatrics</t>
        </is>
      </c>
      <c r="H444" s="5" t="inlineStr">
        <is>
          <t>81(12):1411-2</t>
        </is>
      </c>
      <c r="I444" s="6" t="inlineStr">
        <is>
          <t>An etiologic dilemma of wandering spleen in childhood: is it congenital or acquired?</t>
        </is>
      </c>
      <c r="J444" s="5" t="inlineStr">
        <is>
          <t>10.1007/s12098-014-1435-2</t>
        </is>
      </c>
      <c r="K444" s="7" t="inlineStr">
        <is>
          <t>link</t>
        </is>
      </c>
      <c r="L444" s="7" t="inlineStr">
        <is>
          <t>link</t>
        </is>
      </c>
      <c r="M444" s="5" t="inlineStr"/>
      <c r="N444" s="5" t="inlineStr"/>
      <c r="O444" s="5" t="inlineStr"/>
      <c r="P444" s="5" t="inlineStr"/>
      <c r="Q444" s="5" t="inlineStr"/>
      <c r="R444" s="5" t="inlineStr">
        <is>
          <t>2 English, DOI or PubMed link</t>
        </is>
      </c>
      <c r="S444" s="5" t="inlineStr"/>
      <c r="T444" s="5" t="inlineStr">
        <is>
          <t>WS0435.pdf</t>
        </is>
      </c>
      <c r="U444" s="8" t="n"/>
      <c r="V444" s="8" t="n"/>
      <c r="W444" s="8" t="n"/>
      <c r="X444" s="8" t="n"/>
      <c r="Y444" s="8" t="n"/>
      <c r="Z444" s="8" t="n"/>
      <c r="AA444" s="8" t="n"/>
      <c r="AB444" s="8" t="n"/>
      <c r="AC444" s="8" t="n"/>
      <c r="AD444" s="8" t="n"/>
      <c r="AE444" s="8" t="inlineStr">
        <is>
          <t>no</t>
        </is>
      </c>
    </row>
    <row r="445">
      <c r="A445" s="5" t="n">
        <v>444</v>
      </c>
      <c r="B445" s="5" t="inlineStr">
        <is>
          <t>WS0438</t>
        </is>
      </c>
      <c r="C445" s="5" t="inlineStr">
        <is>
          <t>2014</t>
        </is>
      </c>
      <c r="D445" s="5" t="inlineStr">
        <is>
          <t>English</t>
        </is>
      </c>
      <c r="E445" s="5" t="inlineStr">
        <is>
          <t>JOUR</t>
        </is>
      </c>
      <c r="F445" s="5" t="inlineStr">
        <is>
          <t>Richman</t>
        </is>
      </c>
      <c r="G445" s="5" t="inlineStr">
        <is>
          <t>Surgery</t>
        </is>
      </c>
      <c r="H445" s="5" t="inlineStr">
        <is>
          <t>155(4):728</t>
        </is>
      </c>
      <c r="I445" s="6" t="inlineStr">
        <is>
          <t>Wandering spleen.</t>
        </is>
      </c>
      <c r="J445" s="5" t="inlineStr">
        <is>
          <t>10.1016/j.surg.2012.11.015</t>
        </is>
      </c>
      <c r="K445" s="7" t="inlineStr">
        <is>
          <t>link</t>
        </is>
      </c>
      <c r="L445" s="7" t="inlineStr">
        <is>
          <t>link</t>
        </is>
      </c>
      <c r="M445" s="5" t="inlineStr"/>
      <c r="N445" s="5" t="inlineStr"/>
      <c r="O445" s="5" t="inlineStr"/>
      <c r="P445" s="5" t="inlineStr"/>
      <c r="Q445" s="5" t="inlineStr"/>
      <c r="R445" s="5" t="inlineStr">
        <is>
          <t>2 English, DOI or PubMed link</t>
        </is>
      </c>
      <c r="S445" s="5" t="inlineStr"/>
      <c r="T445" s="5" t="inlineStr">
        <is>
          <t>WS0438.pdf</t>
        </is>
      </c>
      <c r="U445" s="8" t="n"/>
      <c r="V445" s="8" t="n"/>
      <c r="W445" s="8" t="n"/>
      <c r="X445" s="8" t="n"/>
      <c r="Y445" s="8" t="n"/>
      <c r="Z445" s="8" t="n"/>
      <c r="AA445" s="8" t="n"/>
      <c r="AB445" s="8" t="n"/>
      <c r="AC445" s="8" t="n"/>
      <c r="AD445" s="8" t="n"/>
      <c r="AE445" s="8" t="inlineStr">
        <is>
          <t>no</t>
        </is>
      </c>
    </row>
    <row r="446">
      <c r="A446" s="5" t="n">
        <v>445</v>
      </c>
      <c r="B446" s="5" t="inlineStr">
        <is>
          <t>WS0455</t>
        </is>
      </c>
      <c r="C446" s="5" t="inlineStr">
        <is>
          <t>2014</t>
        </is>
      </c>
      <c r="D446" s="5" t="inlineStr">
        <is>
          <t>English</t>
        </is>
      </c>
      <c r="E446" s="5" t="inlineStr">
        <is>
          <t>JOUR</t>
        </is>
      </c>
      <c r="F446" s="5" t="inlineStr">
        <is>
          <t>Polat</t>
        </is>
      </c>
      <c r="G446" s="5" t="inlineStr">
        <is>
          <t>Pediatric hematology and oncology</t>
        </is>
      </c>
      <c r="H446" s="5" t="inlineStr">
        <is>
          <t>31(1):101-3</t>
        </is>
      </c>
      <c r="I446" s="6" t="inlineStr">
        <is>
          <t>Hereditary spherocytosis and wandering spleen.</t>
        </is>
      </c>
      <c r="J446" s="5" t="inlineStr">
        <is>
          <t>10.3109/08880018.2013.831150</t>
        </is>
      </c>
      <c r="K446" s="7" t="inlineStr">
        <is>
          <t>link</t>
        </is>
      </c>
      <c r="L446" s="7" t="inlineStr">
        <is>
          <t>link</t>
        </is>
      </c>
      <c r="M446" s="5" t="inlineStr"/>
      <c r="N446" s="5" t="inlineStr"/>
      <c r="O446" s="5" t="inlineStr"/>
      <c r="P446" s="5" t="inlineStr"/>
      <c r="Q446" s="5" t="inlineStr"/>
      <c r="R446" s="5" t="inlineStr">
        <is>
          <t>2 English, DOI or PubMed link</t>
        </is>
      </c>
      <c r="S446" s="5" t="inlineStr"/>
      <c r="T446" s="5" t="inlineStr">
        <is>
          <t>WS0455.pdf</t>
        </is>
      </c>
      <c r="U446" s="8" t="n"/>
      <c r="V446" s="8" t="n"/>
      <c r="W446" s="8" t="n"/>
      <c r="X446" s="8" t="n"/>
      <c r="Y446" s="8" t="n"/>
      <c r="Z446" s="8" t="n"/>
      <c r="AA446" s="8" t="n"/>
      <c r="AB446" s="8" t="n"/>
      <c r="AC446" s="8" t="n"/>
      <c r="AD446" s="8" t="n"/>
      <c r="AE446" s="8" t="inlineStr">
        <is>
          <t>no</t>
        </is>
      </c>
    </row>
    <row r="447">
      <c r="A447" s="5" t="n">
        <v>446</v>
      </c>
      <c r="B447" s="5" t="inlineStr">
        <is>
          <t>WS0457</t>
        </is>
      </c>
      <c r="C447" s="5" t="inlineStr">
        <is>
          <t>2013</t>
        </is>
      </c>
      <c r="D447" s="5" t="inlineStr">
        <is>
          <t>English</t>
        </is>
      </c>
      <c r="E447" s="5" t="inlineStr">
        <is>
          <t>JOUR</t>
        </is>
      </c>
      <c r="F447" s="5" t="inlineStr">
        <is>
          <t>King</t>
        </is>
      </c>
      <c r="G447" s="5" t="inlineStr">
        <is>
          <t>Journal of minimally invasive gynecology</t>
        </is>
      </c>
      <c r="H447" s="5" t="inlineStr">
        <is>
          <t>20(5):549-50</t>
        </is>
      </c>
      <c r="I447" s="6" t="inlineStr">
        <is>
          <t>Pelvic pain in the presence of wandering spleen.</t>
        </is>
      </c>
      <c r="J447" s="5" t="inlineStr">
        <is>
          <t>10.1016/j.jmig.2013.02.007</t>
        </is>
      </c>
      <c r="K447" s="7" t="inlineStr">
        <is>
          <t>link</t>
        </is>
      </c>
      <c r="L447" s="7" t="inlineStr">
        <is>
          <t>link</t>
        </is>
      </c>
      <c r="M447" s="5" t="inlineStr"/>
      <c r="N447" s="5" t="inlineStr"/>
      <c r="O447" s="5" t="inlineStr"/>
      <c r="P447" s="5" t="inlineStr"/>
      <c r="Q447" s="5" t="inlineStr"/>
      <c r="R447" s="5" t="inlineStr">
        <is>
          <t>2 English, DOI or PubMed link</t>
        </is>
      </c>
      <c r="S447" s="5" t="inlineStr"/>
      <c r="T447" s="5" t="inlineStr">
        <is>
          <t>WS0457.pdf</t>
        </is>
      </c>
      <c r="U447" s="8" t="n"/>
      <c r="V447" s="8" t="n"/>
      <c r="W447" s="8" t="n"/>
      <c r="X447" s="8" t="n"/>
      <c r="Y447" s="8" t="n"/>
      <c r="Z447" s="8" t="n"/>
      <c r="AA447" s="8" t="n"/>
      <c r="AB447" s="8" t="n"/>
      <c r="AC447" s="8" t="n"/>
      <c r="AD447" s="8" t="n"/>
      <c r="AE447" s="8" t="inlineStr">
        <is>
          <t>no</t>
        </is>
      </c>
    </row>
    <row r="448">
      <c r="A448" s="5" t="n">
        <v>447</v>
      </c>
      <c r="B448" s="5" t="inlineStr">
        <is>
          <t>WS0468</t>
        </is>
      </c>
      <c r="C448" s="5" t="inlineStr">
        <is>
          <t>2013</t>
        </is>
      </c>
      <c r="D448" s="5" t="inlineStr">
        <is>
          <t>English</t>
        </is>
      </c>
      <c r="E448" s="5" t="inlineStr">
        <is>
          <t>JOUR</t>
        </is>
      </c>
      <c r="F448" s="5" t="inlineStr">
        <is>
          <t>Heydari</t>
        </is>
      </c>
      <c r="G448" s="5" t="inlineStr">
        <is>
          <t>The American journal of emergency medicine</t>
        </is>
      </c>
      <c r="H448" s="5" t="inlineStr">
        <is>
          <t>31(6):984-5</t>
        </is>
      </c>
      <c r="I448" s="6" t="inlineStr">
        <is>
          <t>Wandering spleen presenting as small bowel obstruction.</t>
        </is>
      </c>
      <c r="J448" s="5" t="inlineStr">
        <is>
          <t>10.1016/j.ajem.2013.02.017</t>
        </is>
      </c>
      <c r="K448" s="7" t="inlineStr">
        <is>
          <t>link</t>
        </is>
      </c>
      <c r="L448" s="7" t="inlineStr">
        <is>
          <t>link</t>
        </is>
      </c>
      <c r="M448" s="5" t="inlineStr"/>
      <c r="N448" s="5" t="inlineStr"/>
      <c r="O448" s="5" t="inlineStr"/>
      <c r="P448" s="5" t="inlineStr"/>
      <c r="Q448" s="5" t="inlineStr"/>
      <c r="R448" s="5" t="inlineStr">
        <is>
          <t>2 English, DOI or PubMed link</t>
        </is>
      </c>
      <c r="S448" s="5" t="inlineStr"/>
      <c r="T448" s="5" t="inlineStr">
        <is>
          <t>WS0468.pdf</t>
        </is>
      </c>
      <c r="U448" s="8" t="n"/>
      <c r="V448" s="8" t="n"/>
      <c r="W448" s="8" t="n"/>
      <c r="X448" s="8" t="n"/>
      <c r="Y448" s="8" t="n"/>
      <c r="Z448" s="8" t="n"/>
      <c r="AA448" s="8" t="n"/>
      <c r="AB448" s="8" t="n"/>
      <c r="AC448" s="8" t="n"/>
      <c r="AD448" s="8" t="n"/>
      <c r="AE448" s="8" t="inlineStr">
        <is>
          <t>no</t>
        </is>
      </c>
    </row>
    <row r="449">
      <c r="A449" s="5" t="n">
        <v>448</v>
      </c>
      <c r="B449" s="5" t="inlineStr">
        <is>
          <t>WS0477</t>
        </is>
      </c>
      <c r="C449" s="5" t="inlineStr">
        <is>
          <t>2013</t>
        </is>
      </c>
      <c r="D449" s="5" t="inlineStr">
        <is>
          <t>English</t>
        </is>
      </c>
      <c r="E449" s="5" t="inlineStr">
        <is>
          <t>JOUR</t>
        </is>
      </c>
      <c r="F449" s="5" t="inlineStr">
        <is>
          <t>Gardner</t>
        </is>
      </c>
      <c r="G449" s="5" t="inlineStr">
        <is>
          <t>American journal of hematology</t>
        </is>
      </c>
      <c r="H449" s="5" t="inlineStr">
        <is>
          <t>88(6):528-9</t>
        </is>
      </c>
      <c r="I449" s="6" t="inlineStr">
        <is>
          <t>Wandering spleen: a mobile target for radiotherapy.</t>
        </is>
      </c>
      <c r="J449" s="5" t="inlineStr">
        <is>
          <t>10.1002/ajh.23425</t>
        </is>
      </c>
      <c r="K449" s="7" t="inlineStr">
        <is>
          <t>link</t>
        </is>
      </c>
      <c r="L449" s="7" t="inlineStr">
        <is>
          <t>link</t>
        </is>
      </c>
      <c r="M449" s="5" t="inlineStr"/>
      <c r="N449" s="5" t="inlineStr"/>
      <c r="O449" s="5" t="inlineStr"/>
      <c r="P449" s="5" t="inlineStr"/>
      <c r="Q449" s="5" t="inlineStr"/>
      <c r="R449" s="5" t="inlineStr">
        <is>
          <t>2 English, DOI or PubMed link</t>
        </is>
      </c>
      <c r="S449" s="5" t="inlineStr"/>
      <c r="T449" s="5" t="inlineStr">
        <is>
          <t>WS0477.pdf</t>
        </is>
      </c>
      <c r="U449" s="8" t="n"/>
      <c r="V449" s="8" t="n"/>
      <c r="W449" s="8" t="n"/>
      <c r="X449" s="8" t="n"/>
      <c r="Y449" s="8" t="n"/>
      <c r="Z449" s="8" t="n"/>
      <c r="AA449" s="8" t="n"/>
      <c r="AB449" s="8" t="n"/>
      <c r="AC449" s="8" t="n"/>
      <c r="AD449" s="8" t="n"/>
      <c r="AE449" s="8" t="inlineStr">
        <is>
          <t>no</t>
        </is>
      </c>
    </row>
    <row r="450">
      <c r="A450" s="5" t="n">
        <v>449</v>
      </c>
      <c r="B450" s="5" t="inlineStr">
        <is>
          <t>WS0478</t>
        </is>
      </c>
      <c r="C450" s="5" t="inlineStr">
        <is>
          <t>2013</t>
        </is>
      </c>
      <c r="D450" s="5" t="inlineStr">
        <is>
          <t>English</t>
        </is>
      </c>
      <c r="E450" s="5" t="inlineStr">
        <is>
          <t>JOUR</t>
        </is>
      </c>
      <c r="F450" s="5" t="inlineStr">
        <is>
          <t>Holst</t>
        </is>
      </c>
      <c r="G450" s="5" t="inlineStr">
        <is>
          <t>The Journal of emergency medicine</t>
        </is>
      </c>
      <c r="H450" s="5" t="inlineStr">
        <is>
          <t>44(6):e395-6</t>
        </is>
      </c>
      <c r="I450" s="6" t="inlineStr">
        <is>
          <t>Acute abdominal pain in the pediatric emergency department: a case of right lower quadrant wandering spleen that acutely torsed.</t>
        </is>
      </c>
      <c r="J450" s="5" t="inlineStr">
        <is>
          <t>10.1016/j.jemermed.2012.11.063</t>
        </is>
      </c>
      <c r="K450" s="7" t="inlineStr">
        <is>
          <t>link</t>
        </is>
      </c>
      <c r="L450" s="7" t="inlineStr">
        <is>
          <t>link</t>
        </is>
      </c>
      <c r="M450" s="5" t="inlineStr"/>
      <c r="N450" s="5" t="inlineStr"/>
      <c r="O450" s="5" t="inlineStr"/>
      <c r="P450" s="5" t="inlineStr"/>
      <c r="Q450" s="5" t="inlineStr"/>
      <c r="R450" s="5" t="inlineStr">
        <is>
          <t>2 English, DOI or PubMed link</t>
        </is>
      </c>
      <c r="S450" s="5" t="inlineStr"/>
      <c r="T450" s="5" t="inlineStr">
        <is>
          <t>WS0478.pdf</t>
        </is>
      </c>
      <c r="U450" s="8" t="n"/>
      <c r="V450" s="8" t="n"/>
      <c r="W450" s="8" t="n"/>
      <c r="X450" s="8" t="n"/>
      <c r="Y450" s="8" t="n"/>
      <c r="Z450" s="8" t="n"/>
      <c r="AA450" s="8" t="n"/>
      <c r="AB450" s="8" t="n"/>
      <c r="AC450" s="8" t="n"/>
      <c r="AD450" s="8" t="n"/>
      <c r="AE450" s="8" t="inlineStr">
        <is>
          <t>no</t>
        </is>
      </c>
    </row>
    <row r="451">
      <c r="A451" s="5" t="n">
        <v>450</v>
      </c>
      <c r="B451" s="5" t="inlineStr">
        <is>
          <t>WS0479</t>
        </is>
      </c>
      <c r="C451" s="5" t="inlineStr">
        <is>
          <t>2013</t>
        </is>
      </c>
      <c r="D451" s="5" t="inlineStr">
        <is>
          <t>English</t>
        </is>
      </c>
      <c r="E451" s="5" t="inlineStr">
        <is>
          <t>JOUR</t>
        </is>
      </c>
      <c r="F451" s="5" t="inlineStr">
        <is>
          <t>Kargl</t>
        </is>
      </c>
      <c r="G451" s="5" t="inlineStr">
        <is>
          <t>Archives of disease in childhood</t>
        </is>
      </c>
      <c r="H451" s="5" t="inlineStr">
        <is>
          <t>98(7):537</t>
        </is>
      </c>
      <c r="I451" s="6" t="inlineStr">
        <is>
          <t>Acute abdomen due to splenic torsion.</t>
        </is>
      </c>
      <c r="J451" s="5" t="inlineStr">
        <is>
          <t>10.1136/archdischild-2012-303481</t>
        </is>
      </c>
      <c r="K451" s="7" t="inlineStr">
        <is>
          <t>link</t>
        </is>
      </c>
      <c r="L451" s="7" t="inlineStr">
        <is>
          <t>link</t>
        </is>
      </c>
      <c r="M451" s="5" t="inlineStr"/>
      <c r="N451" s="5" t="inlineStr"/>
      <c r="O451" s="5" t="inlineStr"/>
      <c r="P451" s="5" t="inlineStr"/>
      <c r="Q451" s="5" t="inlineStr"/>
      <c r="R451" s="5" t="inlineStr">
        <is>
          <t>2 English, DOI or PubMed link</t>
        </is>
      </c>
      <c r="S451" s="5" t="inlineStr"/>
      <c r="T451" s="5" t="inlineStr">
        <is>
          <t>WS0479.pdf</t>
        </is>
      </c>
      <c r="U451" s="8" t="n"/>
      <c r="V451" s="8" t="n"/>
      <c r="W451" s="8" t="n"/>
      <c r="X451" s="8" t="n"/>
      <c r="Y451" s="8" t="n"/>
      <c r="Z451" s="8" t="n"/>
      <c r="AA451" s="8" t="n"/>
      <c r="AB451" s="8" t="n"/>
      <c r="AC451" s="8" t="n"/>
      <c r="AD451" s="8" t="n"/>
      <c r="AE451" s="8" t="inlineStr">
        <is>
          <t>no</t>
        </is>
      </c>
    </row>
    <row r="452">
      <c r="A452" s="5" t="n">
        <v>451</v>
      </c>
      <c r="B452" s="5" t="inlineStr">
        <is>
          <t>WS0483</t>
        </is>
      </c>
      <c r="C452" s="5" t="inlineStr">
        <is>
          <t>2013</t>
        </is>
      </c>
      <c r="D452" s="5" t="inlineStr">
        <is>
          <t>English</t>
        </is>
      </c>
      <c r="E452" s="5" t="inlineStr">
        <is>
          <t>JOUR</t>
        </is>
      </c>
      <c r="F452" s="5" t="inlineStr">
        <is>
          <t>Centonze</t>
        </is>
      </c>
      <c r="G452" s="5" t="inlineStr">
        <is>
          <t>The Journal of emergency medicine</t>
        </is>
      </c>
      <c r="H452" s="5" t="inlineStr">
        <is>
          <t>44(4):851-2</t>
        </is>
      </c>
      <c r="I452" s="6" t="inlineStr">
        <is>
          <t>Atypical presentation of a wandering spleen in niemann-pick disease.</t>
        </is>
      </c>
      <c r="J452" s="5" t="inlineStr">
        <is>
          <t>10.1016/j.jemermed.2012.05.038</t>
        </is>
      </c>
      <c r="K452" s="7" t="inlineStr">
        <is>
          <t>link</t>
        </is>
      </c>
      <c r="L452" s="7" t="inlineStr">
        <is>
          <t>link</t>
        </is>
      </c>
      <c r="M452" s="5" t="inlineStr"/>
      <c r="N452" s="5" t="inlineStr"/>
      <c r="O452" s="5" t="inlineStr"/>
      <c r="P452" s="5" t="inlineStr"/>
      <c r="Q452" s="5" t="inlineStr"/>
      <c r="R452" s="5" t="inlineStr">
        <is>
          <t>2 English, DOI or PubMed link</t>
        </is>
      </c>
      <c r="S452" s="5" t="inlineStr"/>
      <c r="T452" s="5" t="inlineStr">
        <is>
          <t>WS0483.pdf</t>
        </is>
      </c>
      <c r="U452" s="8" t="n"/>
      <c r="V452" s="8" t="n"/>
      <c r="W452" s="8" t="n"/>
      <c r="X452" s="8" t="n"/>
      <c r="Y452" s="8" t="n"/>
      <c r="Z452" s="8" t="n"/>
      <c r="AA452" s="8" t="n"/>
      <c r="AB452" s="8" t="n"/>
      <c r="AC452" s="8" t="n"/>
      <c r="AD452" s="8" t="n"/>
      <c r="AE452" s="8" t="inlineStr">
        <is>
          <t>no</t>
        </is>
      </c>
    </row>
    <row r="453">
      <c r="A453" s="5" t="n">
        <v>452</v>
      </c>
      <c r="B453" s="5" t="inlineStr">
        <is>
          <t>WS0502</t>
        </is>
      </c>
      <c r="C453" s="5" t="inlineStr">
        <is>
          <t>2013</t>
        </is>
      </c>
      <c r="D453" s="5" t="inlineStr">
        <is>
          <t>English</t>
        </is>
      </c>
      <c r="E453" s="5" t="inlineStr">
        <is>
          <t>JOUR</t>
        </is>
      </c>
      <c r="F453" s="5" t="inlineStr">
        <is>
          <t>Udare</t>
        </is>
      </c>
      <c r="G453" s="5" t="inlineStr">
        <is>
          <t>Indian journal of gastroenterology : official journal of the Indian Society of Gastroenterology</t>
        </is>
      </c>
      <c r="H453" s="5" t="inlineStr">
        <is>
          <t>32(3):211</t>
        </is>
      </c>
      <c r="I453" s="6" t="inlineStr">
        <is>
          <t>Torsion of wandering spleen.</t>
        </is>
      </c>
      <c r="J453" s="5" t="inlineStr">
        <is>
          <t>10.1007/s12664-012-0188-y</t>
        </is>
      </c>
      <c r="K453" s="7" t="inlineStr">
        <is>
          <t>link</t>
        </is>
      </c>
      <c r="L453" s="7" t="inlineStr">
        <is>
          <t>link</t>
        </is>
      </c>
      <c r="M453" s="5" t="inlineStr"/>
      <c r="N453" s="5" t="inlineStr"/>
      <c r="O453" s="5" t="inlineStr"/>
      <c r="P453" s="5" t="inlineStr"/>
      <c r="Q453" s="5" t="inlineStr"/>
      <c r="R453" s="5" t="inlineStr">
        <is>
          <t>2 English, DOI or PubMed link</t>
        </is>
      </c>
      <c r="S453" s="5" t="inlineStr"/>
      <c r="T453" s="5" t="inlineStr">
        <is>
          <t>WS0502.pdf</t>
        </is>
      </c>
      <c r="U453" s="8" t="n"/>
      <c r="V453" s="8" t="n"/>
      <c r="W453" s="8" t="n"/>
      <c r="X453" s="8" t="n"/>
      <c r="Y453" s="8" t="n"/>
      <c r="Z453" s="8" t="n"/>
      <c r="AA453" s="8" t="n"/>
      <c r="AB453" s="8" t="n"/>
      <c r="AC453" s="8" t="n"/>
      <c r="AD453" s="8" t="n"/>
      <c r="AE453" s="8" t="inlineStr">
        <is>
          <t>no</t>
        </is>
      </c>
    </row>
    <row r="454">
      <c r="A454" s="5" t="n">
        <v>453</v>
      </c>
      <c r="B454" s="5" t="inlineStr">
        <is>
          <t>WS1348</t>
        </is>
      </c>
      <c r="C454" s="5" t="inlineStr">
        <is>
          <t>2013</t>
        </is>
      </c>
      <c r="D454" s="5" t="inlineStr">
        <is>
          <t>English</t>
        </is>
      </c>
      <c r="E454" s="5" t="inlineStr">
        <is>
          <t>JOUR</t>
        </is>
      </c>
      <c r="F454" s="5" t="inlineStr">
        <is>
          <t>Frank</t>
        </is>
      </c>
      <c r="G454" s="5" t="inlineStr">
        <is>
          <t>Journal of Clinical Oncology</t>
        </is>
      </c>
      <c r="H454" s="5" t="inlineStr">
        <is>
          <t>31(12):e206-e207</t>
        </is>
      </c>
      <c r="I454" s="6" t="inlineStr">
        <is>
          <t>Rare case of a dislocated spleen in a patient with B-cell lymphoma</t>
        </is>
      </c>
      <c r="J454" s="5" t="inlineStr">
        <is>
          <t>10.1200/jco.2012.44.4877</t>
        </is>
      </c>
      <c r="K454" s="7" t="inlineStr">
        <is>
          <t>link</t>
        </is>
      </c>
      <c r="L454" s="5" t="inlineStr"/>
      <c r="M454" s="5" t="inlineStr"/>
      <c r="N454" s="5" t="inlineStr"/>
      <c r="O454" s="5" t="inlineStr"/>
      <c r="P454" s="5" t="inlineStr"/>
      <c r="Q454" s="7" t="inlineStr">
        <is>
          <t>link</t>
        </is>
      </c>
      <c r="R454" s="5" t="inlineStr">
        <is>
          <t>2 English, DOI or PubMed link</t>
        </is>
      </c>
      <c r="S454" s="5" t="inlineStr"/>
      <c r="T454" s="5" t="inlineStr">
        <is>
          <t>WS1348.pdf</t>
        </is>
      </c>
      <c r="U454" s="8" t="n"/>
      <c r="V454" s="8" t="n"/>
      <c r="W454" s="8" t="n"/>
      <c r="X454" s="8" t="n"/>
      <c r="Y454" s="8" t="n"/>
      <c r="Z454" s="8" t="n"/>
      <c r="AA454" s="8" t="n"/>
      <c r="AB454" s="8" t="n"/>
      <c r="AC454" s="8" t="n"/>
      <c r="AD454" s="8" t="n"/>
      <c r="AE454" s="8" t="inlineStr">
        <is>
          <t>no</t>
        </is>
      </c>
    </row>
    <row r="455">
      <c r="A455" s="5" t="n">
        <v>454</v>
      </c>
      <c r="B455" s="5" t="inlineStr">
        <is>
          <t>WS0492</t>
        </is>
      </c>
      <c r="C455" s="5" t="inlineStr">
        <is>
          <t>2012</t>
        </is>
      </c>
      <c r="D455" s="5" t="inlineStr">
        <is>
          <t>English</t>
        </is>
      </c>
      <c r="E455" s="5" t="inlineStr">
        <is>
          <t>JOUR</t>
        </is>
      </c>
      <c r="F455" s="5" t="inlineStr">
        <is>
          <t>O</t>
        </is>
      </c>
      <c r="G455" s="5" t="inlineStr">
        <is>
          <t>Gastrointestinal endoscopy</t>
        </is>
      </c>
      <c r="H455" s="5" t="inlineStr">
        <is>
          <t>76(5):1047; discussion 1047-8</t>
        </is>
      </c>
      <c r="I455" s="6" t="inlineStr">
        <is>
          <t>Ectopic spleen presenting as a gastric submucosal tumor.</t>
        </is>
      </c>
      <c r="J455" s="5" t="inlineStr">
        <is>
          <t>10.1016/j.gie.2012.07.011</t>
        </is>
      </c>
      <c r="K455" s="7" t="inlineStr">
        <is>
          <t>link</t>
        </is>
      </c>
      <c r="L455" s="7" t="inlineStr">
        <is>
          <t>link</t>
        </is>
      </c>
      <c r="M455" s="5" t="inlineStr"/>
      <c r="N455" s="5" t="inlineStr"/>
      <c r="O455" s="5" t="inlineStr"/>
      <c r="P455" s="5" t="inlineStr"/>
      <c r="Q455" s="5" t="inlineStr"/>
      <c r="R455" s="5" t="inlineStr">
        <is>
          <t>2 English, DOI or PubMed link</t>
        </is>
      </c>
      <c r="S455" s="5" t="inlineStr">
        <is>
          <t>Y</t>
        </is>
      </c>
      <c r="T455" s="5" t="inlineStr">
        <is>
          <t>WS0492.pdf</t>
        </is>
      </c>
      <c r="U455" s="8" t="n"/>
      <c r="V455" s="8" t="n"/>
      <c r="W455" s="8" t="n"/>
      <c r="X455" s="8" t="n"/>
      <c r="Y455" s="8" t="n"/>
      <c r="Z455" s="8" t="n"/>
      <c r="AA455" s="8" t="n"/>
      <c r="AB455" s="8" t="n"/>
      <c r="AC455" s="8" t="n"/>
      <c r="AD455" s="8" t="n"/>
      <c r="AE455" s="8" t="inlineStr">
        <is>
          <t>no</t>
        </is>
      </c>
    </row>
    <row r="456">
      <c r="A456" s="5" t="n">
        <v>455</v>
      </c>
      <c r="B456" s="5" t="inlineStr">
        <is>
          <t>WS0496</t>
        </is>
      </c>
      <c r="C456" s="5" t="inlineStr">
        <is>
          <t>2012</t>
        </is>
      </c>
      <c r="D456" s="5" t="inlineStr">
        <is>
          <t>English</t>
        </is>
      </c>
      <c r="E456" s="5" t="inlineStr">
        <is>
          <t>JOUR</t>
        </is>
      </c>
      <c r="F456" s="5" t="inlineStr">
        <is>
          <t>Kocakoc</t>
        </is>
      </c>
      <c r="G456" s="5" t="inlineStr">
        <is>
          <t>JBR-BTR : organe de la Societe royale belge de radiologie (SRBR) = orgaan van de Koninklijke Belgische Vereniging voor Radiologie (KBVR)</t>
        </is>
      </c>
      <c r="H456" s="5" t="inlineStr">
        <is>
          <t>95(3):148-9</t>
        </is>
      </c>
      <c r="I456" s="6" t="inlineStr">
        <is>
          <t>Torsion of the wandering spleen.</t>
        </is>
      </c>
      <c r="J456" s="5" t="inlineStr">
        <is>
          <t>10.5334/jbr-btr.592</t>
        </is>
      </c>
      <c r="K456" s="7" t="inlineStr">
        <is>
          <t>link</t>
        </is>
      </c>
      <c r="L456" s="7" t="inlineStr">
        <is>
          <t>link</t>
        </is>
      </c>
      <c r="M456" s="5" t="inlineStr"/>
      <c r="N456" s="5" t="inlineStr"/>
      <c r="O456" s="5" t="inlineStr"/>
      <c r="P456" s="5" t="inlineStr"/>
      <c r="Q456" s="5" t="inlineStr"/>
      <c r="R456" s="5" t="inlineStr">
        <is>
          <t>2 English, DOI or PubMed link</t>
        </is>
      </c>
      <c r="S456" s="5" t="inlineStr"/>
      <c r="T456" s="5" t="inlineStr">
        <is>
          <t>WS0496.pdf</t>
        </is>
      </c>
      <c r="U456" s="8" t="n"/>
      <c r="V456" s="8" t="n"/>
      <c r="W456" s="8" t="n"/>
      <c r="X456" s="8" t="n"/>
      <c r="Y456" s="8" t="n"/>
      <c r="Z456" s="8" t="n"/>
      <c r="AA456" s="8" t="n"/>
      <c r="AB456" s="8" t="n"/>
      <c r="AC456" s="8" t="n"/>
      <c r="AD456" s="8" t="n"/>
      <c r="AE456" s="8" t="inlineStr">
        <is>
          <t>no</t>
        </is>
      </c>
    </row>
    <row r="457">
      <c r="A457" s="5" t="n">
        <v>456</v>
      </c>
      <c r="B457" s="5" t="inlineStr">
        <is>
          <t>WS0499</t>
        </is>
      </c>
      <c r="C457" s="5" t="inlineStr">
        <is>
          <t>2012</t>
        </is>
      </c>
      <c r="D457" s="5" t="inlineStr">
        <is>
          <t>English</t>
        </is>
      </c>
      <c r="E457" s="5" t="inlineStr">
        <is>
          <t>JOUR</t>
        </is>
      </c>
      <c r="F457" s="5" t="inlineStr">
        <is>
          <t>Swenson</t>
        </is>
      </c>
      <c r="G457" s="5" t="inlineStr">
        <is>
          <t>Medicine and health, Rhode Island</t>
        </is>
      </c>
      <c r="H457" s="5" t="inlineStr">
        <is>
          <t>95(5):161-2</t>
        </is>
      </c>
      <c r="I457" s="6" t="inlineStr">
        <is>
          <t>14 year-old female with splenic torsion.</t>
        </is>
      </c>
      <c r="J457" s="5" t="inlineStr"/>
      <c r="K457" s="5" t="inlineStr"/>
      <c r="L457" s="7" t="inlineStr">
        <is>
          <t>link</t>
        </is>
      </c>
      <c r="M457" s="5" t="inlineStr"/>
      <c r="N457" s="5" t="inlineStr"/>
      <c r="O457" s="5" t="inlineStr"/>
      <c r="P457" s="5" t="inlineStr"/>
      <c r="Q457" s="5" t="inlineStr"/>
      <c r="R457" s="5" t="inlineStr">
        <is>
          <t>2 English, DOI or PubMed link</t>
        </is>
      </c>
      <c r="S457" s="5" t="inlineStr"/>
      <c r="T457" s="5" t="inlineStr">
        <is>
          <t>WS0499.pdf</t>
        </is>
      </c>
      <c r="U457" s="8" t="n"/>
      <c r="V457" s="8" t="n"/>
      <c r="W457" s="8" t="n"/>
      <c r="X457" s="8" t="n"/>
      <c r="Y457" s="8" t="n"/>
      <c r="Z457" s="8" t="n"/>
      <c r="AA457" s="8" t="n"/>
      <c r="AB457" s="8" t="n"/>
      <c r="AC457" s="8" t="n"/>
      <c r="AD457" s="8" t="n"/>
      <c r="AE457" s="8" t="inlineStr">
        <is>
          <t>no</t>
        </is>
      </c>
    </row>
    <row r="458">
      <c r="A458" s="5" t="n">
        <v>457</v>
      </c>
      <c r="B458" s="5" t="inlineStr">
        <is>
          <t>WS0513</t>
        </is>
      </c>
      <c r="C458" s="5" t="inlineStr">
        <is>
          <t>2012</t>
        </is>
      </c>
      <c r="D458" s="5" t="inlineStr">
        <is>
          <t>English</t>
        </is>
      </c>
      <c r="E458" s="5" t="inlineStr">
        <is>
          <t>JOUR</t>
        </is>
      </c>
      <c r="F458" s="5" t="inlineStr">
        <is>
          <t>Kocak</t>
        </is>
      </c>
      <c r="G458" s="5" t="inlineStr">
        <is>
          <t>Journal of Crohn's &amp; colitis</t>
        </is>
      </c>
      <c r="H458" s="5" t="inlineStr">
        <is>
          <t>6(3):394-5</t>
        </is>
      </c>
      <c r="I458" s="6" t="inlineStr">
        <is>
          <t>Ectopic spleen presenting as an abdominal mass in a patient with Crohn's disease.</t>
        </is>
      </c>
      <c r="J458" s="5" t="inlineStr">
        <is>
          <t>10.1016/j.crohns.2011.12.012</t>
        </is>
      </c>
      <c r="K458" s="7" t="inlineStr">
        <is>
          <t>link</t>
        </is>
      </c>
      <c r="L458" s="7" t="inlineStr">
        <is>
          <t>link</t>
        </is>
      </c>
      <c r="M458" s="5" t="inlineStr"/>
      <c r="N458" s="5" t="inlineStr"/>
      <c r="O458" s="5" t="inlineStr"/>
      <c r="P458" s="5" t="inlineStr"/>
      <c r="Q458" s="5" t="inlineStr"/>
      <c r="R458" s="5" t="inlineStr">
        <is>
          <t>2 English, DOI or PubMed link</t>
        </is>
      </c>
      <c r="S458" s="5" t="inlineStr"/>
      <c r="T458" s="5" t="inlineStr">
        <is>
          <t>WS0513.pdf</t>
        </is>
      </c>
      <c r="U458" s="8" t="n"/>
      <c r="V458" s="8" t="n"/>
      <c r="W458" s="8" t="n"/>
      <c r="X458" s="8" t="n"/>
      <c r="Y458" s="8" t="n"/>
      <c r="Z458" s="8" t="n"/>
      <c r="AA458" s="8" t="n"/>
      <c r="AB458" s="8" t="n"/>
      <c r="AC458" s="8" t="n"/>
      <c r="AD458" s="8" t="n"/>
      <c r="AE458" s="8" t="inlineStr">
        <is>
          <t>no</t>
        </is>
      </c>
    </row>
    <row r="459">
      <c r="A459" s="5" t="n">
        <v>458</v>
      </c>
      <c r="B459" s="5" t="inlineStr">
        <is>
          <t>WS0524</t>
        </is>
      </c>
      <c r="C459" s="5" t="inlineStr">
        <is>
          <t>2011</t>
        </is>
      </c>
      <c r="D459" s="5" t="inlineStr">
        <is>
          <t>English</t>
        </is>
      </c>
      <c r="E459" s="5" t="inlineStr">
        <is>
          <t>JOUR</t>
        </is>
      </c>
      <c r="F459" s="5" t="inlineStr">
        <is>
          <t>Somalwar</t>
        </is>
      </c>
      <c r="G459" s="5" t="inlineStr">
        <is>
          <t>Lancet (London, England)</t>
        </is>
      </c>
      <c r="H459" s="5" t="inlineStr">
        <is>
          <t>378(9802):1604</t>
        </is>
      </c>
      <c r="I459" s="6" t="inlineStr">
        <is>
          <t>I wonder what the mobile mass is?</t>
        </is>
      </c>
      <c r="J459" s="5" t="inlineStr">
        <is>
          <t>10.1016/s0140-6736(11)61183-5</t>
        </is>
      </c>
      <c r="K459" s="7" t="inlineStr">
        <is>
          <t>link</t>
        </is>
      </c>
      <c r="L459" s="7" t="inlineStr">
        <is>
          <t>link</t>
        </is>
      </c>
      <c r="M459" s="5" t="inlineStr"/>
      <c r="N459" s="5" t="inlineStr"/>
      <c r="O459" s="5" t="inlineStr"/>
      <c r="P459" s="5" t="inlineStr"/>
      <c r="Q459" s="5" t="inlineStr"/>
      <c r="R459" s="5" t="inlineStr">
        <is>
          <t>2 English, DOI or PubMed link</t>
        </is>
      </c>
      <c r="S459" s="5" t="inlineStr"/>
      <c r="T459" s="5" t="inlineStr">
        <is>
          <t>WS0524.pdf</t>
        </is>
      </c>
      <c r="U459" s="8" t="n"/>
      <c r="V459" s="8" t="n"/>
      <c r="W459" s="8" t="n"/>
      <c r="X459" s="8" t="n"/>
      <c r="Y459" s="8" t="n"/>
      <c r="Z459" s="8" t="n"/>
      <c r="AA459" s="8" t="n"/>
      <c r="AB459" s="8" t="n"/>
      <c r="AC459" s="8" t="n"/>
      <c r="AD459" s="8" t="n"/>
      <c r="AE459" s="8" t="inlineStr">
        <is>
          <t>no</t>
        </is>
      </c>
    </row>
    <row r="460">
      <c r="A460" s="5" t="n">
        <v>459</v>
      </c>
      <c r="B460" s="5" t="inlineStr">
        <is>
          <t>WS0531</t>
        </is>
      </c>
      <c r="C460" s="5" t="inlineStr">
        <is>
          <t>2011</t>
        </is>
      </c>
      <c r="D460" s="5" t="inlineStr">
        <is>
          <t>English</t>
        </is>
      </c>
      <c r="E460" s="5" t="inlineStr">
        <is>
          <t>JOUR</t>
        </is>
      </c>
      <c r="F460" s="5" t="inlineStr">
        <is>
          <t>Maamouri</t>
        </is>
      </c>
      <c r="G460" s="5" t="inlineStr">
        <is>
          <t>La Tunisie medicale</t>
        </is>
      </c>
      <c r="H460" s="5" t="inlineStr">
        <is>
          <t>89(4):403-5</t>
        </is>
      </c>
      <c r="I460" s="6" t="inlineStr">
        <is>
          <t>Asymptomatic chronic torsion of a pelvic wandering spleen.</t>
        </is>
      </c>
      <c r="J460" s="5" t="inlineStr"/>
      <c r="K460" s="5" t="inlineStr"/>
      <c r="L460" s="7" t="inlineStr">
        <is>
          <t>link</t>
        </is>
      </c>
      <c r="M460" s="5" t="inlineStr"/>
      <c r="N460" s="5" t="inlineStr"/>
      <c r="O460" s="5" t="inlineStr"/>
      <c r="P460" s="5" t="inlineStr"/>
      <c r="Q460" s="5" t="inlineStr"/>
      <c r="R460" s="5" t="inlineStr">
        <is>
          <t>2 English, DOI or PubMed link</t>
        </is>
      </c>
      <c r="S460" s="5" t="inlineStr"/>
      <c r="T460" s="5" t="inlineStr">
        <is>
          <t>WS0531.pdf</t>
        </is>
      </c>
      <c r="U460" s="8" t="n"/>
      <c r="V460" s="8" t="n"/>
      <c r="W460" s="8" t="n"/>
      <c r="X460" s="8" t="n"/>
      <c r="Y460" s="8" t="n"/>
      <c r="Z460" s="8" t="n"/>
      <c r="AA460" s="8" t="n"/>
      <c r="AB460" s="8" t="n"/>
      <c r="AC460" s="8" t="n"/>
      <c r="AD460" s="8" t="n"/>
      <c r="AE460" s="8" t="inlineStr">
        <is>
          <t>no</t>
        </is>
      </c>
    </row>
    <row r="461">
      <c r="A461" s="5" t="n">
        <v>460</v>
      </c>
      <c r="B461" s="5" t="inlineStr">
        <is>
          <t>WS0540</t>
        </is>
      </c>
      <c r="C461" s="5" t="inlineStr">
        <is>
          <t>2011</t>
        </is>
      </c>
      <c r="D461" s="5" t="inlineStr">
        <is>
          <t>English</t>
        </is>
      </c>
      <c r="E461" s="5" t="inlineStr">
        <is>
          <t>JOUR</t>
        </is>
      </c>
      <c r="F461" s="5" t="inlineStr">
        <is>
          <t>Lips</t>
        </is>
      </c>
      <c r="G461" s="5" t="inlineStr">
        <is>
          <t>European journal of nuclear medicine and molecular imaging</t>
        </is>
      </c>
      <c r="H461" s="5" t="inlineStr">
        <is>
          <t>38(5):982</t>
        </is>
      </c>
      <c r="I461" s="6" t="inlineStr">
        <is>
          <t>Wandering spleen on a 68Ga-DOTATOC-PET/CT scan.</t>
        </is>
      </c>
      <c r="J461" s="5" t="inlineStr">
        <is>
          <t>10.1007/s00259-010-1714-8</t>
        </is>
      </c>
      <c r="K461" s="7" t="inlineStr">
        <is>
          <t>link</t>
        </is>
      </c>
      <c r="L461" s="7" t="inlineStr">
        <is>
          <t>link</t>
        </is>
      </c>
      <c r="M461" s="5" t="inlineStr"/>
      <c r="N461" s="5" t="inlineStr"/>
      <c r="O461" s="5" t="inlineStr"/>
      <c r="P461" s="5" t="inlineStr"/>
      <c r="Q461" s="5" t="inlineStr"/>
      <c r="R461" s="5" t="inlineStr">
        <is>
          <t>2 English, DOI or PubMed link</t>
        </is>
      </c>
      <c r="S461" s="5" t="inlineStr"/>
      <c r="T461" s="5" t="inlineStr">
        <is>
          <t>WS0540.pdf</t>
        </is>
      </c>
      <c r="U461" s="8" t="n"/>
      <c r="V461" s="8" t="n"/>
      <c r="W461" s="8" t="n"/>
      <c r="X461" s="8" t="n"/>
      <c r="Y461" s="8" t="n"/>
      <c r="Z461" s="8" t="n"/>
      <c r="AA461" s="8" t="n"/>
      <c r="AB461" s="8" t="n"/>
      <c r="AC461" s="8" t="n"/>
      <c r="AD461" s="8" t="n"/>
      <c r="AE461" s="8" t="inlineStr">
        <is>
          <t>no</t>
        </is>
      </c>
    </row>
    <row r="462">
      <c r="A462" s="5" t="n">
        <v>461</v>
      </c>
      <c r="B462" s="5" t="inlineStr">
        <is>
          <t>WS0538</t>
        </is>
      </c>
      <c r="C462" s="5" t="inlineStr">
        <is>
          <t>2010</t>
        </is>
      </c>
      <c r="D462" s="5" t="inlineStr">
        <is>
          <t>English</t>
        </is>
      </c>
      <c r="E462" s="5" t="inlineStr">
        <is>
          <t>JOUR</t>
        </is>
      </c>
      <c r="F462" s="5" t="inlineStr">
        <is>
          <t>Familua</t>
        </is>
      </c>
      <c r="G462" s="5" t="inlineStr">
        <is>
          <t>The American surgeon</t>
        </is>
      </c>
      <c r="H462" s="5" t="inlineStr">
        <is>
          <t>76(12):E235-6</t>
        </is>
      </c>
      <c r="I462" s="6" t="inlineStr">
        <is>
          <t>Wandering spleen mimicking acute appendicitis-an unusual presentation of a rare surgical anomaly.</t>
        </is>
      </c>
      <c r="J462" s="5" t="inlineStr"/>
      <c r="K462" s="5" t="inlineStr"/>
      <c r="L462" s="7" t="inlineStr">
        <is>
          <t>link</t>
        </is>
      </c>
      <c r="M462" s="5" t="inlineStr"/>
      <c r="N462" s="5" t="inlineStr"/>
      <c r="O462" s="5" t="inlineStr"/>
      <c r="P462" s="5" t="inlineStr"/>
      <c r="Q462" s="5" t="inlineStr"/>
      <c r="R462" s="5" t="inlineStr">
        <is>
          <t>2 English, DOI or PubMed link</t>
        </is>
      </c>
      <c r="S462" s="5" t="inlineStr"/>
      <c r="T462" s="5" t="inlineStr">
        <is>
          <t>WS0538.pdf</t>
        </is>
      </c>
      <c r="U462" s="8" t="n"/>
      <c r="V462" s="8" t="n"/>
      <c r="W462" s="8" t="n"/>
      <c r="X462" s="8" t="n"/>
      <c r="Y462" s="8" t="n"/>
      <c r="Z462" s="8" t="n"/>
      <c r="AA462" s="8" t="n"/>
      <c r="AB462" s="8" t="n"/>
      <c r="AC462" s="8" t="n"/>
      <c r="AD462" s="8" t="n"/>
      <c r="AE462" s="8" t="inlineStr">
        <is>
          <t>no</t>
        </is>
      </c>
    </row>
    <row r="463">
      <c r="A463" s="5" t="n">
        <v>462</v>
      </c>
      <c r="B463" s="5" t="inlineStr">
        <is>
          <t>WS0554</t>
        </is>
      </c>
      <c r="C463" s="5" t="inlineStr">
        <is>
          <t>2010</t>
        </is>
      </c>
      <c r="D463" s="5" t="inlineStr">
        <is>
          <t>English</t>
        </is>
      </c>
      <c r="E463" s="5" t="inlineStr">
        <is>
          <t>JOUR</t>
        </is>
      </c>
      <c r="F463" s="5" t="inlineStr">
        <is>
          <t>Maschio</t>
        </is>
      </c>
      <c r="G463" s="5" t="inlineStr">
        <is>
          <t>The Journal of pediatrics</t>
        </is>
      </c>
      <c r="H463" s="5" t="inlineStr">
        <is>
          <t>157(5):859.e1</t>
        </is>
      </c>
      <c r="I463" s="6" t="inlineStr">
        <is>
          <t>Splenomegaly as presentation of a wandering spleen.</t>
        </is>
      </c>
      <c r="J463" s="5" t="inlineStr">
        <is>
          <t>10.1016/j.jpeds.2010.04.046</t>
        </is>
      </c>
      <c r="K463" s="7" t="inlineStr">
        <is>
          <t>link</t>
        </is>
      </c>
      <c r="L463" s="7" t="inlineStr">
        <is>
          <t>link</t>
        </is>
      </c>
      <c r="M463" s="5" t="inlineStr"/>
      <c r="N463" s="5" t="inlineStr"/>
      <c r="O463" s="5" t="inlineStr"/>
      <c r="P463" s="5" t="inlineStr"/>
      <c r="Q463" s="5" t="inlineStr"/>
      <c r="R463" s="5" t="inlineStr">
        <is>
          <t>2 English, DOI or PubMed link</t>
        </is>
      </c>
      <c r="S463" s="5" t="inlineStr"/>
      <c r="T463" s="5" t="inlineStr">
        <is>
          <t>WS0554.pdf</t>
        </is>
      </c>
      <c r="U463" s="8" t="n"/>
      <c r="V463" s="8" t="n"/>
      <c r="W463" s="8" t="n"/>
      <c r="X463" s="8" t="n"/>
      <c r="Y463" s="8" t="n"/>
      <c r="Z463" s="8" t="n"/>
      <c r="AA463" s="8" t="n"/>
      <c r="AB463" s="8" t="n"/>
      <c r="AC463" s="8" t="n"/>
      <c r="AD463" s="8" t="n"/>
      <c r="AE463" s="8" t="inlineStr">
        <is>
          <t>no</t>
        </is>
      </c>
    </row>
    <row r="464">
      <c r="A464" s="5" t="n">
        <v>463</v>
      </c>
      <c r="B464" s="5" t="inlineStr">
        <is>
          <t>WS0557</t>
        </is>
      </c>
      <c r="C464" s="5" t="inlineStr">
        <is>
          <t>2010</t>
        </is>
      </c>
      <c r="D464" s="5" t="inlineStr">
        <is>
          <t>English</t>
        </is>
      </c>
      <c r="E464" s="5" t="inlineStr">
        <is>
          <t>JOUR</t>
        </is>
      </c>
      <c r="F464" s="5" t="inlineStr">
        <is>
          <t>Ghazeeri</t>
        </is>
      </c>
      <c r="G464" s="5" t="inlineStr">
        <is>
          <t>American journal of obstetrics and gynecology</t>
        </is>
      </c>
      <c r="H464" s="5" t="inlineStr">
        <is>
          <t>202(6):662.e1</t>
        </is>
      </c>
      <c r="I464" s="6" t="inlineStr">
        <is>
          <t>The wanderer At 12 weeks' gestation, the patient presented with abdominal pain and a palpable mass.</t>
        </is>
      </c>
      <c r="J464" s="5" t="inlineStr">
        <is>
          <t>10.1016/j.ajog.2010.02.013</t>
        </is>
      </c>
      <c r="K464" s="7" t="inlineStr">
        <is>
          <t>link</t>
        </is>
      </c>
      <c r="L464" s="7" t="inlineStr">
        <is>
          <t>link</t>
        </is>
      </c>
      <c r="M464" s="5" t="inlineStr"/>
      <c r="N464" s="5" t="inlineStr"/>
      <c r="O464" s="5" t="inlineStr"/>
      <c r="P464" s="5" t="inlineStr"/>
      <c r="Q464" s="5" t="inlineStr"/>
      <c r="R464" s="5" t="inlineStr">
        <is>
          <t>2 English, DOI or PubMed link</t>
        </is>
      </c>
      <c r="S464" s="5" t="inlineStr"/>
      <c r="T464" s="5" t="inlineStr">
        <is>
          <t>WS0557.pdf</t>
        </is>
      </c>
      <c r="U464" s="8" t="n"/>
      <c r="V464" s="8" t="n"/>
      <c r="W464" s="8" t="n"/>
      <c r="X464" s="8" t="n"/>
      <c r="Y464" s="8" t="n"/>
      <c r="Z464" s="8" t="n"/>
      <c r="AA464" s="8" t="n"/>
      <c r="AB464" s="8" t="n"/>
      <c r="AC464" s="8" t="n"/>
      <c r="AD464" s="8" t="n"/>
      <c r="AE464" s="8" t="inlineStr">
        <is>
          <t>no</t>
        </is>
      </c>
    </row>
    <row r="465">
      <c r="A465" s="5" t="n">
        <v>464</v>
      </c>
      <c r="B465" s="5" t="inlineStr">
        <is>
          <t>WS0577</t>
        </is>
      </c>
      <c r="C465" s="5" t="inlineStr">
        <is>
          <t>2010</t>
        </is>
      </c>
      <c r="D465" s="5" t="inlineStr">
        <is>
          <t>English</t>
        </is>
      </c>
      <c r="E465" s="5" t="inlineStr">
        <is>
          <t>JOUR</t>
        </is>
      </c>
      <c r="F465" s="5" t="inlineStr">
        <is>
          <t>Dillman</t>
        </is>
      </c>
      <c r="G465" s="5" t="inlineStr">
        <is>
          <t>Pediatric radiology</t>
        </is>
      </c>
      <c r="H465" s="5" t="inlineStr">
        <is>
          <t>40(2):231</t>
        </is>
      </c>
      <c r="I465" s="6" t="inlineStr">
        <is>
          <t>Clinical image. The "wandering" spleen.</t>
        </is>
      </c>
      <c r="J465" s="5" t="inlineStr">
        <is>
          <t>10.1007/s00247-009-1376-5</t>
        </is>
      </c>
      <c r="K465" s="7" t="inlineStr">
        <is>
          <t>link</t>
        </is>
      </c>
      <c r="L465" s="7" t="inlineStr">
        <is>
          <t>link</t>
        </is>
      </c>
      <c r="M465" s="5" t="inlineStr"/>
      <c r="N465" s="5" t="inlineStr"/>
      <c r="O465" s="5" t="inlineStr"/>
      <c r="P465" s="5" t="inlineStr"/>
      <c r="Q465" s="5" t="inlineStr"/>
      <c r="R465" s="5" t="inlineStr">
        <is>
          <t>2 English, DOI or PubMed link</t>
        </is>
      </c>
      <c r="S465" s="5" t="inlineStr"/>
      <c r="T465" s="5" t="inlineStr">
        <is>
          <t>WS0577.pdf</t>
        </is>
      </c>
      <c r="U465" s="8" t="n"/>
      <c r="V465" s="8" t="n"/>
      <c r="W465" s="8" t="n"/>
      <c r="X465" s="8" t="n"/>
      <c r="Y465" s="8" t="n"/>
      <c r="Z465" s="8" t="n"/>
      <c r="AA465" s="8" t="n"/>
      <c r="AB465" s="8" t="n"/>
      <c r="AC465" s="8" t="n"/>
      <c r="AD465" s="8" t="n"/>
      <c r="AE465" s="8" t="inlineStr">
        <is>
          <t>no</t>
        </is>
      </c>
    </row>
    <row r="466">
      <c r="A466" s="5" t="n">
        <v>465</v>
      </c>
      <c r="B466" s="5" t="inlineStr">
        <is>
          <t>WS0581</t>
        </is>
      </c>
      <c r="C466" s="5" t="inlineStr">
        <is>
          <t>2010</t>
        </is>
      </c>
      <c r="D466" s="5" t="inlineStr">
        <is>
          <t>English</t>
        </is>
      </c>
      <c r="E466" s="5" t="inlineStr">
        <is>
          <t>JOUR</t>
        </is>
      </c>
      <c r="F466" s="5" t="inlineStr">
        <is>
          <t>Yasuda</t>
        </is>
      </c>
      <c r="G466" s="5" t="inlineStr">
        <is>
          <t>European journal of pediatric surgery : official journal of Austrian Association of Pediatric Surgery ... [et al] = Zeitschrift fur Kinderchirurgie</t>
        </is>
      </c>
      <c r="H466" s="5" t="inlineStr">
        <is>
          <t>20(2):121-3</t>
        </is>
      </c>
      <c r="I466" s="6" t="inlineStr">
        <is>
          <t>Wandering spleen causing intestinal obstruction after repair of congenital diaphragmatic hernia.</t>
        </is>
      </c>
      <c r="J466" s="5" t="inlineStr">
        <is>
          <t>10.1055/s-0029-1220708</t>
        </is>
      </c>
      <c r="K466" s="7" t="inlineStr">
        <is>
          <t>link</t>
        </is>
      </c>
      <c r="L466" s="7" t="inlineStr">
        <is>
          <t>link</t>
        </is>
      </c>
      <c r="M466" s="5" t="inlineStr"/>
      <c r="N466" s="5" t="inlineStr"/>
      <c r="O466" s="5" t="inlineStr"/>
      <c r="P466" s="5" t="inlineStr"/>
      <c r="Q466" s="5" t="inlineStr"/>
      <c r="R466" s="5" t="inlineStr">
        <is>
          <t>2 English, DOI or PubMed link</t>
        </is>
      </c>
      <c r="S466" s="5" t="inlineStr"/>
      <c r="T466" s="5" t="inlineStr">
        <is>
          <t>WS0581.pdf</t>
        </is>
      </c>
      <c r="U466" s="8" t="n"/>
      <c r="V466" s="8" t="n"/>
      <c r="W466" s="8" t="n"/>
      <c r="X466" s="8" t="n"/>
      <c r="Y466" s="8" t="n"/>
      <c r="Z466" s="8" t="n"/>
      <c r="AA466" s="8" t="n"/>
      <c r="AB466" s="8" t="n"/>
      <c r="AC466" s="8" t="n"/>
      <c r="AD466" s="8" t="n"/>
      <c r="AE466" s="8" t="inlineStr">
        <is>
          <t>no</t>
        </is>
      </c>
    </row>
    <row r="467">
      <c r="A467" s="5" t="n">
        <v>466</v>
      </c>
      <c r="B467" s="5" t="inlineStr">
        <is>
          <t>WS1298</t>
        </is>
      </c>
      <c r="C467" s="5" t="inlineStr">
        <is>
          <t>2010</t>
        </is>
      </c>
      <c r="D467" s="5" t="inlineStr">
        <is>
          <t>English</t>
        </is>
      </c>
      <c r="E467" s="5" t="inlineStr">
        <is>
          <t>JOUR</t>
        </is>
      </c>
      <c r="F467" s="5" t="inlineStr">
        <is>
          <t>Sharma</t>
        </is>
      </c>
      <c r="G467" s="5" t="inlineStr">
        <is>
          <t>AMERICAN JOURNAL OF GASTROENTEROLOGY</t>
        </is>
      </c>
      <c r="H467" s="5" t="inlineStr">
        <is>
          <t>105:S282-S282</t>
        </is>
      </c>
      <c r="I467" s="6" t="inlineStr">
        <is>
          <t>Recurrent Abdominal Pain and Gastrointestinal Bleeding due to Splenic Torsion in a Young Male</t>
        </is>
      </c>
      <c r="J467" s="5" t="inlineStr">
        <is>
          <t>10.14309/00000434-201010001-00777</t>
        </is>
      </c>
      <c r="K467" s="7" t="inlineStr">
        <is>
          <t>link</t>
        </is>
      </c>
      <c r="L467" s="5" t="inlineStr"/>
      <c r="M467" s="5" t="inlineStr"/>
      <c r="N467" s="5" t="inlineStr"/>
      <c r="O467" s="5" t="inlineStr"/>
      <c r="P467" s="5" t="inlineStr"/>
      <c r="Q467" s="5" t="inlineStr"/>
      <c r="R467" s="5" t="inlineStr">
        <is>
          <t>2 English, DOI or PubMed link</t>
        </is>
      </c>
      <c r="S467" s="5" t="inlineStr"/>
      <c r="T467" s="5" t="inlineStr">
        <is>
          <t>WS1298.pdf</t>
        </is>
      </c>
      <c r="U467" s="8" t="n"/>
      <c r="V467" s="8" t="n"/>
      <c r="W467" s="8" t="n"/>
      <c r="X467" s="8" t="n"/>
      <c r="Y467" s="8" t="n"/>
      <c r="Z467" s="8" t="n"/>
      <c r="AA467" s="8" t="n"/>
      <c r="AB467" s="8" t="n"/>
      <c r="AC467" s="8" t="n"/>
      <c r="AD467" s="8" t="n"/>
      <c r="AE467" s="8" t="inlineStr">
        <is>
          <t>no</t>
        </is>
      </c>
    </row>
    <row r="468">
      <c r="A468" s="5" t="n">
        <v>467</v>
      </c>
      <c r="B468" s="5" t="inlineStr">
        <is>
          <t>WS0569</t>
        </is>
      </c>
      <c r="C468" s="5" t="inlineStr">
        <is>
          <t>2009</t>
        </is>
      </c>
      <c r="D468" s="5" t="inlineStr">
        <is>
          <t>English</t>
        </is>
      </c>
      <c r="E468" s="5" t="inlineStr">
        <is>
          <t>JOUR</t>
        </is>
      </c>
      <c r="F468" s="5" t="inlineStr">
        <is>
          <t>Parlakgumus</t>
        </is>
      </c>
      <c r="G468" s="5" t="inlineStr">
        <is>
          <t>The Turkish journal of gastroenterology : the official journal of Turkish Society of Gastroenterology</t>
        </is>
      </c>
      <c r="H468" s="5" t="inlineStr">
        <is>
          <t>20(3):237-8</t>
        </is>
      </c>
      <c r="I468" s="6" t="inlineStr">
        <is>
          <t>Wandering spleen accompanied by hilar angiomatosis causing intestinal obstruction in a paraplegic patient.</t>
        </is>
      </c>
      <c r="J468" s="5" t="inlineStr">
        <is>
          <t>10.4318/tjg.2009.0018</t>
        </is>
      </c>
      <c r="K468" s="7" t="inlineStr">
        <is>
          <t>link</t>
        </is>
      </c>
      <c r="L468" s="7" t="inlineStr">
        <is>
          <t>link</t>
        </is>
      </c>
      <c r="M468" s="5" t="inlineStr"/>
      <c r="N468" s="5" t="inlineStr"/>
      <c r="O468" s="5" t="inlineStr"/>
      <c r="P468" s="5" t="inlineStr"/>
      <c r="Q468" s="5" t="inlineStr"/>
      <c r="R468" s="5" t="inlineStr">
        <is>
          <t>2 English, DOI or PubMed link</t>
        </is>
      </c>
      <c r="S468" s="5" t="inlineStr"/>
      <c r="T468" s="5" t="inlineStr">
        <is>
          <t>WS0569.pdf</t>
        </is>
      </c>
      <c r="U468" s="8" t="n"/>
      <c r="V468" s="8" t="n"/>
      <c r="W468" s="8" t="n"/>
      <c r="X468" s="8" t="n"/>
      <c r="Y468" s="8" t="n"/>
      <c r="Z468" s="8" t="n"/>
      <c r="AA468" s="8" t="n"/>
      <c r="AB468" s="8" t="n"/>
      <c r="AC468" s="8" t="n"/>
      <c r="AD468" s="8" t="n"/>
      <c r="AE468" s="8" t="inlineStr">
        <is>
          <t>no</t>
        </is>
      </c>
    </row>
    <row r="469">
      <c r="A469" s="5" t="n">
        <v>468</v>
      </c>
      <c r="B469" s="5" t="inlineStr">
        <is>
          <t>WS0570</t>
        </is>
      </c>
      <c r="C469" s="5" t="inlineStr">
        <is>
          <t>2009</t>
        </is>
      </c>
      <c r="D469" s="5" t="inlineStr">
        <is>
          <t>English</t>
        </is>
      </c>
      <c r="E469" s="5" t="inlineStr">
        <is>
          <t>JOUR</t>
        </is>
      </c>
      <c r="F469" s="5" t="inlineStr">
        <is>
          <t>Tseng</t>
        </is>
      </c>
      <c r="G469" s="5" t="inlineStr">
        <is>
          <t>The New England journal of medicine</t>
        </is>
      </c>
      <c r="H469" s="5" t="inlineStr">
        <is>
          <t>361(13):1291</t>
        </is>
      </c>
      <c r="I469" s="6" t="inlineStr">
        <is>
          <t>Images in clinical medicine. Pelvic spleen.</t>
        </is>
      </c>
      <c r="J469" s="5" t="inlineStr">
        <is>
          <t>10.1056/nejmicm0802024</t>
        </is>
      </c>
      <c r="K469" s="7" t="inlineStr">
        <is>
          <t>link</t>
        </is>
      </c>
      <c r="L469" s="7" t="inlineStr">
        <is>
          <t>link</t>
        </is>
      </c>
      <c r="M469" s="5" t="inlineStr"/>
      <c r="N469" s="5" t="inlineStr"/>
      <c r="O469" s="5" t="inlineStr"/>
      <c r="P469" s="5" t="inlineStr"/>
      <c r="Q469" s="5" t="inlineStr"/>
      <c r="R469" s="5" t="inlineStr">
        <is>
          <t>2 English, DOI or PubMed link</t>
        </is>
      </c>
      <c r="S469" s="5" t="inlineStr"/>
      <c r="T469" s="5" t="inlineStr">
        <is>
          <t>WS0570.pdf</t>
        </is>
      </c>
      <c r="U469" s="8" t="n"/>
      <c r="V469" s="8" t="n"/>
      <c r="W469" s="8" t="n"/>
      <c r="X469" s="8" t="n"/>
      <c r="Y469" s="8" t="n"/>
      <c r="Z469" s="8" t="n"/>
      <c r="AA469" s="8" t="n"/>
      <c r="AB469" s="8" t="n"/>
      <c r="AC469" s="8" t="n"/>
      <c r="AD469" s="8" t="n"/>
      <c r="AE469" s="8" t="inlineStr">
        <is>
          <t>no</t>
        </is>
      </c>
    </row>
    <row r="470">
      <c r="A470" s="5" t="n">
        <v>469</v>
      </c>
      <c r="B470" s="5" t="inlineStr">
        <is>
          <t>WS0573</t>
        </is>
      </c>
      <c r="C470" s="5" t="inlineStr">
        <is>
          <t>2009</t>
        </is>
      </c>
      <c r="D470" s="5" t="inlineStr">
        <is>
          <t>English</t>
        </is>
      </c>
      <c r="E470" s="5" t="inlineStr">
        <is>
          <t>JOUR</t>
        </is>
      </c>
      <c r="F470" s="5" t="inlineStr">
        <is>
          <t>Oda</t>
        </is>
      </c>
      <c r="G470" s="5" t="inlineStr">
        <is>
          <t>Gastroenterology</t>
        </is>
      </c>
      <c r="H470" s="5" t="inlineStr">
        <is>
          <t>137(4):e9-e10</t>
        </is>
      </c>
      <c r="I470" s="6" t="inlineStr">
        <is>
          <t>A solid mass in pelvic region.</t>
        </is>
      </c>
      <c r="J470" s="5" t="inlineStr">
        <is>
          <t>10.1053/j.gastro.2009.02.010</t>
        </is>
      </c>
      <c r="K470" s="7" t="inlineStr">
        <is>
          <t>link</t>
        </is>
      </c>
      <c r="L470" s="7" t="inlineStr">
        <is>
          <t>link</t>
        </is>
      </c>
      <c r="M470" s="5" t="inlineStr"/>
      <c r="N470" s="5" t="inlineStr"/>
      <c r="O470" s="5" t="inlineStr"/>
      <c r="P470" s="5" t="inlineStr"/>
      <c r="Q470" s="5" t="inlineStr"/>
      <c r="R470" s="5" t="inlineStr">
        <is>
          <t>2 English, DOI or PubMed link</t>
        </is>
      </c>
      <c r="S470" s="5" t="inlineStr"/>
      <c r="T470" s="5" t="inlineStr">
        <is>
          <t>WS0573.pdf</t>
        </is>
      </c>
      <c r="U470" s="8" t="n"/>
      <c r="V470" s="8" t="n"/>
      <c r="W470" s="8" t="n"/>
      <c r="X470" s="8" t="n"/>
      <c r="Y470" s="8" t="n"/>
      <c r="Z470" s="8" t="n"/>
      <c r="AA470" s="8" t="n"/>
      <c r="AB470" s="8" t="n"/>
      <c r="AC470" s="8" t="n"/>
      <c r="AD470" s="8" t="n"/>
      <c r="AE470" s="8" t="inlineStr">
        <is>
          <t>no</t>
        </is>
      </c>
    </row>
    <row r="471">
      <c r="A471" s="5" t="n">
        <v>470</v>
      </c>
      <c r="B471" s="5" t="inlineStr">
        <is>
          <t>WS0586</t>
        </is>
      </c>
      <c r="C471" s="5" t="inlineStr">
        <is>
          <t>2008</t>
        </is>
      </c>
      <c r="D471" s="5" t="inlineStr">
        <is>
          <t>English</t>
        </is>
      </c>
      <c r="E471" s="5" t="inlineStr">
        <is>
          <t>JOUR</t>
        </is>
      </c>
      <c r="F471" s="5" t="inlineStr">
        <is>
          <t>Satpathi</t>
        </is>
      </c>
      <c r="G471" s="5" t="inlineStr">
        <is>
          <t>The Journal of the Association of Physicians of India</t>
        </is>
      </c>
      <c r="H471" s="5" t="inlineStr">
        <is>
          <t>56(OCT):819-20</t>
        </is>
      </c>
      <c r="I471" s="6" t="inlineStr">
        <is>
          <t>Ectopic spleen with cirrhosis of liver.</t>
        </is>
      </c>
      <c r="J471" s="5" t="inlineStr"/>
      <c r="K471" s="5" t="inlineStr"/>
      <c r="L471" s="7" t="inlineStr">
        <is>
          <t>link</t>
        </is>
      </c>
      <c r="M471" s="5" t="inlineStr"/>
      <c r="N471" s="5" t="inlineStr"/>
      <c r="O471" s="5" t="inlineStr"/>
      <c r="P471" s="5" t="inlineStr"/>
      <c r="Q471" s="5" t="inlineStr"/>
      <c r="R471" s="5" t="inlineStr">
        <is>
          <t>2 English, DOI or PubMed link</t>
        </is>
      </c>
      <c r="S471" s="5" t="inlineStr"/>
      <c r="T471" s="5" t="inlineStr">
        <is>
          <t>WS0586.pdf</t>
        </is>
      </c>
      <c r="U471" s="8" t="n"/>
      <c r="V471" s="8" t="n"/>
      <c r="W471" s="8" t="n"/>
      <c r="X471" s="8" t="n"/>
      <c r="Y471" s="8" t="n"/>
      <c r="Z471" s="8" t="n"/>
      <c r="AA471" s="8" t="n"/>
      <c r="AB471" s="8" t="n"/>
      <c r="AC471" s="8" t="n"/>
      <c r="AD471" s="8" t="n"/>
      <c r="AE471" s="8" t="inlineStr">
        <is>
          <t>no</t>
        </is>
      </c>
    </row>
    <row r="472">
      <c r="A472" s="5" t="n">
        <v>471</v>
      </c>
      <c r="B472" s="5" t="inlineStr">
        <is>
          <t>WS0590</t>
        </is>
      </c>
      <c r="C472" s="5" t="inlineStr">
        <is>
          <t>2008</t>
        </is>
      </c>
      <c r="D472" s="5" t="inlineStr">
        <is>
          <t>English</t>
        </is>
      </c>
      <c r="E472" s="5" t="inlineStr">
        <is>
          <t>JOUR</t>
        </is>
      </c>
      <c r="F472" s="5" t="inlineStr">
        <is>
          <t>Wani</t>
        </is>
      </c>
      <c r="G472" s="5" t="inlineStr">
        <is>
          <t>Clinical gastroenterology and hepatology : the official clinical practice journal of the American Gastroenterological Association</t>
        </is>
      </c>
      <c r="H472" s="5" t="inlineStr">
        <is>
          <t>6(12):A24</t>
        </is>
      </c>
      <c r="I472" s="6" t="inlineStr">
        <is>
          <t>Gastric variceal hemorrhage secondary to torsion of wandering spleen.</t>
        </is>
      </c>
      <c r="J472" s="5" t="inlineStr">
        <is>
          <t>10.1016/j.cgh.2008.06.005</t>
        </is>
      </c>
      <c r="K472" s="7" t="inlineStr">
        <is>
          <t>link</t>
        </is>
      </c>
      <c r="L472" s="7" t="inlineStr">
        <is>
          <t>link</t>
        </is>
      </c>
      <c r="M472" s="5" t="inlineStr"/>
      <c r="N472" s="5" t="inlineStr"/>
      <c r="O472" s="5" t="inlineStr"/>
      <c r="P472" s="5" t="inlineStr"/>
      <c r="Q472" s="5" t="inlineStr"/>
      <c r="R472" s="5" t="inlineStr">
        <is>
          <t>2 English, DOI or PubMed link</t>
        </is>
      </c>
      <c r="S472" s="5" t="inlineStr"/>
      <c r="T472" s="5" t="inlineStr">
        <is>
          <t>WS0590.pdf</t>
        </is>
      </c>
      <c r="U472" s="8" t="n"/>
      <c r="V472" s="8" t="n"/>
      <c r="W472" s="8" t="n"/>
      <c r="X472" s="8" t="n"/>
      <c r="Y472" s="8" t="n"/>
      <c r="Z472" s="8" t="n"/>
      <c r="AA472" s="8" t="n"/>
      <c r="AB472" s="8" t="n"/>
      <c r="AC472" s="8" t="n"/>
      <c r="AD472" s="8" t="n"/>
      <c r="AE472" s="8" t="inlineStr">
        <is>
          <t>no</t>
        </is>
      </c>
    </row>
    <row r="473">
      <c r="A473" s="5" t="n">
        <v>472</v>
      </c>
      <c r="B473" s="5" t="inlineStr">
        <is>
          <t>WS0607</t>
        </is>
      </c>
      <c r="C473" s="5" t="inlineStr">
        <is>
          <t>2007</t>
        </is>
      </c>
      <c r="D473" s="5" t="inlineStr">
        <is>
          <t>English</t>
        </is>
      </c>
      <c r="E473" s="5" t="inlineStr">
        <is>
          <t>JOUR</t>
        </is>
      </c>
      <c r="F473" s="5" t="inlineStr">
        <is>
          <t>Jans</t>
        </is>
      </c>
      <c r="G473" s="5" t="inlineStr">
        <is>
          <t>JBR-BTR : organe de la Societe royale belge de radiologie (SRBR) = orgaan van de Koninklijke Belgische Vereniging voor Radiologie (KBVR)</t>
        </is>
      </c>
      <c r="H473" s="5" t="inlineStr">
        <is>
          <t>90(6):543</t>
        </is>
      </c>
      <c r="I473" s="6" t="inlineStr">
        <is>
          <t>Wandering spleen with torsion.</t>
        </is>
      </c>
      <c r="J473" s="5" t="inlineStr"/>
      <c r="K473" s="5" t="inlineStr"/>
      <c r="L473" s="7" t="inlineStr">
        <is>
          <t>link</t>
        </is>
      </c>
      <c r="M473" s="5" t="inlineStr"/>
      <c r="N473" s="5" t="inlineStr"/>
      <c r="O473" s="5" t="inlineStr"/>
      <c r="P473" s="5" t="inlineStr"/>
      <c r="Q473" s="5" t="inlineStr"/>
      <c r="R473" s="5" t="inlineStr">
        <is>
          <t>2 English, DOI or PubMed link</t>
        </is>
      </c>
      <c r="S473" s="5" t="inlineStr"/>
      <c r="T473" s="5" t="inlineStr">
        <is>
          <t>WS0607.pdf</t>
        </is>
      </c>
      <c r="U473" s="8" t="n"/>
      <c r="V473" s="8" t="n"/>
      <c r="W473" s="8" t="n"/>
      <c r="X473" s="8" t="n"/>
      <c r="Y473" s="8" t="n"/>
      <c r="Z473" s="8" t="n"/>
      <c r="AA473" s="8" t="n"/>
      <c r="AB473" s="8" t="n"/>
      <c r="AC473" s="8" t="n"/>
      <c r="AD473" s="8" t="n"/>
      <c r="AE473" s="8" t="inlineStr">
        <is>
          <t>no</t>
        </is>
      </c>
    </row>
    <row r="474">
      <c r="A474" s="5" t="n">
        <v>473</v>
      </c>
      <c r="B474" s="5" t="inlineStr">
        <is>
          <t>WS0622</t>
        </is>
      </c>
      <c r="C474" s="5" t="inlineStr">
        <is>
          <t>2007</t>
        </is>
      </c>
      <c r="D474" s="5" t="inlineStr">
        <is>
          <t>English</t>
        </is>
      </c>
      <c r="E474" s="5" t="inlineStr">
        <is>
          <t>JOUR</t>
        </is>
      </c>
      <c r="F474" s="5" t="inlineStr">
        <is>
          <t>Ng</t>
        </is>
      </c>
      <c r="G474" s="5" t="inlineStr">
        <is>
          <t>Gastroenterology</t>
        </is>
      </c>
      <c r="H474" s="5" t="inlineStr">
        <is>
          <t>132(7):2296, 2621</t>
        </is>
      </c>
      <c r="I474" s="6" t="inlineStr">
        <is>
          <t>Clinical challenges and images in GI.</t>
        </is>
      </c>
      <c r="J474" s="5" t="inlineStr">
        <is>
          <t>10.1053/j.gastro.2007.04.055</t>
        </is>
      </c>
      <c r="K474" s="7" t="inlineStr">
        <is>
          <t>link</t>
        </is>
      </c>
      <c r="L474" s="7" t="inlineStr">
        <is>
          <t>link</t>
        </is>
      </c>
      <c r="M474" s="5" t="inlineStr"/>
      <c r="N474" s="5" t="inlineStr"/>
      <c r="O474" s="5" t="inlineStr"/>
      <c r="P474" s="5" t="inlineStr"/>
      <c r="Q474" s="5" t="inlineStr"/>
      <c r="R474" s="5" t="inlineStr">
        <is>
          <t>2 English, DOI or PubMed link</t>
        </is>
      </c>
      <c r="S474" s="5" t="inlineStr"/>
      <c r="T474" s="5" t="inlineStr">
        <is>
          <t>WS0622.pdf</t>
        </is>
      </c>
      <c r="U474" s="8" t="n"/>
      <c r="V474" s="8" t="n"/>
      <c r="W474" s="8" t="n"/>
      <c r="X474" s="8" t="n"/>
      <c r="Y474" s="8" t="n"/>
      <c r="Z474" s="8" t="n"/>
      <c r="AA474" s="8" t="n"/>
      <c r="AB474" s="8" t="n"/>
      <c r="AC474" s="8" t="n"/>
      <c r="AD474" s="8" t="n"/>
      <c r="AE474" s="8" t="inlineStr">
        <is>
          <t>no</t>
        </is>
      </c>
    </row>
    <row r="475">
      <c r="A475" s="5" t="n">
        <v>474</v>
      </c>
      <c r="B475" s="5" t="inlineStr">
        <is>
          <t>WS0626</t>
        </is>
      </c>
      <c r="C475" s="5" t="inlineStr">
        <is>
          <t>2007</t>
        </is>
      </c>
      <c r="D475" s="5" t="inlineStr">
        <is>
          <t>English</t>
        </is>
      </c>
      <c r="E475" s="5" t="inlineStr">
        <is>
          <t>JOUR</t>
        </is>
      </c>
      <c r="F475" s="5" t="inlineStr">
        <is>
          <t>Buckley</t>
        </is>
      </c>
      <c r="G475" s="5" t="inlineStr">
        <is>
          <t>Clinical radiology</t>
        </is>
      </c>
      <c r="H475" s="5" t="inlineStr">
        <is>
          <t>62(5):504</t>
        </is>
      </c>
      <c r="I475" s="6" t="inlineStr">
        <is>
          <t>MRI of the wandering spleen.</t>
        </is>
      </c>
      <c r="J475" s="5" t="inlineStr">
        <is>
          <t>10.1016/j.crad.2006.11.018</t>
        </is>
      </c>
      <c r="K475" s="7" t="inlineStr">
        <is>
          <t>link</t>
        </is>
      </c>
      <c r="L475" s="7" t="inlineStr">
        <is>
          <t>link</t>
        </is>
      </c>
      <c r="M475" s="5" t="inlineStr"/>
      <c r="N475" s="5" t="inlineStr"/>
      <c r="O475" s="5" t="inlineStr"/>
      <c r="P475" s="5" t="inlineStr"/>
      <c r="Q475" s="5" t="inlineStr"/>
      <c r="R475" s="5" t="inlineStr">
        <is>
          <t>2 English, DOI or PubMed link</t>
        </is>
      </c>
      <c r="S475" s="5" t="inlineStr"/>
      <c r="T475" s="5" t="inlineStr">
        <is>
          <t>WS0626.pdf</t>
        </is>
      </c>
      <c r="U475" s="8" t="n"/>
      <c r="V475" s="8" t="n"/>
      <c r="W475" s="8" t="n"/>
      <c r="X475" s="8" t="n"/>
      <c r="Y475" s="8" t="n"/>
      <c r="Z475" s="8" t="n"/>
      <c r="AA475" s="8" t="n"/>
      <c r="AB475" s="8" t="n"/>
      <c r="AC475" s="8" t="n"/>
      <c r="AD475" s="8" t="n"/>
      <c r="AE475" s="8" t="inlineStr">
        <is>
          <t>no</t>
        </is>
      </c>
    </row>
    <row r="476">
      <c r="A476" s="5" t="n">
        <v>475</v>
      </c>
      <c r="B476" s="5" t="inlineStr">
        <is>
          <t>WS0629</t>
        </is>
      </c>
      <c r="C476" s="5" t="inlineStr">
        <is>
          <t>2007</t>
        </is>
      </c>
      <c r="D476" s="5" t="inlineStr">
        <is>
          <t>English</t>
        </is>
      </c>
      <c r="E476" s="5" t="inlineStr">
        <is>
          <t>JOUR</t>
        </is>
      </c>
      <c r="F476" s="5" t="inlineStr">
        <is>
          <t>Liu</t>
        </is>
      </c>
      <c r="G476" s="5" t="inlineStr">
        <is>
          <t>AJR. American journal of roentgenology</t>
        </is>
      </c>
      <c r="H476" s="5" t="inlineStr">
        <is>
          <t>188(4):W328-30</t>
        </is>
      </c>
      <c r="I476" s="6" t="inlineStr">
        <is>
          <t>Wandering spleen: an unusual association with gastric volvulus.</t>
        </is>
      </c>
      <c r="J476" s="5" t="inlineStr">
        <is>
          <t>10.2214/ajr.05.0672</t>
        </is>
      </c>
      <c r="K476" s="7" t="inlineStr">
        <is>
          <t>link</t>
        </is>
      </c>
      <c r="L476" s="7" t="inlineStr">
        <is>
          <t>link</t>
        </is>
      </c>
      <c r="M476" s="5" t="inlineStr"/>
      <c r="N476" s="5" t="inlineStr"/>
      <c r="O476" s="5" t="inlineStr"/>
      <c r="P476" s="5" t="inlineStr"/>
      <c r="Q476" s="5" t="inlineStr"/>
      <c r="R476" s="5" t="inlineStr">
        <is>
          <t>2 English, DOI or PubMed link</t>
        </is>
      </c>
      <c r="S476" s="5" t="inlineStr"/>
      <c r="T476" s="5" t="inlineStr">
        <is>
          <t>WS0629.pdf</t>
        </is>
      </c>
      <c r="U476" s="8" t="n"/>
      <c r="V476" s="8" t="n"/>
      <c r="W476" s="8" t="n"/>
      <c r="X476" s="8" t="n"/>
      <c r="Y476" s="8" t="n"/>
      <c r="Z476" s="8" t="n"/>
      <c r="AA476" s="8" t="n"/>
      <c r="AB476" s="8" t="n"/>
      <c r="AC476" s="8" t="n"/>
      <c r="AD476" s="8" t="n"/>
      <c r="AE476" s="8" t="inlineStr">
        <is>
          <t>no</t>
        </is>
      </c>
    </row>
    <row r="477">
      <c r="A477" s="5" t="n">
        <v>476</v>
      </c>
      <c r="B477" s="5" t="inlineStr">
        <is>
          <t>WS0633</t>
        </is>
      </c>
      <c r="C477" s="5" t="inlineStr">
        <is>
          <t>2007</t>
        </is>
      </c>
      <c r="D477" s="5" t="inlineStr">
        <is>
          <t>English</t>
        </is>
      </c>
      <c r="E477" s="5" t="inlineStr">
        <is>
          <t>JOUR</t>
        </is>
      </c>
      <c r="F477" s="5" t="inlineStr">
        <is>
          <t>Pagoti</t>
        </is>
      </c>
      <c r="G477" s="5" t="inlineStr">
        <is>
          <t>International journal of gynaecology and obstetrics: the official organ of the International Federation of Gynaecology and Obstetrics</t>
        </is>
      </c>
      <c r="H477" s="5" t="inlineStr">
        <is>
          <t>96(1):51-2</t>
        </is>
      </c>
      <c r="I477" s="6" t="inlineStr">
        <is>
          <t>Ectopic spleen presenting as a pelvic mass.</t>
        </is>
      </c>
      <c r="J477" s="5" t="inlineStr">
        <is>
          <t>10.1016/j.ijgo.2006.09.036</t>
        </is>
      </c>
      <c r="K477" s="7" t="inlineStr">
        <is>
          <t>link</t>
        </is>
      </c>
      <c r="L477" s="7" t="inlineStr">
        <is>
          <t>link</t>
        </is>
      </c>
      <c r="M477" s="5" t="inlineStr"/>
      <c r="N477" s="5" t="inlineStr"/>
      <c r="O477" s="5" t="inlineStr"/>
      <c r="P477" s="5" t="inlineStr"/>
      <c r="Q477" s="5" t="inlineStr"/>
      <c r="R477" s="5" t="inlineStr">
        <is>
          <t>2 English, DOI or PubMed link</t>
        </is>
      </c>
      <c r="S477" s="5" t="inlineStr"/>
      <c r="T477" s="5" t="inlineStr">
        <is>
          <t>WS0633.pdf</t>
        </is>
      </c>
      <c r="U477" s="8" t="n"/>
      <c r="V477" s="8" t="n"/>
      <c r="W477" s="8" t="n"/>
      <c r="X477" s="8" t="n"/>
      <c r="Y477" s="8" t="n"/>
      <c r="Z477" s="8" t="n"/>
      <c r="AA477" s="8" t="n"/>
      <c r="AB477" s="8" t="n"/>
      <c r="AC477" s="8" t="n"/>
      <c r="AD477" s="8" t="n"/>
      <c r="AE477" s="8" t="inlineStr">
        <is>
          <t>no</t>
        </is>
      </c>
    </row>
    <row r="478">
      <c r="A478" s="5" t="n">
        <v>477</v>
      </c>
      <c r="B478" s="5" t="inlineStr">
        <is>
          <t>WS0650</t>
        </is>
      </c>
      <c r="C478" s="5" t="inlineStr">
        <is>
          <t>2006</t>
        </is>
      </c>
      <c r="D478" s="5" t="inlineStr">
        <is>
          <t>English</t>
        </is>
      </c>
      <c r="E478" s="5" t="inlineStr">
        <is>
          <t>JOUR</t>
        </is>
      </c>
      <c r="F478" s="5" t="inlineStr">
        <is>
          <t>Jaeger</t>
        </is>
      </c>
      <c r="G478" s="5" t="inlineStr">
        <is>
          <t>Journal of the American Veterinary Medical Association</t>
        </is>
      </c>
      <c r="H478" s="5" t="inlineStr">
        <is>
          <t>229(4):501-2</t>
        </is>
      </c>
      <c r="I478" s="6" t="inlineStr">
        <is>
          <t>What is your diagnosis? Splenic torsion.</t>
        </is>
      </c>
      <c r="J478" s="5" t="inlineStr">
        <is>
          <t>10.2460/javma.229.4.501</t>
        </is>
      </c>
      <c r="K478" s="7" t="inlineStr">
        <is>
          <t>link</t>
        </is>
      </c>
      <c r="L478" s="7" t="inlineStr">
        <is>
          <t>link</t>
        </is>
      </c>
      <c r="M478" s="5" t="inlineStr"/>
      <c r="N478" s="5" t="inlineStr"/>
      <c r="O478" s="5" t="inlineStr"/>
      <c r="P478" s="5" t="inlineStr"/>
      <c r="Q478" s="5" t="inlineStr"/>
      <c r="R478" s="5" t="inlineStr">
        <is>
          <t>2 English, DOI or PubMed link</t>
        </is>
      </c>
      <c r="S478" s="5" t="inlineStr"/>
      <c r="T478" s="5" t="inlineStr">
        <is>
          <t>WS0650.pdf</t>
        </is>
      </c>
      <c r="U478" s="8" t="n"/>
      <c r="V478" s="8" t="n"/>
      <c r="W478" s="8" t="n"/>
      <c r="X478" s="8" t="n"/>
      <c r="Y478" s="8" t="n"/>
      <c r="Z478" s="8" t="n"/>
      <c r="AA478" s="8" t="n"/>
      <c r="AB478" s="8" t="n"/>
      <c r="AC478" s="8" t="n"/>
      <c r="AD478" s="8" t="n"/>
      <c r="AE478" s="8" t="inlineStr">
        <is>
          <t>no</t>
        </is>
      </c>
    </row>
    <row r="479">
      <c r="A479" s="5" t="n">
        <v>478</v>
      </c>
      <c r="B479" s="5" t="inlineStr">
        <is>
          <t>WS0652</t>
        </is>
      </c>
      <c r="C479" s="5" t="inlineStr">
        <is>
          <t>2006</t>
        </is>
      </c>
      <c r="D479" s="5" t="inlineStr">
        <is>
          <t>English</t>
        </is>
      </c>
      <c r="E479" s="5" t="inlineStr">
        <is>
          <t>JOUR</t>
        </is>
      </c>
      <c r="F479" s="5" t="inlineStr">
        <is>
          <t>Mazariegos</t>
        </is>
      </c>
      <c r="G479" s="5" t="inlineStr">
        <is>
          <t>American Surgeon</t>
        </is>
      </c>
      <c r="H479" s="5" t="inlineStr">
        <is>
          <t>72(6):560-561</t>
        </is>
      </c>
      <c r="I479" s="6" t="inlineStr">
        <is>
          <t>Anguishing over a spleen</t>
        </is>
      </c>
      <c r="J479" s="5" t="inlineStr">
        <is>
          <t>10.1177/000313480607200622</t>
        </is>
      </c>
      <c r="K479" s="7" t="inlineStr">
        <is>
          <t>link</t>
        </is>
      </c>
      <c r="L479" s="7" t="inlineStr">
        <is>
          <t>link</t>
        </is>
      </c>
      <c r="M479" s="5" t="inlineStr"/>
      <c r="N479" s="5" t="inlineStr"/>
      <c r="O479" s="5" t="inlineStr"/>
      <c r="P479" s="5" t="inlineStr"/>
      <c r="Q479" s="7" t="inlineStr">
        <is>
          <t>link</t>
        </is>
      </c>
      <c r="R479" s="5" t="inlineStr">
        <is>
          <t>2 English, DOI or PubMed link</t>
        </is>
      </c>
      <c r="S479" s="5" t="inlineStr"/>
      <c r="T479" s="5" t="inlineStr">
        <is>
          <t>WS0652.pdf</t>
        </is>
      </c>
      <c r="U479" s="8" t="n"/>
      <c r="V479" s="8" t="n"/>
      <c r="W479" s="8" t="n"/>
      <c r="X479" s="8" t="n"/>
      <c r="Y479" s="8" t="n"/>
      <c r="Z479" s="8" t="n"/>
      <c r="AA479" s="8" t="n"/>
      <c r="AB479" s="8" t="n"/>
      <c r="AC479" s="8" t="n"/>
      <c r="AD479" s="8" t="n"/>
      <c r="AE479" s="8" t="inlineStr">
        <is>
          <t>no</t>
        </is>
      </c>
    </row>
    <row r="480">
      <c r="A480" s="5" t="n">
        <v>479</v>
      </c>
      <c r="B480" s="5" t="inlineStr">
        <is>
          <t>WS0667</t>
        </is>
      </c>
      <c r="C480" s="5" t="inlineStr">
        <is>
          <t>2005</t>
        </is>
      </c>
      <c r="D480" s="5" t="inlineStr">
        <is>
          <t>English</t>
        </is>
      </c>
      <c r="E480" s="5" t="inlineStr">
        <is>
          <t>JOUR</t>
        </is>
      </c>
      <c r="F480" s="5" t="inlineStr">
        <is>
          <t>Sharon</t>
        </is>
      </c>
      <c r="G480" s="5" t="inlineStr">
        <is>
          <t>The Israel Medical Association journal : IMAJ</t>
        </is>
      </c>
      <c r="H480" s="5" t="inlineStr">
        <is>
          <t>7(11):744-5</t>
        </is>
      </c>
      <c r="I480" s="6" t="inlineStr">
        <is>
          <t>Weird activity and the wandering spleen.</t>
        </is>
      </c>
      <c r="J480" s="5" t="inlineStr"/>
      <c r="K480" s="5" t="inlineStr"/>
      <c r="L480" s="7" t="inlineStr">
        <is>
          <t>link</t>
        </is>
      </c>
      <c r="M480" s="5" t="inlineStr"/>
      <c r="N480" s="5" t="inlineStr"/>
      <c r="O480" s="5" t="inlineStr"/>
      <c r="P480" s="5" t="inlineStr"/>
      <c r="Q480" s="5" t="inlineStr"/>
      <c r="R480" s="5" t="inlineStr">
        <is>
          <t>2 English, DOI or PubMed link</t>
        </is>
      </c>
      <c r="S480" s="5" t="inlineStr"/>
      <c r="T480" s="5" t="inlineStr">
        <is>
          <t>WS0667.pdf</t>
        </is>
      </c>
      <c r="U480" s="8" t="n"/>
      <c r="V480" s="8" t="n"/>
      <c r="W480" s="8" t="n"/>
      <c r="X480" s="8" t="n"/>
      <c r="Y480" s="8" t="n"/>
      <c r="Z480" s="8" t="n"/>
      <c r="AA480" s="8" t="n"/>
      <c r="AB480" s="8" t="n"/>
      <c r="AC480" s="8" t="n"/>
      <c r="AD480" s="8" t="n"/>
      <c r="AE480" s="8" t="inlineStr">
        <is>
          <t>no</t>
        </is>
      </c>
    </row>
    <row r="481">
      <c r="A481" s="5" t="n">
        <v>480</v>
      </c>
      <c r="B481" s="5" t="inlineStr">
        <is>
          <t>WS0687</t>
        </is>
      </c>
      <c r="C481" s="5" t="inlineStr">
        <is>
          <t>2005</t>
        </is>
      </c>
      <c r="D481" s="5" t="inlineStr">
        <is>
          <t>English</t>
        </is>
      </c>
      <c r="E481" s="5" t="inlineStr">
        <is>
          <t>JOUR</t>
        </is>
      </c>
      <c r="F481" s="5" t="inlineStr">
        <is>
          <t>Saxena</t>
        </is>
      </c>
      <c r="G481" s="5" t="inlineStr">
        <is>
          <t>Surgery</t>
        </is>
      </c>
      <c r="H481" s="5" t="inlineStr">
        <is>
          <t>137(2):265</t>
        </is>
      </c>
      <c r="I481" s="6" t="inlineStr">
        <is>
          <t>Torsion of a wandering spleen with stomach volvulus and nonrotation: extraperitoneal pocket splenopexy.</t>
        </is>
      </c>
      <c r="J481" s="5" t="inlineStr">
        <is>
          <t>10.1016/j.surg.2004.06.002</t>
        </is>
      </c>
      <c r="K481" s="7" t="inlineStr">
        <is>
          <t>link</t>
        </is>
      </c>
      <c r="L481" s="7" t="inlineStr">
        <is>
          <t>link</t>
        </is>
      </c>
      <c r="M481" s="5" t="inlineStr"/>
      <c r="N481" s="5" t="inlineStr"/>
      <c r="O481" s="5" t="inlineStr"/>
      <c r="P481" s="5" t="inlineStr"/>
      <c r="Q481" s="5" t="inlineStr"/>
      <c r="R481" s="5" t="inlineStr">
        <is>
          <t>2 English, DOI or PubMed link</t>
        </is>
      </c>
      <c r="S481" s="5" t="inlineStr"/>
      <c r="T481" s="5" t="inlineStr">
        <is>
          <t>WS0687.pdf</t>
        </is>
      </c>
      <c r="U481" s="8" t="n"/>
      <c r="V481" s="8" t="n"/>
      <c r="W481" s="8" t="n"/>
      <c r="X481" s="8" t="n"/>
      <c r="Y481" s="8" t="n"/>
      <c r="Z481" s="8" t="n"/>
      <c r="AA481" s="8" t="n"/>
      <c r="AB481" s="8" t="n"/>
      <c r="AC481" s="8" t="n"/>
      <c r="AD481" s="8" t="n"/>
      <c r="AE481" s="8" t="inlineStr">
        <is>
          <t>no</t>
        </is>
      </c>
    </row>
    <row r="482">
      <c r="A482" s="5" t="n">
        <v>481</v>
      </c>
      <c r="B482" s="5" t="inlineStr">
        <is>
          <t>WS0695</t>
        </is>
      </c>
      <c r="C482" s="5" t="inlineStr">
        <is>
          <t>2004</t>
        </is>
      </c>
      <c r="D482" s="5" t="inlineStr">
        <is>
          <t>English</t>
        </is>
      </c>
      <c r="E482" s="5" t="inlineStr">
        <is>
          <t>JOUR</t>
        </is>
      </c>
      <c r="F482" s="5" t="inlineStr">
        <is>
          <t>Tucker</t>
        </is>
      </c>
      <c r="G482" s="5" t="inlineStr">
        <is>
          <t>American journal of surgery</t>
        </is>
      </c>
      <c r="H482" s="5" t="inlineStr">
        <is>
          <t>188(1):96-7</t>
        </is>
      </c>
      <c r="I482" s="6" t="inlineStr">
        <is>
          <t>Recurrent torsion of a wandering spleen.</t>
        </is>
      </c>
      <c r="J482" s="5" t="inlineStr">
        <is>
          <t>10.1016/j.amjsurg.2003.11.042</t>
        </is>
      </c>
      <c r="K482" s="7" t="inlineStr">
        <is>
          <t>link</t>
        </is>
      </c>
      <c r="L482" s="7" t="inlineStr">
        <is>
          <t>link</t>
        </is>
      </c>
      <c r="M482" s="5" t="inlineStr"/>
      <c r="N482" s="5" t="inlineStr"/>
      <c r="O482" s="5" t="inlineStr"/>
      <c r="P482" s="5" t="inlineStr"/>
      <c r="Q482" s="5" t="inlineStr"/>
      <c r="R482" s="5" t="inlineStr">
        <is>
          <t>2 English, DOI or PubMed link</t>
        </is>
      </c>
      <c r="S482" s="5" t="inlineStr"/>
      <c r="T482" s="5" t="inlineStr">
        <is>
          <t>WS0695.pdf</t>
        </is>
      </c>
      <c r="U482" s="8" t="n"/>
      <c r="V482" s="8" t="n"/>
      <c r="W482" s="8" t="n"/>
      <c r="X482" s="8" t="n"/>
      <c r="Y482" s="8" t="n"/>
      <c r="Z482" s="8" t="n"/>
      <c r="AA482" s="8" t="n"/>
      <c r="AB482" s="8" t="n"/>
      <c r="AC482" s="8" t="n"/>
      <c r="AD482" s="8" t="n"/>
      <c r="AE482" s="8" t="inlineStr">
        <is>
          <t>no</t>
        </is>
      </c>
    </row>
    <row r="483">
      <c r="A483" s="5" t="n">
        <v>482</v>
      </c>
      <c r="B483" s="5" t="inlineStr">
        <is>
          <t>WS0700</t>
        </is>
      </c>
      <c r="C483" s="5" t="inlineStr">
        <is>
          <t>2004</t>
        </is>
      </c>
      <c r="D483" s="5" t="inlineStr">
        <is>
          <t>English</t>
        </is>
      </c>
      <c r="E483" s="5" t="inlineStr">
        <is>
          <t>JOUR</t>
        </is>
      </c>
      <c r="F483" s="5" t="inlineStr">
        <is>
          <t>Deux</t>
        </is>
      </c>
      <c r="G483" s="5" t="inlineStr">
        <is>
          <t>AJR. American journal of roentgenology</t>
        </is>
      </c>
      <c r="H483" s="5" t="inlineStr">
        <is>
          <t>182(6):1607-8</t>
        </is>
      </c>
      <c r="I483" s="6" t="inlineStr">
        <is>
          <t>Acute torsion of wandering spleen: MRI findings.</t>
        </is>
      </c>
      <c r="J483" s="5" t="inlineStr">
        <is>
          <t>10.2214/ajr.182.6.1821607</t>
        </is>
      </c>
      <c r="K483" s="7" t="inlineStr">
        <is>
          <t>link</t>
        </is>
      </c>
      <c r="L483" s="7" t="inlineStr">
        <is>
          <t>link</t>
        </is>
      </c>
      <c r="M483" s="5" t="inlineStr"/>
      <c r="N483" s="5" t="inlineStr"/>
      <c r="O483" s="5" t="inlineStr"/>
      <c r="P483" s="5" t="inlineStr"/>
      <c r="Q483" s="5" t="inlineStr"/>
      <c r="R483" s="5" t="inlineStr">
        <is>
          <t>2 English, DOI or PubMed link</t>
        </is>
      </c>
      <c r="S483" s="5" t="inlineStr"/>
      <c r="T483" s="5" t="inlineStr">
        <is>
          <t>WS0700.pdf</t>
        </is>
      </c>
      <c r="U483" s="8" t="n"/>
      <c r="V483" s="8" t="n"/>
      <c r="W483" s="8" t="n"/>
      <c r="X483" s="8" t="n"/>
      <c r="Y483" s="8" t="n"/>
      <c r="Z483" s="8" t="n"/>
      <c r="AA483" s="8" t="n"/>
      <c r="AB483" s="8" t="n"/>
      <c r="AC483" s="8" t="n"/>
      <c r="AD483" s="8" t="n"/>
      <c r="AE483" s="8" t="inlineStr">
        <is>
          <t>no</t>
        </is>
      </c>
    </row>
    <row r="484">
      <c r="A484" s="5" t="n">
        <v>483</v>
      </c>
      <c r="B484" s="5" t="inlineStr">
        <is>
          <t>WS0705</t>
        </is>
      </c>
      <c r="C484" s="5" t="inlineStr">
        <is>
          <t>2004</t>
        </is>
      </c>
      <c r="D484" s="5" t="inlineStr">
        <is>
          <t>English</t>
        </is>
      </c>
      <c r="E484" s="5" t="inlineStr">
        <is>
          <t>JOUR</t>
        </is>
      </c>
      <c r="F484" s="5" t="inlineStr">
        <is>
          <t>Fearne</t>
        </is>
      </c>
      <c r="G484" s="5" t="inlineStr">
        <is>
          <t>Journal of pediatric surgery</t>
        </is>
      </c>
      <c r="H484" s="5" t="inlineStr">
        <is>
          <t>39(2):251; author reply 251</t>
        </is>
      </c>
      <c r="I484" s="6" t="inlineStr">
        <is>
          <t>Avulsion of wandering spleen after traumatic torsion.</t>
        </is>
      </c>
      <c r="J484" s="5" t="inlineStr">
        <is>
          <t>10.1016/j.jpedsurg.2003.10.033</t>
        </is>
      </c>
      <c r="K484" s="7" t="inlineStr">
        <is>
          <t>link</t>
        </is>
      </c>
      <c r="L484" s="7" t="inlineStr">
        <is>
          <t>link</t>
        </is>
      </c>
      <c r="M484" s="5" t="inlineStr"/>
      <c r="N484" s="5" t="inlineStr"/>
      <c r="O484" s="5" t="inlineStr"/>
      <c r="P484" s="5" t="inlineStr"/>
      <c r="Q484" s="5" t="inlineStr"/>
      <c r="R484" s="5" t="inlineStr">
        <is>
          <t>2 English, DOI or PubMed link</t>
        </is>
      </c>
      <c r="S484" s="5" t="inlineStr"/>
      <c r="T484" s="5" t="inlineStr">
        <is>
          <t>WS0705.pdf</t>
        </is>
      </c>
      <c r="U484" s="8" t="n"/>
      <c r="V484" s="8" t="n"/>
      <c r="W484" s="8" t="n"/>
      <c r="X484" s="8" t="n"/>
      <c r="Y484" s="8" t="n"/>
      <c r="Z484" s="8" t="n"/>
      <c r="AA484" s="8" t="n"/>
      <c r="AB484" s="8" t="n"/>
      <c r="AC484" s="8" t="n"/>
      <c r="AD484" s="8" t="n"/>
      <c r="AE484" s="8" t="inlineStr">
        <is>
          <t>no</t>
        </is>
      </c>
    </row>
    <row r="485">
      <c r="A485" s="5" t="n">
        <v>484</v>
      </c>
      <c r="B485" s="5" t="inlineStr">
        <is>
          <t>WS0707</t>
        </is>
      </c>
      <c r="C485" s="5" t="inlineStr">
        <is>
          <t>2004</t>
        </is>
      </c>
      <c r="D485" s="5" t="inlineStr">
        <is>
          <t>English</t>
        </is>
      </c>
      <c r="E485" s="5" t="inlineStr">
        <is>
          <t>JOUR</t>
        </is>
      </c>
      <c r="F485" s="5" t="inlineStr">
        <is>
          <t>Ajello</t>
        </is>
      </c>
      <c r="G485" s="5" t="inlineStr">
        <is>
          <t>European journal of pediatrics</t>
        </is>
      </c>
      <c r="H485" s="5" t="inlineStr">
        <is>
          <t>163(4-5):277-8</t>
        </is>
      </c>
      <c r="I485" s="6" t="inlineStr">
        <is>
          <t>The wandering spleen: something to bear in mind in the presence of a mobile abdominal mass.</t>
        </is>
      </c>
      <c r="J485" s="5" t="inlineStr">
        <is>
          <t>10.1007/s00431-003-1322-8</t>
        </is>
      </c>
      <c r="K485" s="7" t="inlineStr">
        <is>
          <t>link</t>
        </is>
      </c>
      <c r="L485" s="7" t="inlineStr">
        <is>
          <t>link</t>
        </is>
      </c>
      <c r="M485" s="5" t="inlineStr"/>
      <c r="N485" s="5" t="inlineStr"/>
      <c r="O485" s="5" t="inlineStr"/>
      <c r="P485" s="5" t="inlineStr"/>
      <c r="Q485" s="5" t="inlineStr"/>
      <c r="R485" s="5" t="inlineStr">
        <is>
          <t>2 English, DOI or PubMed link</t>
        </is>
      </c>
      <c r="S485" s="5" t="inlineStr"/>
      <c r="T485" s="5" t="inlineStr">
        <is>
          <t>WS0707.pdf</t>
        </is>
      </c>
      <c r="U485" s="8" t="n"/>
      <c r="V485" s="8" t="n"/>
      <c r="W485" s="8" t="n"/>
      <c r="X485" s="8" t="n"/>
      <c r="Y485" s="8" t="n"/>
      <c r="Z485" s="8" t="n"/>
      <c r="AA485" s="8" t="n"/>
      <c r="AB485" s="8" t="n"/>
      <c r="AC485" s="8" t="n"/>
      <c r="AD485" s="8" t="n"/>
      <c r="AE485" s="8" t="inlineStr">
        <is>
          <t>no</t>
        </is>
      </c>
    </row>
    <row r="486">
      <c r="A486" s="5" t="n">
        <v>485</v>
      </c>
      <c r="B486" s="5" t="inlineStr">
        <is>
          <t>WS0708</t>
        </is>
      </c>
      <c r="C486" s="5" t="inlineStr">
        <is>
          <t>2004</t>
        </is>
      </c>
      <c r="D486" s="5" t="inlineStr">
        <is>
          <t>English</t>
        </is>
      </c>
      <c r="E486" s="5" t="inlineStr">
        <is>
          <t>JOUR</t>
        </is>
      </c>
      <c r="F486" s="5" t="inlineStr">
        <is>
          <t>Lu</t>
        </is>
      </c>
      <c r="G486" s="5" t="inlineStr">
        <is>
          <t>The Journal of trauma</t>
        </is>
      </c>
      <c r="H486" s="5" t="inlineStr">
        <is>
          <t>56(2):431-2</t>
        </is>
      </c>
      <c r="I486" s="6" t="inlineStr">
        <is>
          <t>Wandering spleen presenting as gastric outlet obstruction after repair of traumatic diaphragmatic hernia.</t>
        </is>
      </c>
      <c r="J486" s="5" t="inlineStr">
        <is>
          <t>10.1097/01.ta.0000033501.57290.ad</t>
        </is>
      </c>
      <c r="K486" s="7" t="inlineStr">
        <is>
          <t>link</t>
        </is>
      </c>
      <c r="L486" s="7" t="inlineStr">
        <is>
          <t>link</t>
        </is>
      </c>
      <c r="M486" s="5" t="inlineStr"/>
      <c r="N486" s="5" t="inlineStr"/>
      <c r="O486" s="5" t="inlineStr"/>
      <c r="P486" s="5" t="inlineStr"/>
      <c r="Q486" s="5" t="inlineStr"/>
      <c r="R486" s="5" t="inlineStr">
        <is>
          <t>2 English, DOI or PubMed link</t>
        </is>
      </c>
      <c r="S486" s="5" t="inlineStr"/>
      <c r="T486" s="5" t="inlineStr">
        <is>
          <t>WS0708.pdf</t>
        </is>
      </c>
      <c r="U486" s="8" t="n"/>
      <c r="V486" s="8" t="n"/>
      <c r="W486" s="8" t="n"/>
      <c r="X486" s="8" t="n"/>
      <c r="Y486" s="8" t="n"/>
      <c r="Z486" s="8" t="n"/>
      <c r="AA486" s="8" t="n"/>
      <c r="AB486" s="8" t="n"/>
      <c r="AC486" s="8" t="n"/>
      <c r="AD486" s="8" t="n"/>
      <c r="AE486" s="8" t="inlineStr">
        <is>
          <t>no</t>
        </is>
      </c>
    </row>
    <row r="487">
      <c r="A487" s="5" t="n">
        <v>486</v>
      </c>
      <c r="B487" s="5" t="inlineStr">
        <is>
          <t>WS0689</t>
        </is>
      </c>
      <c r="C487" s="5" t="inlineStr">
        <is>
          <t>2003</t>
        </is>
      </c>
      <c r="D487" s="5" t="inlineStr">
        <is>
          <t>English</t>
        </is>
      </c>
      <c r="E487" s="5" t="inlineStr">
        <is>
          <t>JOUR</t>
        </is>
      </c>
      <c r="F487" s="5" t="inlineStr">
        <is>
          <t>Mackintosh</t>
        </is>
      </c>
      <c r="G487" s="5" t="inlineStr">
        <is>
          <t>The surgeon : journal of the Royal Colleges of Surgeons of Edinburgh and Ireland</t>
        </is>
      </c>
      <c r="H487" s="5" t="inlineStr">
        <is>
          <t>1(2):123</t>
        </is>
      </c>
      <c r="I487" s="6" t="inlineStr">
        <is>
          <t>Re: "Wandering spleen: case report and literature review" Satyadas et al. J R Coll Edinb 2002; 47: 512-514.</t>
        </is>
      </c>
      <c r="J487" s="5" t="inlineStr">
        <is>
          <t>10.1016/s1479-666x(03)80140-3</t>
        </is>
      </c>
      <c r="K487" s="7" t="inlineStr">
        <is>
          <t>link</t>
        </is>
      </c>
      <c r="L487" s="7" t="inlineStr">
        <is>
          <t>link</t>
        </is>
      </c>
      <c r="M487" s="5" t="inlineStr"/>
      <c r="N487" s="5" t="inlineStr"/>
      <c r="O487" s="5" t="inlineStr"/>
      <c r="P487" s="5" t="inlineStr"/>
      <c r="Q487" s="7" t="inlineStr">
        <is>
          <t>link</t>
        </is>
      </c>
      <c r="R487" s="5" t="inlineStr">
        <is>
          <t>2 English, DOI or PubMed link</t>
        </is>
      </c>
      <c r="S487" s="5" t="inlineStr"/>
      <c r="T487" s="5" t="inlineStr">
        <is>
          <t>WS0689.pdf</t>
        </is>
      </c>
      <c r="U487" s="8" t="n"/>
      <c r="V487" s="8" t="n"/>
      <c r="W487" s="8" t="n"/>
      <c r="X487" s="8" t="n"/>
      <c r="Y487" s="8" t="n"/>
      <c r="Z487" s="8" t="n"/>
      <c r="AA487" s="8" t="n"/>
      <c r="AB487" s="8" t="n"/>
      <c r="AC487" s="8" t="n"/>
      <c r="AD487" s="8" t="n"/>
      <c r="AE487" s="8" t="inlineStr">
        <is>
          <t>no</t>
        </is>
      </c>
    </row>
    <row r="488">
      <c r="A488" s="5" t="n">
        <v>487</v>
      </c>
      <c r="B488" s="5" t="inlineStr">
        <is>
          <t>WS0690</t>
        </is>
      </c>
      <c r="C488" s="5" t="inlineStr">
        <is>
          <t>2003</t>
        </is>
      </c>
      <c r="D488" s="5" t="inlineStr">
        <is>
          <t>English</t>
        </is>
      </c>
      <c r="E488" s="5" t="inlineStr">
        <is>
          <t>JOUR</t>
        </is>
      </c>
      <c r="F488" s="5" t="inlineStr">
        <is>
          <t>Lane</t>
        </is>
      </c>
      <c r="G488" s="5" t="inlineStr">
        <is>
          <t>Surgeon</t>
        </is>
      </c>
      <c r="H488" s="5" t="inlineStr">
        <is>
          <t>1(2):123</t>
        </is>
      </c>
      <c r="I488" s="6" t="inlineStr">
        <is>
          <t>Re: "Wandering spleen: Case report and literature review" Satyadas et al. J R Coll Edinb 2002; 47: 512-514 [3]</t>
        </is>
      </c>
      <c r="J488" s="5" t="inlineStr">
        <is>
          <t>10.1016/s1479-666x(03)80139-7</t>
        </is>
      </c>
      <c r="K488" s="7" t="inlineStr">
        <is>
          <t>link</t>
        </is>
      </c>
      <c r="L488" s="7" t="inlineStr">
        <is>
          <t>link</t>
        </is>
      </c>
      <c r="M488" s="5" t="inlineStr"/>
      <c r="N488" s="5" t="inlineStr"/>
      <c r="O488" s="5" t="inlineStr"/>
      <c r="P488" s="5" t="inlineStr"/>
      <c r="Q488" s="7" t="inlineStr">
        <is>
          <t>link</t>
        </is>
      </c>
      <c r="R488" s="5" t="inlineStr">
        <is>
          <t>2 English, DOI or PubMed link</t>
        </is>
      </c>
      <c r="S488" s="5" t="inlineStr"/>
      <c r="T488" s="5" t="inlineStr">
        <is>
          <t>WS0690.pdf</t>
        </is>
      </c>
      <c r="U488" s="8" t="n"/>
      <c r="V488" s="8" t="n"/>
      <c r="W488" s="8" t="n"/>
      <c r="X488" s="8" t="n"/>
      <c r="Y488" s="8" t="n"/>
      <c r="Z488" s="8" t="n"/>
      <c r="AA488" s="8" t="n"/>
      <c r="AB488" s="8" t="n"/>
      <c r="AC488" s="8" t="n"/>
      <c r="AD488" s="8" t="n"/>
      <c r="AE488" s="8" t="inlineStr">
        <is>
          <t>no</t>
        </is>
      </c>
    </row>
    <row r="489">
      <c r="A489" s="5" t="n">
        <v>488</v>
      </c>
      <c r="B489" s="5" t="inlineStr">
        <is>
          <t>WS0712</t>
        </is>
      </c>
      <c r="C489" s="5" t="inlineStr">
        <is>
          <t>2003</t>
        </is>
      </c>
      <c r="D489" s="5" t="inlineStr">
        <is>
          <t>English</t>
        </is>
      </c>
      <c r="E489" s="5" t="inlineStr">
        <is>
          <t>JOUR</t>
        </is>
      </c>
      <c r="F489" s="5" t="inlineStr">
        <is>
          <t>Abba</t>
        </is>
      </c>
      <c r="G489" s="5" t="inlineStr">
        <is>
          <t>Saudi medical journal</t>
        </is>
      </c>
      <c r="H489" s="5" t="inlineStr">
        <is>
          <t>24(12):1404-5</t>
        </is>
      </c>
      <c r="I489" s="6" t="inlineStr">
        <is>
          <t>Wandering spleen.</t>
        </is>
      </c>
      <c r="J489" s="5" t="inlineStr"/>
      <c r="K489" s="5" t="inlineStr"/>
      <c r="L489" s="7" t="inlineStr">
        <is>
          <t>link</t>
        </is>
      </c>
      <c r="M489" s="5" t="inlineStr"/>
      <c r="N489" s="5" t="inlineStr"/>
      <c r="O489" s="5" t="inlineStr"/>
      <c r="P489" s="5" t="inlineStr"/>
      <c r="Q489" s="5" t="inlineStr"/>
      <c r="R489" s="5" t="inlineStr">
        <is>
          <t>2 English, DOI or PubMed link</t>
        </is>
      </c>
      <c r="S489" s="5" t="inlineStr"/>
      <c r="T489" s="5" t="inlineStr">
        <is>
          <t>WS0712.pdf</t>
        </is>
      </c>
      <c r="U489" s="8" t="n"/>
      <c r="V489" s="8" t="n"/>
      <c r="W489" s="8" t="n"/>
      <c r="X489" s="8" t="n"/>
      <c r="Y489" s="8" t="n"/>
      <c r="Z489" s="8" t="n"/>
      <c r="AA489" s="8" t="n"/>
      <c r="AB489" s="8" t="n"/>
      <c r="AC489" s="8" t="n"/>
      <c r="AD489" s="8" t="n"/>
      <c r="AE489" s="8" t="inlineStr">
        <is>
          <t>no</t>
        </is>
      </c>
    </row>
    <row r="490">
      <c r="A490" s="5" t="n">
        <v>489</v>
      </c>
      <c r="B490" s="5" t="inlineStr">
        <is>
          <t>WS0717</t>
        </is>
      </c>
      <c r="C490" s="5" t="inlineStr">
        <is>
          <t>2003</t>
        </is>
      </c>
      <c r="D490" s="5" t="inlineStr">
        <is>
          <t>English</t>
        </is>
      </c>
      <c r="E490" s="5" t="inlineStr">
        <is>
          <t>JOUR</t>
        </is>
      </c>
      <c r="F490" s="5" t="inlineStr">
        <is>
          <t>Beutler</t>
        </is>
      </c>
      <c r="G490" s="5" t="inlineStr">
        <is>
          <t>Journal of the American College of Surgeons</t>
        </is>
      </c>
      <c r="H490" s="5" t="inlineStr">
        <is>
          <t>197(6):1047</t>
        </is>
      </c>
      <c r="I490" s="6" t="inlineStr">
        <is>
          <t>Splenic volvulus.</t>
        </is>
      </c>
      <c r="J490" s="5" t="inlineStr">
        <is>
          <t>10.1016/j.jamcollsurg.2003.05.002</t>
        </is>
      </c>
      <c r="K490" s="7" t="inlineStr">
        <is>
          <t>link</t>
        </is>
      </c>
      <c r="L490" s="7" t="inlineStr">
        <is>
          <t>link</t>
        </is>
      </c>
      <c r="M490" s="5" t="inlineStr"/>
      <c r="N490" s="5" t="inlineStr"/>
      <c r="O490" s="5" t="inlineStr"/>
      <c r="P490" s="5" t="inlineStr"/>
      <c r="Q490" s="5" t="inlineStr"/>
      <c r="R490" s="5" t="inlineStr">
        <is>
          <t>2 English, DOI or PubMed link</t>
        </is>
      </c>
      <c r="S490" s="5" t="inlineStr"/>
      <c r="T490" s="5" t="inlineStr">
        <is>
          <t>WS0717.pdf</t>
        </is>
      </c>
      <c r="U490" s="8" t="n"/>
      <c r="V490" s="8" t="n"/>
      <c r="W490" s="8" t="n"/>
      <c r="X490" s="8" t="n"/>
      <c r="Y490" s="8" t="n"/>
      <c r="Z490" s="8" t="n"/>
      <c r="AA490" s="8" t="n"/>
      <c r="AB490" s="8" t="n"/>
      <c r="AC490" s="8" t="n"/>
      <c r="AD490" s="8" t="n"/>
      <c r="AE490" s="8" t="inlineStr">
        <is>
          <t>no</t>
        </is>
      </c>
    </row>
    <row r="491">
      <c r="A491" s="5" t="n">
        <v>490</v>
      </c>
      <c r="B491" s="5" t="inlineStr">
        <is>
          <t>WS0721</t>
        </is>
      </c>
      <c r="C491" s="5" t="inlineStr">
        <is>
          <t>2003</t>
        </is>
      </c>
      <c r="D491" s="5" t="inlineStr">
        <is>
          <t>English</t>
        </is>
      </c>
      <c r="E491" s="5" t="inlineStr">
        <is>
          <t>JOUR</t>
        </is>
      </c>
      <c r="F491" s="5" t="inlineStr">
        <is>
          <t>Dutta</t>
        </is>
      </c>
      <c r="G491" s="5" t="inlineStr">
        <is>
          <t>Indian journal of gastroenterology : official journal of the Indian Society of Gastroenterology</t>
        </is>
      </c>
      <c r="H491" s="5" t="inlineStr">
        <is>
          <t>22(4):156-7</t>
        </is>
      </c>
      <c r="I491" s="6" t="inlineStr">
        <is>
          <t>Wandering spleen.</t>
        </is>
      </c>
      <c r="J491" s="5" t="inlineStr"/>
      <c r="K491" s="5" t="inlineStr"/>
      <c r="L491" s="7" t="inlineStr">
        <is>
          <t>link</t>
        </is>
      </c>
      <c r="M491" s="5" t="inlineStr"/>
      <c r="N491" s="5" t="inlineStr"/>
      <c r="O491" s="5" t="inlineStr"/>
      <c r="P491" s="5" t="inlineStr"/>
      <c r="Q491" s="5" t="inlineStr"/>
      <c r="R491" s="5" t="inlineStr">
        <is>
          <t>2 English, DOI or PubMed link</t>
        </is>
      </c>
      <c r="S491" s="5" t="inlineStr"/>
      <c r="T491" s="5" t="inlineStr">
        <is>
          <t>WS0721.pdf</t>
        </is>
      </c>
      <c r="U491" s="8" t="n"/>
      <c r="V491" s="8" t="n"/>
      <c r="W491" s="8" t="n"/>
      <c r="X491" s="8" t="n"/>
      <c r="Y491" s="8" t="n"/>
      <c r="Z491" s="8" t="n"/>
      <c r="AA491" s="8" t="n"/>
      <c r="AB491" s="8" t="n"/>
      <c r="AC491" s="8" t="n"/>
      <c r="AD491" s="8" t="n"/>
      <c r="AE491" s="8" t="inlineStr">
        <is>
          <t>no</t>
        </is>
      </c>
    </row>
    <row r="492">
      <c r="A492" s="5" t="n">
        <v>491</v>
      </c>
      <c r="B492" s="5" t="inlineStr">
        <is>
          <t>WS0732</t>
        </is>
      </c>
      <c r="C492" s="5" t="inlineStr">
        <is>
          <t>2003</t>
        </is>
      </c>
      <c r="D492" s="5" t="inlineStr">
        <is>
          <t>English</t>
        </is>
      </c>
      <c r="E492" s="5" t="inlineStr">
        <is>
          <t>JOUR</t>
        </is>
      </c>
      <c r="F492" s="5" t="inlineStr">
        <is>
          <t>Chawla</t>
        </is>
      </c>
      <c r="G492" s="5" t="inlineStr">
        <is>
          <t>Radiographics : a review publication of the Radiological Society of North America, Inc</t>
        </is>
      </c>
      <c r="H492" s="5" t="inlineStr">
        <is>
          <t>23(2):305-8</t>
        </is>
      </c>
      <c r="I492" s="6" t="inlineStr">
        <is>
          <t>Splenic torsion.</t>
        </is>
      </c>
      <c r="J492" s="5" t="inlineStr">
        <is>
          <t>10.1148/rg.232025110</t>
        </is>
      </c>
      <c r="K492" s="7" t="inlineStr">
        <is>
          <t>link</t>
        </is>
      </c>
      <c r="L492" s="7" t="inlineStr">
        <is>
          <t>link</t>
        </is>
      </c>
      <c r="M492" s="5" t="inlineStr"/>
      <c r="N492" s="5" t="inlineStr"/>
      <c r="O492" s="5" t="inlineStr"/>
      <c r="P492" s="5" t="inlineStr"/>
      <c r="Q492" s="5" t="inlineStr"/>
      <c r="R492" s="5" t="inlineStr">
        <is>
          <t>2 English, DOI or PubMed link</t>
        </is>
      </c>
      <c r="S492" s="5" t="inlineStr"/>
      <c r="T492" s="5" t="inlineStr">
        <is>
          <t>WS0732.pdf</t>
        </is>
      </c>
      <c r="U492" s="8" t="n"/>
      <c r="V492" s="8" t="n"/>
      <c r="W492" s="8" t="n"/>
      <c r="X492" s="8" t="n"/>
      <c r="Y492" s="8" t="n"/>
      <c r="Z492" s="8" t="n"/>
      <c r="AA492" s="8" t="n"/>
      <c r="AB492" s="8" t="n"/>
      <c r="AC492" s="8" t="n"/>
      <c r="AD492" s="8" t="n"/>
      <c r="AE492" s="8" t="inlineStr">
        <is>
          <t>no</t>
        </is>
      </c>
    </row>
    <row r="493">
      <c r="A493" s="5" t="n">
        <v>492</v>
      </c>
      <c r="B493" s="5" t="inlineStr">
        <is>
          <t>WS0734</t>
        </is>
      </c>
      <c r="C493" s="5" t="inlineStr">
        <is>
          <t>2003</t>
        </is>
      </c>
      <c r="D493" s="5" t="inlineStr">
        <is>
          <t>English</t>
        </is>
      </c>
      <c r="E493" s="5" t="inlineStr">
        <is>
          <t>JOUR</t>
        </is>
      </c>
      <c r="F493" s="5" t="inlineStr">
        <is>
          <t>Chang</t>
        </is>
      </c>
      <c r="G493" s="5" t="inlineStr">
        <is>
          <t>Acta radiologica (Stockholm, Sweden : 1987)</t>
        </is>
      </c>
      <c r="H493" s="5" t="inlineStr">
        <is>
          <t>44(1):107</t>
        </is>
      </c>
      <c r="I493" s="6" t="inlineStr">
        <is>
          <t>Multidetector-row CT appearance of acute torsion of wandering spleen in a child.</t>
        </is>
      </c>
      <c r="J493" s="5" t="inlineStr">
        <is>
          <t>10.1034/j.1600-0455.2003.00001.x</t>
        </is>
      </c>
      <c r="K493" s="7" t="inlineStr">
        <is>
          <t>link</t>
        </is>
      </c>
      <c r="L493" s="7" t="inlineStr">
        <is>
          <t>link</t>
        </is>
      </c>
      <c r="M493" s="5" t="inlineStr"/>
      <c r="N493" s="5" t="inlineStr"/>
      <c r="O493" s="5" t="inlineStr"/>
      <c r="P493" s="5" t="inlineStr"/>
      <c r="Q493" s="5" t="inlineStr"/>
      <c r="R493" s="5" t="inlineStr">
        <is>
          <t>2 English, DOI or PubMed link</t>
        </is>
      </c>
      <c r="S493" s="5" t="inlineStr"/>
      <c r="T493" s="5" t="inlineStr">
        <is>
          <t>WS0734.pdf</t>
        </is>
      </c>
      <c r="U493" s="8" t="n"/>
      <c r="V493" s="8" t="n"/>
      <c r="W493" s="8" t="n"/>
      <c r="X493" s="8" t="n"/>
      <c r="Y493" s="8" t="n"/>
      <c r="Z493" s="8" t="n"/>
      <c r="AA493" s="8" t="n"/>
      <c r="AB493" s="8" t="n"/>
      <c r="AC493" s="8" t="n"/>
      <c r="AD493" s="8" t="n"/>
      <c r="AE493" s="8" t="inlineStr">
        <is>
          <t>no</t>
        </is>
      </c>
    </row>
    <row r="494">
      <c r="A494" s="5" t="n">
        <v>493</v>
      </c>
      <c r="B494" s="5" t="inlineStr">
        <is>
          <t>WS1296</t>
        </is>
      </c>
      <c r="C494" s="5" t="inlineStr">
        <is>
          <t>2003</t>
        </is>
      </c>
      <c r="D494" s="5" t="inlineStr">
        <is>
          <t>English</t>
        </is>
      </c>
      <c r="E494" s="5" t="inlineStr">
        <is>
          <t>JOUR</t>
        </is>
      </c>
      <c r="F494" s="5" t="inlineStr">
        <is>
          <t>Bischoff</t>
        </is>
      </c>
      <c r="G494" s="5" t="inlineStr">
        <is>
          <t>CLINICAL TECHNIQUES IN SMALL ANIMAL PRACTICE</t>
        </is>
      </c>
      <c r="H494" s="5" t="inlineStr">
        <is>
          <t>18(1):7-19</t>
        </is>
      </c>
      <c r="I494" s="6" t="inlineStr">
        <is>
          <t>Radiographic techniques and interpretation of the acute abdomen</t>
        </is>
      </c>
      <c r="J494" s="5" t="inlineStr">
        <is>
          <t>10.1016/1096-2867(03)90021-1</t>
        </is>
      </c>
      <c r="K494" s="7" t="inlineStr">
        <is>
          <t>link</t>
        </is>
      </c>
      <c r="L494" s="5" t="inlineStr"/>
      <c r="M494" s="5" t="inlineStr"/>
      <c r="N494" s="5" t="inlineStr"/>
      <c r="O494" s="5" t="inlineStr"/>
      <c r="P494" s="5" t="inlineStr"/>
      <c r="Q494" s="5" t="inlineStr"/>
      <c r="R494" s="5" t="inlineStr">
        <is>
          <t>2 English, DOI or PubMed link</t>
        </is>
      </c>
      <c r="S494" s="5" t="inlineStr"/>
      <c r="T494" s="5" t="inlineStr">
        <is>
          <t>WS1296.pdf</t>
        </is>
      </c>
      <c r="U494" s="8" t="n"/>
      <c r="V494" s="8" t="n"/>
      <c r="W494" s="8" t="n"/>
      <c r="X494" s="8" t="n"/>
      <c r="Y494" s="8" t="n"/>
      <c r="Z494" s="8" t="n"/>
      <c r="AA494" s="8" t="n"/>
      <c r="AB494" s="8" t="n"/>
      <c r="AC494" s="8" t="n"/>
      <c r="AD494" s="8" t="n"/>
      <c r="AE494" s="8" t="inlineStr">
        <is>
          <t>no</t>
        </is>
      </c>
    </row>
    <row r="495">
      <c r="A495" s="5" t="n">
        <v>494</v>
      </c>
      <c r="B495" s="5" t="inlineStr">
        <is>
          <t>WS0637</t>
        </is>
      </c>
      <c r="C495" s="5" t="inlineStr">
        <is>
          <t>2002</t>
        </is>
      </c>
      <c r="D495" s="5" t="inlineStr">
        <is>
          <t>English</t>
        </is>
      </c>
      <c r="E495" s="5" t="inlineStr">
        <is>
          <t>JOUR</t>
        </is>
      </c>
      <c r="F495" s="5" t="inlineStr">
        <is>
          <t>Qandali</t>
        </is>
      </c>
      <c r="G495" s="5" t="inlineStr">
        <is>
          <t>Annals of Saudi medicine</t>
        </is>
      </c>
      <c r="H495" s="5" t="inlineStr">
        <is>
          <t>22(5-6):412-3</t>
        </is>
      </c>
      <c r="I495" s="6" t="inlineStr">
        <is>
          <t>Torsion of wandering spleen: case report and literature review.</t>
        </is>
      </c>
      <c r="J495" s="5" t="inlineStr">
        <is>
          <t>10.5144/0256-4947.2002.412</t>
        </is>
      </c>
      <c r="K495" s="7" t="inlineStr">
        <is>
          <t>link</t>
        </is>
      </c>
      <c r="L495" s="7" t="inlineStr">
        <is>
          <t>link</t>
        </is>
      </c>
      <c r="M495" s="5" t="inlineStr"/>
      <c r="N495" s="5" t="inlineStr"/>
      <c r="O495" s="5" t="inlineStr"/>
      <c r="P495" s="5" t="inlineStr"/>
      <c r="Q495" s="5" t="inlineStr"/>
      <c r="R495" s="5" t="inlineStr">
        <is>
          <t>2 English, DOI or PubMed link</t>
        </is>
      </c>
      <c r="S495" s="5" t="inlineStr"/>
      <c r="T495" s="5" t="inlineStr">
        <is>
          <t>WS0637.pdf</t>
        </is>
      </c>
      <c r="U495" s="8" t="n"/>
      <c r="V495" s="8" t="n"/>
      <c r="W495" s="8" t="n"/>
      <c r="X495" s="8" t="n"/>
      <c r="Y495" s="8" t="n"/>
      <c r="Z495" s="8" t="n"/>
      <c r="AA495" s="8" t="n"/>
      <c r="AB495" s="8" t="n"/>
      <c r="AC495" s="8" t="n"/>
      <c r="AD495" s="8" t="n"/>
      <c r="AE495" s="8" t="inlineStr">
        <is>
          <t>no</t>
        </is>
      </c>
    </row>
    <row r="496">
      <c r="A496" s="5" t="n">
        <v>495</v>
      </c>
      <c r="B496" s="5" t="inlineStr">
        <is>
          <t>WS0740</t>
        </is>
      </c>
      <c r="C496" s="5" t="inlineStr">
        <is>
          <t>2002</t>
        </is>
      </c>
      <c r="D496" s="5" t="inlineStr">
        <is>
          <t>English</t>
        </is>
      </c>
      <c r="E496" s="5" t="inlineStr">
        <is>
          <t>JOUR</t>
        </is>
      </c>
      <c r="F496" s="5" t="inlineStr">
        <is>
          <t>King</t>
        </is>
      </c>
      <c r="G496" s="5" t="inlineStr">
        <is>
          <t>Journal of the American Veterinary Medical Association</t>
        </is>
      </c>
      <c r="H496" s="5" t="inlineStr">
        <is>
          <t>220(7):973-4</t>
        </is>
      </c>
      <c r="I496" s="6" t="inlineStr">
        <is>
          <t>What is your diagnosis? Splenic torsion.</t>
        </is>
      </c>
      <c r="J496" s="5" t="inlineStr">
        <is>
          <t>10.2460/javma.2002.220.973</t>
        </is>
      </c>
      <c r="K496" s="7" t="inlineStr">
        <is>
          <t>link</t>
        </is>
      </c>
      <c r="L496" s="7" t="inlineStr">
        <is>
          <t>link</t>
        </is>
      </c>
      <c r="M496" s="5" t="inlineStr"/>
      <c r="N496" s="5" t="inlineStr"/>
      <c r="O496" s="5" t="inlineStr"/>
      <c r="P496" s="5" t="inlineStr"/>
      <c r="Q496" s="5" t="inlineStr"/>
      <c r="R496" s="5" t="inlineStr">
        <is>
          <t>2 English, DOI or PubMed link</t>
        </is>
      </c>
      <c r="S496" s="5" t="inlineStr"/>
      <c r="T496" s="5" t="inlineStr">
        <is>
          <t>WS0740.pdf</t>
        </is>
      </c>
      <c r="U496" s="8" t="n"/>
      <c r="V496" s="8" t="n"/>
      <c r="W496" s="8" t="n"/>
      <c r="X496" s="8" t="n"/>
      <c r="Y496" s="8" t="n"/>
      <c r="Z496" s="8" t="n"/>
      <c r="AA496" s="8" t="n"/>
      <c r="AB496" s="8" t="n"/>
      <c r="AC496" s="8" t="n"/>
      <c r="AD496" s="8" t="n"/>
      <c r="AE496" s="8" t="inlineStr">
        <is>
          <t>no</t>
        </is>
      </c>
    </row>
    <row r="497">
      <c r="A497" s="5" t="n">
        <v>496</v>
      </c>
      <c r="B497" s="5" t="inlineStr">
        <is>
          <t>WS0743</t>
        </is>
      </c>
      <c r="C497" s="5" t="inlineStr">
        <is>
          <t>2002</t>
        </is>
      </c>
      <c r="D497" s="5" t="inlineStr">
        <is>
          <t>English</t>
        </is>
      </c>
      <c r="E497" s="5" t="inlineStr">
        <is>
          <t>JOUR</t>
        </is>
      </c>
      <c r="F497" s="5" t="inlineStr">
        <is>
          <t>Sayeed</t>
        </is>
      </c>
      <c r="G497" s="5" t="inlineStr">
        <is>
          <t>Surgery</t>
        </is>
      </c>
      <c r="H497" s="5" t="inlineStr">
        <is>
          <t>132(3):535-6</t>
        </is>
      </c>
      <c r="I497" s="6" t="inlineStr">
        <is>
          <t>Torsion of a wandering spleen.</t>
        </is>
      </c>
      <c r="J497" s="5" t="inlineStr">
        <is>
          <t>10.1067/msy.2002.119494</t>
        </is>
      </c>
      <c r="K497" s="7" t="inlineStr">
        <is>
          <t>link</t>
        </is>
      </c>
      <c r="L497" s="7" t="inlineStr">
        <is>
          <t>link</t>
        </is>
      </c>
      <c r="M497" s="5" t="inlineStr"/>
      <c r="N497" s="5" t="inlineStr"/>
      <c r="O497" s="5" t="inlineStr"/>
      <c r="P497" s="5" t="inlineStr"/>
      <c r="Q497" s="5" t="inlineStr"/>
      <c r="R497" s="5" t="inlineStr">
        <is>
          <t>2 English, DOI or PubMed link</t>
        </is>
      </c>
      <c r="S497" s="5" t="inlineStr"/>
      <c r="T497" s="5" t="inlineStr">
        <is>
          <t>WS0743.pdf</t>
        </is>
      </c>
      <c r="U497" s="8" t="n"/>
      <c r="V497" s="8" t="n"/>
      <c r="W497" s="8" t="n"/>
      <c r="X497" s="8" t="n"/>
      <c r="Y497" s="8" t="n"/>
      <c r="Z497" s="8" t="n"/>
      <c r="AA497" s="8" t="n"/>
      <c r="AB497" s="8" t="n"/>
      <c r="AC497" s="8" t="n"/>
      <c r="AD497" s="8" t="n"/>
      <c r="AE497" s="8" t="inlineStr">
        <is>
          <t>no</t>
        </is>
      </c>
    </row>
    <row r="498">
      <c r="A498" s="5" t="n">
        <v>497</v>
      </c>
      <c r="B498" s="5" t="inlineStr">
        <is>
          <t>WS0746</t>
        </is>
      </c>
      <c r="C498" s="5" t="inlineStr">
        <is>
          <t>2002</t>
        </is>
      </c>
      <c r="D498" s="5" t="inlineStr">
        <is>
          <t>English</t>
        </is>
      </c>
      <c r="E498" s="5" t="inlineStr">
        <is>
          <t>JOUR</t>
        </is>
      </c>
      <c r="F498" s="5" t="inlineStr">
        <is>
          <t>Gayer</t>
        </is>
      </c>
      <c r="G498" s="5" t="inlineStr">
        <is>
          <t>The Israel Medical Association journal : IMAJ</t>
        </is>
      </c>
      <c r="H498" s="5" t="inlineStr">
        <is>
          <t>4(8):658-9</t>
        </is>
      </c>
      <c r="I498" s="6" t="inlineStr">
        <is>
          <t>Torsion of a wandering spleen.</t>
        </is>
      </c>
      <c r="J498" s="5" t="inlineStr"/>
      <c r="K498" s="5" t="inlineStr"/>
      <c r="L498" s="7" t="inlineStr">
        <is>
          <t>link</t>
        </is>
      </c>
      <c r="M498" s="5" t="inlineStr"/>
      <c r="N498" s="5" t="inlineStr"/>
      <c r="O498" s="5" t="inlineStr"/>
      <c r="P498" s="5" t="inlineStr"/>
      <c r="Q498" s="5" t="inlineStr"/>
      <c r="R498" s="5" t="inlineStr">
        <is>
          <t>2 English, DOI or PubMed link</t>
        </is>
      </c>
      <c r="S498" s="5" t="inlineStr"/>
      <c r="T498" s="5" t="inlineStr">
        <is>
          <t>WS0746.pdf</t>
        </is>
      </c>
      <c r="U498" s="8" t="n"/>
      <c r="V498" s="8" t="n"/>
      <c r="W498" s="8" t="n"/>
      <c r="X498" s="8" t="n"/>
      <c r="Y498" s="8" t="n"/>
      <c r="Z498" s="8" t="n"/>
      <c r="AA498" s="8" t="n"/>
      <c r="AB498" s="8" t="n"/>
      <c r="AC498" s="8" t="n"/>
      <c r="AD498" s="8" t="n"/>
      <c r="AE498" s="8" t="inlineStr">
        <is>
          <t>no</t>
        </is>
      </c>
    </row>
    <row r="499">
      <c r="A499" s="5" t="n">
        <v>498</v>
      </c>
      <c r="B499" s="5" t="inlineStr">
        <is>
          <t>WS1358</t>
        </is>
      </c>
      <c r="C499" s="5" t="inlineStr">
        <is>
          <t>2002</t>
        </is>
      </c>
      <c r="D499" s="5" t="inlineStr">
        <is>
          <t>English</t>
        </is>
      </c>
      <c r="E499" s="5" t="inlineStr">
        <is>
          <t>JOUR</t>
        </is>
      </c>
      <c r="F499" s="5" t="inlineStr">
        <is>
          <t>Nguyen</t>
        </is>
      </c>
      <c r="G499" s="5" t="inlineStr">
        <is>
          <t>AMERICAN JOURNAL OF GASTROENTEROLOGY</t>
        </is>
      </c>
      <c r="H499" s="5" t="inlineStr">
        <is>
          <t>97(9):S150-S150</t>
        </is>
      </c>
      <c r="I499" s="6" t="inlineStr">
        <is>
          <t>Gastric variceal bleed due to a "wandering spleen"</t>
        </is>
      </c>
      <c r="J499" s="5" t="inlineStr">
        <is>
          <t>10.1016/s0002-9270(02)04924-9</t>
        </is>
      </c>
      <c r="K499" s="7" t="inlineStr">
        <is>
          <t>link</t>
        </is>
      </c>
      <c r="L499" s="5" t="inlineStr"/>
      <c r="M499" s="5" t="inlineStr"/>
      <c r="N499" s="5" t="inlineStr"/>
      <c r="O499" s="5" t="inlineStr"/>
      <c r="P499" s="5" t="inlineStr"/>
      <c r="Q499" s="5" t="inlineStr"/>
      <c r="R499" s="5" t="inlineStr">
        <is>
          <t>2 English, DOI or PubMed link</t>
        </is>
      </c>
      <c r="S499" s="5" t="inlineStr"/>
      <c r="T499" s="5" t="inlineStr">
        <is>
          <t>WS1358.pdf</t>
        </is>
      </c>
      <c r="U499" s="8" t="n"/>
      <c r="V499" s="8" t="n"/>
      <c r="W499" s="8" t="n"/>
      <c r="X499" s="8" t="n"/>
      <c r="Y499" s="8" t="n"/>
      <c r="Z499" s="8" t="n"/>
      <c r="AA499" s="8" t="n"/>
      <c r="AB499" s="8" t="n"/>
      <c r="AC499" s="8" t="n"/>
      <c r="AD499" s="8" t="n"/>
      <c r="AE499" s="8" t="inlineStr">
        <is>
          <t>no</t>
        </is>
      </c>
    </row>
    <row r="500">
      <c r="A500" s="5" t="n">
        <v>499</v>
      </c>
      <c r="B500" s="5" t="inlineStr">
        <is>
          <t>WS0753</t>
        </is>
      </c>
      <c r="C500" s="5" t="inlineStr">
        <is>
          <t>2001</t>
        </is>
      </c>
      <c r="D500" s="5" t="inlineStr">
        <is>
          <t>English</t>
        </is>
      </c>
      <c r="E500" s="5" t="inlineStr">
        <is>
          <t>JOUR</t>
        </is>
      </c>
      <c r="F500" s="5" t="inlineStr">
        <is>
          <t>Matorras</t>
        </is>
      </c>
      <c r="G500" s="5" t="inlineStr">
        <is>
          <t>Acta obstetricia et gynecologica Scandinavica</t>
        </is>
      </c>
      <c r="H500" s="5" t="inlineStr">
        <is>
          <t>80(12):1146-7</t>
        </is>
      </c>
      <c r="I500" s="6" t="inlineStr">
        <is>
          <t>Pelvic spleen: a very rare entity not to be misdiagnosed by the laparoscopic surgeon.</t>
        </is>
      </c>
      <c r="J500" s="5" t="inlineStr">
        <is>
          <t>10.1034/j.1600-0412.2001.801215.x</t>
        </is>
      </c>
      <c r="K500" s="7" t="inlineStr">
        <is>
          <t>link</t>
        </is>
      </c>
      <c r="L500" s="7" t="inlineStr">
        <is>
          <t>link</t>
        </is>
      </c>
      <c r="M500" s="5" t="inlineStr"/>
      <c r="N500" s="5" t="inlineStr"/>
      <c r="O500" s="5" t="inlineStr"/>
      <c r="P500" s="5" t="inlineStr"/>
      <c r="Q500" s="5" t="inlineStr"/>
      <c r="R500" s="5" t="inlineStr">
        <is>
          <t>2 English, DOI or PubMed link</t>
        </is>
      </c>
      <c r="S500" s="5" t="inlineStr"/>
      <c r="T500" s="5" t="inlineStr">
        <is>
          <t>WS0753.pdf</t>
        </is>
      </c>
      <c r="U500" s="8" t="n"/>
      <c r="V500" s="8" t="n"/>
      <c r="W500" s="8" t="n"/>
      <c r="X500" s="8" t="n"/>
      <c r="Y500" s="8" t="n"/>
      <c r="Z500" s="8" t="n"/>
      <c r="AA500" s="8" t="n"/>
      <c r="AB500" s="8" t="n"/>
      <c r="AC500" s="8" t="n"/>
      <c r="AD500" s="8" t="n"/>
      <c r="AE500" s="8" t="inlineStr">
        <is>
          <t>no</t>
        </is>
      </c>
    </row>
    <row r="501">
      <c r="A501" s="5" t="n">
        <v>500</v>
      </c>
      <c r="B501" s="5" t="inlineStr">
        <is>
          <t>WS0758</t>
        </is>
      </c>
      <c r="C501" s="5" t="inlineStr">
        <is>
          <t>2001</t>
        </is>
      </c>
      <c r="D501" s="5" t="inlineStr">
        <is>
          <t>English</t>
        </is>
      </c>
      <c r="E501" s="5" t="inlineStr">
        <is>
          <t>JOUR</t>
        </is>
      </c>
      <c r="F501" s="5" t="inlineStr">
        <is>
          <t>Wen</t>
        </is>
      </c>
      <c r="G501" s="5" t="inlineStr">
        <is>
          <t>Journal of gastroenterology</t>
        </is>
      </c>
      <c r="H501" s="5" t="inlineStr">
        <is>
          <t>36(9):643-4</t>
        </is>
      </c>
      <c r="I501" s="6" t="inlineStr">
        <is>
          <t>Sonographic findings of wandering spleen.</t>
        </is>
      </c>
      <c r="J501" s="5" t="inlineStr">
        <is>
          <t>10.1007/s005350170051</t>
        </is>
      </c>
      <c r="K501" s="7" t="inlineStr">
        <is>
          <t>link</t>
        </is>
      </c>
      <c r="L501" s="7" t="inlineStr">
        <is>
          <t>link</t>
        </is>
      </c>
      <c r="M501" s="5" t="inlineStr"/>
      <c r="N501" s="5" t="inlineStr"/>
      <c r="O501" s="5" t="inlineStr"/>
      <c r="P501" s="5" t="inlineStr"/>
      <c r="Q501" s="5" t="inlineStr"/>
      <c r="R501" s="5" t="inlineStr">
        <is>
          <t>2 English, DOI or PubMed link</t>
        </is>
      </c>
      <c r="S501" s="5" t="inlineStr"/>
      <c r="T501" s="5" t="inlineStr">
        <is>
          <t>WS0758.pdf</t>
        </is>
      </c>
      <c r="U501" s="8" t="n"/>
      <c r="V501" s="8" t="n"/>
      <c r="W501" s="8" t="n"/>
      <c r="X501" s="8" t="n"/>
      <c r="Y501" s="8" t="n"/>
      <c r="Z501" s="8" t="n"/>
      <c r="AA501" s="8" t="n"/>
      <c r="AB501" s="8" t="n"/>
      <c r="AC501" s="8" t="n"/>
      <c r="AD501" s="8" t="n"/>
      <c r="AE501" s="8" t="inlineStr">
        <is>
          <t>no</t>
        </is>
      </c>
    </row>
    <row r="502">
      <c r="A502" s="5" t="n">
        <v>501</v>
      </c>
      <c r="B502" s="5" t="inlineStr">
        <is>
          <t>WS0760</t>
        </is>
      </c>
      <c r="C502" s="5" t="inlineStr">
        <is>
          <t>2001</t>
        </is>
      </c>
      <c r="D502" s="5" t="inlineStr">
        <is>
          <t>English</t>
        </is>
      </c>
      <c r="E502" s="5" t="inlineStr">
        <is>
          <t>JOUR</t>
        </is>
      </c>
      <c r="F502" s="5" t="inlineStr">
        <is>
          <t>Tashjian</t>
        </is>
      </c>
      <c r="G502" s="5" t="inlineStr">
        <is>
          <t>Journal of pediatric surgery</t>
        </is>
      </c>
      <c r="H502" s="5" t="inlineStr">
        <is>
          <t>36(9):1468</t>
        </is>
      </c>
      <c r="I502" s="6" t="inlineStr">
        <is>
          <t>Re: "Gastric volvulus associated with wandering spleen in a child".</t>
        </is>
      </c>
      <c r="J502" s="5" t="inlineStr">
        <is>
          <t>10.1016/s0022-3468(01)70004-8</t>
        </is>
      </c>
      <c r="K502" s="7" t="inlineStr">
        <is>
          <t>link</t>
        </is>
      </c>
      <c r="L502" s="7" t="inlineStr">
        <is>
          <t>link</t>
        </is>
      </c>
      <c r="M502" s="5" t="inlineStr"/>
      <c r="N502" s="5" t="inlineStr"/>
      <c r="O502" s="5" t="inlineStr"/>
      <c r="P502" s="5" t="inlineStr"/>
      <c r="Q502" s="5" t="inlineStr"/>
      <c r="R502" s="5" t="inlineStr">
        <is>
          <t>2 English, DOI or PubMed link</t>
        </is>
      </c>
      <c r="S502" s="5" t="inlineStr"/>
      <c r="T502" s="5" t="inlineStr">
        <is>
          <t>WS0760.pdf</t>
        </is>
      </c>
      <c r="U502" s="8" t="n"/>
      <c r="V502" s="8" t="n"/>
      <c r="W502" s="8" t="n"/>
      <c r="X502" s="8" t="n"/>
      <c r="Y502" s="8" t="n"/>
      <c r="Z502" s="8" t="n"/>
      <c r="AA502" s="8" t="n"/>
      <c r="AB502" s="8" t="n"/>
      <c r="AC502" s="8" t="n"/>
      <c r="AD502" s="8" t="n"/>
      <c r="AE502" s="8" t="inlineStr">
        <is>
          <t>no</t>
        </is>
      </c>
    </row>
    <row r="503">
      <c r="A503" s="5" t="n">
        <v>502</v>
      </c>
      <c r="B503" s="5" t="inlineStr">
        <is>
          <t>WS0761</t>
        </is>
      </c>
      <c r="C503" s="5" t="inlineStr">
        <is>
          <t>2001</t>
        </is>
      </c>
      <c r="D503" s="5" t="inlineStr">
        <is>
          <t>English</t>
        </is>
      </c>
      <c r="E503" s="5" t="inlineStr">
        <is>
          <t>JOUR</t>
        </is>
      </c>
      <c r="F503" s="5" t="inlineStr">
        <is>
          <t>Dweck</t>
        </is>
      </c>
      <c r="G503" s="5" t="inlineStr">
        <is>
          <t>The Israel Medical Association journal : IMAJ</t>
        </is>
      </c>
      <c r="H503" s="5" t="inlineStr">
        <is>
          <t>3(8):623-4</t>
        </is>
      </c>
      <c r="I503" s="6" t="inlineStr">
        <is>
          <t>Wandering spleen in a young girl with Gaucher disease.</t>
        </is>
      </c>
      <c r="J503" s="5" t="inlineStr"/>
      <c r="K503" s="5" t="inlineStr"/>
      <c r="L503" s="7" t="inlineStr">
        <is>
          <t>link</t>
        </is>
      </c>
      <c r="M503" s="5" t="inlineStr"/>
      <c r="N503" s="5" t="inlineStr"/>
      <c r="O503" s="5" t="inlineStr"/>
      <c r="P503" s="5" t="inlineStr"/>
      <c r="Q503" s="5" t="inlineStr"/>
      <c r="R503" s="5" t="inlineStr">
        <is>
          <t>2 English, DOI or PubMed link</t>
        </is>
      </c>
      <c r="S503" s="5" t="inlineStr"/>
      <c r="T503" s="5" t="inlineStr">
        <is>
          <t>WS0761.pdf</t>
        </is>
      </c>
      <c r="U503" s="8" t="n"/>
      <c r="V503" s="8" t="n"/>
      <c r="W503" s="8" t="n"/>
      <c r="X503" s="8" t="n"/>
      <c r="Y503" s="8" t="n"/>
      <c r="Z503" s="8" t="n"/>
      <c r="AA503" s="8" t="n"/>
      <c r="AB503" s="8" t="n"/>
      <c r="AC503" s="8" t="n"/>
      <c r="AD503" s="8" t="n"/>
      <c r="AE503" s="8" t="inlineStr">
        <is>
          <t>no</t>
        </is>
      </c>
    </row>
    <row r="504">
      <c r="A504" s="5" t="n">
        <v>503</v>
      </c>
      <c r="B504" s="5" t="inlineStr">
        <is>
          <t>WS0776</t>
        </is>
      </c>
      <c r="C504" s="5" t="inlineStr">
        <is>
          <t>2001</t>
        </is>
      </c>
      <c r="D504" s="5" t="inlineStr">
        <is>
          <t>English</t>
        </is>
      </c>
      <c r="E504" s="5" t="inlineStr">
        <is>
          <t>JOUR</t>
        </is>
      </c>
      <c r="F504" s="5" t="inlineStr">
        <is>
          <t>Bhasin</t>
        </is>
      </c>
      <c r="G504" s="5" t="inlineStr">
        <is>
          <t>Journal of clinical ultrasound : JCU</t>
        </is>
      </c>
      <c r="H504" s="5" t="inlineStr">
        <is>
          <t>29(1):60-1</t>
        </is>
      </c>
      <c r="I504" s="6" t="inlineStr">
        <is>
          <t>Value of power Doppler sonography in the evaluation of torsion in a wandering spleen.</t>
        </is>
      </c>
      <c r="J504" s="5" t="inlineStr">
        <is>
          <t>10.1002/1097-0096(200101)29:1&lt;60::aid-jcu11&gt;3.0.co;2-o</t>
        </is>
      </c>
      <c r="K504" s="7" t="inlineStr">
        <is>
          <t>link</t>
        </is>
      </c>
      <c r="L504" s="7" t="inlineStr">
        <is>
          <t>link</t>
        </is>
      </c>
      <c r="M504" s="5" t="inlineStr"/>
      <c r="N504" s="5" t="inlineStr"/>
      <c r="O504" s="5" t="inlineStr"/>
      <c r="P504" s="5" t="inlineStr"/>
      <c r="Q504" s="5" t="inlineStr"/>
      <c r="R504" s="5" t="inlineStr">
        <is>
          <t>2 English, DOI or PubMed link</t>
        </is>
      </c>
      <c r="S504" s="5" t="inlineStr"/>
      <c r="T504" s="5" t="inlineStr">
        <is>
          <t>WS0776.pdf</t>
        </is>
      </c>
      <c r="U504" s="8" t="n"/>
      <c r="V504" s="8" t="n"/>
      <c r="W504" s="8" t="n"/>
      <c r="X504" s="8" t="n"/>
      <c r="Y504" s="8" t="n"/>
      <c r="Z504" s="8" t="n"/>
      <c r="AA504" s="8" t="n"/>
      <c r="AB504" s="8" t="n"/>
      <c r="AC504" s="8" t="n"/>
      <c r="AD504" s="8" t="n"/>
      <c r="AE504" s="8" t="inlineStr">
        <is>
          <t>no</t>
        </is>
      </c>
    </row>
    <row r="505">
      <c r="A505" s="5" t="n">
        <v>504</v>
      </c>
      <c r="B505" s="5" t="inlineStr">
        <is>
          <t>WS0777</t>
        </is>
      </c>
      <c r="C505" s="5" t="inlineStr">
        <is>
          <t>2000</t>
        </is>
      </c>
      <c r="D505" s="5" t="inlineStr">
        <is>
          <t>English</t>
        </is>
      </c>
      <c r="E505" s="5" t="inlineStr">
        <is>
          <t>JOUR</t>
        </is>
      </c>
      <c r="F505" s="5" t="inlineStr">
        <is>
          <t>Zimmermann</t>
        </is>
      </c>
      <c r="G505" s="5" t="inlineStr">
        <is>
          <t>The Australian and New Zealand journal of surgery</t>
        </is>
      </c>
      <c r="H505" s="5" t="inlineStr">
        <is>
          <t>70(12):904-6</t>
        </is>
      </c>
      <c r="I505" s="6" t="inlineStr">
        <is>
          <t>Wandering spleen presenting as an asymptomatic mass.</t>
        </is>
      </c>
      <c r="J505" s="5" t="inlineStr">
        <is>
          <t>10.1046/j.1440-1622.2000.02008.x</t>
        </is>
      </c>
      <c r="K505" s="7" t="inlineStr">
        <is>
          <t>link</t>
        </is>
      </c>
      <c r="L505" s="7" t="inlineStr">
        <is>
          <t>link</t>
        </is>
      </c>
      <c r="M505" s="5" t="inlineStr"/>
      <c r="N505" s="5" t="inlineStr"/>
      <c r="O505" s="5" t="inlineStr"/>
      <c r="P505" s="5" t="inlineStr"/>
      <c r="Q505" s="5" t="inlineStr"/>
      <c r="R505" s="5" t="inlineStr">
        <is>
          <t>2 English, DOI or PubMed link</t>
        </is>
      </c>
      <c r="S505" s="5" t="inlineStr"/>
      <c r="T505" s="5" t="inlineStr">
        <is>
          <t>WS0777.pdf</t>
        </is>
      </c>
      <c r="U505" s="8" t="n"/>
      <c r="V505" s="8" t="n"/>
      <c r="W505" s="8" t="n"/>
      <c r="X505" s="8" t="n"/>
      <c r="Y505" s="8" t="n"/>
      <c r="Z505" s="8" t="n"/>
      <c r="AA505" s="8" t="n"/>
      <c r="AB505" s="8" t="n"/>
      <c r="AC505" s="8" t="n"/>
      <c r="AD505" s="8" t="n"/>
      <c r="AE505" s="8" t="inlineStr">
        <is>
          <t>no</t>
        </is>
      </c>
    </row>
    <row r="506">
      <c r="A506" s="5" t="n">
        <v>505</v>
      </c>
      <c r="B506" s="5" t="inlineStr">
        <is>
          <t>WS0784</t>
        </is>
      </c>
      <c r="C506" s="5" t="inlineStr">
        <is>
          <t>2000</t>
        </is>
      </c>
      <c r="D506" s="5" t="inlineStr">
        <is>
          <t>English</t>
        </is>
      </c>
      <c r="E506" s="5" t="inlineStr">
        <is>
          <t>JOUR</t>
        </is>
      </c>
      <c r="F506" s="5" t="inlineStr">
        <is>
          <t>Ugolini</t>
        </is>
      </c>
      <c r="G506" s="5" t="inlineStr">
        <is>
          <t>Surgery</t>
        </is>
      </c>
      <c r="H506" s="5" t="inlineStr">
        <is>
          <t>128(3):480-1</t>
        </is>
      </c>
      <c r="I506" s="6" t="inlineStr">
        <is>
          <t>Gastric outlet obstruction secondary to wandering spleen.</t>
        </is>
      </c>
      <c r="J506" s="5" t="inlineStr">
        <is>
          <t>10.1067/msy.2000.104121</t>
        </is>
      </c>
      <c r="K506" s="7" t="inlineStr">
        <is>
          <t>link</t>
        </is>
      </c>
      <c r="L506" s="7" t="inlineStr">
        <is>
          <t>link</t>
        </is>
      </c>
      <c r="M506" s="5" t="inlineStr"/>
      <c r="N506" s="5" t="inlineStr"/>
      <c r="O506" s="5" t="inlineStr"/>
      <c r="P506" s="5" t="inlineStr"/>
      <c r="Q506" s="5" t="inlineStr"/>
      <c r="R506" s="5" t="inlineStr">
        <is>
          <t>2 English, DOI or PubMed link</t>
        </is>
      </c>
      <c r="S506" s="5" t="inlineStr"/>
      <c r="T506" s="5" t="inlineStr">
        <is>
          <t>WS0784.pdf</t>
        </is>
      </c>
      <c r="U506" s="8" t="n"/>
      <c r="V506" s="8" t="n"/>
      <c r="W506" s="8" t="n"/>
      <c r="X506" s="8" t="n"/>
      <c r="Y506" s="8" t="n"/>
      <c r="Z506" s="8" t="n"/>
      <c r="AA506" s="8" t="n"/>
      <c r="AB506" s="8" t="n"/>
      <c r="AC506" s="8" t="n"/>
      <c r="AD506" s="8" t="n"/>
      <c r="AE506" s="8" t="inlineStr">
        <is>
          <t>no</t>
        </is>
      </c>
    </row>
    <row r="507">
      <c r="A507" s="5" t="n">
        <v>506</v>
      </c>
      <c r="B507" s="5" t="inlineStr">
        <is>
          <t>WS0787</t>
        </is>
      </c>
      <c r="C507" s="5" t="inlineStr">
        <is>
          <t>2000</t>
        </is>
      </c>
      <c r="D507" s="5" t="inlineStr">
        <is>
          <t>English</t>
        </is>
      </c>
      <c r="E507" s="5" t="inlineStr">
        <is>
          <t>JOUR</t>
        </is>
      </c>
      <c r="F507" s="5" t="inlineStr">
        <is>
          <t>Sirikci</t>
        </is>
      </c>
      <c r="G507" s="5" t="inlineStr">
        <is>
          <t>Journal of Urology</t>
        </is>
      </c>
      <c r="H507" s="5" t="inlineStr">
        <is>
          <t>163(6):1901</t>
        </is>
      </c>
      <c r="I507" s="6" t="inlineStr">
        <is>
          <t>Thoracic kidney associated with superior ectopic spleen</t>
        </is>
      </c>
      <c r="J507" s="5" t="inlineStr">
        <is>
          <t>10.1016/s0022-5347(05)67592-1</t>
        </is>
      </c>
      <c r="K507" s="7" t="inlineStr">
        <is>
          <t>link</t>
        </is>
      </c>
      <c r="L507" s="7" t="inlineStr">
        <is>
          <t>link</t>
        </is>
      </c>
      <c r="M507" s="5" t="inlineStr"/>
      <c r="N507" s="5" t="inlineStr"/>
      <c r="O507" s="5" t="inlineStr"/>
      <c r="P507" s="5" t="inlineStr"/>
      <c r="Q507" s="7" t="inlineStr">
        <is>
          <t>link</t>
        </is>
      </c>
      <c r="R507" s="5" t="inlineStr">
        <is>
          <t>2 English, DOI or PubMed link</t>
        </is>
      </c>
      <c r="S507" s="5" t="inlineStr"/>
      <c r="T507" s="5" t="inlineStr">
        <is>
          <t>WS0787.pdf</t>
        </is>
      </c>
      <c r="U507" s="8" t="n"/>
      <c r="V507" s="8" t="n"/>
      <c r="W507" s="8" t="n"/>
      <c r="X507" s="8" t="n"/>
      <c r="Y507" s="8" t="n"/>
      <c r="Z507" s="8" t="n"/>
      <c r="AA507" s="8" t="n"/>
      <c r="AB507" s="8" t="n"/>
      <c r="AC507" s="8" t="n"/>
      <c r="AD507" s="8" t="n"/>
      <c r="AE507" s="8" t="inlineStr">
        <is>
          <t>no</t>
        </is>
      </c>
    </row>
    <row r="508">
      <c r="A508" s="5" t="n">
        <v>507</v>
      </c>
      <c r="B508" s="5" t="inlineStr">
        <is>
          <t>WS2354</t>
        </is>
      </c>
      <c r="C508" s="5" t="inlineStr">
        <is>
          <t>2018</t>
        </is>
      </c>
      <c r="D508" s="5" t="inlineStr">
        <is>
          <t>Chinese</t>
        </is>
      </c>
      <c r="E508" s="5" t="inlineStr">
        <is>
          <t>GEN</t>
        </is>
      </c>
      <c r="F508" s="5" t="inlineStr">
        <is>
          <t>章泽宇</t>
        </is>
      </c>
      <c r="G508" s="5" t="inlineStr"/>
      <c r="H508" s="5" t="inlineStr">
        <is>
          <t>375-375</t>
        </is>
      </c>
      <c r="I508" s="6" t="inlineStr">
        <is>
          <t>肝内异位脾误诊为肝癌一例</t>
        </is>
      </c>
      <c r="J508" s="5" t="inlineStr"/>
      <c r="K508" s="5" t="inlineStr"/>
      <c r="L508" s="5" t="inlineStr"/>
      <c r="M508" s="5" t="inlineStr"/>
      <c r="N508" s="5" t="inlineStr"/>
      <c r="O508" s="5" t="inlineStr"/>
      <c r="P508" s="7" t="inlineStr">
        <is>
          <t>link</t>
        </is>
      </c>
      <c r="Q508" s="5" t="inlineStr"/>
      <c r="R508" s="5" t="inlineStr">
        <is>
          <t>3 Chinese</t>
        </is>
      </c>
      <c r="S508" s="5" t="inlineStr"/>
      <c r="T508" s="5" t="inlineStr">
        <is>
          <t>WS2354.pdf</t>
        </is>
      </c>
      <c r="U508" s="8" t="n"/>
      <c r="V508" s="8" t="n"/>
      <c r="W508" s="8" t="n"/>
      <c r="X508" s="8" t="n"/>
      <c r="Y508" s="8" t="n"/>
      <c r="Z508" s="8" t="n"/>
      <c r="AA508" s="8" t="n"/>
      <c r="AB508" s="8" t="n"/>
      <c r="AC508" s="8" t="n"/>
      <c r="AD508" s="8" t="n"/>
      <c r="AE508" s="8" t="inlineStr">
        <is>
          <t>no</t>
        </is>
      </c>
    </row>
    <row r="509">
      <c r="A509" s="5" t="n">
        <v>508</v>
      </c>
      <c r="B509" s="5" t="inlineStr">
        <is>
          <t>WS1667</t>
        </is>
      </c>
      <c r="C509" s="5" t="inlineStr">
        <is>
          <t>2010</t>
        </is>
      </c>
      <c r="D509" s="5" t="inlineStr">
        <is>
          <t>Chinese</t>
        </is>
      </c>
      <c r="E509" s="5" t="inlineStr">
        <is>
          <t>JOUR</t>
        </is>
      </c>
      <c r="F509" s="5" t="inlineStr">
        <is>
          <t>Zheng</t>
        </is>
      </c>
      <c r="G509" s="5" t="inlineStr">
        <is>
          <t>Chinese Journal of Medical Imaging Technology</t>
        </is>
      </c>
      <c r="H509" s="5" t="inlineStr">
        <is>
          <t>26(1):32</t>
        </is>
      </c>
      <c r="I509" s="6" t="inlineStr">
        <is>
          <t>Overturning spleen complicated with ectopic kidney below the left diaphragm: Case report</t>
        </is>
      </c>
      <c r="J509" s="5" t="inlineStr"/>
      <c r="K509" s="5" t="inlineStr"/>
      <c r="L509" s="5" t="inlineStr"/>
      <c r="M509" s="5" t="inlineStr"/>
      <c r="N509" s="5" t="inlineStr"/>
      <c r="O509" s="5" t="inlineStr"/>
      <c r="P509" s="5" t="inlineStr"/>
      <c r="Q509" s="7" t="inlineStr">
        <is>
          <t>link</t>
        </is>
      </c>
      <c r="R509" s="5" t="inlineStr">
        <is>
          <t>3 Chinese</t>
        </is>
      </c>
      <c r="S509" s="5" t="inlineStr"/>
      <c r="T509" s="5" t="inlineStr">
        <is>
          <t>WS1667.pdf</t>
        </is>
      </c>
      <c r="U509" s="8" t="n"/>
      <c r="V509" s="8" t="n"/>
      <c r="W509" s="8" t="n"/>
      <c r="X509" s="8" t="n"/>
      <c r="Y509" s="8" t="n"/>
      <c r="Z509" s="8" t="n"/>
      <c r="AA509" s="8" t="n"/>
      <c r="AB509" s="8" t="n"/>
      <c r="AC509" s="8" t="n"/>
      <c r="AD509" s="8" t="n"/>
      <c r="AE509" s="8" t="inlineStr">
        <is>
          <t>no</t>
        </is>
      </c>
    </row>
    <row r="510">
      <c r="A510" s="5" t="n">
        <v>509</v>
      </c>
      <c r="B510" s="5" t="inlineStr">
        <is>
          <t>WS2317</t>
        </is>
      </c>
      <c r="C510" s="5" t="inlineStr">
        <is>
          <t>2007</t>
        </is>
      </c>
      <c r="D510" s="5" t="inlineStr">
        <is>
          <t>Chinese</t>
        </is>
      </c>
      <c r="E510" s="5" t="inlineStr">
        <is>
          <t>JOUR</t>
        </is>
      </c>
      <c r="F510" s="5" t="inlineStr"/>
      <c r="G510" s="5" t="inlineStr">
        <is>
          <t>中国误诊学杂志</t>
        </is>
      </c>
      <c r="H510" s="5" t="inlineStr">
        <is>
          <t>7(20):4947-4948</t>
        </is>
      </c>
      <c r="I510" s="6" t="inlineStr">
        <is>
          <t>静脉滴注银杏达莫注射液过敏1例/斜视术后反复发生的结膜囊肿1例/异位脾误诊为盆腔肿物1例/侵蚀性葡萄胎引起心力衰竭1例</t>
        </is>
      </c>
      <c r="J510" s="5" t="inlineStr"/>
      <c r="K510" s="5" t="inlineStr"/>
      <c r="L510" s="5" t="inlineStr"/>
      <c r="M510" s="5" t="inlineStr"/>
      <c r="N510" s="5" t="inlineStr"/>
      <c r="O510" s="5" t="inlineStr"/>
      <c r="P510" s="7" t="inlineStr">
        <is>
          <t>link</t>
        </is>
      </c>
      <c r="Q510" s="5" t="inlineStr"/>
      <c r="R510" s="5" t="inlineStr">
        <is>
          <t>3 Chinese</t>
        </is>
      </c>
      <c r="S510" s="5" t="inlineStr"/>
      <c r="T510" s="5" t="inlineStr">
        <is>
          <t>WS2317.pdf</t>
        </is>
      </c>
      <c r="U510" s="8" t="n"/>
      <c r="V510" s="8" t="n"/>
      <c r="W510" s="8" t="n"/>
      <c r="X510" s="8" t="n"/>
      <c r="Y510" s="8" t="n"/>
      <c r="Z510" s="8" t="n"/>
      <c r="AA510" s="8" t="n"/>
      <c r="AB510" s="8" t="n"/>
      <c r="AC510" s="8" t="n"/>
      <c r="AD510" s="8" t="n"/>
      <c r="AE510" s="8" t="inlineStr">
        <is>
          <t>no</t>
        </is>
      </c>
    </row>
    <row r="511">
      <c r="A511" s="5" t="n">
        <v>510</v>
      </c>
      <c r="B511" s="5" t="inlineStr">
        <is>
          <t>WS2074</t>
        </is>
      </c>
      <c r="C511" s="5" t="inlineStr">
        <is>
          <t>2006</t>
        </is>
      </c>
      <c r="D511" s="5" t="inlineStr">
        <is>
          <t>Chinese</t>
        </is>
      </c>
      <c r="E511" s="5" t="inlineStr">
        <is>
          <t>JOUR</t>
        </is>
      </c>
      <c r="F511" s="5" t="inlineStr">
        <is>
          <t>韩宁</t>
        </is>
      </c>
      <c r="G511" s="5" t="inlineStr">
        <is>
          <t>总装备部医学学报</t>
        </is>
      </c>
      <c r="H511" s="5" t="inlineStr">
        <is>
          <t>(1):28+62</t>
        </is>
      </c>
      <c r="I511" s="6" t="inlineStr">
        <is>
          <t>超声诊断原发于右髂总动脉异位脾脏1例</t>
        </is>
      </c>
      <c r="J511" s="5" t="inlineStr"/>
      <c r="K511" s="5" t="inlineStr"/>
      <c r="L511" s="5" t="inlineStr"/>
      <c r="M511" s="5" t="inlineStr"/>
      <c r="N511" s="5" t="inlineStr"/>
      <c r="O511" s="7" t="inlineStr">
        <is>
          <t>link</t>
        </is>
      </c>
      <c r="P511" s="5" t="inlineStr"/>
      <c r="Q511" s="5" t="inlineStr"/>
      <c r="R511" s="5" t="inlineStr">
        <is>
          <t>3 Chinese</t>
        </is>
      </c>
      <c r="S511" s="5" t="inlineStr"/>
      <c r="T511" s="5" t="inlineStr">
        <is>
          <t>WS2074.pdf</t>
        </is>
      </c>
      <c r="U511" s="8" t="n"/>
      <c r="V511" s="8" t="n"/>
      <c r="W511" s="8" t="n"/>
      <c r="X511" s="8" t="n"/>
      <c r="Y511" s="8" t="n"/>
      <c r="Z511" s="8" t="n"/>
      <c r="AA511" s="8" t="n"/>
      <c r="AB511" s="8" t="n"/>
      <c r="AC511" s="8" t="n"/>
      <c r="AD511" s="8" t="n"/>
      <c r="AE511" s="8" t="inlineStr">
        <is>
          <t>no</t>
        </is>
      </c>
    </row>
    <row r="512">
      <c r="A512" s="5" t="n">
        <v>511</v>
      </c>
      <c r="B512" s="5" t="inlineStr">
        <is>
          <t>WS2085</t>
        </is>
      </c>
      <c r="C512" s="5" t="inlineStr">
        <is>
          <t>2005</t>
        </is>
      </c>
      <c r="D512" s="5" t="inlineStr">
        <is>
          <t>Chinese</t>
        </is>
      </c>
      <c r="E512" s="5" t="inlineStr">
        <is>
          <t>JOUR</t>
        </is>
      </c>
      <c r="F512" s="5" t="inlineStr">
        <is>
          <t>韩宁</t>
        </is>
      </c>
      <c r="G512" s="5" t="inlineStr">
        <is>
          <t>实用医学杂志</t>
        </is>
      </c>
      <c r="H512" s="5" t="inlineStr">
        <is>
          <t>21(16):1797</t>
        </is>
      </c>
      <c r="I512" s="6" t="inlineStr">
        <is>
          <t>超声诊断原发于右髂总动脉异位脾脏1例</t>
        </is>
      </c>
      <c r="J512" s="5" t="inlineStr"/>
      <c r="K512" s="5" t="inlineStr"/>
      <c r="L512" s="5" t="inlineStr"/>
      <c r="M512" s="5" t="inlineStr"/>
      <c r="N512" s="5" t="inlineStr"/>
      <c r="O512" s="7" t="inlineStr">
        <is>
          <t>link</t>
        </is>
      </c>
      <c r="P512" s="5" t="inlineStr"/>
      <c r="Q512" s="5" t="inlineStr"/>
      <c r="R512" s="5" t="inlineStr">
        <is>
          <t>3 Chinese</t>
        </is>
      </c>
      <c r="S512" s="5" t="inlineStr">
        <is>
          <t>Y</t>
        </is>
      </c>
      <c r="T512" s="5" t="inlineStr">
        <is>
          <t>WS2085.pdf</t>
        </is>
      </c>
      <c r="U512" s="8" t="n"/>
      <c r="V512" s="8" t="n"/>
      <c r="W512" s="8" t="n"/>
      <c r="X512" s="8" t="n"/>
      <c r="Y512" s="8" t="n"/>
      <c r="Z512" s="8" t="n"/>
      <c r="AA512" s="8" t="n"/>
      <c r="AB512" s="8" t="n"/>
      <c r="AC512" s="8" t="n"/>
      <c r="AD512" s="8" t="n"/>
      <c r="AE512" s="8" t="inlineStr">
        <is>
          <t>no</t>
        </is>
      </c>
    </row>
    <row r="513">
      <c r="A513" s="5" t="n">
        <v>512</v>
      </c>
      <c r="B513" s="5" t="inlineStr">
        <is>
          <t>WS2088</t>
        </is>
      </c>
      <c r="C513" s="5" t="inlineStr">
        <is>
          <t>2005</t>
        </is>
      </c>
      <c r="D513" s="5" t="inlineStr">
        <is>
          <t>Chinese</t>
        </is>
      </c>
      <c r="E513" s="5" t="inlineStr">
        <is>
          <t>JOUR</t>
        </is>
      </c>
      <c r="F513" s="5" t="inlineStr">
        <is>
          <t>孙根胜</t>
        </is>
      </c>
      <c r="G513" s="5" t="inlineStr">
        <is>
          <t>陕西医学杂志</t>
        </is>
      </c>
      <c r="H513" s="5" t="inlineStr">
        <is>
          <t>(6):767-768</t>
        </is>
      </c>
      <c r="I513" s="6" t="inlineStr">
        <is>
          <t>肠梗阻3例病因分析</t>
        </is>
      </c>
      <c r="J513" s="5" t="inlineStr"/>
      <c r="K513" s="5" t="inlineStr"/>
      <c r="L513" s="5" t="inlineStr"/>
      <c r="M513" s="5" t="inlineStr"/>
      <c r="N513" s="5" t="inlineStr"/>
      <c r="O513" s="7" t="inlineStr">
        <is>
          <t>link</t>
        </is>
      </c>
      <c r="P513" s="5" t="inlineStr"/>
      <c r="Q513" s="5" t="inlineStr"/>
      <c r="R513" s="5" t="inlineStr">
        <is>
          <t>3 Chinese</t>
        </is>
      </c>
      <c r="S513" s="5" t="inlineStr"/>
      <c r="T513" s="5" t="inlineStr">
        <is>
          <t>WS2088.pdf</t>
        </is>
      </c>
      <c r="U513" s="8" t="n"/>
      <c r="V513" s="8" t="n"/>
      <c r="W513" s="8" t="n"/>
      <c r="X513" s="8" t="n"/>
      <c r="Y513" s="8" t="n"/>
      <c r="Z513" s="8" t="n"/>
      <c r="AA513" s="8" t="n"/>
      <c r="AB513" s="8" t="n"/>
      <c r="AC513" s="8" t="n"/>
      <c r="AD513" s="8" t="n"/>
      <c r="AE513" s="8" t="inlineStr">
        <is>
          <t>no</t>
        </is>
      </c>
    </row>
    <row r="514">
      <c r="A514" s="5" t="n">
        <v>513</v>
      </c>
      <c r="B514" s="5" t="inlineStr">
        <is>
          <t>WS2357</t>
        </is>
      </c>
      <c r="C514" s="5" t="inlineStr">
        <is>
          <t>2003</t>
        </is>
      </c>
      <c r="D514" s="5" t="inlineStr">
        <is>
          <t>Chinese</t>
        </is>
      </c>
      <c r="E514" s="5" t="inlineStr">
        <is>
          <t>JOUR</t>
        </is>
      </c>
      <c r="F514" s="5" t="inlineStr">
        <is>
          <t>贾洪刚</t>
        </is>
      </c>
      <c r="G514" s="5" t="inlineStr">
        <is>
          <t>医用放射技术杂志</t>
        </is>
      </c>
      <c r="H514" s="5" t="inlineStr">
        <is>
          <t>(6):69-70</t>
        </is>
      </c>
      <c r="I514" s="6" t="inlineStr">
        <is>
          <t>超声诊断游走脾1例报告</t>
        </is>
      </c>
      <c r="J514" s="5" t="inlineStr"/>
      <c r="K514" s="5" t="inlineStr"/>
      <c r="L514" s="5" t="inlineStr"/>
      <c r="M514" s="5" t="inlineStr"/>
      <c r="N514" s="5" t="inlineStr"/>
      <c r="O514" s="5" t="inlineStr"/>
      <c r="P514" s="7" t="inlineStr">
        <is>
          <t>link</t>
        </is>
      </c>
      <c r="Q514" s="5" t="inlineStr"/>
      <c r="R514" s="5" t="inlineStr">
        <is>
          <t>3 Chinese</t>
        </is>
      </c>
      <c r="S514" s="5" t="inlineStr"/>
      <c r="T514" s="5" t="inlineStr">
        <is>
          <t>WS2357.pdf</t>
        </is>
      </c>
      <c r="U514" s="8" t="n"/>
      <c r="V514" s="8" t="n"/>
      <c r="W514" s="8" t="n"/>
      <c r="X514" s="8" t="n"/>
      <c r="Y514" s="8" t="n"/>
      <c r="Z514" s="8" t="n"/>
      <c r="AA514" s="8" t="n"/>
      <c r="AB514" s="8" t="n"/>
      <c r="AC514" s="8" t="n"/>
      <c r="AD514" s="8" t="n"/>
      <c r="AE514" s="8" t="inlineStr">
        <is>
          <t>no</t>
        </is>
      </c>
    </row>
    <row r="515">
      <c r="A515" s="5" t="n">
        <v>514</v>
      </c>
      <c r="B515" s="5" t="inlineStr">
        <is>
          <t>WS2349</t>
        </is>
      </c>
      <c r="C515" s="5" t="inlineStr">
        <is>
          <t>2002</t>
        </is>
      </c>
      <c r="D515" s="5" t="inlineStr">
        <is>
          <t>Chinese</t>
        </is>
      </c>
      <c r="E515" s="5" t="inlineStr">
        <is>
          <t>JOUR</t>
        </is>
      </c>
      <c r="F515" s="5" t="inlineStr"/>
      <c r="G515" s="5" t="inlineStr">
        <is>
          <t>医用放射技术杂志</t>
        </is>
      </c>
      <c r="H515" s="5" t="inlineStr">
        <is>
          <t>(9):封三-封四</t>
        </is>
      </c>
      <c r="I515" s="6" t="inlineStr">
        <is>
          <t>异位脾/肺错钩瘤/甲状腺肿瘤的CT诊断</t>
        </is>
      </c>
      <c r="J515" s="5" t="inlineStr"/>
      <c r="K515" s="5" t="inlineStr"/>
      <c r="L515" s="5" t="inlineStr"/>
      <c r="M515" s="5" t="inlineStr"/>
      <c r="N515" s="5" t="inlineStr"/>
      <c r="O515" s="5" t="inlineStr"/>
      <c r="P515" s="7" t="inlineStr">
        <is>
          <t>link</t>
        </is>
      </c>
      <c r="Q515" s="5" t="inlineStr"/>
      <c r="R515" s="5" t="inlineStr">
        <is>
          <t>3 Chinese</t>
        </is>
      </c>
      <c r="S515" s="5" t="inlineStr"/>
      <c r="T515" s="5" t="inlineStr">
        <is>
          <t>WS2349.pdf</t>
        </is>
      </c>
      <c r="U515" s="8" t="n"/>
      <c r="V515" s="8" t="n"/>
      <c r="W515" s="8" t="n"/>
      <c r="X515" s="8" t="n"/>
      <c r="Y515" s="8" t="n"/>
      <c r="Z515" s="8" t="n"/>
      <c r="AA515" s="8" t="n"/>
      <c r="AB515" s="8" t="n"/>
      <c r="AC515" s="8" t="n"/>
      <c r="AD515" s="8" t="n"/>
      <c r="AE515" s="8" t="inlineStr">
        <is>
          <t>no</t>
        </is>
      </c>
    </row>
    <row r="516">
      <c r="A516" s="5" t="n">
        <v>515</v>
      </c>
      <c r="B516" s="5" t="inlineStr">
        <is>
          <t>WS2358</t>
        </is>
      </c>
      <c r="C516" s="5" t="inlineStr">
        <is>
          <t>2002</t>
        </is>
      </c>
      <c r="D516" s="5" t="inlineStr">
        <is>
          <t>Chinese</t>
        </is>
      </c>
      <c r="E516" s="5" t="inlineStr">
        <is>
          <t>JOUR</t>
        </is>
      </c>
      <c r="F516" s="5" t="inlineStr">
        <is>
          <t>张旗</t>
        </is>
      </c>
      <c r="G516" s="5" t="inlineStr">
        <is>
          <t>医用放射技术杂志</t>
        </is>
      </c>
      <c r="H516" s="5" t="inlineStr">
        <is>
          <t>(9):F003</t>
        </is>
      </c>
      <c r="I516" s="6" t="inlineStr">
        <is>
          <t>异位脾</t>
        </is>
      </c>
      <c r="J516" s="5" t="inlineStr"/>
      <c r="K516" s="5" t="inlineStr"/>
      <c r="L516" s="5" t="inlineStr"/>
      <c r="M516" s="5" t="inlineStr"/>
      <c r="N516" s="5" t="inlineStr"/>
      <c r="O516" s="5" t="inlineStr"/>
      <c r="P516" s="7" t="inlineStr">
        <is>
          <t>link</t>
        </is>
      </c>
      <c r="Q516" s="5" t="inlineStr"/>
      <c r="R516" s="5" t="inlineStr">
        <is>
          <t>3 Chinese</t>
        </is>
      </c>
      <c r="S516" s="5" t="inlineStr"/>
      <c r="T516" s="5" t="inlineStr">
        <is>
          <t>WS2358.pdf</t>
        </is>
      </c>
      <c r="U516" s="8" t="n"/>
      <c r="V516" s="8" t="n"/>
      <c r="W516" s="8" t="n"/>
      <c r="X516" s="8" t="n"/>
      <c r="Y516" s="8" t="n"/>
      <c r="Z516" s="8" t="n"/>
      <c r="AA516" s="8" t="n"/>
      <c r="AB516" s="8" t="n"/>
      <c r="AC516" s="8" t="n"/>
      <c r="AD516" s="8" t="n"/>
      <c r="AE516" s="8" t="inlineStr">
        <is>
          <t>no</t>
        </is>
      </c>
    </row>
    <row r="517">
      <c r="A517" s="5" t="n">
        <v>516</v>
      </c>
      <c r="B517" s="5" t="inlineStr">
        <is>
          <t>WS2122</t>
        </is>
      </c>
      <c r="C517" s="5" t="inlineStr">
        <is>
          <t>2001</t>
        </is>
      </c>
      <c r="D517" s="5" t="inlineStr">
        <is>
          <t>Chinese</t>
        </is>
      </c>
      <c r="E517" s="5" t="inlineStr">
        <is>
          <t>JOUR</t>
        </is>
      </c>
      <c r="F517" s="5" t="inlineStr">
        <is>
          <t>吴天</t>
        </is>
      </c>
      <c r="G517" s="5" t="inlineStr">
        <is>
          <t>临床放射学杂志</t>
        </is>
      </c>
      <c r="H517" s="5" t="inlineStr">
        <is>
          <t>(12):897-898</t>
        </is>
      </c>
      <c r="I517" s="6" t="inlineStr">
        <is>
          <t>读片窗</t>
        </is>
      </c>
      <c r="J517" s="5" t="inlineStr">
        <is>
          <t>10.13437/j.cnki.jcr.2001.12.001</t>
        </is>
      </c>
      <c r="K517" s="7" t="inlineStr">
        <is>
          <t>link</t>
        </is>
      </c>
      <c r="L517" s="5" t="inlineStr"/>
      <c r="M517" s="5" t="inlineStr"/>
      <c r="N517" s="5" t="inlineStr"/>
      <c r="O517" s="7" t="inlineStr">
        <is>
          <t>link</t>
        </is>
      </c>
      <c r="P517" s="5" t="inlineStr"/>
      <c r="Q517" s="5" t="inlineStr"/>
      <c r="R517" s="5" t="inlineStr">
        <is>
          <t>3 Chinese</t>
        </is>
      </c>
      <c r="S517" s="5" t="inlineStr"/>
      <c r="T517" s="5" t="inlineStr">
        <is>
          <t>WS2122.pdf</t>
        </is>
      </c>
      <c r="U517" s="8" t="n"/>
      <c r="V517" s="8" t="n"/>
      <c r="W517" s="8" t="n"/>
      <c r="X517" s="8" t="n"/>
      <c r="Y517" s="8" t="n"/>
      <c r="Z517" s="8" t="n"/>
      <c r="AA517" s="8" t="n"/>
      <c r="AB517" s="8" t="n"/>
      <c r="AC517" s="8" t="n"/>
      <c r="AD517" s="8" t="n"/>
      <c r="AE517" s="8" t="inlineStr">
        <is>
          <t>no</t>
        </is>
      </c>
    </row>
    <row r="518">
      <c r="A518" s="5" t="n">
        <v>517</v>
      </c>
      <c r="B518" s="5" t="inlineStr">
        <is>
          <t>WS2132</t>
        </is>
      </c>
      <c r="C518" s="5" t="inlineStr">
        <is>
          <t>2001</t>
        </is>
      </c>
      <c r="D518" s="5" t="inlineStr">
        <is>
          <t>Chinese</t>
        </is>
      </c>
      <c r="E518" s="5" t="inlineStr">
        <is>
          <t>JOUR</t>
        </is>
      </c>
      <c r="F518" s="5" t="inlineStr">
        <is>
          <t>王刚</t>
        </is>
      </c>
      <c r="G518" s="5" t="inlineStr">
        <is>
          <t>西北国防医学杂志</t>
        </is>
      </c>
      <c r="H518" s="5" t="inlineStr">
        <is>
          <t>(1):50-31</t>
        </is>
      </c>
      <c r="I518" s="6" t="inlineStr">
        <is>
          <t>游走脾并脾蒂扭转1例</t>
        </is>
      </c>
      <c r="J518" s="5" t="inlineStr">
        <is>
          <t>10.16021/j.cnki.1007-8622.2001.01.027</t>
        </is>
      </c>
      <c r="K518" s="7" t="inlineStr">
        <is>
          <t>link</t>
        </is>
      </c>
      <c r="L518" s="5" t="inlineStr"/>
      <c r="M518" s="5" t="inlineStr"/>
      <c r="N518" s="5" t="inlineStr"/>
      <c r="O518" s="7" t="inlineStr">
        <is>
          <t>link</t>
        </is>
      </c>
      <c r="P518" s="5" t="inlineStr"/>
      <c r="Q518" s="5" t="inlineStr"/>
      <c r="R518" s="5" t="inlineStr">
        <is>
          <t>3 Chinese</t>
        </is>
      </c>
      <c r="S518" s="5" t="inlineStr"/>
      <c r="T518" s="5" t="inlineStr">
        <is>
          <t>WS2132.pdf</t>
        </is>
      </c>
      <c r="U518" s="8" t="n"/>
      <c r="V518" s="8" t="n"/>
      <c r="W518" s="8" t="n"/>
      <c r="X518" s="8" t="n"/>
      <c r="Y518" s="8" t="n"/>
      <c r="Z518" s="8" t="n"/>
      <c r="AA518" s="8" t="n"/>
      <c r="AB518" s="8" t="n"/>
      <c r="AC518" s="8" t="n"/>
      <c r="AD518" s="8" t="n"/>
      <c r="AE518" s="8" t="inlineStr">
        <is>
          <t>no</t>
        </is>
      </c>
    </row>
    <row r="519">
      <c r="A519" s="5" t="n">
        <v>518</v>
      </c>
      <c r="B519" s="5" t="inlineStr">
        <is>
          <t>WS2359</t>
        </is>
      </c>
      <c r="C519" s="5" t="inlineStr">
        <is>
          <t>2001</t>
        </is>
      </c>
      <c r="D519" s="5" t="inlineStr">
        <is>
          <t>Chinese</t>
        </is>
      </c>
      <c r="E519" s="5" t="inlineStr">
        <is>
          <t>JOUR</t>
        </is>
      </c>
      <c r="F519" s="5" t="inlineStr">
        <is>
          <t>车明亮</t>
        </is>
      </c>
      <c r="G519" s="5" t="inlineStr">
        <is>
          <t>吉林医学信息</t>
        </is>
      </c>
      <c r="H519" s="5" t="inlineStr">
        <is>
          <t>18(11):30</t>
        </is>
      </c>
      <c r="I519" s="6" t="inlineStr">
        <is>
          <t>急性胃扭转合并游走脾1例</t>
        </is>
      </c>
      <c r="J519" s="5" t="inlineStr"/>
      <c r="K519" s="5" t="inlineStr"/>
      <c r="L519" s="5" t="inlineStr"/>
      <c r="M519" s="5" t="inlineStr"/>
      <c r="N519" s="5" t="inlineStr"/>
      <c r="O519" s="5" t="inlineStr"/>
      <c r="P519" s="7" t="inlineStr">
        <is>
          <t>link</t>
        </is>
      </c>
      <c r="Q519" s="5" t="inlineStr"/>
      <c r="R519" s="5" t="inlineStr">
        <is>
          <t>3 Chinese</t>
        </is>
      </c>
      <c r="S519" s="5" t="inlineStr"/>
      <c r="T519" s="5" t="inlineStr">
        <is>
          <t>WS2359.pdf</t>
        </is>
      </c>
      <c r="U519" s="8" t="n"/>
      <c r="V519" s="8" t="n"/>
      <c r="W519" s="8" t="n"/>
      <c r="X519" s="8" t="n"/>
      <c r="Y519" s="8" t="n"/>
      <c r="Z519" s="8" t="n"/>
      <c r="AA519" s="8" t="n"/>
      <c r="AB519" s="8" t="n"/>
      <c r="AC519" s="8" t="n"/>
      <c r="AD519" s="8" t="n"/>
      <c r="AE519" s="8" t="inlineStr">
        <is>
          <t>no</t>
        </is>
      </c>
    </row>
    <row r="520">
      <c r="A520" s="5" t="n">
        <v>519</v>
      </c>
      <c r="B520" s="5" t="inlineStr">
        <is>
          <t>WS2521</t>
        </is>
      </c>
      <c r="C520" s="5" t="inlineStr">
        <is>
          <t>2001</t>
        </is>
      </c>
      <c r="D520" s="5" t="inlineStr">
        <is>
          <t>Chinese</t>
        </is>
      </c>
      <c r="E520" s="5" t="inlineStr">
        <is>
          <t>JOUR</t>
        </is>
      </c>
      <c r="F520" s="5" t="inlineStr">
        <is>
          <t>王刚</t>
        </is>
      </c>
      <c r="G520" s="5" t="inlineStr">
        <is>
          <t>西北国防医学杂志</t>
        </is>
      </c>
      <c r="H520" s="5" t="inlineStr">
        <is>
          <t>15(1):50</t>
        </is>
      </c>
      <c r="I520" s="6" t="inlineStr">
        <is>
          <t>游走脾并脾蒂扭转</t>
        </is>
      </c>
      <c r="J520" s="5" t="inlineStr"/>
      <c r="K520" s="5" t="inlineStr"/>
      <c r="L520" s="5" t="inlineStr"/>
      <c r="M520" s="5" t="inlineStr"/>
      <c r="N520" s="5" t="inlineStr"/>
      <c r="O520" s="5" t="inlineStr"/>
      <c r="P520" s="5" t="inlineStr"/>
      <c r="Q520" s="5" t="inlineStr"/>
      <c r="R520" s="5" t="inlineStr">
        <is>
          <t>3 Chinese</t>
        </is>
      </c>
      <c r="S520" s="5" t="inlineStr"/>
      <c r="T520" s="5" t="inlineStr">
        <is>
          <t>WS2521.pdf</t>
        </is>
      </c>
      <c r="U520" s="8" t="n"/>
      <c r="V520" s="8" t="n"/>
      <c r="W520" s="8" t="n"/>
      <c r="X520" s="8" t="n"/>
      <c r="Y520" s="8" t="n"/>
      <c r="Z520" s="8" t="n"/>
      <c r="AA520" s="8" t="n"/>
      <c r="AB520" s="8" t="n"/>
      <c r="AC520" s="8" t="n"/>
      <c r="AD520" s="8" t="n"/>
      <c r="AE520" s="8" t="inlineStr">
        <is>
          <t>no</t>
        </is>
      </c>
    </row>
    <row r="521">
      <c r="A521" s="5" t="n">
        <v>520</v>
      </c>
      <c r="B521" s="5" t="inlineStr">
        <is>
          <t>WS2139</t>
        </is>
      </c>
      <c r="C521" s="5" t="inlineStr">
        <is>
          <t>2000</t>
        </is>
      </c>
      <c r="D521" s="5" t="inlineStr">
        <is>
          <t>Chinese</t>
        </is>
      </c>
      <c r="E521" s="5" t="inlineStr">
        <is>
          <t>JOUR</t>
        </is>
      </c>
      <c r="F521" s="5" t="inlineStr">
        <is>
          <t>苗志杰</t>
        </is>
      </c>
      <c r="G521" s="5" t="inlineStr">
        <is>
          <t>黑龙江医药科学</t>
        </is>
      </c>
      <c r="H521" s="5" t="inlineStr">
        <is>
          <t>23(5):56</t>
        </is>
      </c>
      <c r="I521" s="6" t="inlineStr">
        <is>
          <t>彩超诊断游离脾及脾扭转1例</t>
        </is>
      </c>
      <c r="J521" s="5" t="inlineStr"/>
      <c r="K521" s="5" t="inlineStr"/>
      <c r="L521" s="5" t="inlineStr"/>
      <c r="M521" s="5" t="inlineStr"/>
      <c r="N521" s="5" t="inlineStr"/>
      <c r="O521" s="7" t="inlineStr">
        <is>
          <t>link</t>
        </is>
      </c>
      <c r="P521" s="5" t="inlineStr"/>
      <c r="Q521" s="5" t="inlineStr"/>
      <c r="R521" s="5" t="inlineStr">
        <is>
          <t>3 Chinese</t>
        </is>
      </c>
      <c r="S521" s="5" t="inlineStr"/>
      <c r="T521" s="5" t="inlineStr">
        <is>
          <t>WS2139.pdf</t>
        </is>
      </c>
      <c r="U521" s="8" t="n"/>
      <c r="V521" s="8" t="n"/>
      <c r="W521" s="8" t="n"/>
      <c r="X521" s="8" t="n"/>
      <c r="Y521" s="8" t="n"/>
      <c r="Z521" s="8" t="n"/>
      <c r="AA521" s="8" t="n"/>
      <c r="AB521" s="8" t="n"/>
      <c r="AC521" s="8" t="n"/>
      <c r="AD521" s="8" t="n"/>
      <c r="AE521" s="8" t="inlineStr">
        <is>
          <t>no</t>
        </is>
      </c>
    </row>
    <row r="522">
      <c r="A522" s="5" t="n">
        <v>521</v>
      </c>
      <c r="B522" s="5" t="inlineStr">
        <is>
          <t>WS2143</t>
        </is>
      </c>
      <c r="C522" s="5" t="inlineStr">
        <is>
          <t>2000</t>
        </is>
      </c>
      <c r="D522" s="5" t="inlineStr">
        <is>
          <t>Chinese</t>
        </is>
      </c>
      <c r="E522" s="5" t="inlineStr">
        <is>
          <t>JOUR</t>
        </is>
      </c>
      <c r="F522" s="5" t="inlineStr">
        <is>
          <t>陈凡</t>
        </is>
      </c>
      <c r="G522" s="5" t="inlineStr">
        <is>
          <t>临床放射学杂志</t>
        </is>
      </c>
      <c r="H522" s="5" t="inlineStr">
        <is>
          <t>(4):220</t>
        </is>
      </c>
      <c r="I522" s="6" t="inlineStr">
        <is>
          <t>放射学诊断拾零</t>
        </is>
      </c>
      <c r="J522" s="5" t="inlineStr">
        <is>
          <t>10.13437/j.cnki.jcr.2000.04.015</t>
        </is>
      </c>
      <c r="K522" s="7" t="inlineStr">
        <is>
          <t>link</t>
        </is>
      </c>
      <c r="L522" s="5" t="inlineStr"/>
      <c r="M522" s="5" t="inlineStr"/>
      <c r="N522" s="5" t="inlineStr"/>
      <c r="O522" s="7" t="inlineStr">
        <is>
          <t>link</t>
        </is>
      </c>
      <c r="P522" s="5" t="inlineStr"/>
      <c r="Q522" s="5" t="inlineStr"/>
      <c r="R522" s="5" t="inlineStr">
        <is>
          <t>3 Chinese</t>
        </is>
      </c>
      <c r="S522" s="5" t="inlineStr"/>
      <c r="T522" s="5" t="inlineStr">
        <is>
          <t>WS2143.pdf</t>
        </is>
      </c>
      <c r="U522" s="8" t="n"/>
      <c r="V522" s="8" t="n"/>
      <c r="W522" s="8" t="n"/>
      <c r="X522" s="8" t="n"/>
      <c r="Y522" s="8" t="n"/>
      <c r="Z522" s="8" t="n"/>
      <c r="AA522" s="8" t="n"/>
      <c r="AB522" s="8" t="n"/>
      <c r="AC522" s="8" t="n"/>
      <c r="AD522" s="8" t="n"/>
      <c r="AE522" s="8" t="inlineStr">
        <is>
          <t>no</t>
        </is>
      </c>
    </row>
    <row r="523">
      <c r="A523" s="5" t="n">
        <v>522</v>
      </c>
      <c r="B523" s="5" t="inlineStr">
        <is>
          <t>WS2145</t>
        </is>
      </c>
      <c r="C523" s="5" t="inlineStr">
        <is>
          <t>2000</t>
        </is>
      </c>
      <c r="D523" s="5" t="inlineStr">
        <is>
          <t>Chinese</t>
        </is>
      </c>
      <c r="E523" s="5" t="inlineStr">
        <is>
          <t>JOUR</t>
        </is>
      </c>
      <c r="F523" s="5" t="inlineStr">
        <is>
          <t>李索林</t>
        </is>
      </c>
      <c r="G523" s="5" t="inlineStr">
        <is>
          <t>中华医学杂志</t>
        </is>
      </c>
      <c r="H523" s="5" t="inlineStr">
        <is>
          <t>80(1):37</t>
        </is>
      </c>
      <c r="I523" s="6" t="inlineStr">
        <is>
          <t>游走脾并发胃扭转三例</t>
        </is>
      </c>
      <c r="J523" s="5" t="inlineStr">
        <is>
          <t>10.3760/j:issn:0376-2491.2000.01.031</t>
        </is>
      </c>
      <c r="K523" s="7" t="inlineStr">
        <is>
          <t>link</t>
        </is>
      </c>
      <c r="L523" s="5" t="inlineStr"/>
      <c r="M523" s="5" t="inlineStr"/>
      <c r="N523" s="5" t="inlineStr"/>
      <c r="O523" s="7" t="inlineStr">
        <is>
          <t>link</t>
        </is>
      </c>
      <c r="P523" s="7" t="inlineStr">
        <is>
          <t>link</t>
        </is>
      </c>
      <c r="Q523" s="5" t="inlineStr"/>
      <c r="R523" s="5" t="inlineStr">
        <is>
          <t>3 Chinese</t>
        </is>
      </c>
      <c r="S523" s="5" t="inlineStr">
        <is>
          <t>Y</t>
        </is>
      </c>
      <c r="T523" s="5" t="inlineStr">
        <is>
          <t>WS2145.pdf</t>
        </is>
      </c>
      <c r="U523" s="8" t="n"/>
      <c r="V523" s="8" t="n"/>
      <c r="W523" s="8" t="n"/>
      <c r="X523" s="8" t="n"/>
      <c r="Y523" s="8" t="n"/>
      <c r="Z523" s="8" t="n"/>
      <c r="AA523" s="8" t="n"/>
      <c r="AB523" s="8" t="n"/>
      <c r="AC523" s="8" t="n"/>
      <c r="AD523" s="8" t="n"/>
      <c r="AE523" s="8" t="inlineStr">
        <is>
          <t>no</t>
        </is>
      </c>
    </row>
    <row r="524">
      <c r="A524" s="5" t="n">
        <v>523</v>
      </c>
      <c r="B524" s="5" t="inlineStr">
        <is>
          <t>WS2369</t>
        </is>
      </c>
      <c r="C524" s="5" t="inlineStr">
        <is>
          <t>2000</t>
        </is>
      </c>
      <c r="D524" s="5" t="inlineStr">
        <is>
          <t>Chinese</t>
        </is>
      </c>
      <c r="E524" s="5" t="inlineStr">
        <is>
          <t>JOUR</t>
        </is>
      </c>
      <c r="F524" s="5" t="inlineStr">
        <is>
          <t>王煊</t>
        </is>
      </c>
      <c r="G524" s="5" t="inlineStr">
        <is>
          <t>适宜诊疗技术</t>
        </is>
      </c>
      <c r="H524" s="5" t="inlineStr">
        <is>
          <t>18(1):54</t>
        </is>
      </c>
      <c r="I524" s="6" t="inlineStr">
        <is>
          <t>脾蒂扭转误诊为急性胃肠炎1例</t>
        </is>
      </c>
      <c r="J524" s="5" t="inlineStr"/>
      <c r="K524" s="5" t="inlineStr"/>
      <c r="L524" s="5" t="inlineStr"/>
      <c r="M524" s="5" t="inlineStr"/>
      <c r="N524" s="5" t="inlineStr"/>
      <c r="O524" s="5" t="inlineStr"/>
      <c r="P524" s="7" t="inlineStr">
        <is>
          <t>link</t>
        </is>
      </c>
      <c r="Q524" s="5" t="inlineStr"/>
      <c r="R524" s="5" t="inlineStr">
        <is>
          <t>3 Chinese</t>
        </is>
      </c>
      <c r="S524" s="5" t="inlineStr"/>
      <c r="T524" s="5" t="inlineStr">
        <is>
          <t>WS2369.pdf</t>
        </is>
      </c>
      <c r="U524" s="8" t="n"/>
      <c r="V524" s="8" t="n"/>
      <c r="W524" s="8" t="n"/>
      <c r="X524" s="8" t="n"/>
      <c r="Y524" s="8" t="n"/>
      <c r="Z524" s="8" t="n"/>
      <c r="AA524" s="8" t="n"/>
      <c r="AB524" s="8" t="n"/>
      <c r="AC524" s="8" t="n"/>
      <c r="AD524" s="8" t="n"/>
      <c r="AE524" s="8" t="inlineStr">
        <is>
          <t>no</t>
        </is>
      </c>
    </row>
    <row r="525">
      <c r="A525" s="5" t="n">
        <v>524</v>
      </c>
      <c r="B525" s="5" t="inlineStr">
        <is>
          <t>WS1266</t>
        </is>
      </c>
      <c r="C525" s="5" t="inlineStr">
        <is>
          <t>2024</t>
        </is>
      </c>
      <c r="D525" s="5" t="inlineStr">
        <is>
          <t>English</t>
        </is>
      </c>
      <c r="E525" s="5" t="inlineStr">
        <is>
          <t>JOUR</t>
        </is>
      </c>
      <c r="F525" s="5" t="inlineStr">
        <is>
          <t>Samant</t>
        </is>
      </c>
      <c r="G525" s="5" t="inlineStr">
        <is>
          <t>AMERICAN JOURNAL OF THE MEDICAL SCIENCES</t>
        </is>
      </c>
      <c r="H525" s="5" t="inlineStr">
        <is>
          <t>367:S276-S276</t>
        </is>
      </c>
      <c r="I525" s="6" t="inlineStr">
        <is>
          <t>Oh spleen, where are you? A case report of a wandering spleen and splenic torsion</t>
        </is>
      </c>
      <c r="J525" s="5" t="inlineStr"/>
      <c r="K525" s="5" t="inlineStr"/>
      <c r="L525" s="5" t="inlineStr"/>
      <c r="M525" s="5" t="inlineStr"/>
      <c r="N525" s="5" t="inlineStr"/>
      <c r="O525" s="5" t="inlineStr"/>
      <c r="P525" s="5" t="inlineStr"/>
      <c r="Q525" s="5" t="inlineStr"/>
      <c r="R525" s="5" t="inlineStr">
        <is>
          <t>4 English, no DOI and no PubMed link</t>
        </is>
      </c>
      <c r="S525" s="5" t="inlineStr"/>
      <c r="T525" s="5" t="inlineStr">
        <is>
          <t>WS1266.pdf</t>
        </is>
      </c>
      <c r="U525" s="8" t="n"/>
      <c r="V525" s="8" t="n"/>
      <c r="W525" s="8" t="n"/>
      <c r="X525" s="8" t="n"/>
      <c r="Y525" s="8" t="n"/>
      <c r="Z525" s="8" t="n"/>
      <c r="AA525" s="8" t="n"/>
      <c r="AB525" s="8" t="n"/>
      <c r="AC525" s="8" t="n"/>
      <c r="AD525" s="8" t="n"/>
      <c r="AE525" s="8" t="inlineStr">
        <is>
          <t>no</t>
        </is>
      </c>
    </row>
    <row r="526">
      <c r="A526" s="5" t="n">
        <v>525</v>
      </c>
      <c r="B526" s="5" t="inlineStr">
        <is>
          <t>WS1334</t>
        </is>
      </c>
      <c r="C526" s="5" t="inlineStr">
        <is>
          <t>2022</t>
        </is>
      </c>
      <c r="D526" s="5" t="inlineStr">
        <is>
          <t>English</t>
        </is>
      </c>
      <c r="E526" s="5" t="inlineStr">
        <is>
          <t>JOUR</t>
        </is>
      </c>
      <c r="F526" s="5" t="inlineStr">
        <is>
          <t>Said</t>
        </is>
      </c>
      <c r="G526" s="5" t="inlineStr">
        <is>
          <t>HISTOPATHOLOGY</t>
        </is>
      </c>
      <c r="H526" s="5" t="inlineStr">
        <is>
          <t>81:131-131</t>
        </is>
      </c>
      <c r="I526" s="6" t="inlineStr">
        <is>
          <t>Intrapancreatic ectopic spleen: clinical-pathologic correlation of 56 cases</t>
        </is>
      </c>
      <c r="J526" s="5" t="inlineStr"/>
      <c r="K526" s="5" t="inlineStr"/>
      <c r="L526" s="5" t="inlineStr"/>
      <c r="M526" s="5" t="inlineStr"/>
      <c r="N526" s="5" t="inlineStr"/>
      <c r="O526" s="5" t="inlineStr"/>
      <c r="P526" s="5" t="inlineStr"/>
      <c r="Q526" s="5" t="inlineStr"/>
      <c r="R526" s="5" t="inlineStr">
        <is>
          <t>4 English, no DOI and no PubMed link</t>
        </is>
      </c>
      <c r="S526" s="5" t="inlineStr"/>
      <c r="T526" s="5" t="inlineStr">
        <is>
          <t>WS1334.pdf</t>
        </is>
      </c>
      <c r="U526" s="8" t="n"/>
      <c r="V526" s="8" t="n"/>
      <c r="W526" s="8" t="n"/>
      <c r="X526" s="8" t="n"/>
      <c r="Y526" s="8" t="n"/>
      <c r="Z526" s="8" t="n"/>
      <c r="AA526" s="8" t="n"/>
      <c r="AB526" s="8" t="n"/>
      <c r="AC526" s="8" t="n"/>
      <c r="AD526" s="8" t="n"/>
      <c r="AE526" s="8" t="inlineStr">
        <is>
          <t>no</t>
        </is>
      </c>
    </row>
    <row r="527">
      <c r="A527" s="5" t="n">
        <v>526</v>
      </c>
      <c r="B527" s="5" t="inlineStr">
        <is>
          <t>WS1271</t>
        </is>
      </c>
      <c r="C527" s="5" t="inlineStr">
        <is>
          <t>2020</t>
        </is>
      </c>
      <c r="D527" s="5" t="inlineStr">
        <is>
          <t>English</t>
        </is>
      </c>
      <c r="E527" s="5" t="inlineStr">
        <is>
          <t>JOUR</t>
        </is>
      </c>
      <c r="F527" s="5" t="inlineStr">
        <is>
          <t>Cosariu</t>
        </is>
      </c>
      <c r="G527" s="5" t="inlineStr">
        <is>
          <t>BRITISH JOURNAL OF SURGERY</t>
        </is>
      </c>
      <c r="H527" s="5" t="inlineStr">
        <is>
          <t>107:55-55</t>
        </is>
      </c>
      <c r="I527" s="6" t="inlineStr">
        <is>
          <t>Splenic Infarction Due to Torsion of the Splenic Pedicle in the Postpartum Period: A Case Report</t>
        </is>
      </c>
      <c r="J527" s="5" t="inlineStr"/>
      <c r="K527" s="5" t="inlineStr"/>
      <c r="L527" s="5" t="inlineStr"/>
      <c r="M527" s="5" t="inlineStr"/>
      <c r="N527" s="5" t="inlineStr"/>
      <c r="O527" s="5" t="inlineStr"/>
      <c r="P527" s="5" t="inlineStr"/>
      <c r="Q527" s="5" t="inlineStr"/>
      <c r="R527" s="5" t="inlineStr">
        <is>
          <t>4 English, no DOI and no PubMed link</t>
        </is>
      </c>
      <c r="S527" s="5" t="inlineStr"/>
      <c r="T527" s="5" t="inlineStr">
        <is>
          <t>WS1271.pdf</t>
        </is>
      </c>
      <c r="U527" s="8" t="n"/>
      <c r="V527" s="8" t="n"/>
      <c r="W527" s="8" t="n"/>
      <c r="X527" s="8" t="n"/>
      <c r="Y527" s="8" t="n"/>
      <c r="Z527" s="8" t="n"/>
      <c r="AA527" s="8" t="n"/>
      <c r="AB527" s="8" t="n"/>
      <c r="AC527" s="8" t="n"/>
      <c r="AD527" s="8" t="n"/>
      <c r="AE527" s="8" t="inlineStr">
        <is>
          <t>no</t>
        </is>
      </c>
    </row>
    <row r="528">
      <c r="A528" s="5" t="n">
        <v>527</v>
      </c>
      <c r="B528" s="5" t="inlineStr">
        <is>
          <t>WS1347</t>
        </is>
      </c>
      <c r="C528" s="5" t="inlineStr">
        <is>
          <t>2018</t>
        </is>
      </c>
      <c r="D528" s="5" t="inlineStr">
        <is>
          <t>English</t>
        </is>
      </c>
      <c r="E528" s="5" t="inlineStr">
        <is>
          <t>JOUR</t>
        </is>
      </c>
      <c r="F528" s="5" t="inlineStr">
        <is>
          <t>Oksuzoglu</t>
        </is>
      </c>
      <c r="G528" s="5" t="inlineStr">
        <is>
          <t>EUROPEAN JOURNAL OF NUCLEAR MEDICINE AND MOLECULAR IMAGING</t>
        </is>
      </c>
      <c r="H528" s="5" t="inlineStr">
        <is>
          <t>45:S429-S429</t>
        </is>
      </c>
      <c r="I528" s="6" t="inlineStr">
        <is>
          <t>Wandering spleen on FDG PET/CT</t>
        </is>
      </c>
      <c r="J528" s="5" t="inlineStr"/>
      <c r="K528" s="5" t="inlineStr"/>
      <c r="L528" s="5" t="inlineStr"/>
      <c r="M528" s="5" t="inlineStr"/>
      <c r="N528" s="5" t="inlineStr"/>
      <c r="O528" s="5" t="inlineStr"/>
      <c r="P528" s="5" t="inlineStr"/>
      <c r="Q528" s="5" t="inlineStr"/>
      <c r="R528" s="5" t="inlineStr">
        <is>
          <t>4 English, no DOI and no PubMed link</t>
        </is>
      </c>
      <c r="S528" s="5" t="inlineStr"/>
      <c r="T528" s="5" t="inlineStr">
        <is>
          <t>WS1347.pdf</t>
        </is>
      </c>
      <c r="U528" s="8" t="n"/>
      <c r="V528" s="8" t="n"/>
      <c r="W528" s="8" t="n"/>
      <c r="X528" s="8" t="n"/>
      <c r="Y528" s="8" t="n"/>
      <c r="Z528" s="8" t="n"/>
      <c r="AA528" s="8" t="n"/>
      <c r="AB528" s="8" t="n"/>
      <c r="AC528" s="8" t="n"/>
      <c r="AD528" s="8" t="n"/>
      <c r="AE528" s="8" t="inlineStr">
        <is>
          <t>no</t>
        </is>
      </c>
    </row>
    <row r="529">
      <c r="A529" s="5" t="n">
        <v>528</v>
      </c>
      <c r="B529" s="5" t="inlineStr">
        <is>
          <t>WS1307</t>
        </is>
      </c>
      <c r="C529" s="5" t="inlineStr">
        <is>
          <t>2016</t>
        </is>
      </c>
      <c r="D529" s="5" t="inlineStr">
        <is>
          <t>English</t>
        </is>
      </c>
      <c r="E529" s="5" t="inlineStr">
        <is>
          <t>JOUR</t>
        </is>
      </c>
      <c r="F529" s="5" t="inlineStr">
        <is>
          <t>Jara</t>
        </is>
      </c>
      <c r="G529" s="5" t="inlineStr">
        <is>
          <t>BRITISH JOURNAL OF SURGERY</t>
        </is>
      </c>
      <c r="H529" s="5" t="inlineStr">
        <is>
          <t>103:9-9</t>
        </is>
      </c>
      <c r="I529" s="6" t="inlineStr">
        <is>
          <t>TORSION OF THE SPLENIC PEDICLE AND DISTAL PANCREAS</t>
        </is>
      </c>
      <c r="J529" s="5" t="inlineStr"/>
      <c r="K529" s="5" t="inlineStr"/>
      <c r="L529" s="5" t="inlineStr"/>
      <c r="M529" s="5" t="inlineStr"/>
      <c r="N529" s="5" t="inlineStr"/>
      <c r="O529" s="5" t="inlineStr"/>
      <c r="P529" s="5" t="inlineStr"/>
      <c r="Q529" s="5" t="inlineStr"/>
      <c r="R529" s="5" t="inlineStr">
        <is>
          <t>4 English, no DOI and no PubMed link</t>
        </is>
      </c>
      <c r="S529" s="5" t="inlineStr"/>
      <c r="T529" s="5" t="inlineStr">
        <is>
          <t>WS1307.pdf</t>
        </is>
      </c>
      <c r="U529" s="8" t="n"/>
      <c r="V529" s="8" t="n"/>
      <c r="W529" s="8" t="n"/>
      <c r="X529" s="8" t="n"/>
      <c r="Y529" s="8" t="n"/>
      <c r="Z529" s="8" t="n"/>
      <c r="AA529" s="8" t="n"/>
      <c r="AB529" s="8" t="n"/>
      <c r="AC529" s="8" t="n"/>
      <c r="AD529" s="8" t="n"/>
      <c r="AE529" s="8" t="inlineStr">
        <is>
          <t>no</t>
        </is>
      </c>
    </row>
    <row r="530">
      <c r="A530" s="5" t="n">
        <v>529</v>
      </c>
      <c r="B530" s="5" t="inlineStr">
        <is>
          <t>WS1345</t>
        </is>
      </c>
      <c r="C530" s="5" t="inlineStr">
        <is>
          <t>2015</t>
        </is>
      </c>
      <c r="D530" s="5" t="inlineStr">
        <is>
          <t>English</t>
        </is>
      </c>
      <c r="E530" s="5" t="inlineStr">
        <is>
          <t>JOUR</t>
        </is>
      </c>
      <c r="F530" s="5" t="inlineStr">
        <is>
          <t>Braganza</t>
        </is>
      </c>
      <c r="G530" s="5" t="inlineStr">
        <is>
          <t>BRITISH JOURNAL OF SURGERY</t>
        </is>
      </c>
      <c r="H530" s="5" t="inlineStr">
        <is>
          <t>102:139-139</t>
        </is>
      </c>
      <c r="I530" s="6" t="inlineStr">
        <is>
          <t>Bockdalek Hernia with an Infarcted Torted Wandering Pelvic Spleen</t>
        </is>
      </c>
      <c r="J530" s="5" t="inlineStr"/>
      <c r="K530" s="5" t="inlineStr"/>
      <c r="L530" s="5" t="inlineStr"/>
      <c r="M530" s="5" t="inlineStr"/>
      <c r="N530" s="5" t="inlineStr"/>
      <c r="O530" s="5" t="inlineStr"/>
      <c r="P530" s="5" t="inlineStr"/>
      <c r="Q530" s="5" t="inlineStr"/>
      <c r="R530" s="5" t="inlineStr">
        <is>
          <t>4 English, no DOI and no PubMed link</t>
        </is>
      </c>
      <c r="S530" s="5" t="inlineStr"/>
      <c r="T530" s="5" t="inlineStr">
        <is>
          <t>WS1345.pdf</t>
        </is>
      </c>
      <c r="U530" s="8" t="n"/>
      <c r="V530" s="8" t="n"/>
      <c r="W530" s="8" t="n"/>
      <c r="X530" s="8" t="n"/>
      <c r="Y530" s="8" t="n"/>
      <c r="Z530" s="8" t="n"/>
      <c r="AA530" s="8" t="n"/>
      <c r="AB530" s="8" t="n"/>
      <c r="AC530" s="8" t="n"/>
      <c r="AD530" s="8" t="n"/>
      <c r="AE530" s="8" t="inlineStr">
        <is>
          <t>no</t>
        </is>
      </c>
    </row>
    <row r="531">
      <c r="A531" s="5" t="n">
        <v>530</v>
      </c>
      <c r="B531" s="5" t="inlineStr">
        <is>
          <t>WS1698</t>
        </is>
      </c>
      <c r="C531" s="5" t="inlineStr">
        <is>
          <t>2014</t>
        </is>
      </c>
      <c r="D531" s="5" t="inlineStr">
        <is>
          <t>English</t>
        </is>
      </c>
      <c r="E531" s="5" t="inlineStr">
        <is>
          <t>JOUR</t>
        </is>
      </c>
      <c r="F531" s="5" t="inlineStr">
        <is>
          <t>Radillo</t>
        </is>
      </c>
      <c r="G531" s="5" t="inlineStr">
        <is>
          <t>Medico e Bambino</t>
        </is>
      </c>
      <c r="H531" s="5" t="inlineStr">
        <is>
          <t>33(10):659-662</t>
        </is>
      </c>
      <c r="I531" s="6" t="inlineStr">
        <is>
          <t>Wandering spleen in children</t>
        </is>
      </c>
      <c r="J531" s="5" t="inlineStr"/>
      <c r="K531" s="5" t="inlineStr"/>
      <c r="L531" s="5" t="inlineStr"/>
      <c r="M531" s="5" t="inlineStr"/>
      <c r="N531" s="5" t="inlineStr"/>
      <c r="O531" s="5" t="inlineStr"/>
      <c r="P531" s="5" t="inlineStr"/>
      <c r="Q531" s="7" t="inlineStr">
        <is>
          <t>link</t>
        </is>
      </c>
      <c r="R531" s="5" t="inlineStr">
        <is>
          <t>4 English, no DOI and no PubMed link</t>
        </is>
      </c>
      <c r="S531" s="5" t="inlineStr"/>
      <c r="T531" s="5" t="inlineStr">
        <is>
          <t>WS1698.pdf</t>
        </is>
      </c>
      <c r="U531" s="8" t="n"/>
      <c r="V531" s="8" t="n"/>
      <c r="W531" s="8" t="n"/>
      <c r="X531" s="8" t="n"/>
      <c r="Y531" s="8" t="n"/>
      <c r="Z531" s="8" t="n"/>
      <c r="AA531" s="8" t="n"/>
      <c r="AB531" s="8" t="n"/>
      <c r="AC531" s="8" t="n"/>
      <c r="AD531" s="8" t="n"/>
      <c r="AE531" s="8" t="inlineStr">
        <is>
          <t>no</t>
        </is>
      </c>
    </row>
    <row r="532">
      <c r="A532" s="5" t="n">
        <v>531</v>
      </c>
      <c r="B532" s="5" t="inlineStr">
        <is>
          <t>WS1691</t>
        </is>
      </c>
      <c r="C532" s="5" t="inlineStr">
        <is>
          <t>2011</t>
        </is>
      </c>
      <c r="D532" s="5" t="inlineStr">
        <is>
          <t>English</t>
        </is>
      </c>
      <c r="E532" s="5" t="inlineStr">
        <is>
          <t>JOUR</t>
        </is>
      </c>
      <c r="F532" s="5" t="inlineStr">
        <is>
          <t>Alsawaf</t>
        </is>
      </c>
      <c r="G532" s="5" t="inlineStr">
        <is>
          <t>CME Journal Geriatric Medicine</t>
        </is>
      </c>
      <c r="H532" s="5" t="inlineStr">
        <is>
          <t>13(3):112-113</t>
        </is>
      </c>
      <c r="I532" s="6" t="inlineStr">
        <is>
          <t>The scanner: A pelvic surprise</t>
        </is>
      </c>
      <c r="J532" s="5" t="inlineStr"/>
      <c r="K532" s="5" t="inlineStr"/>
      <c r="L532" s="5" t="inlineStr"/>
      <c r="M532" s="5" t="inlineStr"/>
      <c r="N532" s="5" t="inlineStr"/>
      <c r="O532" s="5" t="inlineStr"/>
      <c r="P532" s="5" t="inlineStr"/>
      <c r="Q532" s="7" t="inlineStr">
        <is>
          <t>link</t>
        </is>
      </c>
      <c r="R532" s="5" t="inlineStr">
        <is>
          <t>4 English, no DOI and no PubMed link</t>
        </is>
      </c>
      <c r="S532" s="5" t="inlineStr"/>
      <c r="T532" s="5" t="inlineStr">
        <is>
          <t>WS1691.pdf</t>
        </is>
      </c>
      <c r="U532" s="8" t="n"/>
      <c r="V532" s="8" t="n"/>
      <c r="W532" s="8" t="n"/>
      <c r="X532" s="8" t="n"/>
      <c r="Y532" s="8" t="n"/>
      <c r="Z532" s="8" t="n"/>
      <c r="AA532" s="8" t="n"/>
      <c r="AB532" s="8" t="n"/>
      <c r="AC532" s="8" t="n"/>
      <c r="AD532" s="8" t="n"/>
      <c r="AE532" s="8" t="inlineStr">
        <is>
          <t>no</t>
        </is>
      </c>
    </row>
    <row r="533">
      <c r="A533" s="5" t="n">
        <v>532</v>
      </c>
      <c r="B533" s="5" t="inlineStr">
        <is>
          <t>WS1658</t>
        </is>
      </c>
      <c r="C533" s="5" t="inlineStr">
        <is>
          <t>2010</t>
        </is>
      </c>
      <c r="D533" s="5" t="inlineStr">
        <is>
          <t>English</t>
        </is>
      </c>
      <c r="E533" s="5" t="inlineStr">
        <is>
          <t>JOUR</t>
        </is>
      </c>
      <c r="F533" s="5" t="inlineStr">
        <is>
          <t>Carapinha</t>
        </is>
      </c>
      <c r="G533" s="5" t="inlineStr">
        <is>
          <t>SAJCH South African Journal of Child Health</t>
        </is>
      </c>
      <c r="H533" s="5" t="inlineStr">
        <is>
          <t>4(2):54-55</t>
        </is>
      </c>
      <c r="I533" s="6" t="inlineStr">
        <is>
          <t>Torsion of a wandering spleen</t>
        </is>
      </c>
      <c r="J533" s="5" t="inlineStr"/>
      <c r="K533" s="5" t="inlineStr"/>
      <c r="L533" s="5" t="inlineStr"/>
      <c r="M533" s="5" t="inlineStr"/>
      <c r="N533" s="5" t="inlineStr"/>
      <c r="O533" s="5" t="inlineStr"/>
      <c r="P533" s="5" t="inlineStr"/>
      <c r="Q533" s="7" t="inlineStr">
        <is>
          <t>link</t>
        </is>
      </c>
      <c r="R533" s="5" t="inlineStr">
        <is>
          <t>4 English, no DOI and no PubMed link</t>
        </is>
      </c>
      <c r="S533" s="5" t="inlineStr"/>
      <c r="T533" s="5" t="inlineStr">
        <is>
          <t>WS1658.pdf</t>
        </is>
      </c>
      <c r="U533" s="8" t="n"/>
      <c r="V533" s="8" t="n"/>
      <c r="W533" s="8" t="n"/>
      <c r="X533" s="8" t="n"/>
      <c r="Y533" s="8" t="n"/>
      <c r="Z533" s="8" t="n"/>
      <c r="AA533" s="8" t="n"/>
      <c r="AB533" s="8" t="n"/>
      <c r="AC533" s="8" t="n"/>
      <c r="AD533" s="8" t="n"/>
      <c r="AE533" s="8" t="inlineStr">
        <is>
          <t>no</t>
        </is>
      </c>
    </row>
    <row r="534">
      <c r="A534" s="5" t="n">
        <v>533</v>
      </c>
      <c r="B534" s="5" t="inlineStr">
        <is>
          <t>WS1349</t>
        </is>
      </c>
      <c r="C534" s="5" t="inlineStr">
        <is>
          <t>2009</t>
        </is>
      </c>
      <c r="D534" s="5" t="inlineStr">
        <is>
          <t>English</t>
        </is>
      </c>
      <c r="E534" s="5" t="inlineStr">
        <is>
          <t>JOUR</t>
        </is>
      </c>
      <c r="F534" s="5" t="inlineStr">
        <is>
          <t>Sharath</t>
        </is>
      </c>
      <c r="G534" s="5" t="inlineStr">
        <is>
          <t>Iranian Journal of Radiology</t>
        </is>
      </c>
      <c r="H534" s="5" t="inlineStr">
        <is>
          <t>6(3):178-180</t>
        </is>
      </c>
      <c r="I534" s="6" t="inlineStr">
        <is>
          <t>Torsion of a wandering spleen: A pediatric acute abdominal presentation</t>
        </is>
      </c>
      <c r="J534" s="5" t="inlineStr"/>
      <c r="K534" s="5" t="inlineStr"/>
      <c r="L534" s="5" t="inlineStr"/>
      <c r="M534" s="5" t="inlineStr"/>
      <c r="N534" s="5" t="inlineStr"/>
      <c r="O534" s="5" t="inlineStr"/>
      <c r="P534" s="5" t="inlineStr"/>
      <c r="Q534" s="7" t="inlineStr">
        <is>
          <t>link</t>
        </is>
      </c>
      <c r="R534" s="5" t="inlineStr">
        <is>
          <t>4 English, no DOI and no PubMed link</t>
        </is>
      </c>
      <c r="S534" s="5" t="inlineStr"/>
      <c r="T534" s="5" t="inlineStr">
        <is>
          <t>WS1349.pdf</t>
        </is>
      </c>
      <c r="U534" s="8" t="n"/>
      <c r="V534" s="8" t="n"/>
      <c r="W534" s="8" t="n"/>
      <c r="X534" s="8" t="n"/>
      <c r="Y534" s="8" t="n"/>
      <c r="Z534" s="8" t="n"/>
      <c r="AA534" s="8" t="n"/>
      <c r="AB534" s="8" t="n"/>
      <c r="AC534" s="8" t="n"/>
      <c r="AD534" s="8" t="n"/>
      <c r="AE534" s="8" t="inlineStr">
        <is>
          <t>no</t>
        </is>
      </c>
    </row>
    <row r="535">
      <c r="A535" s="5" t="n">
        <v>534</v>
      </c>
      <c r="B535" s="5" t="inlineStr">
        <is>
          <t>WS1353</t>
        </is>
      </c>
      <c r="C535" s="5" t="inlineStr">
        <is>
          <t>2008</t>
        </is>
      </c>
      <c r="D535" s="5" t="inlineStr">
        <is>
          <t>English</t>
        </is>
      </c>
      <c r="E535" s="5" t="inlineStr">
        <is>
          <t>JOUR</t>
        </is>
      </c>
      <c r="F535" s="5" t="inlineStr">
        <is>
          <t>Fabio</t>
        </is>
      </c>
      <c r="G535" s="5" t="inlineStr">
        <is>
          <t>HAEMATOLOGICA-THE HEMATOLOGY JOURNAL</t>
        </is>
      </c>
      <c r="H535" s="5" t="inlineStr">
        <is>
          <t>93:472-473</t>
        </is>
      </c>
      <c r="I535" s="6" t="inlineStr">
        <is>
          <t>THE WANDERING SPLEEN: CASE REPORT AND REVIEW OF THE LITERATURE</t>
        </is>
      </c>
      <c r="J535" s="5" t="inlineStr"/>
      <c r="K535" s="5" t="inlineStr"/>
      <c r="L535" s="5" t="inlineStr"/>
      <c r="M535" s="5" t="inlineStr"/>
      <c r="N535" s="5" t="inlineStr"/>
      <c r="O535" s="5" t="inlineStr"/>
      <c r="P535" s="5" t="inlineStr"/>
      <c r="Q535" s="5" t="inlineStr"/>
      <c r="R535" s="5" t="inlineStr">
        <is>
          <t>4 English, no DOI and no PubMed link</t>
        </is>
      </c>
      <c r="S535" s="5" t="inlineStr"/>
      <c r="T535" s="5" t="inlineStr">
        <is>
          <t>WS1353.pdf</t>
        </is>
      </c>
      <c r="U535" s="8" t="n"/>
      <c r="V535" s="8" t="n"/>
      <c r="W535" s="8" t="n"/>
      <c r="X535" s="8" t="n"/>
      <c r="Y535" s="8" t="n"/>
      <c r="Z535" s="8" t="n"/>
      <c r="AA535" s="8" t="n"/>
      <c r="AB535" s="8" t="n"/>
      <c r="AC535" s="8" t="n"/>
      <c r="AD535" s="8" t="n"/>
      <c r="AE535" s="8" t="inlineStr">
        <is>
          <t>no</t>
        </is>
      </c>
    </row>
    <row r="536">
      <c r="A536" s="5" t="n">
        <v>535</v>
      </c>
      <c r="B536" s="5" t="inlineStr">
        <is>
          <t>WS1651</t>
        </is>
      </c>
      <c r="C536" s="5" t="inlineStr">
        <is>
          <t>2008</t>
        </is>
      </c>
      <c r="D536" s="5" t="inlineStr">
        <is>
          <t>English</t>
        </is>
      </c>
      <c r="E536" s="5" t="inlineStr">
        <is>
          <t>JOUR</t>
        </is>
      </c>
      <c r="F536" s="5" t="inlineStr">
        <is>
          <t>Choh</t>
        </is>
      </c>
      <c r="G536" s="5" t="inlineStr">
        <is>
          <t>Pakistan Paediatric Journal</t>
        </is>
      </c>
      <c r="H536" s="5" t="inlineStr">
        <is>
          <t>32(2):132-134</t>
        </is>
      </c>
      <c r="I536" s="6" t="inlineStr">
        <is>
          <t>Wandering spleen presenting as recurrent abdominal pain in a young female</t>
        </is>
      </c>
      <c r="J536" s="5" t="inlineStr"/>
      <c r="K536" s="5" t="inlineStr"/>
      <c r="L536" s="5" t="inlineStr"/>
      <c r="M536" s="5" t="inlineStr"/>
      <c r="N536" s="5" t="inlineStr"/>
      <c r="O536" s="5" t="inlineStr"/>
      <c r="P536" s="5" t="inlineStr"/>
      <c r="Q536" s="7" t="inlineStr">
        <is>
          <t>link</t>
        </is>
      </c>
      <c r="R536" s="5" t="inlineStr">
        <is>
          <t>4 English, no DOI and no PubMed link</t>
        </is>
      </c>
      <c r="S536" s="5" t="inlineStr"/>
      <c r="T536" s="5" t="inlineStr">
        <is>
          <t>WS1651.pdf</t>
        </is>
      </c>
      <c r="U536" s="8" t="n"/>
      <c r="V536" s="8" t="n"/>
      <c r="W536" s="8" t="n"/>
      <c r="X536" s="8" t="n"/>
      <c r="Y536" s="8" t="n"/>
      <c r="Z536" s="8" t="n"/>
      <c r="AA536" s="8" t="n"/>
      <c r="AB536" s="8" t="n"/>
      <c r="AC536" s="8" t="n"/>
      <c r="AD536" s="8" t="n"/>
      <c r="AE536" s="8" t="inlineStr">
        <is>
          <t>no</t>
        </is>
      </c>
    </row>
    <row r="537">
      <c r="A537" s="5" t="n">
        <v>536</v>
      </c>
      <c r="B537" s="5" t="inlineStr">
        <is>
          <t>WS1654</t>
        </is>
      </c>
      <c r="C537" s="5" t="inlineStr">
        <is>
          <t>2006</t>
        </is>
      </c>
      <c r="D537" s="5" t="inlineStr">
        <is>
          <t>English</t>
        </is>
      </c>
      <c r="E537" s="5" t="inlineStr">
        <is>
          <t>JOUR</t>
        </is>
      </c>
      <c r="F537" s="5" t="inlineStr">
        <is>
          <t>Marques</t>
        </is>
      </c>
      <c r="G537" s="5" t="inlineStr">
        <is>
          <t>Pediatrics in Review</t>
        </is>
      </c>
      <c r="H537" s="5" t="inlineStr">
        <is>
          <t>27(7):271+275-277</t>
        </is>
      </c>
      <c r="I537" s="6" t="inlineStr">
        <is>
          <t>Index of suspicion: Case 3. Presentation</t>
        </is>
      </c>
      <c r="J537" s="5" t="inlineStr"/>
      <c r="K537" s="5" t="inlineStr"/>
      <c r="L537" s="5" t="inlineStr"/>
      <c r="M537" s="5" t="inlineStr"/>
      <c r="N537" s="5" t="inlineStr"/>
      <c r="O537" s="5" t="inlineStr"/>
      <c r="P537" s="5" t="inlineStr"/>
      <c r="Q537" s="7" t="inlineStr">
        <is>
          <t>link</t>
        </is>
      </c>
      <c r="R537" s="5" t="inlineStr">
        <is>
          <t>4 English, no DOI and no PubMed link</t>
        </is>
      </c>
      <c r="S537" s="5" t="inlineStr"/>
      <c r="T537" s="5" t="inlineStr">
        <is>
          <t>WS1654.pdf</t>
        </is>
      </c>
      <c r="U537" s="8" t="n"/>
      <c r="V537" s="8" t="n"/>
      <c r="W537" s="8" t="n"/>
      <c r="X537" s="8" t="n"/>
      <c r="Y537" s="8" t="n"/>
      <c r="Z537" s="8" t="n"/>
      <c r="AA537" s="8" t="n"/>
      <c r="AB537" s="8" t="n"/>
      <c r="AC537" s="8" t="n"/>
      <c r="AD537" s="8" t="n"/>
      <c r="AE537" s="8" t="inlineStr">
        <is>
          <t>no</t>
        </is>
      </c>
    </row>
    <row r="538">
      <c r="A538" s="5" t="n">
        <v>537</v>
      </c>
      <c r="B538" s="5" t="inlineStr">
        <is>
          <t>WS1393</t>
        </is>
      </c>
      <c r="C538" s="5" t="inlineStr">
        <is>
          <t>2002</t>
        </is>
      </c>
      <c r="D538" s="5" t="inlineStr">
        <is>
          <t>English</t>
        </is>
      </c>
      <c r="E538" s="5" t="inlineStr">
        <is>
          <t>JOUR</t>
        </is>
      </c>
      <c r="F538" s="5" t="inlineStr">
        <is>
          <t>Chan</t>
        </is>
      </c>
      <c r="G538" s="5" t="inlineStr">
        <is>
          <t>Journal of the Formosan Medical Association</t>
        </is>
      </c>
      <c r="H538" s="5" t="inlineStr">
        <is>
          <t>101(9):674</t>
        </is>
      </c>
      <c r="I538" s="6" t="inlineStr">
        <is>
          <t>Erratum: Acute abdomen of a wandering spleen (Journal of the Formosan Medical Association (2002) vol. 101 (577-580))</t>
        </is>
      </c>
      <c r="J538" s="5" t="inlineStr"/>
      <c r="K538" s="5" t="inlineStr"/>
      <c r="L538" s="5" t="inlineStr"/>
      <c r="M538" s="5" t="inlineStr"/>
      <c r="N538" s="5" t="inlineStr"/>
      <c r="O538" s="5" t="inlineStr"/>
      <c r="P538" s="5" t="inlineStr"/>
      <c r="Q538" s="7" t="inlineStr">
        <is>
          <t>link</t>
        </is>
      </c>
      <c r="R538" s="5" t="inlineStr">
        <is>
          <t>4 English, no DOI and no PubMed link</t>
        </is>
      </c>
      <c r="S538" s="5" t="inlineStr"/>
      <c r="T538" s="5" t="inlineStr">
        <is>
          <t>WS1393.pdf</t>
        </is>
      </c>
      <c r="U538" s="8" t="n"/>
      <c r="V538" s="8" t="n"/>
      <c r="W538" s="8" t="n"/>
      <c r="X538" s="8" t="n"/>
      <c r="Y538" s="8" t="n"/>
      <c r="Z538" s="8" t="n"/>
      <c r="AA538" s="8" t="n"/>
      <c r="AB538" s="8" t="n"/>
      <c r="AC538" s="8" t="n"/>
      <c r="AD538" s="8" t="n"/>
      <c r="AE538" s="8" t="inlineStr">
        <is>
          <t>no</t>
        </is>
      </c>
    </row>
    <row r="539">
      <c r="A539" s="5" t="n">
        <v>538</v>
      </c>
      <c r="B539" s="5" t="inlineStr">
        <is>
          <t>WS1416</t>
        </is>
      </c>
      <c r="C539" s="5" t="inlineStr">
        <is>
          <t>2002</t>
        </is>
      </c>
      <c r="D539" s="5" t="inlineStr">
        <is>
          <t>English</t>
        </is>
      </c>
      <c r="E539" s="5" t="inlineStr">
        <is>
          <t>JOUR</t>
        </is>
      </c>
      <c r="F539" s="5" t="inlineStr">
        <is>
          <t>Lobo</t>
        </is>
      </c>
      <c r="G539" s="5" t="inlineStr">
        <is>
          <t>BLOOD</t>
        </is>
      </c>
      <c r="H539" s="5" t="inlineStr">
        <is>
          <t>100(11):502B-502B</t>
        </is>
      </c>
      <c r="I539" s="6" t="inlineStr">
        <is>
          <t>Splenic ptosis corrected through videolaparoscopy in patients with Gaucher disease.</t>
        </is>
      </c>
      <c r="J539" s="5" t="inlineStr"/>
      <c r="K539" s="5" t="inlineStr"/>
      <c r="L539" s="5" t="inlineStr"/>
      <c r="M539" s="5" t="inlineStr"/>
      <c r="N539" s="5" t="inlineStr"/>
      <c r="O539" s="5" t="inlineStr"/>
      <c r="P539" s="5" t="inlineStr"/>
      <c r="Q539" s="5" t="inlineStr"/>
      <c r="R539" s="5" t="inlineStr">
        <is>
          <t>4 English, no DOI and no PubMed link</t>
        </is>
      </c>
      <c r="S539" s="5" t="inlineStr"/>
      <c r="T539" s="5" t="inlineStr">
        <is>
          <t>WS1416.pdf</t>
        </is>
      </c>
      <c r="U539" s="8" t="n"/>
      <c r="V539" s="8" t="n"/>
      <c r="W539" s="8" t="n"/>
      <c r="X539" s="8" t="n"/>
      <c r="Y539" s="8" t="n"/>
      <c r="Z539" s="8" t="n"/>
      <c r="AA539" s="8" t="n"/>
      <c r="AB539" s="8" t="n"/>
      <c r="AC539" s="8" t="n"/>
      <c r="AD539" s="8" t="n"/>
      <c r="AE539" s="8" t="inlineStr">
        <is>
          <t>no</t>
        </is>
      </c>
    </row>
    <row r="540">
      <c r="A540" s="5" t="n">
        <v>539</v>
      </c>
      <c r="B540" s="5" t="inlineStr">
        <is>
          <t>WS1659</t>
        </is>
      </c>
      <c r="C540" s="5" t="inlineStr">
        <is>
          <t>2002</t>
        </is>
      </c>
      <c r="D540" s="5" t="inlineStr">
        <is>
          <t>English</t>
        </is>
      </c>
      <c r="E540" s="5" t="inlineStr">
        <is>
          <t>JOUR</t>
        </is>
      </c>
      <c r="F540" s="5" t="inlineStr">
        <is>
          <t>Dahiya</t>
        </is>
      </c>
      <c r="G540" s="5" t="inlineStr">
        <is>
          <t>Indian Journal of Radiology and Imaging</t>
        </is>
      </c>
      <c r="H540" s="5" t="inlineStr">
        <is>
          <t>12(3):359-362</t>
        </is>
      </c>
      <c r="I540" s="6" t="inlineStr">
        <is>
          <t>Wandering spleen: Unusual presentation and course of events</t>
        </is>
      </c>
      <c r="J540" s="5" t="inlineStr"/>
      <c r="K540" s="5" t="inlineStr"/>
      <c r="L540" s="5" t="inlineStr"/>
      <c r="M540" s="5" t="inlineStr"/>
      <c r="N540" s="5" t="inlineStr"/>
      <c r="O540" s="5" t="inlineStr"/>
      <c r="P540" s="5" t="inlineStr"/>
      <c r="Q540" s="7" t="inlineStr">
        <is>
          <t>link</t>
        </is>
      </c>
      <c r="R540" s="5" t="inlineStr">
        <is>
          <t>4 English, no DOI and no PubMed link</t>
        </is>
      </c>
      <c r="S540" s="5" t="inlineStr"/>
      <c r="T540" s="5" t="inlineStr">
        <is>
          <t>WS1659.pdf</t>
        </is>
      </c>
      <c r="U540" s="8" t="n"/>
      <c r="V540" s="8" t="n"/>
      <c r="W540" s="8" t="n"/>
      <c r="X540" s="8" t="n"/>
      <c r="Y540" s="8" t="n"/>
      <c r="Z540" s="8" t="n"/>
      <c r="AA540" s="8" t="n"/>
      <c r="AB540" s="8" t="n"/>
      <c r="AC540" s="8" t="n"/>
      <c r="AD540" s="8" t="n"/>
      <c r="AE540" s="8" t="inlineStr">
        <is>
          <t>no</t>
        </is>
      </c>
    </row>
    <row r="541">
      <c r="A541" s="5" t="n">
        <v>540</v>
      </c>
      <c r="B541" s="5" t="inlineStr">
        <is>
          <t>WS1656</t>
        </is>
      </c>
      <c r="C541" s="5" t="inlineStr">
        <is>
          <t>2000</t>
        </is>
      </c>
      <c r="D541" s="5" t="inlineStr">
        <is>
          <t>English</t>
        </is>
      </c>
      <c r="E541" s="5" t="inlineStr">
        <is>
          <t>JOUR</t>
        </is>
      </c>
      <c r="F541" s="5" t="inlineStr">
        <is>
          <t>Radević</t>
        </is>
      </c>
      <c r="G541" s="5" t="inlineStr">
        <is>
          <t>Archives of Gastroenterohepatology</t>
        </is>
      </c>
      <c r="H541" s="5" t="inlineStr">
        <is>
          <t>19(3-4):100-102</t>
        </is>
      </c>
      <c r="I541" s="6" t="inlineStr">
        <is>
          <t>Blood dyscrasia caused by wandering spleen reversed by partial splenic resection and splenopexy</t>
        </is>
      </c>
      <c r="J541" s="5" t="inlineStr"/>
      <c r="K541" s="5" t="inlineStr"/>
      <c r="L541" s="5" t="inlineStr"/>
      <c r="M541" s="5" t="inlineStr"/>
      <c r="N541" s="5" t="inlineStr"/>
      <c r="O541" s="5" t="inlineStr"/>
      <c r="P541" s="5" t="inlineStr"/>
      <c r="Q541" s="7" t="inlineStr">
        <is>
          <t>link</t>
        </is>
      </c>
      <c r="R541" s="5" t="inlineStr">
        <is>
          <t>4 English, no DOI and no PubMed link</t>
        </is>
      </c>
      <c r="S541" s="5" t="inlineStr"/>
      <c r="T541" s="5" t="inlineStr">
        <is>
          <t>WS1656.pdf</t>
        </is>
      </c>
      <c r="U541" s="8" t="n"/>
      <c r="V541" s="8" t="n"/>
      <c r="W541" s="8" t="n"/>
      <c r="X541" s="8" t="n"/>
      <c r="Y541" s="8" t="n"/>
      <c r="Z541" s="8" t="n"/>
      <c r="AA541" s="8" t="n"/>
      <c r="AB541" s="8" t="n"/>
      <c r="AC541" s="8" t="n"/>
      <c r="AD541" s="8" t="n"/>
      <c r="AE541" s="8" t="inlineStr">
        <is>
          <t>no</t>
        </is>
      </c>
    </row>
  </sheetData>
  <autoFilter ref="A1:AE541"/>
  <dataValidations count="3">
    <dataValidation sqref="W2:W541 AB2:AB541" showDropDown="0" showInputMessage="0" showErrorMessage="0" allowBlank="1" type="list">
      <formula1>"Yes,No"</formula1>
    </dataValidation>
    <dataValidation sqref="X2:X541" showDropDown="0" showInputMessage="0" showErrorMessage="0" allowBlank="1" type="list">
      <formula1>"Publisher or open access,PubMed Central,Library subscription,Interlibrary loan or document delivery,CNKI or Wanfang,Contact author,Other,Not obtained"</formula1>
    </dataValidation>
    <dataValidation sqref="U2:U541 Z2:Z541" showDropDown="0" showInputMessage="0" showErrorMessage="0" allowBlank="1" type="list">
      <formula1>"舒俊,卞红强,彭飞,其他"</formula1>
    </dataValidation>
  </dataValidations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N2" r:id="rId3"/>
    <hyperlink xmlns:r="http://schemas.openxmlformats.org/officeDocument/2006/relationships" ref="K3" r:id="rId4"/>
    <hyperlink xmlns:r="http://schemas.openxmlformats.org/officeDocument/2006/relationships" ref="L3" r:id="rId5"/>
    <hyperlink xmlns:r="http://schemas.openxmlformats.org/officeDocument/2006/relationships" ref="N3" r:id="rId6"/>
    <hyperlink xmlns:r="http://schemas.openxmlformats.org/officeDocument/2006/relationships" ref="K4" r:id="rId7"/>
    <hyperlink xmlns:r="http://schemas.openxmlformats.org/officeDocument/2006/relationships" ref="L4" r:id="rId8"/>
    <hyperlink xmlns:r="http://schemas.openxmlformats.org/officeDocument/2006/relationships" ref="N4" r:id="rId9"/>
    <hyperlink xmlns:r="http://schemas.openxmlformats.org/officeDocument/2006/relationships" ref="K5" r:id="rId10"/>
    <hyperlink xmlns:r="http://schemas.openxmlformats.org/officeDocument/2006/relationships" ref="L5" r:id="rId11"/>
    <hyperlink xmlns:r="http://schemas.openxmlformats.org/officeDocument/2006/relationships" ref="N5" r:id="rId12"/>
    <hyperlink xmlns:r="http://schemas.openxmlformats.org/officeDocument/2006/relationships" ref="K6" r:id="rId13"/>
    <hyperlink xmlns:r="http://schemas.openxmlformats.org/officeDocument/2006/relationships" ref="L6" r:id="rId14"/>
    <hyperlink xmlns:r="http://schemas.openxmlformats.org/officeDocument/2006/relationships" ref="N6" r:id="rId15"/>
    <hyperlink xmlns:r="http://schemas.openxmlformats.org/officeDocument/2006/relationships" ref="K7" r:id="rId16"/>
    <hyperlink xmlns:r="http://schemas.openxmlformats.org/officeDocument/2006/relationships" ref="L7" r:id="rId17"/>
    <hyperlink xmlns:r="http://schemas.openxmlformats.org/officeDocument/2006/relationships" ref="N7" r:id="rId18"/>
    <hyperlink xmlns:r="http://schemas.openxmlformats.org/officeDocument/2006/relationships" ref="K8" r:id="rId19"/>
    <hyperlink xmlns:r="http://schemas.openxmlformats.org/officeDocument/2006/relationships" ref="L8" r:id="rId20"/>
    <hyperlink xmlns:r="http://schemas.openxmlformats.org/officeDocument/2006/relationships" ref="N8" r:id="rId21"/>
    <hyperlink xmlns:r="http://schemas.openxmlformats.org/officeDocument/2006/relationships" ref="K9" r:id="rId22"/>
    <hyperlink xmlns:r="http://schemas.openxmlformats.org/officeDocument/2006/relationships" ref="L9" r:id="rId23"/>
    <hyperlink xmlns:r="http://schemas.openxmlformats.org/officeDocument/2006/relationships" ref="N9" r:id="rId24"/>
    <hyperlink xmlns:r="http://schemas.openxmlformats.org/officeDocument/2006/relationships" ref="K10" r:id="rId25"/>
    <hyperlink xmlns:r="http://schemas.openxmlformats.org/officeDocument/2006/relationships" ref="L10" r:id="rId26"/>
    <hyperlink xmlns:r="http://schemas.openxmlformats.org/officeDocument/2006/relationships" ref="N10" r:id="rId27"/>
    <hyperlink xmlns:r="http://schemas.openxmlformats.org/officeDocument/2006/relationships" ref="K11" r:id="rId28"/>
    <hyperlink xmlns:r="http://schemas.openxmlformats.org/officeDocument/2006/relationships" ref="L11" r:id="rId29"/>
    <hyperlink xmlns:r="http://schemas.openxmlformats.org/officeDocument/2006/relationships" ref="N11" r:id="rId30"/>
    <hyperlink xmlns:r="http://schemas.openxmlformats.org/officeDocument/2006/relationships" ref="K12" r:id="rId31"/>
    <hyperlink xmlns:r="http://schemas.openxmlformats.org/officeDocument/2006/relationships" ref="L12" r:id="rId32"/>
    <hyperlink xmlns:r="http://schemas.openxmlformats.org/officeDocument/2006/relationships" ref="N12" r:id="rId33"/>
    <hyperlink xmlns:r="http://schemas.openxmlformats.org/officeDocument/2006/relationships" ref="K13" r:id="rId34"/>
    <hyperlink xmlns:r="http://schemas.openxmlformats.org/officeDocument/2006/relationships" ref="L13" r:id="rId35"/>
    <hyperlink xmlns:r="http://schemas.openxmlformats.org/officeDocument/2006/relationships" ref="N13" r:id="rId36"/>
    <hyperlink xmlns:r="http://schemas.openxmlformats.org/officeDocument/2006/relationships" ref="K14" r:id="rId37"/>
    <hyperlink xmlns:r="http://schemas.openxmlformats.org/officeDocument/2006/relationships" ref="L14" r:id="rId38"/>
    <hyperlink xmlns:r="http://schemas.openxmlformats.org/officeDocument/2006/relationships" ref="N14" r:id="rId39"/>
    <hyperlink xmlns:r="http://schemas.openxmlformats.org/officeDocument/2006/relationships" ref="K15" r:id="rId40"/>
    <hyperlink xmlns:r="http://schemas.openxmlformats.org/officeDocument/2006/relationships" ref="L15" r:id="rId41"/>
    <hyperlink xmlns:r="http://schemas.openxmlformats.org/officeDocument/2006/relationships" ref="N15" r:id="rId42"/>
    <hyperlink xmlns:r="http://schemas.openxmlformats.org/officeDocument/2006/relationships" ref="K16" r:id="rId43"/>
    <hyperlink xmlns:r="http://schemas.openxmlformats.org/officeDocument/2006/relationships" ref="L16" r:id="rId44"/>
    <hyperlink xmlns:r="http://schemas.openxmlformats.org/officeDocument/2006/relationships" ref="N16" r:id="rId45"/>
    <hyperlink xmlns:r="http://schemas.openxmlformats.org/officeDocument/2006/relationships" ref="K17" r:id="rId46"/>
    <hyperlink xmlns:r="http://schemas.openxmlformats.org/officeDocument/2006/relationships" ref="L17" r:id="rId47"/>
    <hyperlink xmlns:r="http://schemas.openxmlformats.org/officeDocument/2006/relationships" ref="N17" r:id="rId48"/>
    <hyperlink xmlns:r="http://schemas.openxmlformats.org/officeDocument/2006/relationships" ref="K18" r:id="rId49"/>
    <hyperlink xmlns:r="http://schemas.openxmlformats.org/officeDocument/2006/relationships" ref="L18" r:id="rId50"/>
    <hyperlink xmlns:r="http://schemas.openxmlformats.org/officeDocument/2006/relationships" ref="N18" r:id="rId51"/>
    <hyperlink xmlns:r="http://schemas.openxmlformats.org/officeDocument/2006/relationships" ref="K19" r:id="rId52"/>
    <hyperlink xmlns:r="http://schemas.openxmlformats.org/officeDocument/2006/relationships" ref="L19" r:id="rId53"/>
    <hyperlink xmlns:r="http://schemas.openxmlformats.org/officeDocument/2006/relationships" ref="N19" r:id="rId54"/>
    <hyperlink xmlns:r="http://schemas.openxmlformats.org/officeDocument/2006/relationships" ref="K20" r:id="rId55"/>
    <hyperlink xmlns:r="http://schemas.openxmlformats.org/officeDocument/2006/relationships" ref="L20" r:id="rId56"/>
    <hyperlink xmlns:r="http://schemas.openxmlformats.org/officeDocument/2006/relationships" ref="N20" r:id="rId57"/>
    <hyperlink xmlns:r="http://schemas.openxmlformats.org/officeDocument/2006/relationships" ref="K21" r:id="rId58"/>
    <hyperlink xmlns:r="http://schemas.openxmlformats.org/officeDocument/2006/relationships" ref="L21" r:id="rId59"/>
    <hyperlink xmlns:r="http://schemas.openxmlformats.org/officeDocument/2006/relationships" ref="N21" r:id="rId60"/>
    <hyperlink xmlns:r="http://schemas.openxmlformats.org/officeDocument/2006/relationships" ref="K22" r:id="rId61"/>
    <hyperlink xmlns:r="http://schemas.openxmlformats.org/officeDocument/2006/relationships" ref="L22" r:id="rId62"/>
    <hyperlink xmlns:r="http://schemas.openxmlformats.org/officeDocument/2006/relationships" ref="N22" r:id="rId63"/>
    <hyperlink xmlns:r="http://schemas.openxmlformats.org/officeDocument/2006/relationships" ref="K23" r:id="rId64"/>
    <hyperlink xmlns:r="http://schemas.openxmlformats.org/officeDocument/2006/relationships" ref="L23" r:id="rId65"/>
    <hyperlink xmlns:r="http://schemas.openxmlformats.org/officeDocument/2006/relationships" ref="N23" r:id="rId66"/>
    <hyperlink xmlns:r="http://schemas.openxmlformats.org/officeDocument/2006/relationships" ref="K24" r:id="rId67"/>
    <hyperlink xmlns:r="http://schemas.openxmlformats.org/officeDocument/2006/relationships" ref="L24" r:id="rId68"/>
    <hyperlink xmlns:r="http://schemas.openxmlformats.org/officeDocument/2006/relationships" ref="N24" r:id="rId69"/>
    <hyperlink xmlns:r="http://schemas.openxmlformats.org/officeDocument/2006/relationships" ref="K25" r:id="rId70"/>
    <hyperlink xmlns:r="http://schemas.openxmlformats.org/officeDocument/2006/relationships" ref="L25" r:id="rId71"/>
    <hyperlink xmlns:r="http://schemas.openxmlformats.org/officeDocument/2006/relationships" ref="N25" r:id="rId72"/>
    <hyperlink xmlns:r="http://schemas.openxmlformats.org/officeDocument/2006/relationships" ref="K26" r:id="rId73"/>
    <hyperlink xmlns:r="http://schemas.openxmlformats.org/officeDocument/2006/relationships" ref="L26" r:id="rId74"/>
    <hyperlink xmlns:r="http://schemas.openxmlformats.org/officeDocument/2006/relationships" ref="N26" r:id="rId75"/>
    <hyperlink xmlns:r="http://schemas.openxmlformats.org/officeDocument/2006/relationships" ref="K27" r:id="rId76"/>
    <hyperlink xmlns:r="http://schemas.openxmlformats.org/officeDocument/2006/relationships" ref="L27" r:id="rId77"/>
    <hyperlink xmlns:r="http://schemas.openxmlformats.org/officeDocument/2006/relationships" ref="N27" r:id="rId78"/>
    <hyperlink xmlns:r="http://schemas.openxmlformats.org/officeDocument/2006/relationships" ref="K28" r:id="rId79"/>
    <hyperlink xmlns:r="http://schemas.openxmlformats.org/officeDocument/2006/relationships" ref="L28" r:id="rId80"/>
    <hyperlink xmlns:r="http://schemas.openxmlformats.org/officeDocument/2006/relationships" ref="N28" r:id="rId81"/>
    <hyperlink xmlns:r="http://schemas.openxmlformats.org/officeDocument/2006/relationships" ref="K29" r:id="rId82"/>
    <hyperlink xmlns:r="http://schemas.openxmlformats.org/officeDocument/2006/relationships" ref="L29" r:id="rId83"/>
    <hyperlink xmlns:r="http://schemas.openxmlformats.org/officeDocument/2006/relationships" ref="N29" r:id="rId84"/>
    <hyperlink xmlns:r="http://schemas.openxmlformats.org/officeDocument/2006/relationships" ref="K30" r:id="rId85"/>
    <hyperlink xmlns:r="http://schemas.openxmlformats.org/officeDocument/2006/relationships" ref="L30" r:id="rId86"/>
    <hyperlink xmlns:r="http://schemas.openxmlformats.org/officeDocument/2006/relationships" ref="N30" r:id="rId87"/>
    <hyperlink xmlns:r="http://schemas.openxmlformats.org/officeDocument/2006/relationships" ref="K31" r:id="rId88"/>
    <hyperlink xmlns:r="http://schemas.openxmlformats.org/officeDocument/2006/relationships" ref="L31" r:id="rId89"/>
    <hyperlink xmlns:r="http://schemas.openxmlformats.org/officeDocument/2006/relationships" ref="N31" r:id="rId90"/>
    <hyperlink xmlns:r="http://schemas.openxmlformats.org/officeDocument/2006/relationships" ref="K32" r:id="rId91"/>
    <hyperlink xmlns:r="http://schemas.openxmlformats.org/officeDocument/2006/relationships" ref="L32" r:id="rId92"/>
    <hyperlink xmlns:r="http://schemas.openxmlformats.org/officeDocument/2006/relationships" ref="N32" r:id="rId93"/>
    <hyperlink xmlns:r="http://schemas.openxmlformats.org/officeDocument/2006/relationships" ref="K33" r:id="rId94"/>
    <hyperlink xmlns:r="http://schemas.openxmlformats.org/officeDocument/2006/relationships" ref="L33" r:id="rId95"/>
    <hyperlink xmlns:r="http://schemas.openxmlformats.org/officeDocument/2006/relationships" ref="N33" r:id="rId96"/>
    <hyperlink xmlns:r="http://schemas.openxmlformats.org/officeDocument/2006/relationships" ref="K34" r:id="rId97"/>
    <hyperlink xmlns:r="http://schemas.openxmlformats.org/officeDocument/2006/relationships" ref="L34" r:id="rId98"/>
    <hyperlink xmlns:r="http://schemas.openxmlformats.org/officeDocument/2006/relationships" ref="N34" r:id="rId99"/>
    <hyperlink xmlns:r="http://schemas.openxmlformats.org/officeDocument/2006/relationships" ref="K35" r:id="rId100"/>
    <hyperlink xmlns:r="http://schemas.openxmlformats.org/officeDocument/2006/relationships" ref="L35" r:id="rId101"/>
    <hyperlink xmlns:r="http://schemas.openxmlformats.org/officeDocument/2006/relationships" ref="N35" r:id="rId102"/>
    <hyperlink xmlns:r="http://schemas.openxmlformats.org/officeDocument/2006/relationships" ref="K36" r:id="rId103"/>
    <hyperlink xmlns:r="http://schemas.openxmlformats.org/officeDocument/2006/relationships" ref="L36" r:id="rId104"/>
    <hyperlink xmlns:r="http://schemas.openxmlformats.org/officeDocument/2006/relationships" ref="N36" r:id="rId105"/>
    <hyperlink xmlns:r="http://schemas.openxmlformats.org/officeDocument/2006/relationships" ref="K37" r:id="rId106"/>
    <hyperlink xmlns:r="http://schemas.openxmlformats.org/officeDocument/2006/relationships" ref="L37" r:id="rId107"/>
    <hyperlink xmlns:r="http://schemas.openxmlformats.org/officeDocument/2006/relationships" ref="N37" r:id="rId108"/>
    <hyperlink xmlns:r="http://schemas.openxmlformats.org/officeDocument/2006/relationships" ref="K38" r:id="rId109"/>
    <hyperlink xmlns:r="http://schemas.openxmlformats.org/officeDocument/2006/relationships" ref="L38" r:id="rId110"/>
    <hyperlink xmlns:r="http://schemas.openxmlformats.org/officeDocument/2006/relationships" ref="N38" r:id="rId111"/>
    <hyperlink xmlns:r="http://schemas.openxmlformats.org/officeDocument/2006/relationships" ref="K39" r:id="rId112"/>
    <hyperlink xmlns:r="http://schemas.openxmlformats.org/officeDocument/2006/relationships" ref="L39" r:id="rId113"/>
    <hyperlink xmlns:r="http://schemas.openxmlformats.org/officeDocument/2006/relationships" ref="N39" r:id="rId114"/>
    <hyperlink xmlns:r="http://schemas.openxmlformats.org/officeDocument/2006/relationships" ref="K40" r:id="rId115"/>
    <hyperlink xmlns:r="http://schemas.openxmlformats.org/officeDocument/2006/relationships" ref="L40" r:id="rId116"/>
    <hyperlink xmlns:r="http://schemas.openxmlformats.org/officeDocument/2006/relationships" ref="N40" r:id="rId117"/>
    <hyperlink xmlns:r="http://schemas.openxmlformats.org/officeDocument/2006/relationships" ref="K41" r:id="rId118"/>
    <hyperlink xmlns:r="http://schemas.openxmlformats.org/officeDocument/2006/relationships" ref="L41" r:id="rId119"/>
    <hyperlink xmlns:r="http://schemas.openxmlformats.org/officeDocument/2006/relationships" ref="N41" r:id="rId120"/>
    <hyperlink xmlns:r="http://schemas.openxmlformats.org/officeDocument/2006/relationships" ref="K42" r:id="rId121"/>
    <hyperlink xmlns:r="http://schemas.openxmlformats.org/officeDocument/2006/relationships" ref="L42" r:id="rId122"/>
    <hyperlink xmlns:r="http://schemas.openxmlformats.org/officeDocument/2006/relationships" ref="N42" r:id="rId123"/>
    <hyperlink xmlns:r="http://schemas.openxmlformats.org/officeDocument/2006/relationships" ref="K43" r:id="rId124"/>
    <hyperlink xmlns:r="http://schemas.openxmlformats.org/officeDocument/2006/relationships" ref="L43" r:id="rId125"/>
    <hyperlink xmlns:r="http://schemas.openxmlformats.org/officeDocument/2006/relationships" ref="N43" r:id="rId126"/>
    <hyperlink xmlns:r="http://schemas.openxmlformats.org/officeDocument/2006/relationships" ref="K44" r:id="rId127"/>
    <hyperlink xmlns:r="http://schemas.openxmlformats.org/officeDocument/2006/relationships" ref="L44" r:id="rId128"/>
    <hyperlink xmlns:r="http://schemas.openxmlformats.org/officeDocument/2006/relationships" ref="N44" r:id="rId129"/>
    <hyperlink xmlns:r="http://schemas.openxmlformats.org/officeDocument/2006/relationships" ref="K45" r:id="rId130"/>
    <hyperlink xmlns:r="http://schemas.openxmlformats.org/officeDocument/2006/relationships" ref="L45" r:id="rId131"/>
    <hyperlink xmlns:r="http://schemas.openxmlformats.org/officeDocument/2006/relationships" ref="N45" r:id="rId132"/>
    <hyperlink xmlns:r="http://schemas.openxmlformats.org/officeDocument/2006/relationships" ref="K46" r:id="rId133"/>
    <hyperlink xmlns:r="http://schemas.openxmlformats.org/officeDocument/2006/relationships" ref="L46" r:id="rId134"/>
    <hyperlink xmlns:r="http://schemas.openxmlformats.org/officeDocument/2006/relationships" ref="N46" r:id="rId135"/>
    <hyperlink xmlns:r="http://schemas.openxmlformats.org/officeDocument/2006/relationships" ref="K47" r:id="rId136"/>
    <hyperlink xmlns:r="http://schemas.openxmlformats.org/officeDocument/2006/relationships" ref="L47" r:id="rId137"/>
    <hyperlink xmlns:r="http://schemas.openxmlformats.org/officeDocument/2006/relationships" ref="N47" r:id="rId138"/>
    <hyperlink xmlns:r="http://schemas.openxmlformats.org/officeDocument/2006/relationships" ref="K48" r:id="rId139"/>
    <hyperlink xmlns:r="http://schemas.openxmlformats.org/officeDocument/2006/relationships" ref="L48" r:id="rId140"/>
    <hyperlink xmlns:r="http://schemas.openxmlformats.org/officeDocument/2006/relationships" ref="N48" r:id="rId141"/>
    <hyperlink xmlns:r="http://schemas.openxmlformats.org/officeDocument/2006/relationships" ref="K49" r:id="rId142"/>
    <hyperlink xmlns:r="http://schemas.openxmlformats.org/officeDocument/2006/relationships" ref="L49" r:id="rId143"/>
    <hyperlink xmlns:r="http://schemas.openxmlformats.org/officeDocument/2006/relationships" ref="N49" r:id="rId144"/>
    <hyperlink xmlns:r="http://schemas.openxmlformats.org/officeDocument/2006/relationships" ref="K50" r:id="rId145"/>
    <hyperlink xmlns:r="http://schemas.openxmlformats.org/officeDocument/2006/relationships" ref="L50" r:id="rId146"/>
    <hyperlink xmlns:r="http://schemas.openxmlformats.org/officeDocument/2006/relationships" ref="N50" r:id="rId147"/>
    <hyperlink xmlns:r="http://schemas.openxmlformats.org/officeDocument/2006/relationships" ref="K51" r:id="rId148"/>
    <hyperlink xmlns:r="http://schemas.openxmlformats.org/officeDocument/2006/relationships" ref="L51" r:id="rId149"/>
    <hyperlink xmlns:r="http://schemas.openxmlformats.org/officeDocument/2006/relationships" ref="N51" r:id="rId150"/>
    <hyperlink xmlns:r="http://schemas.openxmlformats.org/officeDocument/2006/relationships" ref="K52" r:id="rId151"/>
    <hyperlink xmlns:r="http://schemas.openxmlformats.org/officeDocument/2006/relationships" ref="L52" r:id="rId152"/>
    <hyperlink xmlns:r="http://schemas.openxmlformats.org/officeDocument/2006/relationships" ref="N52" r:id="rId153"/>
    <hyperlink xmlns:r="http://schemas.openxmlformats.org/officeDocument/2006/relationships" ref="K53" r:id="rId154"/>
    <hyperlink xmlns:r="http://schemas.openxmlformats.org/officeDocument/2006/relationships" ref="L53" r:id="rId155"/>
    <hyperlink xmlns:r="http://schemas.openxmlformats.org/officeDocument/2006/relationships" ref="N53" r:id="rId156"/>
    <hyperlink xmlns:r="http://schemas.openxmlformats.org/officeDocument/2006/relationships" ref="K54" r:id="rId157"/>
    <hyperlink xmlns:r="http://schemas.openxmlformats.org/officeDocument/2006/relationships" ref="L54" r:id="rId158"/>
    <hyperlink xmlns:r="http://schemas.openxmlformats.org/officeDocument/2006/relationships" ref="N54" r:id="rId159"/>
    <hyperlink xmlns:r="http://schemas.openxmlformats.org/officeDocument/2006/relationships" ref="K55" r:id="rId160"/>
    <hyperlink xmlns:r="http://schemas.openxmlformats.org/officeDocument/2006/relationships" ref="L55" r:id="rId161"/>
    <hyperlink xmlns:r="http://schemas.openxmlformats.org/officeDocument/2006/relationships" ref="N55" r:id="rId162"/>
    <hyperlink xmlns:r="http://schemas.openxmlformats.org/officeDocument/2006/relationships" ref="K56" r:id="rId163"/>
    <hyperlink xmlns:r="http://schemas.openxmlformats.org/officeDocument/2006/relationships" ref="L56" r:id="rId164"/>
    <hyperlink xmlns:r="http://schemas.openxmlformats.org/officeDocument/2006/relationships" ref="N56" r:id="rId165"/>
    <hyperlink xmlns:r="http://schemas.openxmlformats.org/officeDocument/2006/relationships" ref="K57" r:id="rId166"/>
    <hyperlink xmlns:r="http://schemas.openxmlformats.org/officeDocument/2006/relationships" ref="L57" r:id="rId167"/>
    <hyperlink xmlns:r="http://schemas.openxmlformats.org/officeDocument/2006/relationships" ref="N57" r:id="rId168"/>
    <hyperlink xmlns:r="http://schemas.openxmlformats.org/officeDocument/2006/relationships" ref="K58" r:id="rId169"/>
    <hyperlink xmlns:r="http://schemas.openxmlformats.org/officeDocument/2006/relationships" ref="L58" r:id="rId170"/>
    <hyperlink xmlns:r="http://schemas.openxmlformats.org/officeDocument/2006/relationships" ref="N58" r:id="rId171"/>
    <hyperlink xmlns:r="http://schemas.openxmlformats.org/officeDocument/2006/relationships" ref="K59" r:id="rId172"/>
    <hyperlink xmlns:r="http://schemas.openxmlformats.org/officeDocument/2006/relationships" ref="L59" r:id="rId173"/>
    <hyperlink xmlns:r="http://schemas.openxmlformats.org/officeDocument/2006/relationships" ref="N59" r:id="rId174"/>
    <hyperlink xmlns:r="http://schemas.openxmlformats.org/officeDocument/2006/relationships" ref="K60" r:id="rId175"/>
    <hyperlink xmlns:r="http://schemas.openxmlformats.org/officeDocument/2006/relationships" ref="L60" r:id="rId176"/>
    <hyperlink xmlns:r="http://schemas.openxmlformats.org/officeDocument/2006/relationships" ref="N60" r:id="rId177"/>
    <hyperlink xmlns:r="http://schemas.openxmlformats.org/officeDocument/2006/relationships" ref="K61" r:id="rId178"/>
    <hyperlink xmlns:r="http://schemas.openxmlformats.org/officeDocument/2006/relationships" ref="L61" r:id="rId179"/>
    <hyperlink xmlns:r="http://schemas.openxmlformats.org/officeDocument/2006/relationships" ref="N61" r:id="rId180"/>
    <hyperlink xmlns:r="http://schemas.openxmlformats.org/officeDocument/2006/relationships" ref="K62" r:id="rId181"/>
    <hyperlink xmlns:r="http://schemas.openxmlformats.org/officeDocument/2006/relationships" ref="L62" r:id="rId182"/>
    <hyperlink xmlns:r="http://schemas.openxmlformats.org/officeDocument/2006/relationships" ref="N62" r:id="rId183"/>
    <hyperlink xmlns:r="http://schemas.openxmlformats.org/officeDocument/2006/relationships" ref="K63" r:id="rId184"/>
    <hyperlink xmlns:r="http://schemas.openxmlformats.org/officeDocument/2006/relationships" ref="L63" r:id="rId185"/>
    <hyperlink xmlns:r="http://schemas.openxmlformats.org/officeDocument/2006/relationships" ref="N63" r:id="rId186"/>
    <hyperlink xmlns:r="http://schemas.openxmlformats.org/officeDocument/2006/relationships" ref="K64" r:id="rId187"/>
    <hyperlink xmlns:r="http://schemas.openxmlformats.org/officeDocument/2006/relationships" ref="L64" r:id="rId188"/>
    <hyperlink xmlns:r="http://schemas.openxmlformats.org/officeDocument/2006/relationships" ref="N64" r:id="rId189"/>
    <hyperlink xmlns:r="http://schemas.openxmlformats.org/officeDocument/2006/relationships" ref="K65" r:id="rId190"/>
    <hyperlink xmlns:r="http://schemas.openxmlformats.org/officeDocument/2006/relationships" ref="L65" r:id="rId191"/>
    <hyperlink xmlns:r="http://schemas.openxmlformats.org/officeDocument/2006/relationships" ref="N65" r:id="rId192"/>
    <hyperlink xmlns:r="http://schemas.openxmlformats.org/officeDocument/2006/relationships" ref="K66" r:id="rId193"/>
    <hyperlink xmlns:r="http://schemas.openxmlformats.org/officeDocument/2006/relationships" ref="L66" r:id="rId194"/>
    <hyperlink xmlns:r="http://schemas.openxmlformats.org/officeDocument/2006/relationships" ref="N66" r:id="rId195"/>
    <hyperlink xmlns:r="http://schemas.openxmlformats.org/officeDocument/2006/relationships" ref="K67" r:id="rId196"/>
    <hyperlink xmlns:r="http://schemas.openxmlformats.org/officeDocument/2006/relationships" ref="L67" r:id="rId197"/>
    <hyperlink xmlns:r="http://schemas.openxmlformats.org/officeDocument/2006/relationships" ref="N67" r:id="rId198"/>
    <hyperlink xmlns:r="http://schemas.openxmlformats.org/officeDocument/2006/relationships" ref="K68" r:id="rId199"/>
    <hyperlink xmlns:r="http://schemas.openxmlformats.org/officeDocument/2006/relationships" ref="L68" r:id="rId200"/>
    <hyperlink xmlns:r="http://schemas.openxmlformats.org/officeDocument/2006/relationships" ref="N68" r:id="rId201"/>
    <hyperlink xmlns:r="http://schemas.openxmlformats.org/officeDocument/2006/relationships" ref="K69" r:id="rId202"/>
    <hyperlink xmlns:r="http://schemas.openxmlformats.org/officeDocument/2006/relationships" ref="L69" r:id="rId203"/>
    <hyperlink xmlns:r="http://schemas.openxmlformats.org/officeDocument/2006/relationships" ref="N69" r:id="rId204"/>
    <hyperlink xmlns:r="http://schemas.openxmlformats.org/officeDocument/2006/relationships" ref="K70" r:id="rId205"/>
    <hyperlink xmlns:r="http://schemas.openxmlformats.org/officeDocument/2006/relationships" ref="L70" r:id="rId206"/>
    <hyperlink xmlns:r="http://schemas.openxmlformats.org/officeDocument/2006/relationships" ref="N70" r:id="rId207"/>
    <hyperlink xmlns:r="http://schemas.openxmlformats.org/officeDocument/2006/relationships" ref="K71" r:id="rId208"/>
    <hyperlink xmlns:r="http://schemas.openxmlformats.org/officeDocument/2006/relationships" ref="L71" r:id="rId209"/>
    <hyperlink xmlns:r="http://schemas.openxmlformats.org/officeDocument/2006/relationships" ref="N71" r:id="rId210"/>
    <hyperlink xmlns:r="http://schemas.openxmlformats.org/officeDocument/2006/relationships" ref="K72" r:id="rId211"/>
    <hyperlink xmlns:r="http://schemas.openxmlformats.org/officeDocument/2006/relationships" ref="L72" r:id="rId212"/>
    <hyperlink xmlns:r="http://schemas.openxmlformats.org/officeDocument/2006/relationships" ref="N72" r:id="rId213"/>
    <hyperlink xmlns:r="http://schemas.openxmlformats.org/officeDocument/2006/relationships" ref="K73" r:id="rId214"/>
    <hyperlink xmlns:r="http://schemas.openxmlformats.org/officeDocument/2006/relationships" ref="L73" r:id="rId215"/>
    <hyperlink xmlns:r="http://schemas.openxmlformats.org/officeDocument/2006/relationships" ref="N73" r:id="rId216"/>
    <hyperlink xmlns:r="http://schemas.openxmlformats.org/officeDocument/2006/relationships" ref="K74" r:id="rId217"/>
    <hyperlink xmlns:r="http://schemas.openxmlformats.org/officeDocument/2006/relationships" ref="L74" r:id="rId218"/>
    <hyperlink xmlns:r="http://schemas.openxmlformats.org/officeDocument/2006/relationships" ref="N74" r:id="rId219"/>
    <hyperlink xmlns:r="http://schemas.openxmlformats.org/officeDocument/2006/relationships" ref="K75" r:id="rId220"/>
    <hyperlink xmlns:r="http://schemas.openxmlformats.org/officeDocument/2006/relationships" ref="L75" r:id="rId221"/>
    <hyperlink xmlns:r="http://schemas.openxmlformats.org/officeDocument/2006/relationships" ref="N75" r:id="rId222"/>
    <hyperlink xmlns:r="http://schemas.openxmlformats.org/officeDocument/2006/relationships" ref="K76" r:id="rId223"/>
    <hyperlink xmlns:r="http://schemas.openxmlformats.org/officeDocument/2006/relationships" ref="L76" r:id="rId224"/>
    <hyperlink xmlns:r="http://schemas.openxmlformats.org/officeDocument/2006/relationships" ref="N76" r:id="rId225"/>
    <hyperlink xmlns:r="http://schemas.openxmlformats.org/officeDocument/2006/relationships" ref="K77" r:id="rId226"/>
    <hyperlink xmlns:r="http://schemas.openxmlformats.org/officeDocument/2006/relationships" ref="L77" r:id="rId227"/>
    <hyperlink xmlns:r="http://schemas.openxmlformats.org/officeDocument/2006/relationships" ref="N77" r:id="rId228"/>
    <hyperlink xmlns:r="http://schemas.openxmlformats.org/officeDocument/2006/relationships" ref="L78" r:id="rId229"/>
    <hyperlink xmlns:r="http://schemas.openxmlformats.org/officeDocument/2006/relationships" ref="N78" r:id="rId230"/>
    <hyperlink xmlns:r="http://schemas.openxmlformats.org/officeDocument/2006/relationships" ref="K79" r:id="rId231"/>
    <hyperlink xmlns:r="http://schemas.openxmlformats.org/officeDocument/2006/relationships" ref="L79" r:id="rId232"/>
    <hyperlink xmlns:r="http://schemas.openxmlformats.org/officeDocument/2006/relationships" ref="N79" r:id="rId233"/>
    <hyperlink xmlns:r="http://schemas.openxmlformats.org/officeDocument/2006/relationships" ref="K80" r:id="rId234"/>
    <hyperlink xmlns:r="http://schemas.openxmlformats.org/officeDocument/2006/relationships" ref="L80" r:id="rId235"/>
    <hyperlink xmlns:r="http://schemas.openxmlformats.org/officeDocument/2006/relationships" ref="N80" r:id="rId236"/>
    <hyperlink xmlns:r="http://schemas.openxmlformats.org/officeDocument/2006/relationships" ref="K81" r:id="rId237"/>
    <hyperlink xmlns:r="http://schemas.openxmlformats.org/officeDocument/2006/relationships" ref="L81" r:id="rId238"/>
    <hyperlink xmlns:r="http://schemas.openxmlformats.org/officeDocument/2006/relationships" ref="N81" r:id="rId239"/>
    <hyperlink xmlns:r="http://schemas.openxmlformats.org/officeDocument/2006/relationships" ref="K82" r:id="rId240"/>
    <hyperlink xmlns:r="http://schemas.openxmlformats.org/officeDocument/2006/relationships" ref="L82" r:id="rId241"/>
    <hyperlink xmlns:r="http://schemas.openxmlformats.org/officeDocument/2006/relationships" ref="N82" r:id="rId242"/>
    <hyperlink xmlns:r="http://schemas.openxmlformats.org/officeDocument/2006/relationships" ref="K83" r:id="rId243"/>
    <hyperlink xmlns:r="http://schemas.openxmlformats.org/officeDocument/2006/relationships" ref="L83" r:id="rId244"/>
    <hyperlink xmlns:r="http://schemas.openxmlformats.org/officeDocument/2006/relationships" ref="N83" r:id="rId245"/>
    <hyperlink xmlns:r="http://schemas.openxmlformats.org/officeDocument/2006/relationships" ref="L84" r:id="rId246"/>
    <hyperlink xmlns:r="http://schemas.openxmlformats.org/officeDocument/2006/relationships" ref="N84" r:id="rId247"/>
    <hyperlink xmlns:r="http://schemas.openxmlformats.org/officeDocument/2006/relationships" ref="K85" r:id="rId248"/>
    <hyperlink xmlns:r="http://schemas.openxmlformats.org/officeDocument/2006/relationships" ref="L85" r:id="rId249"/>
    <hyperlink xmlns:r="http://schemas.openxmlformats.org/officeDocument/2006/relationships" ref="N85" r:id="rId250"/>
    <hyperlink xmlns:r="http://schemas.openxmlformats.org/officeDocument/2006/relationships" ref="K86" r:id="rId251"/>
    <hyperlink xmlns:r="http://schemas.openxmlformats.org/officeDocument/2006/relationships" ref="L86" r:id="rId252"/>
    <hyperlink xmlns:r="http://schemas.openxmlformats.org/officeDocument/2006/relationships" ref="N86" r:id="rId253"/>
    <hyperlink xmlns:r="http://schemas.openxmlformats.org/officeDocument/2006/relationships" ref="K87" r:id="rId254"/>
    <hyperlink xmlns:r="http://schemas.openxmlformats.org/officeDocument/2006/relationships" ref="L87" r:id="rId255"/>
    <hyperlink xmlns:r="http://schemas.openxmlformats.org/officeDocument/2006/relationships" ref="N87" r:id="rId256"/>
    <hyperlink xmlns:r="http://schemas.openxmlformats.org/officeDocument/2006/relationships" ref="K88" r:id="rId257"/>
    <hyperlink xmlns:r="http://schemas.openxmlformats.org/officeDocument/2006/relationships" ref="L88" r:id="rId258"/>
    <hyperlink xmlns:r="http://schemas.openxmlformats.org/officeDocument/2006/relationships" ref="N88" r:id="rId259"/>
    <hyperlink xmlns:r="http://schemas.openxmlformats.org/officeDocument/2006/relationships" ref="K89" r:id="rId260"/>
    <hyperlink xmlns:r="http://schemas.openxmlformats.org/officeDocument/2006/relationships" ref="L89" r:id="rId261"/>
    <hyperlink xmlns:r="http://schemas.openxmlformats.org/officeDocument/2006/relationships" ref="N89" r:id="rId262"/>
    <hyperlink xmlns:r="http://schemas.openxmlformats.org/officeDocument/2006/relationships" ref="K90" r:id="rId263"/>
    <hyperlink xmlns:r="http://schemas.openxmlformats.org/officeDocument/2006/relationships" ref="L90" r:id="rId264"/>
    <hyperlink xmlns:r="http://schemas.openxmlformats.org/officeDocument/2006/relationships" ref="N90" r:id="rId265"/>
    <hyperlink xmlns:r="http://schemas.openxmlformats.org/officeDocument/2006/relationships" ref="K91" r:id="rId266"/>
    <hyperlink xmlns:r="http://schemas.openxmlformats.org/officeDocument/2006/relationships" ref="L91" r:id="rId267"/>
    <hyperlink xmlns:r="http://schemas.openxmlformats.org/officeDocument/2006/relationships" ref="N91" r:id="rId268"/>
    <hyperlink xmlns:r="http://schemas.openxmlformats.org/officeDocument/2006/relationships" ref="K92" r:id="rId269"/>
    <hyperlink xmlns:r="http://schemas.openxmlformats.org/officeDocument/2006/relationships" ref="L92" r:id="rId270"/>
    <hyperlink xmlns:r="http://schemas.openxmlformats.org/officeDocument/2006/relationships" ref="N92" r:id="rId271"/>
    <hyperlink xmlns:r="http://schemas.openxmlformats.org/officeDocument/2006/relationships" ref="K93" r:id="rId272"/>
    <hyperlink xmlns:r="http://schemas.openxmlformats.org/officeDocument/2006/relationships" ref="L93" r:id="rId273"/>
    <hyperlink xmlns:r="http://schemas.openxmlformats.org/officeDocument/2006/relationships" ref="N93" r:id="rId274"/>
    <hyperlink xmlns:r="http://schemas.openxmlformats.org/officeDocument/2006/relationships" ref="K94" r:id="rId275"/>
    <hyperlink xmlns:r="http://schemas.openxmlformats.org/officeDocument/2006/relationships" ref="L94" r:id="rId276"/>
    <hyperlink xmlns:r="http://schemas.openxmlformats.org/officeDocument/2006/relationships" ref="N94" r:id="rId277"/>
    <hyperlink xmlns:r="http://schemas.openxmlformats.org/officeDocument/2006/relationships" ref="K95" r:id="rId278"/>
    <hyperlink xmlns:r="http://schemas.openxmlformats.org/officeDocument/2006/relationships" ref="L95" r:id="rId279"/>
    <hyperlink xmlns:r="http://schemas.openxmlformats.org/officeDocument/2006/relationships" ref="N95" r:id="rId280"/>
    <hyperlink xmlns:r="http://schemas.openxmlformats.org/officeDocument/2006/relationships" ref="L96" r:id="rId281"/>
    <hyperlink xmlns:r="http://schemas.openxmlformats.org/officeDocument/2006/relationships" ref="N96" r:id="rId282"/>
    <hyperlink xmlns:r="http://schemas.openxmlformats.org/officeDocument/2006/relationships" ref="K97" r:id="rId283"/>
    <hyperlink xmlns:r="http://schemas.openxmlformats.org/officeDocument/2006/relationships" ref="L97" r:id="rId284"/>
    <hyperlink xmlns:r="http://schemas.openxmlformats.org/officeDocument/2006/relationships" ref="K98" r:id="rId285"/>
    <hyperlink xmlns:r="http://schemas.openxmlformats.org/officeDocument/2006/relationships" ref="L98" r:id="rId286"/>
    <hyperlink xmlns:r="http://schemas.openxmlformats.org/officeDocument/2006/relationships" ref="K99" r:id="rId287"/>
    <hyperlink xmlns:r="http://schemas.openxmlformats.org/officeDocument/2006/relationships" ref="Q99" r:id="rId288"/>
    <hyperlink xmlns:r="http://schemas.openxmlformats.org/officeDocument/2006/relationships" ref="K100" r:id="rId289"/>
    <hyperlink xmlns:r="http://schemas.openxmlformats.org/officeDocument/2006/relationships" ref="Q100" r:id="rId290"/>
    <hyperlink xmlns:r="http://schemas.openxmlformats.org/officeDocument/2006/relationships" ref="K101" r:id="rId291"/>
    <hyperlink xmlns:r="http://schemas.openxmlformats.org/officeDocument/2006/relationships" ref="L101" r:id="rId292"/>
    <hyperlink xmlns:r="http://schemas.openxmlformats.org/officeDocument/2006/relationships" ref="K102" r:id="rId293"/>
    <hyperlink xmlns:r="http://schemas.openxmlformats.org/officeDocument/2006/relationships" ref="Q102" r:id="rId294"/>
    <hyperlink xmlns:r="http://schemas.openxmlformats.org/officeDocument/2006/relationships" ref="K103" r:id="rId295"/>
    <hyperlink xmlns:r="http://schemas.openxmlformats.org/officeDocument/2006/relationships" ref="K104" r:id="rId296"/>
    <hyperlink xmlns:r="http://schemas.openxmlformats.org/officeDocument/2006/relationships" ref="Q104" r:id="rId297"/>
    <hyperlink xmlns:r="http://schemas.openxmlformats.org/officeDocument/2006/relationships" ref="K105" r:id="rId298"/>
    <hyperlink xmlns:r="http://schemas.openxmlformats.org/officeDocument/2006/relationships" ref="K106" r:id="rId299"/>
    <hyperlink xmlns:r="http://schemas.openxmlformats.org/officeDocument/2006/relationships" ref="Q106" r:id="rId300"/>
    <hyperlink xmlns:r="http://schemas.openxmlformats.org/officeDocument/2006/relationships" ref="K107" r:id="rId301"/>
    <hyperlink xmlns:r="http://schemas.openxmlformats.org/officeDocument/2006/relationships" ref="L107" r:id="rId302"/>
    <hyperlink xmlns:r="http://schemas.openxmlformats.org/officeDocument/2006/relationships" ref="K108" r:id="rId303"/>
    <hyperlink xmlns:r="http://schemas.openxmlformats.org/officeDocument/2006/relationships" ref="Q108" r:id="rId304"/>
    <hyperlink xmlns:r="http://schemas.openxmlformats.org/officeDocument/2006/relationships" ref="K109" r:id="rId305"/>
    <hyperlink xmlns:r="http://schemas.openxmlformats.org/officeDocument/2006/relationships" ref="Q109" r:id="rId306"/>
    <hyperlink xmlns:r="http://schemas.openxmlformats.org/officeDocument/2006/relationships" ref="K110" r:id="rId307"/>
    <hyperlink xmlns:r="http://schemas.openxmlformats.org/officeDocument/2006/relationships" ref="Q110" r:id="rId308"/>
    <hyperlink xmlns:r="http://schemas.openxmlformats.org/officeDocument/2006/relationships" ref="K111" r:id="rId309"/>
    <hyperlink xmlns:r="http://schemas.openxmlformats.org/officeDocument/2006/relationships" ref="K112" r:id="rId310"/>
    <hyperlink xmlns:r="http://schemas.openxmlformats.org/officeDocument/2006/relationships" ref="Q112" r:id="rId311"/>
    <hyperlink xmlns:r="http://schemas.openxmlformats.org/officeDocument/2006/relationships" ref="K113" r:id="rId312"/>
    <hyperlink xmlns:r="http://schemas.openxmlformats.org/officeDocument/2006/relationships" ref="L113" r:id="rId313"/>
    <hyperlink xmlns:r="http://schemas.openxmlformats.org/officeDocument/2006/relationships" ref="K114" r:id="rId314"/>
    <hyperlink xmlns:r="http://schemas.openxmlformats.org/officeDocument/2006/relationships" ref="L114" r:id="rId315"/>
    <hyperlink xmlns:r="http://schemas.openxmlformats.org/officeDocument/2006/relationships" ref="K115" r:id="rId316"/>
    <hyperlink xmlns:r="http://schemas.openxmlformats.org/officeDocument/2006/relationships" ref="L115" r:id="rId317"/>
    <hyperlink xmlns:r="http://schemas.openxmlformats.org/officeDocument/2006/relationships" ref="K116" r:id="rId318"/>
    <hyperlink xmlns:r="http://schemas.openxmlformats.org/officeDocument/2006/relationships" ref="Q116" r:id="rId319"/>
    <hyperlink xmlns:r="http://schemas.openxmlformats.org/officeDocument/2006/relationships" ref="K117" r:id="rId320"/>
    <hyperlink xmlns:r="http://schemas.openxmlformats.org/officeDocument/2006/relationships" ref="Q117" r:id="rId321"/>
    <hyperlink xmlns:r="http://schemas.openxmlformats.org/officeDocument/2006/relationships" ref="K118" r:id="rId322"/>
    <hyperlink xmlns:r="http://schemas.openxmlformats.org/officeDocument/2006/relationships" ref="Q118" r:id="rId323"/>
    <hyperlink xmlns:r="http://schemas.openxmlformats.org/officeDocument/2006/relationships" ref="K119" r:id="rId324"/>
    <hyperlink xmlns:r="http://schemas.openxmlformats.org/officeDocument/2006/relationships" ref="L119" r:id="rId325"/>
    <hyperlink xmlns:r="http://schemas.openxmlformats.org/officeDocument/2006/relationships" ref="K120" r:id="rId326"/>
    <hyperlink xmlns:r="http://schemas.openxmlformats.org/officeDocument/2006/relationships" ref="Q120" r:id="rId327"/>
    <hyperlink xmlns:r="http://schemas.openxmlformats.org/officeDocument/2006/relationships" ref="K121" r:id="rId328"/>
    <hyperlink xmlns:r="http://schemas.openxmlformats.org/officeDocument/2006/relationships" ref="Q121" r:id="rId329"/>
    <hyperlink xmlns:r="http://schemas.openxmlformats.org/officeDocument/2006/relationships" ref="K122" r:id="rId330"/>
    <hyperlink xmlns:r="http://schemas.openxmlformats.org/officeDocument/2006/relationships" ref="Q122" r:id="rId331"/>
    <hyperlink xmlns:r="http://schemas.openxmlformats.org/officeDocument/2006/relationships" ref="K123" r:id="rId332"/>
    <hyperlink xmlns:r="http://schemas.openxmlformats.org/officeDocument/2006/relationships" ref="L123" r:id="rId333"/>
    <hyperlink xmlns:r="http://schemas.openxmlformats.org/officeDocument/2006/relationships" ref="K124" r:id="rId334"/>
    <hyperlink xmlns:r="http://schemas.openxmlformats.org/officeDocument/2006/relationships" ref="L124" r:id="rId335"/>
    <hyperlink xmlns:r="http://schemas.openxmlformats.org/officeDocument/2006/relationships" ref="K125" r:id="rId336"/>
    <hyperlink xmlns:r="http://schemas.openxmlformats.org/officeDocument/2006/relationships" ref="L125" r:id="rId337"/>
    <hyperlink xmlns:r="http://schemas.openxmlformats.org/officeDocument/2006/relationships" ref="K126" r:id="rId338"/>
    <hyperlink xmlns:r="http://schemas.openxmlformats.org/officeDocument/2006/relationships" ref="Q126" r:id="rId339"/>
    <hyperlink xmlns:r="http://schemas.openxmlformats.org/officeDocument/2006/relationships" ref="K127" r:id="rId340"/>
    <hyperlink xmlns:r="http://schemas.openxmlformats.org/officeDocument/2006/relationships" ref="Q127" r:id="rId341"/>
    <hyperlink xmlns:r="http://schemas.openxmlformats.org/officeDocument/2006/relationships" ref="K128" r:id="rId342"/>
    <hyperlink xmlns:r="http://schemas.openxmlformats.org/officeDocument/2006/relationships" ref="K129" r:id="rId343"/>
    <hyperlink xmlns:r="http://schemas.openxmlformats.org/officeDocument/2006/relationships" ref="Q129" r:id="rId344"/>
    <hyperlink xmlns:r="http://schemas.openxmlformats.org/officeDocument/2006/relationships" ref="K130" r:id="rId345"/>
    <hyperlink xmlns:r="http://schemas.openxmlformats.org/officeDocument/2006/relationships" ref="Q130" r:id="rId346"/>
    <hyperlink xmlns:r="http://schemas.openxmlformats.org/officeDocument/2006/relationships" ref="K131" r:id="rId347"/>
    <hyperlink xmlns:r="http://schemas.openxmlformats.org/officeDocument/2006/relationships" ref="Q131" r:id="rId348"/>
    <hyperlink xmlns:r="http://schemas.openxmlformats.org/officeDocument/2006/relationships" ref="K132" r:id="rId349"/>
    <hyperlink xmlns:r="http://schemas.openxmlformats.org/officeDocument/2006/relationships" ref="L132" r:id="rId350"/>
    <hyperlink xmlns:r="http://schemas.openxmlformats.org/officeDocument/2006/relationships" ref="K133" r:id="rId351"/>
    <hyperlink xmlns:r="http://schemas.openxmlformats.org/officeDocument/2006/relationships" ref="L133" r:id="rId352"/>
    <hyperlink xmlns:r="http://schemas.openxmlformats.org/officeDocument/2006/relationships" ref="K134" r:id="rId353"/>
    <hyperlink xmlns:r="http://schemas.openxmlformats.org/officeDocument/2006/relationships" ref="Q134" r:id="rId354"/>
    <hyperlink xmlns:r="http://schemas.openxmlformats.org/officeDocument/2006/relationships" ref="K135" r:id="rId355"/>
    <hyperlink xmlns:r="http://schemas.openxmlformats.org/officeDocument/2006/relationships" ref="Q135" r:id="rId356"/>
    <hyperlink xmlns:r="http://schemas.openxmlformats.org/officeDocument/2006/relationships" ref="K136" r:id="rId357"/>
    <hyperlink xmlns:r="http://schemas.openxmlformats.org/officeDocument/2006/relationships" ref="L136" r:id="rId358"/>
    <hyperlink xmlns:r="http://schemas.openxmlformats.org/officeDocument/2006/relationships" ref="L137" r:id="rId359"/>
    <hyperlink xmlns:r="http://schemas.openxmlformats.org/officeDocument/2006/relationships" ref="K138" r:id="rId360"/>
    <hyperlink xmlns:r="http://schemas.openxmlformats.org/officeDocument/2006/relationships" ref="Q138" r:id="rId361"/>
    <hyperlink xmlns:r="http://schemas.openxmlformats.org/officeDocument/2006/relationships" ref="K139" r:id="rId362"/>
    <hyperlink xmlns:r="http://schemas.openxmlformats.org/officeDocument/2006/relationships" ref="Q139" r:id="rId363"/>
    <hyperlink xmlns:r="http://schemas.openxmlformats.org/officeDocument/2006/relationships" ref="K140" r:id="rId364"/>
    <hyperlink xmlns:r="http://schemas.openxmlformats.org/officeDocument/2006/relationships" ref="Q140" r:id="rId365"/>
    <hyperlink xmlns:r="http://schemas.openxmlformats.org/officeDocument/2006/relationships" ref="K141" r:id="rId366"/>
    <hyperlink xmlns:r="http://schemas.openxmlformats.org/officeDocument/2006/relationships" ref="L141" r:id="rId367"/>
    <hyperlink xmlns:r="http://schemas.openxmlformats.org/officeDocument/2006/relationships" ref="K142" r:id="rId368"/>
    <hyperlink xmlns:r="http://schemas.openxmlformats.org/officeDocument/2006/relationships" ref="L142" r:id="rId369"/>
    <hyperlink xmlns:r="http://schemas.openxmlformats.org/officeDocument/2006/relationships" ref="K143" r:id="rId370"/>
    <hyperlink xmlns:r="http://schemas.openxmlformats.org/officeDocument/2006/relationships" ref="L143" r:id="rId371"/>
    <hyperlink xmlns:r="http://schemas.openxmlformats.org/officeDocument/2006/relationships" ref="K144" r:id="rId372"/>
    <hyperlink xmlns:r="http://schemas.openxmlformats.org/officeDocument/2006/relationships" ref="L144" r:id="rId373"/>
    <hyperlink xmlns:r="http://schemas.openxmlformats.org/officeDocument/2006/relationships" ref="K145" r:id="rId374"/>
    <hyperlink xmlns:r="http://schemas.openxmlformats.org/officeDocument/2006/relationships" ref="L145" r:id="rId375"/>
    <hyperlink xmlns:r="http://schemas.openxmlformats.org/officeDocument/2006/relationships" ref="K146" r:id="rId376"/>
    <hyperlink xmlns:r="http://schemas.openxmlformats.org/officeDocument/2006/relationships" ref="L146" r:id="rId377"/>
    <hyperlink xmlns:r="http://schemas.openxmlformats.org/officeDocument/2006/relationships" ref="K147" r:id="rId378"/>
    <hyperlink xmlns:r="http://schemas.openxmlformats.org/officeDocument/2006/relationships" ref="Q147" r:id="rId379"/>
    <hyperlink xmlns:r="http://schemas.openxmlformats.org/officeDocument/2006/relationships" ref="K148" r:id="rId380"/>
    <hyperlink xmlns:r="http://schemas.openxmlformats.org/officeDocument/2006/relationships" ref="Q148" r:id="rId381"/>
    <hyperlink xmlns:r="http://schemas.openxmlformats.org/officeDocument/2006/relationships" ref="K149" r:id="rId382"/>
    <hyperlink xmlns:r="http://schemas.openxmlformats.org/officeDocument/2006/relationships" ref="Q149" r:id="rId383"/>
    <hyperlink xmlns:r="http://schemas.openxmlformats.org/officeDocument/2006/relationships" ref="K150" r:id="rId384"/>
    <hyperlink xmlns:r="http://schemas.openxmlformats.org/officeDocument/2006/relationships" ref="L150" r:id="rId385"/>
    <hyperlink xmlns:r="http://schemas.openxmlformats.org/officeDocument/2006/relationships" ref="K151" r:id="rId386"/>
    <hyperlink xmlns:r="http://schemas.openxmlformats.org/officeDocument/2006/relationships" ref="L151" r:id="rId387"/>
    <hyperlink xmlns:r="http://schemas.openxmlformats.org/officeDocument/2006/relationships" ref="L152" r:id="rId388"/>
    <hyperlink xmlns:r="http://schemas.openxmlformats.org/officeDocument/2006/relationships" ref="K153" r:id="rId389"/>
    <hyperlink xmlns:r="http://schemas.openxmlformats.org/officeDocument/2006/relationships" ref="L153" r:id="rId390"/>
    <hyperlink xmlns:r="http://schemas.openxmlformats.org/officeDocument/2006/relationships" ref="K154" r:id="rId391"/>
    <hyperlink xmlns:r="http://schemas.openxmlformats.org/officeDocument/2006/relationships" ref="L154" r:id="rId392"/>
    <hyperlink xmlns:r="http://schemas.openxmlformats.org/officeDocument/2006/relationships" ref="K155" r:id="rId393"/>
    <hyperlink xmlns:r="http://schemas.openxmlformats.org/officeDocument/2006/relationships" ref="Q155" r:id="rId394"/>
    <hyperlink xmlns:r="http://schemas.openxmlformats.org/officeDocument/2006/relationships" ref="L156" r:id="rId395"/>
    <hyperlink xmlns:r="http://schemas.openxmlformats.org/officeDocument/2006/relationships" ref="L157" r:id="rId396"/>
    <hyperlink xmlns:r="http://schemas.openxmlformats.org/officeDocument/2006/relationships" ref="L158" r:id="rId397"/>
    <hyperlink xmlns:r="http://schemas.openxmlformats.org/officeDocument/2006/relationships" ref="K159" r:id="rId398"/>
    <hyperlink xmlns:r="http://schemas.openxmlformats.org/officeDocument/2006/relationships" ref="L159" r:id="rId399"/>
    <hyperlink xmlns:r="http://schemas.openxmlformats.org/officeDocument/2006/relationships" ref="L160" r:id="rId400"/>
    <hyperlink xmlns:r="http://schemas.openxmlformats.org/officeDocument/2006/relationships" ref="K161" r:id="rId401"/>
    <hyperlink xmlns:r="http://schemas.openxmlformats.org/officeDocument/2006/relationships" ref="L161" r:id="rId402"/>
    <hyperlink xmlns:r="http://schemas.openxmlformats.org/officeDocument/2006/relationships" ref="K162" r:id="rId403"/>
    <hyperlink xmlns:r="http://schemas.openxmlformats.org/officeDocument/2006/relationships" ref="L162" r:id="rId404"/>
    <hyperlink xmlns:r="http://schemas.openxmlformats.org/officeDocument/2006/relationships" ref="K163" r:id="rId405"/>
    <hyperlink xmlns:r="http://schemas.openxmlformats.org/officeDocument/2006/relationships" ref="L163" r:id="rId406"/>
    <hyperlink xmlns:r="http://schemas.openxmlformats.org/officeDocument/2006/relationships" ref="K164" r:id="rId407"/>
    <hyperlink xmlns:r="http://schemas.openxmlformats.org/officeDocument/2006/relationships" ref="L164" r:id="rId408"/>
    <hyperlink xmlns:r="http://schemas.openxmlformats.org/officeDocument/2006/relationships" ref="K165" r:id="rId409"/>
    <hyperlink xmlns:r="http://schemas.openxmlformats.org/officeDocument/2006/relationships" ref="L165" r:id="rId410"/>
    <hyperlink xmlns:r="http://schemas.openxmlformats.org/officeDocument/2006/relationships" ref="K166" r:id="rId411"/>
    <hyperlink xmlns:r="http://schemas.openxmlformats.org/officeDocument/2006/relationships" ref="L166" r:id="rId412"/>
    <hyperlink xmlns:r="http://schemas.openxmlformats.org/officeDocument/2006/relationships" ref="K167" r:id="rId413"/>
    <hyperlink xmlns:r="http://schemas.openxmlformats.org/officeDocument/2006/relationships" ref="L167" r:id="rId414"/>
    <hyperlink xmlns:r="http://schemas.openxmlformats.org/officeDocument/2006/relationships" ref="K168" r:id="rId415"/>
    <hyperlink xmlns:r="http://schemas.openxmlformats.org/officeDocument/2006/relationships" ref="Q168" r:id="rId416"/>
    <hyperlink xmlns:r="http://schemas.openxmlformats.org/officeDocument/2006/relationships" ref="K169" r:id="rId417"/>
    <hyperlink xmlns:r="http://schemas.openxmlformats.org/officeDocument/2006/relationships" ref="Q169" r:id="rId418"/>
    <hyperlink xmlns:r="http://schemas.openxmlformats.org/officeDocument/2006/relationships" ref="K170" r:id="rId419"/>
    <hyperlink xmlns:r="http://schemas.openxmlformats.org/officeDocument/2006/relationships" ref="Q170" r:id="rId420"/>
    <hyperlink xmlns:r="http://schemas.openxmlformats.org/officeDocument/2006/relationships" ref="K171" r:id="rId421"/>
    <hyperlink xmlns:r="http://schemas.openxmlformats.org/officeDocument/2006/relationships" ref="Q171" r:id="rId422"/>
    <hyperlink xmlns:r="http://schemas.openxmlformats.org/officeDocument/2006/relationships" ref="K172" r:id="rId423"/>
    <hyperlink xmlns:r="http://schemas.openxmlformats.org/officeDocument/2006/relationships" ref="L172" r:id="rId424"/>
    <hyperlink xmlns:r="http://schemas.openxmlformats.org/officeDocument/2006/relationships" ref="K173" r:id="rId425"/>
    <hyperlink xmlns:r="http://schemas.openxmlformats.org/officeDocument/2006/relationships" ref="L173" r:id="rId426"/>
    <hyperlink xmlns:r="http://schemas.openxmlformats.org/officeDocument/2006/relationships" ref="L174" r:id="rId427"/>
    <hyperlink xmlns:r="http://schemas.openxmlformats.org/officeDocument/2006/relationships" ref="K175" r:id="rId428"/>
    <hyperlink xmlns:r="http://schemas.openxmlformats.org/officeDocument/2006/relationships" ref="L175" r:id="rId429"/>
    <hyperlink xmlns:r="http://schemas.openxmlformats.org/officeDocument/2006/relationships" ref="K176" r:id="rId430"/>
    <hyperlink xmlns:r="http://schemas.openxmlformats.org/officeDocument/2006/relationships" ref="L176" r:id="rId431"/>
    <hyperlink xmlns:r="http://schemas.openxmlformats.org/officeDocument/2006/relationships" ref="K177" r:id="rId432"/>
    <hyperlink xmlns:r="http://schemas.openxmlformats.org/officeDocument/2006/relationships" ref="L177" r:id="rId433"/>
    <hyperlink xmlns:r="http://schemas.openxmlformats.org/officeDocument/2006/relationships" ref="K178" r:id="rId434"/>
    <hyperlink xmlns:r="http://schemas.openxmlformats.org/officeDocument/2006/relationships" ref="L178" r:id="rId435"/>
    <hyperlink xmlns:r="http://schemas.openxmlformats.org/officeDocument/2006/relationships" ref="K179" r:id="rId436"/>
    <hyperlink xmlns:r="http://schemas.openxmlformats.org/officeDocument/2006/relationships" ref="Q179" r:id="rId437"/>
    <hyperlink xmlns:r="http://schemas.openxmlformats.org/officeDocument/2006/relationships" ref="K180" r:id="rId438"/>
    <hyperlink xmlns:r="http://schemas.openxmlformats.org/officeDocument/2006/relationships" ref="L180" r:id="rId439"/>
    <hyperlink xmlns:r="http://schemas.openxmlformats.org/officeDocument/2006/relationships" ref="L181" r:id="rId440"/>
    <hyperlink xmlns:r="http://schemas.openxmlformats.org/officeDocument/2006/relationships" ref="K182" r:id="rId441"/>
    <hyperlink xmlns:r="http://schemas.openxmlformats.org/officeDocument/2006/relationships" ref="L182" r:id="rId442"/>
    <hyperlink xmlns:r="http://schemas.openxmlformats.org/officeDocument/2006/relationships" ref="K183" r:id="rId443"/>
    <hyperlink xmlns:r="http://schemas.openxmlformats.org/officeDocument/2006/relationships" ref="L183" r:id="rId444"/>
    <hyperlink xmlns:r="http://schemas.openxmlformats.org/officeDocument/2006/relationships" ref="K184" r:id="rId445"/>
    <hyperlink xmlns:r="http://schemas.openxmlformats.org/officeDocument/2006/relationships" ref="L184" r:id="rId446"/>
    <hyperlink xmlns:r="http://schemas.openxmlformats.org/officeDocument/2006/relationships" ref="K185" r:id="rId447"/>
    <hyperlink xmlns:r="http://schemas.openxmlformats.org/officeDocument/2006/relationships" ref="L185" r:id="rId448"/>
    <hyperlink xmlns:r="http://schemas.openxmlformats.org/officeDocument/2006/relationships" ref="K186" r:id="rId449"/>
    <hyperlink xmlns:r="http://schemas.openxmlformats.org/officeDocument/2006/relationships" ref="K187" r:id="rId450"/>
    <hyperlink xmlns:r="http://schemas.openxmlformats.org/officeDocument/2006/relationships" ref="Q187" r:id="rId451"/>
    <hyperlink xmlns:r="http://schemas.openxmlformats.org/officeDocument/2006/relationships" ref="K188" r:id="rId452"/>
    <hyperlink xmlns:r="http://schemas.openxmlformats.org/officeDocument/2006/relationships" ref="L188" r:id="rId453"/>
    <hyperlink xmlns:r="http://schemas.openxmlformats.org/officeDocument/2006/relationships" ref="K189" r:id="rId454"/>
    <hyperlink xmlns:r="http://schemas.openxmlformats.org/officeDocument/2006/relationships" ref="L189" r:id="rId455"/>
    <hyperlink xmlns:r="http://schemas.openxmlformats.org/officeDocument/2006/relationships" ref="K190" r:id="rId456"/>
    <hyperlink xmlns:r="http://schemas.openxmlformats.org/officeDocument/2006/relationships" ref="L190" r:id="rId457"/>
    <hyperlink xmlns:r="http://schemas.openxmlformats.org/officeDocument/2006/relationships" ref="K191" r:id="rId458"/>
    <hyperlink xmlns:r="http://schemas.openxmlformats.org/officeDocument/2006/relationships" ref="L191" r:id="rId459"/>
    <hyperlink xmlns:r="http://schemas.openxmlformats.org/officeDocument/2006/relationships" ref="K192" r:id="rId460"/>
    <hyperlink xmlns:r="http://schemas.openxmlformats.org/officeDocument/2006/relationships" ref="L192" r:id="rId461"/>
    <hyperlink xmlns:r="http://schemas.openxmlformats.org/officeDocument/2006/relationships" ref="L193" r:id="rId462"/>
    <hyperlink xmlns:r="http://schemas.openxmlformats.org/officeDocument/2006/relationships" ref="K194" r:id="rId463"/>
    <hyperlink xmlns:r="http://schemas.openxmlformats.org/officeDocument/2006/relationships" ref="Q194" r:id="rId464"/>
    <hyperlink xmlns:r="http://schemas.openxmlformats.org/officeDocument/2006/relationships" ref="K195" r:id="rId465"/>
    <hyperlink xmlns:r="http://schemas.openxmlformats.org/officeDocument/2006/relationships" ref="L195" r:id="rId466"/>
    <hyperlink xmlns:r="http://schemas.openxmlformats.org/officeDocument/2006/relationships" ref="K196" r:id="rId467"/>
    <hyperlink xmlns:r="http://schemas.openxmlformats.org/officeDocument/2006/relationships" ref="L196" r:id="rId468"/>
    <hyperlink xmlns:r="http://schemas.openxmlformats.org/officeDocument/2006/relationships" ref="K197" r:id="rId469"/>
    <hyperlink xmlns:r="http://schemas.openxmlformats.org/officeDocument/2006/relationships" ref="L197" r:id="rId470"/>
    <hyperlink xmlns:r="http://schemas.openxmlformats.org/officeDocument/2006/relationships" ref="K198" r:id="rId471"/>
    <hyperlink xmlns:r="http://schemas.openxmlformats.org/officeDocument/2006/relationships" ref="L198" r:id="rId472"/>
    <hyperlink xmlns:r="http://schemas.openxmlformats.org/officeDocument/2006/relationships" ref="K199" r:id="rId473"/>
    <hyperlink xmlns:r="http://schemas.openxmlformats.org/officeDocument/2006/relationships" ref="L199" r:id="rId474"/>
    <hyperlink xmlns:r="http://schemas.openxmlformats.org/officeDocument/2006/relationships" ref="K200" r:id="rId475"/>
    <hyperlink xmlns:r="http://schemas.openxmlformats.org/officeDocument/2006/relationships" ref="L200" r:id="rId476"/>
    <hyperlink xmlns:r="http://schemas.openxmlformats.org/officeDocument/2006/relationships" ref="K201" r:id="rId477"/>
    <hyperlink xmlns:r="http://schemas.openxmlformats.org/officeDocument/2006/relationships" ref="L201" r:id="rId478"/>
    <hyperlink xmlns:r="http://schemas.openxmlformats.org/officeDocument/2006/relationships" ref="K202" r:id="rId479"/>
    <hyperlink xmlns:r="http://schemas.openxmlformats.org/officeDocument/2006/relationships" ref="L202" r:id="rId480"/>
    <hyperlink xmlns:r="http://schemas.openxmlformats.org/officeDocument/2006/relationships" ref="K203" r:id="rId481"/>
    <hyperlink xmlns:r="http://schemas.openxmlformats.org/officeDocument/2006/relationships" ref="L203" r:id="rId482"/>
    <hyperlink xmlns:r="http://schemas.openxmlformats.org/officeDocument/2006/relationships" ref="K204" r:id="rId483"/>
    <hyperlink xmlns:r="http://schemas.openxmlformats.org/officeDocument/2006/relationships" ref="L204" r:id="rId484"/>
    <hyperlink xmlns:r="http://schemas.openxmlformats.org/officeDocument/2006/relationships" ref="K205" r:id="rId485"/>
    <hyperlink xmlns:r="http://schemas.openxmlformats.org/officeDocument/2006/relationships" ref="L205" r:id="rId486"/>
    <hyperlink xmlns:r="http://schemas.openxmlformats.org/officeDocument/2006/relationships" ref="K206" r:id="rId487"/>
    <hyperlink xmlns:r="http://schemas.openxmlformats.org/officeDocument/2006/relationships" ref="L206" r:id="rId488"/>
    <hyperlink xmlns:r="http://schemas.openxmlformats.org/officeDocument/2006/relationships" ref="L207" r:id="rId489"/>
    <hyperlink xmlns:r="http://schemas.openxmlformats.org/officeDocument/2006/relationships" ref="K208" r:id="rId490"/>
    <hyperlink xmlns:r="http://schemas.openxmlformats.org/officeDocument/2006/relationships" ref="Q208" r:id="rId491"/>
    <hyperlink xmlns:r="http://schemas.openxmlformats.org/officeDocument/2006/relationships" ref="K209" r:id="rId492"/>
    <hyperlink xmlns:r="http://schemas.openxmlformats.org/officeDocument/2006/relationships" ref="Q209" r:id="rId493"/>
    <hyperlink xmlns:r="http://schemas.openxmlformats.org/officeDocument/2006/relationships" ref="K210" r:id="rId494"/>
    <hyperlink xmlns:r="http://schemas.openxmlformats.org/officeDocument/2006/relationships" ref="L210" r:id="rId495"/>
    <hyperlink xmlns:r="http://schemas.openxmlformats.org/officeDocument/2006/relationships" ref="K211" r:id="rId496"/>
    <hyperlink xmlns:r="http://schemas.openxmlformats.org/officeDocument/2006/relationships" ref="L211" r:id="rId497"/>
    <hyperlink xmlns:r="http://schemas.openxmlformats.org/officeDocument/2006/relationships" ref="K212" r:id="rId498"/>
    <hyperlink xmlns:r="http://schemas.openxmlformats.org/officeDocument/2006/relationships" ref="L212" r:id="rId499"/>
    <hyperlink xmlns:r="http://schemas.openxmlformats.org/officeDocument/2006/relationships" ref="K213" r:id="rId500"/>
    <hyperlink xmlns:r="http://schemas.openxmlformats.org/officeDocument/2006/relationships" ref="L213" r:id="rId501"/>
    <hyperlink xmlns:r="http://schemas.openxmlformats.org/officeDocument/2006/relationships" ref="K214" r:id="rId502"/>
    <hyperlink xmlns:r="http://schemas.openxmlformats.org/officeDocument/2006/relationships" ref="L214" r:id="rId503"/>
    <hyperlink xmlns:r="http://schemas.openxmlformats.org/officeDocument/2006/relationships" ref="L215" r:id="rId504"/>
    <hyperlink xmlns:r="http://schemas.openxmlformats.org/officeDocument/2006/relationships" ref="L216" r:id="rId505"/>
    <hyperlink xmlns:r="http://schemas.openxmlformats.org/officeDocument/2006/relationships" ref="L217" r:id="rId506"/>
    <hyperlink xmlns:r="http://schemas.openxmlformats.org/officeDocument/2006/relationships" ref="K218" r:id="rId507"/>
    <hyperlink xmlns:r="http://schemas.openxmlformats.org/officeDocument/2006/relationships" ref="L218" r:id="rId508"/>
    <hyperlink xmlns:r="http://schemas.openxmlformats.org/officeDocument/2006/relationships" ref="K219" r:id="rId509"/>
    <hyperlink xmlns:r="http://schemas.openxmlformats.org/officeDocument/2006/relationships" ref="L219" r:id="rId510"/>
    <hyperlink xmlns:r="http://schemas.openxmlformats.org/officeDocument/2006/relationships" ref="K220" r:id="rId511"/>
    <hyperlink xmlns:r="http://schemas.openxmlformats.org/officeDocument/2006/relationships" ref="L220" r:id="rId512"/>
    <hyperlink xmlns:r="http://schemas.openxmlformats.org/officeDocument/2006/relationships" ref="K221" r:id="rId513"/>
    <hyperlink xmlns:r="http://schemas.openxmlformats.org/officeDocument/2006/relationships" ref="L221" r:id="rId514"/>
    <hyperlink xmlns:r="http://schemas.openxmlformats.org/officeDocument/2006/relationships" ref="K222" r:id="rId515"/>
    <hyperlink xmlns:r="http://schemas.openxmlformats.org/officeDocument/2006/relationships" ref="L222" r:id="rId516"/>
    <hyperlink xmlns:r="http://schemas.openxmlformats.org/officeDocument/2006/relationships" ref="K223" r:id="rId517"/>
    <hyperlink xmlns:r="http://schemas.openxmlformats.org/officeDocument/2006/relationships" ref="L223" r:id="rId518"/>
    <hyperlink xmlns:r="http://schemas.openxmlformats.org/officeDocument/2006/relationships" ref="K224" r:id="rId519"/>
    <hyperlink xmlns:r="http://schemas.openxmlformats.org/officeDocument/2006/relationships" ref="L224" r:id="rId520"/>
    <hyperlink xmlns:r="http://schemas.openxmlformats.org/officeDocument/2006/relationships" ref="K225" r:id="rId521"/>
    <hyperlink xmlns:r="http://schemas.openxmlformats.org/officeDocument/2006/relationships" ref="L225" r:id="rId522"/>
    <hyperlink xmlns:r="http://schemas.openxmlformats.org/officeDocument/2006/relationships" ref="L226" r:id="rId523"/>
    <hyperlink xmlns:r="http://schemas.openxmlformats.org/officeDocument/2006/relationships" ref="K227" r:id="rId524"/>
    <hyperlink xmlns:r="http://schemas.openxmlformats.org/officeDocument/2006/relationships" ref="L227" r:id="rId525"/>
    <hyperlink xmlns:r="http://schemas.openxmlformats.org/officeDocument/2006/relationships" ref="K228" r:id="rId526"/>
    <hyperlink xmlns:r="http://schemas.openxmlformats.org/officeDocument/2006/relationships" ref="L228" r:id="rId527"/>
    <hyperlink xmlns:r="http://schemas.openxmlformats.org/officeDocument/2006/relationships" ref="L229" r:id="rId528"/>
    <hyperlink xmlns:r="http://schemas.openxmlformats.org/officeDocument/2006/relationships" ref="K230" r:id="rId529"/>
    <hyperlink xmlns:r="http://schemas.openxmlformats.org/officeDocument/2006/relationships" ref="L230" r:id="rId530"/>
    <hyperlink xmlns:r="http://schemas.openxmlformats.org/officeDocument/2006/relationships" ref="K231" r:id="rId531"/>
    <hyperlink xmlns:r="http://schemas.openxmlformats.org/officeDocument/2006/relationships" ref="L231" r:id="rId532"/>
    <hyperlink xmlns:r="http://schemas.openxmlformats.org/officeDocument/2006/relationships" ref="K232" r:id="rId533"/>
    <hyperlink xmlns:r="http://schemas.openxmlformats.org/officeDocument/2006/relationships" ref="L232" r:id="rId534"/>
    <hyperlink xmlns:r="http://schemas.openxmlformats.org/officeDocument/2006/relationships" ref="K233" r:id="rId535"/>
    <hyperlink xmlns:r="http://schemas.openxmlformats.org/officeDocument/2006/relationships" ref="L233" r:id="rId536"/>
    <hyperlink xmlns:r="http://schemas.openxmlformats.org/officeDocument/2006/relationships" ref="K234" r:id="rId537"/>
    <hyperlink xmlns:r="http://schemas.openxmlformats.org/officeDocument/2006/relationships" ref="L234" r:id="rId538"/>
    <hyperlink xmlns:r="http://schemas.openxmlformats.org/officeDocument/2006/relationships" ref="K235" r:id="rId539"/>
    <hyperlink xmlns:r="http://schemas.openxmlformats.org/officeDocument/2006/relationships" ref="L235" r:id="rId540"/>
    <hyperlink xmlns:r="http://schemas.openxmlformats.org/officeDocument/2006/relationships" ref="L236" r:id="rId541"/>
    <hyperlink xmlns:r="http://schemas.openxmlformats.org/officeDocument/2006/relationships" ref="K237" r:id="rId542"/>
    <hyperlink xmlns:r="http://schemas.openxmlformats.org/officeDocument/2006/relationships" ref="L237" r:id="rId543"/>
    <hyperlink xmlns:r="http://schemas.openxmlformats.org/officeDocument/2006/relationships" ref="L238" r:id="rId544"/>
    <hyperlink xmlns:r="http://schemas.openxmlformats.org/officeDocument/2006/relationships" ref="K239" r:id="rId545"/>
    <hyperlink xmlns:r="http://schemas.openxmlformats.org/officeDocument/2006/relationships" ref="Q239" r:id="rId546"/>
    <hyperlink xmlns:r="http://schemas.openxmlformats.org/officeDocument/2006/relationships" ref="K240" r:id="rId547"/>
    <hyperlink xmlns:r="http://schemas.openxmlformats.org/officeDocument/2006/relationships" ref="L240" r:id="rId548"/>
    <hyperlink xmlns:r="http://schemas.openxmlformats.org/officeDocument/2006/relationships" ref="K241" r:id="rId549"/>
    <hyperlink xmlns:r="http://schemas.openxmlformats.org/officeDocument/2006/relationships" ref="L241" r:id="rId550"/>
    <hyperlink xmlns:r="http://schemas.openxmlformats.org/officeDocument/2006/relationships" ref="K242" r:id="rId551"/>
    <hyperlink xmlns:r="http://schemas.openxmlformats.org/officeDocument/2006/relationships" ref="L242" r:id="rId552"/>
    <hyperlink xmlns:r="http://schemas.openxmlformats.org/officeDocument/2006/relationships" ref="K243" r:id="rId553"/>
    <hyperlink xmlns:r="http://schemas.openxmlformats.org/officeDocument/2006/relationships" ref="L243" r:id="rId554"/>
    <hyperlink xmlns:r="http://schemas.openxmlformats.org/officeDocument/2006/relationships" ref="K244" r:id="rId555"/>
    <hyperlink xmlns:r="http://schemas.openxmlformats.org/officeDocument/2006/relationships" ref="L244" r:id="rId556"/>
    <hyperlink xmlns:r="http://schemas.openxmlformats.org/officeDocument/2006/relationships" ref="K245" r:id="rId557"/>
    <hyperlink xmlns:r="http://schemas.openxmlformats.org/officeDocument/2006/relationships" ref="L245" r:id="rId558"/>
    <hyperlink xmlns:r="http://schemas.openxmlformats.org/officeDocument/2006/relationships" ref="K246" r:id="rId559"/>
    <hyperlink xmlns:r="http://schemas.openxmlformats.org/officeDocument/2006/relationships" ref="L246" r:id="rId560"/>
    <hyperlink xmlns:r="http://schemas.openxmlformats.org/officeDocument/2006/relationships" ref="K247" r:id="rId561"/>
    <hyperlink xmlns:r="http://schemas.openxmlformats.org/officeDocument/2006/relationships" ref="Q247" r:id="rId562"/>
    <hyperlink xmlns:r="http://schemas.openxmlformats.org/officeDocument/2006/relationships" ref="K248" r:id="rId563"/>
    <hyperlink xmlns:r="http://schemas.openxmlformats.org/officeDocument/2006/relationships" ref="L248" r:id="rId564"/>
    <hyperlink xmlns:r="http://schemas.openxmlformats.org/officeDocument/2006/relationships" ref="K249" r:id="rId565"/>
    <hyperlink xmlns:r="http://schemas.openxmlformats.org/officeDocument/2006/relationships" ref="L249" r:id="rId566"/>
    <hyperlink xmlns:r="http://schemas.openxmlformats.org/officeDocument/2006/relationships" ref="K250" r:id="rId567"/>
    <hyperlink xmlns:r="http://schemas.openxmlformats.org/officeDocument/2006/relationships" ref="L250" r:id="rId568"/>
    <hyperlink xmlns:r="http://schemas.openxmlformats.org/officeDocument/2006/relationships" ref="L251" r:id="rId569"/>
    <hyperlink xmlns:r="http://schemas.openxmlformats.org/officeDocument/2006/relationships" ref="K252" r:id="rId570"/>
    <hyperlink xmlns:r="http://schemas.openxmlformats.org/officeDocument/2006/relationships" ref="L252" r:id="rId571"/>
    <hyperlink xmlns:r="http://schemas.openxmlformats.org/officeDocument/2006/relationships" ref="K253" r:id="rId572"/>
    <hyperlink xmlns:r="http://schemas.openxmlformats.org/officeDocument/2006/relationships" ref="L253" r:id="rId573"/>
    <hyperlink xmlns:r="http://schemas.openxmlformats.org/officeDocument/2006/relationships" ref="L254" r:id="rId574"/>
    <hyperlink xmlns:r="http://schemas.openxmlformats.org/officeDocument/2006/relationships" ref="K255" r:id="rId575"/>
    <hyperlink xmlns:r="http://schemas.openxmlformats.org/officeDocument/2006/relationships" ref="L255" r:id="rId576"/>
    <hyperlink xmlns:r="http://schemas.openxmlformats.org/officeDocument/2006/relationships" ref="K256" r:id="rId577"/>
    <hyperlink xmlns:r="http://schemas.openxmlformats.org/officeDocument/2006/relationships" ref="L256" r:id="rId578"/>
    <hyperlink xmlns:r="http://schemas.openxmlformats.org/officeDocument/2006/relationships" ref="K257" r:id="rId579"/>
    <hyperlink xmlns:r="http://schemas.openxmlformats.org/officeDocument/2006/relationships" ref="L257" r:id="rId580"/>
    <hyperlink xmlns:r="http://schemas.openxmlformats.org/officeDocument/2006/relationships" ref="K258" r:id="rId581"/>
    <hyperlink xmlns:r="http://schemas.openxmlformats.org/officeDocument/2006/relationships" ref="Q258" r:id="rId582"/>
    <hyperlink xmlns:r="http://schemas.openxmlformats.org/officeDocument/2006/relationships" ref="L259" r:id="rId583"/>
    <hyperlink xmlns:r="http://schemas.openxmlformats.org/officeDocument/2006/relationships" ref="K260" r:id="rId584"/>
    <hyperlink xmlns:r="http://schemas.openxmlformats.org/officeDocument/2006/relationships" ref="L260" r:id="rId585"/>
    <hyperlink xmlns:r="http://schemas.openxmlformats.org/officeDocument/2006/relationships" ref="K261" r:id="rId586"/>
    <hyperlink xmlns:r="http://schemas.openxmlformats.org/officeDocument/2006/relationships" ref="L261" r:id="rId587"/>
    <hyperlink xmlns:r="http://schemas.openxmlformats.org/officeDocument/2006/relationships" ref="K262" r:id="rId588"/>
    <hyperlink xmlns:r="http://schemas.openxmlformats.org/officeDocument/2006/relationships" ref="L262" r:id="rId589"/>
    <hyperlink xmlns:r="http://schemas.openxmlformats.org/officeDocument/2006/relationships" ref="K263" r:id="rId590"/>
    <hyperlink xmlns:r="http://schemas.openxmlformats.org/officeDocument/2006/relationships" ref="L263" r:id="rId591"/>
    <hyperlink xmlns:r="http://schemas.openxmlformats.org/officeDocument/2006/relationships" ref="K264" r:id="rId592"/>
    <hyperlink xmlns:r="http://schemas.openxmlformats.org/officeDocument/2006/relationships" ref="P264" r:id="rId593"/>
    <hyperlink xmlns:r="http://schemas.openxmlformats.org/officeDocument/2006/relationships" ref="K265" r:id="rId594"/>
    <hyperlink xmlns:r="http://schemas.openxmlformats.org/officeDocument/2006/relationships" ref="L265" r:id="rId595"/>
    <hyperlink xmlns:r="http://schemas.openxmlformats.org/officeDocument/2006/relationships" ref="O265" r:id="rId596"/>
    <hyperlink xmlns:r="http://schemas.openxmlformats.org/officeDocument/2006/relationships" ref="P265" r:id="rId597"/>
    <hyperlink xmlns:r="http://schemas.openxmlformats.org/officeDocument/2006/relationships" ref="K266" r:id="rId598"/>
    <hyperlink xmlns:r="http://schemas.openxmlformats.org/officeDocument/2006/relationships" ref="O266" r:id="rId599"/>
    <hyperlink xmlns:r="http://schemas.openxmlformats.org/officeDocument/2006/relationships" ref="P266" r:id="rId600"/>
    <hyperlink xmlns:r="http://schemas.openxmlformats.org/officeDocument/2006/relationships" ref="K267" r:id="rId601"/>
    <hyperlink xmlns:r="http://schemas.openxmlformats.org/officeDocument/2006/relationships" ref="O267" r:id="rId602"/>
    <hyperlink xmlns:r="http://schemas.openxmlformats.org/officeDocument/2006/relationships" ref="P267" r:id="rId603"/>
    <hyperlink xmlns:r="http://schemas.openxmlformats.org/officeDocument/2006/relationships" ref="K268" r:id="rId604"/>
    <hyperlink xmlns:r="http://schemas.openxmlformats.org/officeDocument/2006/relationships" ref="O268" r:id="rId605"/>
    <hyperlink xmlns:r="http://schemas.openxmlformats.org/officeDocument/2006/relationships" ref="P268" r:id="rId606"/>
    <hyperlink xmlns:r="http://schemas.openxmlformats.org/officeDocument/2006/relationships" ref="K269" r:id="rId607"/>
    <hyperlink xmlns:r="http://schemas.openxmlformats.org/officeDocument/2006/relationships" ref="O269" r:id="rId608"/>
    <hyperlink xmlns:r="http://schemas.openxmlformats.org/officeDocument/2006/relationships" ref="P269" r:id="rId609"/>
    <hyperlink xmlns:r="http://schemas.openxmlformats.org/officeDocument/2006/relationships" ref="K270" r:id="rId610"/>
    <hyperlink xmlns:r="http://schemas.openxmlformats.org/officeDocument/2006/relationships" ref="O270" r:id="rId611"/>
    <hyperlink xmlns:r="http://schemas.openxmlformats.org/officeDocument/2006/relationships" ref="P270" r:id="rId612"/>
    <hyperlink xmlns:r="http://schemas.openxmlformats.org/officeDocument/2006/relationships" ref="K271" r:id="rId613"/>
    <hyperlink xmlns:r="http://schemas.openxmlformats.org/officeDocument/2006/relationships" ref="O271" r:id="rId614"/>
    <hyperlink xmlns:r="http://schemas.openxmlformats.org/officeDocument/2006/relationships" ref="P271" r:id="rId615"/>
    <hyperlink xmlns:r="http://schemas.openxmlformats.org/officeDocument/2006/relationships" ref="K272" r:id="rId616"/>
    <hyperlink xmlns:r="http://schemas.openxmlformats.org/officeDocument/2006/relationships" ref="O272" r:id="rId617"/>
    <hyperlink xmlns:r="http://schemas.openxmlformats.org/officeDocument/2006/relationships" ref="P272" r:id="rId618"/>
    <hyperlink xmlns:r="http://schemas.openxmlformats.org/officeDocument/2006/relationships" ref="K273" r:id="rId619"/>
    <hyperlink xmlns:r="http://schemas.openxmlformats.org/officeDocument/2006/relationships" ref="O273" r:id="rId620"/>
    <hyperlink xmlns:r="http://schemas.openxmlformats.org/officeDocument/2006/relationships" ref="P273" r:id="rId621"/>
    <hyperlink xmlns:r="http://schemas.openxmlformats.org/officeDocument/2006/relationships" ref="K274" r:id="rId622"/>
    <hyperlink xmlns:r="http://schemas.openxmlformats.org/officeDocument/2006/relationships" ref="O274" r:id="rId623"/>
    <hyperlink xmlns:r="http://schemas.openxmlformats.org/officeDocument/2006/relationships" ref="P274" r:id="rId624"/>
    <hyperlink xmlns:r="http://schemas.openxmlformats.org/officeDocument/2006/relationships" ref="K275" r:id="rId625"/>
    <hyperlink xmlns:r="http://schemas.openxmlformats.org/officeDocument/2006/relationships" ref="O275" r:id="rId626"/>
    <hyperlink xmlns:r="http://schemas.openxmlformats.org/officeDocument/2006/relationships" ref="P275" r:id="rId627"/>
    <hyperlink xmlns:r="http://schemas.openxmlformats.org/officeDocument/2006/relationships" ref="K276" r:id="rId628"/>
    <hyperlink xmlns:r="http://schemas.openxmlformats.org/officeDocument/2006/relationships" ref="P276" r:id="rId629"/>
    <hyperlink xmlns:r="http://schemas.openxmlformats.org/officeDocument/2006/relationships" ref="K277" r:id="rId630"/>
    <hyperlink xmlns:r="http://schemas.openxmlformats.org/officeDocument/2006/relationships" ref="O277" r:id="rId631"/>
    <hyperlink xmlns:r="http://schemas.openxmlformats.org/officeDocument/2006/relationships" ref="P277" r:id="rId632"/>
    <hyperlink xmlns:r="http://schemas.openxmlformats.org/officeDocument/2006/relationships" ref="K278" r:id="rId633"/>
    <hyperlink xmlns:r="http://schemas.openxmlformats.org/officeDocument/2006/relationships" ref="O278" r:id="rId634"/>
    <hyperlink xmlns:r="http://schemas.openxmlformats.org/officeDocument/2006/relationships" ref="P278" r:id="rId635"/>
    <hyperlink xmlns:r="http://schemas.openxmlformats.org/officeDocument/2006/relationships" ref="K279" r:id="rId636"/>
    <hyperlink xmlns:r="http://schemas.openxmlformats.org/officeDocument/2006/relationships" ref="O279" r:id="rId637"/>
    <hyperlink xmlns:r="http://schemas.openxmlformats.org/officeDocument/2006/relationships" ref="P279" r:id="rId638"/>
    <hyperlink xmlns:r="http://schemas.openxmlformats.org/officeDocument/2006/relationships" ref="K280" r:id="rId639"/>
    <hyperlink xmlns:r="http://schemas.openxmlformats.org/officeDocument/2006/relationships" ref="O280" r:id="rId640"/>
    <hyperlink xmlns:r="http://schemas.openxmlformats.org/officeDocument/2006/relationships" ref="P280" r:id="rId641"/>
    <hyperlink xmlns:r="http://schemas.openxmlformats.org/officeDocument/2006/relationships" ref="P281" r:id="rId642"/>
    <hyperlink xmlns:r="http://schemas.openxmlformats.org/officeDocument/2006/relationships" ref="K282" r:id="rId643"/>
    <hyperlink xmlns:r="http://schemas.openxmlformats.org/officeDocument/2006/relationships" ref="O282" r:id="rId644"/>
    <hyperlink xmlns:r="http://schemas.openxmlformats.org/officeDocument/2006/relationships" ref="P282" r:id="rId645"/>
    <hyperlink xmlns:r="http://schemas.openxmlformats.org/officeDocument/2006/relationships" ref="K283" r:id="rId646"/>
    <hyperlink xmlns:r="http://schemas.openxmlformats.org/officeDocument/2006/relationships" ref="O283" r:id="rId647"/>
    <hyperlink xmlns:r="http://schemas.openxmlformats.org/officeDocument/2006/relationships" ref="P283" r:id="rId648"/>
    <hyperlink xmlns:r="http://schemas.openxmlformats.org/officeDocument/2006/relationships" ref="K284" r:id="rId649"/>
    <hyperlink xmlns:r="http://schemas.openxmlformats.org/officeDocument/2006/relationships" ref="O284" r:id="rId650"/>
    <hyperlink xmlns:r="http://schemas.openxmlformats.org/officeDocument/2006/relationships" ref="P284" r:id="rId651"/>
    <hyperlink xmlns:r="http://schemas.openxmlformats.org/officeDocument/2006/relationships" ref="K285" r:id="rId652"/>
    <hyperlink xmlns:r="http://schemas.openxmlformats.org/officeDocument/2006/relationships" ref="O285" r:id="rId653"/>
    <hyperlink xmlns:r="http://schemas.openxmlformats.org/officeDocument/2006/relationships" ref="P285" r:id="rId654"/>
    <hyperlink xmlns:r="http://schemas.openxmlformats.org/officeDocument/2006/relationships" ref="K286" r:id="rId655"/>
    <hyperlink xmlns:r="http://schemas.openxmlformats.org/officeDocument/2006/relationships" ref="O286" r:id="rId656"/>
    <hyperlink xmlns:r="http://schemas.openxmlformats.org/officeDocument/2006/relationships" ref="P286" r:id="rId657"/>
    <hyperlink xmlns:r="http://schemas.openxmlformats.org/officeDocument/2006/relationships" ref="K287" r:id="rId658"/>
    <hyperlink xmlns:r="http://schemas.openxmlformats.org/officeDocument/2006/relationships" ref="O287" r:id="rId659"/>
    <hyperlink xmlns:r="http://schemas.openxmlformats.org/officeDocument/2006/relationships" ref="P287" r:id="rId660"/>
    <hyperlink xmlns:r="http://schemas.openxmlformats.org/officeDocument/2006/relationships" ref="K288" r:id="rId661"/>
    <hyperlink xmlns:r="http://schemas.openxmlformats.org/officeDocument/2006/relationships" ref="O288" r:id="rId662"/>
    <hyperlink xmlns:r="http://schemas.openxmlformats.org/officeDocument/2006/relationships" ref="P288" r:id="rId663"/>
    <hyperlink xmlns:r="http://schemas.openxmlformats.org/officeDocument/2006/relationships" ref="K289" r:id="rId664"/>
    <hyperlink xmlns:r="http://schemas.openxmlformats.org/officeDocument/2006/relationships" ref="O289" r:id="rId665"/>
    <hyperlink xmlns:r="http://schemas.openxmlformats.org/officeDocument/2006/relationships" ref="P289" r:id="rId666"/>
    <hyperlink xmlns:r="http://schemas.openxmlformats.org/officeDocument/2006/relationships" ref="K290" r:id="rId667"/>
    <hyperlink xmlns:r="http://schemas.openxmlformats.org/officeDocument/2006/relationships" ref="O290" r:id="rId668"/>
    <hyperlink xmlns:r="http://schemas.openxmlformats.org/officeDocument/2006/relationships" ref="P290" r:id="rId669"/>
    <hyperlink xmlns:r="http://schemas.openxmlformats.org/officeDocument/2006/relationships" ref="K291" r:id="rId670"/>
    <hyperlink xmlns:r="http://schemas.openxmlformats.org/officeDocument/2006/relationships" ref="O291" r:id="rId671"/>
    <hyperlink xmlns:r="http://schemas.openxmlformats.org/officeDocument/2006/relationships" ref="P291" r:id="rId672"/>
    <hyperlink xmlns:r="http://schemas.openxmlformats.org/officeDocument/2006/relationships" ref="K292" r:id="rId673"/>
    <hyperlink xmlns:r="http://schemas.openxmlformats.org/officeDocument/2006/relationships" ref="O292" r:id="rId674"/>
    <hyperlink xmlns:r="http://schemas.openxmlformats.org/officeDocument/2006/relationships" ref="P292" r:id="rId675"/>
    <hyperlink xmlns:r="http://schemas.openxmlformats.org/officeDocument/2006/relationships" ref="K294" r:id="rId676"/>
    <hyperlink xmlns:r="http://schemas.openxmlformats.org/officeDocument/2006/relationships" ref="O294" r:id="rId677"/>
    <hyperlink xmlns:r="http://schemas.openxmlformats.org/officeDocument/2006/relationships" ref="P294" r:id="rId678"/>
    <hyperlink xmlns:r="http://schemas.openxmlformats.org/officeDocument/2006/relationships" ref="K295" r:id="rId679"/>
    <hyperlink xmlns:r="http://schemas.openxmlformats.org/officeDocument/2006/relationships" ref="O295" r:id="rId680"/>
    <hyperlink xmlns:r="http://schemas.openxmlformats.org/officeDocument/2006/relationships" ref="P295" r:id="rId681"/>
    <hyperlink xmlns:r="http://schemas.openxmlformats.org/officeDocument/2006/relationships" ref="O296" r:id="rId682"/>
    <hyperlink xmlns:r="http://schemas.openxmlformats.org/officeDocument/2006/relationships" ref="K297" r:id="rId683"/>
    <hyperlink xmlns:r="http://schemas.openxmlformats.org/officeDocument/2006/relationships" ref="P297" r:id="rId684"/>
    <hyperlink xmlns:r="http://schemas.openxmlformats.org/officeDocument/2006/relationships" ref="P298" r:id="rId685"/>
    <hyperlink xmlns:r="http://schemas.openxmlformats.org/officeDocument/2006/relationships" ref="K299" r:id="rId686"/>
    <hyperlink xmlns:r="http://schemas.openxmlformats.org/officeDocument/2006/relationships" ref="O299" r:id="rId687"/>
    <hyperlink xmlns:r="http://schemas.openxmlformats.org/officeDocument/2006/relationships" ref="P299" r:id="rId688"/>
    <hyperlink xmlns:r="http://schemas.openxmlformats.org/officeDocument/2006/relationships" ref="K300" r:id="rId689"/>
    <hyperlink xmlns:r="http://schemas.openxmlformats.org/officeDocument/2006/relationships" ref="O300" r:id="rId690"/>
    <hyperlink xmlns:r="http://schemas.openxmlformats.org/officeDocument/2006/relationships" ref="P300" r:id="rId691"/>
    <hyperlink xmlns:r="http://schemas.openxmlformats.org/officeDocument/2006/relationships" ref="P301" r:id="rId692"/>
    <hyperlink xmlns:r="http://schemas.openxmlformats.org/officeDocument/2006/relationships" ref="K303" r:id="rId693"/>
    <hyperlink xmlns:r="http://schemas.openxmlformats.org/officeDocument/2006/relationships" ref="O303" r:id="rId694"/>
    <hyperlink xmlns:r="http://schemas.openxmlformats.org/officeDocument/2006/relationships" ref="P303" r:id="rId695"/>
    <hyperlink xmlns:r="http://schemas.openxmlformats.org/officeDocument/2006/relationships" ref="K304" r:id="rId696"/>
    <hyperlink xmlns:r="http://schemas.openxmlformats.org/officeDocument/2006/relationships" ref="O304" r:id="rId697"/>
    <hyperlink xmlns:r="http://schemas.openxmlformats.org/officeDocument/2006/relationships" ref="P304" r:id="rId698"/>
    <hyperlink xmlns:r="http://schemas.openxmlformats.org/officeDocument/2006/relationships" ref="K305" r:id="rId699"/>
    <hyperlink xmlns:r="http://schemas.openxmlformats.org/officeDocument/2006/relationships" ref="O305" r:id="rId700"/>
    <hyperlink xmlns:r="http://schemas.openxmlformats.org/officeDocument/2006/relationships" ref="P305" r:id="rId701"/>
    <hyperlink xmlns:r="http://schemas.openxmlformats.org/officeDocument/2006/relationships" ref="K306" r:id="rId702"/>
    <hyperlink xmlns:r="http://schemas.openxmlformats.org/officeDocument/2006/relationships" ref="O306" r:id="rId703"/>
    <hyperlink xmlns:r="http://schemas.openxmlformats.org/officeDocument/2006/relationships" ref="P306" r:id="rId704"/>
    <hyperlink xmlns:r="http://schemas.openxmlformats.org/officeDocument/2006/relationships" ref="O307" r:id="rId705"/>
    <hyperlink xmlns:r="http://schemas.openxmlformats.org/officeDocument/2006/relationships" ref="K308" r:id="rId706"/>
    <hyperlink xmlns:r="http://schemas.openxmlformats.org/officeDocument/2006/relationships" ref="O308" r:id="rId707"/>
    <hyperlink xmlns:r="http://schemas.openxmlformats.org/officeDocument/2006/relationships" ref="P308" r:id="rId708"/>
    <hyperlink xmlns:r="http://schemas.openxmlformats.org/officeDocument/2006/relationships" ref="K309" r:id="rId709"/>
    <hyperlink xmlns:r="http://schemas.openxmlformats.org/officeDocument/2006/relationships" ref="O309" r:id="rId710"/>
    <hyperlink xmlns:r="http://schemas.openxmlformats.org/officeDocument/2006/relationships" ref="P309" r:id="rId711"/>
    <hyperlink xmlns:r="http://schemas.openxmlformats.org/officeDocument/2006/relationships" ref="K310" r:id="rId712"/>
    <hyperlink xmlns:r="http://schemas.openxmlformats.org/officeDocument/2006/relationships" ref="P310" r:id="rId713"/>
    <hyperlink xmlns:r="http://schemas.openxmlformats.org/officeDocument/2006/relationships" ref="K313" r:id="rId714"/>
    <hyperlink xmlns:r="http://schemas.openxmlformats.org/officeDocument/2006/relationships" ref="O313" r:id="rId715"/>
    <hyperlink xmlns:r="http://schemas.openxmlformats.org/officeDocument/2006/relationships" ref="P313" r:id="rId716"/>
    <hyperlink xmlns:r="http://schemas.openxmlformats.org/officeDocument/2006/relationships" ref="K314" r:id="rId717"/>
    <hyperlink xmlns:r="http://schemas.openxmlformats.org/officeDocument/2006/relationships" ref="O314" r:id="rId718"/>
    <hyperlink xmlns:r="http://schemas.openxmlformats.org/officeDocument/2006/relationships" ref="P314" r:id="rId719"/>
    <hyperlink xmlns:r="http://schemas.openxmlformats.org/officeDocument/2006/relationships" ref="K315" r:id="rId720"/>
    <hyperlink xmlns:r="http://schemas.openxmlformats.org/officeDocument/2006/relationships" ref="O315" r:id="rId721"/>
    <hyperlink xmlns:r="http://schemas.openxmlformats.org/officeDocument/2006/relationships" ref="P315" r:id="rId722"/>
    <hyperlink xmlns:r="http://schemas.openxmlformats.org/officeDocument/2006/relationships" ref="K316" r:id="rId723"/>
    <hyperlink xmlns:r="http://schemas.openxmlformats.org/officeDocument/2006/relationships" ref="O316" r:id="rId724"/>
    <hyperlink xmlns:r="http://schemas.openxmlformats.org/officeDocument/2006/relationships" ref="P316" r:id="rId725"/>
    <hyperlink xmlns:r="http://schemas.openxmlformats.org/officeDocument/2006/relationships" ref="O317" r:id="rId726"/>
    <hyperlink xmlns:r="http://schemas.openxmlformats.org/officeDocument/2006/relationships" ref="K318" r:id="rId727"/>
    <hyperlink xmlns:r="http://schemas.openxmlformats.org/officeDocument/2006/relationships" ref="O318" r:id="rId728"/>
    <hyperlink xmlns:r="http://schemas.openxmlformats.org/officeDocument/2006/relationships" ref="P318" r:id="rId729"/>
    <hyperlink xmlns:r="http://schemas.openxmlformats.org/officeDocument/2006/relationships" ref="K319" r:id="rId730"/>
    <hyperlink xmlns:r="http://schemas.openxmlformats.org/officeDocument/2006/relationships" ref="O319" r:id="rId731"/>
    <hyperlink xmlns:r="http://schemas.openxmlformats.org/officeDocument/2006/relationships" ref="P319" r:id="rId732"/>
    <hyperlink xmlns:r="http://schemas.openxmlformats.org/officeDocument/2006/relationships" ref="K320" r:id="rId733"/>
    <hyperlink xmlns:r="http://schemas.openxmlformats.org/officeDocument/2006/relationships" ref="O320" r:id="rId734"/>
    <hyperlink xmlns:r="http://schemas.openxmlformats.org/officeDocument/2006/relationships" ref="P320" r:id="rId735"/>
    <hyperlink xmlns:r="http://schemas.openxmlformats.org/officeDocument/2006/relationships" ref="O321" r:id="rId736"/>
    <hyperlink xmlns:r="http://schemas.openxmlformats.org/officeDocument/2006/relationships" ref="P321" r:id="rId737"/>
    <hyperlink xmlns:r="http://schemas.openxmlformats.org/officeDocument/2006/relationships" ref="K322" r:id="rId738"/>
    <hyperlink xmlns:r="http://schemas.openxmlformats.org/officeDocument/2006/relationships" ref="O322" r:id="rId739"/>
    <hyperlink xmlns:r="http://schemas.openxmlformats.org/officeDocument/2006/relationships" ref="P322" r:id="rId740"/>
    <hyperlink xmlns:r="http://schemas.openxmlformats.org/officeDocument/2006/relationships" ref="K323" r:id="rId741"/>
    <hyperlink xmlns:r="http://schemas.openxmlformats.org/officeDocument/2006/relationships" ref="O323" r:id="rId742"/>
    <hyperlink xmlns:r="http://schemas.openxmlformats.org/officeDocument/2006/relationships" ref="P323" r:id="rId743"/>
    <hyperlink xmlns:r="http://schemas.openxmlformats.org/officeDocument/2006/relationships" ref="O324" r:id="rId744"/>
    <hyperlink xmlns:r="http://schemas.openxmlformats.org/officeDocument/2006/relationships" ref="P324" r:id="rId745"/>
    <hyperlink xmlns:r="http://schemas.openxmlformats.org/officeDocument/2006/relationships" ref="K326" r:id="rId746"/>
    <hyperlink xmlns:r="http://schemas.openxmlformats.org/officeDocument/2006/relationships" ref="O326" r:id="rId747"/>
    <hyperlink xmlns:r="http://schemas.openxmlformats.org/officeDocument/2006/relationships" ref="P326" r:id="rId748"/>
    <hyperlink xmlns:r="http://schemas.openxmlformats.org/officeDocument/2006/relationships" ref="O327" r:id="rId749"/>
    <hyperlink xmlns:r="http://schemas.openxmlformats.org/officeDocument/2006/relationships" ref="P327" r:id="rId750"/>
    <hyperlink xmlns:r="http://schemas.openxmlformats.org/officeDocument/2006/relationships" ref="K328" r:id="rId751"/>
    <hyperlink xmlns:r="http://schemas.openxmlformats.org/officeDocument/2006/relationships" ref="O328" r:id="rId752"/>
    <hyperlink xmlns:r="http://schemas.openxmlformats.org/officeDocument/2006/relationships" ref="P328" r:id="rId753"/>
    <hyperlink xmlns:r="http://schemas.openxmlformats.org/officeDocument/2006/relationships" ref="O329" r:id="rId754"/>
    <hyperlink xmlns:r="http://schemas.openxmlformats.org/officeDocument/2006/relationships" ref="P329" r:id="rId755"/>
    <hyperlink xmlns:r="http://schemas.openxmlformats.org/officeDocument/2006/relationships" ref="K330" r:id="rId756"/>
    <hyperlink xmlns:r="http://schemas.openxmlformats.org/officeDocument/2006/relationships" ref="O330" r:id="rId757"/>
    <hyperlink xmlns:r="http://schemas.openxmlformats.org/officeDocument/2006/relationships" ref="P330" r:id="rId758"/>
    <hyperlink xmlns:r="http://schemas.openxmlformats.org/officeDocument/2006/relationships" ref="K331" r:id="rId759"/>
    <hyperlink xmlns:r="http://schemas.openxmlformats.org/officeDocument/2006/relationships" ref="O331" r:id="rId760"/>
    <hyperlink xmlns:r="http://schemas.openxmlformats.org/officeDocument/2006/relationships" ref="P331" r:id="rId761"/>
    <hyperlink xmlns:r="http://schemas.openxmlformats.org/officeDocument/2006/relationships" ref="K332" r:id="rId762"/>
    <hyperlink xmlns:r="http://schemas.openxmlformats.org/officeDocument/2006/relationships" ref="O332" r:id="rId763"/>
    <hyperlink xmlns:r="http://schemas.openxmlformats.org/officeDocument/2006/relationships" ref="P332" r:id="rId764"/>
    <hyperlink xmlns:r="http://schemas.openxmlformats.org/officeDocument/2006/relationships" ref="K333" r:id="rId765"/>
    <hyperlink xmlns:r="http://schemas.openxmlformats.org/officeDocument/2006/relationships" ref="O333" r:id="rId766"/>
    <hyperlink xmlns:r="http://schemas.openxmlformats.org/officeDocument/2006/relationships" ref="P333" r:id="rId767"/>
    <hyperlink xmlns:r="http://schemas.openxmlformats.org/officeDocument/2006/relationships" ref="K334" r:id="rId768"/>
    <hyperlink xmlns:r="http://schemas.openxmlformats.org/officeDocument/2006/relationships" ref="O334" r:id="rId769"/>
    <hyperlink xmlns:r="http://schemas.openxmlformats.org/officeDocument/2006/relationships" ref="P334" r:id="rId770"/>
    <hyperlink xmlns:r="http://schemas.openxmlformats.org/officeDocument/2006/relationships" ref="K335" r:id="rId771"/>
    <hyperlink xmlns:r="http://schemas.openxmlformats.org/officeDocument/2006/relationships" ref="O335" r:id="rId772"/>
    <hyperlink xmlns:r="http://schemas.openxmlformats.org/officeDocument/2006/relationships" ref="P335" r:id="rId773"/>
    <hyperlink xmlns:r="http://schemas.openxmlformats.org/officeDocument/2006/relationships" ref="K336" r:id="rId774"/>
    <hyperlink xmlns:r="http://schemas.openxmlformats.org/officeDocument/2006/relationships" ref="O336" r:id="rId775"/>
    <hyperlink xmlns:r="http://schemas.openxmlformats.org/officeDocument/2006/relationships" ref="P336" r:id="rId776"/>
    <hyperlink xmlns:r="http://schemas.openxmlformats.org/officeDocument/2006/relationships" ref="K337" r:id="rId777"/>
    <hyperlink xmlns:r="http://schemas.openxmlformats.org/officeDocument/2006/relationships" ref="O337" r:id="rId778"/>
    <hyperlink xmlns:r="http://schemas.openxmlformats.org/officeDocument/2006/relationships" ref="P337" r:id="rId779"/>
    <hyperlink xmlns:r="http://schemas.openxmlformats.org/officeDocument/2006/relationships" ref="K338" r:id="rId780"/>
    <hyperlink xmlns:r="http://schemas.openxmlformats.org/officeDocument/2006/relationships" ref="O338" r:id="rId781"/>
    <hyperlink xmlns:r="http://schemas.openxmlformats.org/officeDocument/2006/relationships" ref="P338" r:id="rId782"/>
    <hyperlink xmlns:r="http://schemas.openxmlformats.org/officeDocument/2006/relationships" ref="K339" r:id="rId783"/>
    <hyperlink xmlns:r="http://schemas.openxmlformats.org/officeDocument/2006/relationships" ref="O339" r:id="rId784"/>
    <hyperlink xmlns:r="http://schemas.openxmlformats.org/officeDocument/2006/relationships" ref="P339" r:id="rId785"/>
    <hyperlink xmlns:r="http://schemas.openxmlformats.org/officeDocument/2006/relationships" ref="O340" r:id="rId786"/>
    <hyperlink xmlns:r="http://schemas.openxmlformats.org/officeDocument/2006/relationships" ref="P340" r:id="rId787"/>
    <hyperlink xmlns:r="http://schemas.openxmlformats.org/officeDocument/2006/relationships" ref="K341" r:id="rId788"/>
    <hyperlink xmlns:r="http://schemas.openxmlformats.org/officeDocument/2006/relationships" ref="O341" r:id="rId789"/>
    <hyperlink xmlns:r="http://schemas.openxmlformats.org/officeDocument/2006/relationships" ref="P341" r:id="rId790"/>
    <hyperlink xmlns:r="http://schemas.openxmlformats.org/officeDocument/2006/relationships" ref="O342" r:id="rId791"/>
    <hyperlink xmlns:r="http://schemas.openxmlformats.org/officeDocument/2006/relationships" ref="P342" r:id="rId792"/>
    <hyperlink xmlns:r="http://schemas.openxmlformats.org/officeDocument/2006/relationships" ref="K343" r:id="rId793"/>
    <hyperlink xmlns:r="http://schemas.openxmlformats.org/officeDocument/2006/relationships" ref="O343" r:id="rId794"/>
    <hyperlink xmlns:r="http://schemas.openxmlformats.org/officeDocument/2006/relationships" ref="P343" r:id="rId795"/>
    <hyperlink xmlns:r="http://schemas.openxmlformats.org/officeDocument/2006/relationships" ref="K344" r:id="rId796"/>
    <hyperlink xmlns:r="http://schemas.openxmlformats.org/officeDocument/2006/relationships" ref="P344" r:id="rId797"/>
    <hyperlink xmlns:r="http://schemas.openxmlformats.org/officeDocument/2006/relationships" ref="K345" r:id="rId798"/>
    <hyperlink xmlns:r="http://schemas.openxmlformats.org/officeDocument/2006/relationships" ref="O345" r:id="rId799"/>
    <hyperlink xmlns:r="http://schemas.openxmlformats.org/officeDocument/2006/relationships" ref="P345" r:id="rId800"/>
    <hyperlink xmlns:r="http://schemas.openxmlformats.org/officeDocument/2006/relationships" ref="K346" r:id="rId801"/>
    <hyperlink xmlns:r="http://schemas.openxmlformats.org/officeDocument/2006/relationships" ref="O346" r:id="rId802"/>
    <hyperlink xmlns:r="http://schemas.openxmlformats.org/officeDocument/2006/relationships" ref="P346" r:id="rId803"/>
    <hyperlink xmlns:r="http://schemas.openxmlformats.org/officeDocument/2006/relationships" ref="O347" r:id="rId804"/>
    <hyperlink xmlns:r="http://schemas.openxmlformats.org/officeDocument/2006/relationships" ref="P347" r:id="rId805"/>
    <hyperlink xmlns:r="http://schemas.openxmlformats.org/officeDocument/2006/relationships" ref="Q348" r:id="rId806"/>
    <hyperlink xmlns:r="http://schemas.openxmlformats.org/officeDocument/2006/relationships" ref="Q349" r:id="rId807"/>
    <hyperlink xmlns:r="http://schemas.openxmlformats.org/officeDocument/2006/relationships" ref="Q350" r:id="rId808"/>
    <hyperlink xmlns:r="http://schemas.openxmlformats.org/officeDocument/2006/relationships" ref="Q351" r:id="rId809"/>
    <hyperlink xmlns:r="http://schemas.openxmlformats.org/officeDocument/2006/relationships" ref="Q352" r:id="rId810"/>
    <hyperlink xmlns:r="http://schemas.openxmlformats.org/officeDocument/2006/relationships" ref="Q353" r:id="rId811"/>
    <hyperlink xmlns:r="http://schemas.openxmlformats.org/officeDocument/2006/relationships" ref="Q354" r:id="rId812"/>
    <hyperlink xmlns:r="http://schemas.openxmlformats.org/officeDocument/2006/relationships" ref="Q355" r:id="rId813"/>
    <hyperlink xmlns:r="http://schemas.openxmlformats.org/officeDocument/2006/relationships" ref="Q356" r:id="rId814"/>
    <hyperlink xmlns:r="http://schemas.openxmlformats.org/officeDocument/2006/relationships" ref="Q357" r:id="rId815"/>
    <hyperlink xmlns:r="http://schemas.openxmlformats.org/officeDocument/2006/relationships" ref="Q358" r:id="rId816"/>
    <hyperlink xmlns:r="http://schemas.openxmlformats.org/officeDocument/2006/relationships" ref="Q359" r:id="rId817"/>
    <hyperlink xmlns:r="http://schemas.openxmlformats.org/officeDocument/2006/relationships" ref="Q360" r:id="rId818"/>
    <hyperlink xmlns:r="http://schemas.openxmlformats.org/officeDocument/2006/relationships" ref="Q361" r:id="rId819"/>
    <hyperlink xmlns:r="http://schemas.openxmlformats.org/officeDocument/2006/relationships" ref="Q362" r:id="rId820"/>
    <hyperlink xmlns:r="http://schemas.openxmlformats.org/officeDocument/2006/relationships" ref="Q363" r:id="rId821"/>
    <hyperlink xmlns:r="http://schemas.openxmlformats.org/officeDocument/2006/relationships" ref="K364" r:id="rId822"/>
    <hyperlink xmlns:r="http://schemas.openxmlformats.org/officeDocument/2006/relationships" ref="L364" r:id="rId823"/>
    <hyperlink xmlns:r="http://schemas.openxmlformats.org/officeDocument/2006/relationships" ref="N364" r:id="rId824"/>
    <hyperlink xmlns:r="http://schemas.openxmlformats.org/officeDocument/2006/relationships" ref="K365" r:id="rId825"/>
    <hyperlink xmlns:r="http://schemas.openxmlformats.org/officeDocument/2006/relationships" ref="L365" r:id="rId826"/>
    <hyperlink xmlns:r="http://schemas.openxmlformats.org/officeDocument/2006/relationships" ref="N365" r:id="rId827"/>
    <hyperlink xmlns:r="http://schemas.openxmlformats.org/officeDocument/2006/relationships" ref="K366" r:id="rId828"/>
    <hyperlink xmlns:r="http://schemas.openxmlformats.org/officeDocument/2006/relationships" ref="L366" r:id="rId829"/>
    <hyperlink xmlns:r="http://schemas.openxmlformats.org/officeDocument/2006/relationships" ref="N366" r:id="rId830"/>
    <hyperlink xmlns:r="http://schemas.openxmlformats.org/officeDocument/2006/relationships" ref="K367" r:id="rId831"/>
    <hyperlink xmlns:r="http://schemas.openxmlformats.org/officeDocument/2006/relationships" ref="L367" r:id="rId832"/>
    <hyperlink xmlns:r="http://schemas.openxmlformats.org/officeDocument/2006/relationships" ref="N367" r:id="rId833"/>
    <hyperlink xmlns:r="http://schemas.openxmlformats.org/officeDocument/2006/relationships" ref="K368" r:id="rId834"/>
    <hyperlink xmlns:r="http://schemas.openxmlformats.org/officeDocument/2006/relationships" ref="L368" r:id="rId835"/>
    <hyperlink xmlns:r="http://schemas.openxmlformats.org/officeDocument/2006/relationships" ref="N368" r:id="rId836"/>
    <hyperlink xmlns:r="http://schemas.openxmlformats.org/officeDocument/2006/relationships" ref="K369" r:id="rId837"/>
    <hyperlink xmlns:r="http://schemas.openxmlformats.org/officeDocument/2006/relationships" ref="L369" r:id="rId838"/>
    <hyperlink xmlns:r="http://schemas.openxmlformats.org/officeDocument/2006/relationships" ref="N369" r:id="rId839"/>
    <hyperlink xmlns:r="http://schemas.openxmlformats.org/officeDocument/2006/relationships" ref="K370" r:id="rId840"/>
    <hyperlink xmlns:r="http://schemas.openxmlformats.org/officeDocument/2006/relationships" ref="L370" r:id="rId841"/>
    <hyperlink xmlns:r="http://schemas.openxmlformats.org/officeDocument/2006/relationships" ref="N370" r:id="rId842"/>
    <hyperlink xmlns:r="http://schemas.openxmlformats.org/officeDocument/2006/relationships" ref="K371" r:id="rId843"/>
    <hyperlink xmlns:r="http://schemas.openxmlformats.org/officeDocument/2006/relationships" ref="L371" r:id="rId844"/>
    <hyperlink xmlns:r="http://schemas.openxmlformats.org/officeDocument/2006/relationships" ref="N371" r:id="rId845"/>
    <hyperlink xmlns:r="http://schemas.openxmlformats.org/officeDocument/2006/relationships" ref="K372" r:id="rId846"/>
    <hyperlink xmlns:r="http://schemas.openxmlformats.org/officeDocument/2006/relationships" ref="L372" r:id="rId847"/>
    <hyperlink xmlns:r="http://schemas.openxmlformats.org/officeDocument/2006/relationships" ref="N372" r:id="rId848"/>
    <hyperlink xmlns:r="http://schemas.openxmlformats.org/officeDocument/2006/relationships" ref="K373" r:id="rId849"/>
    <hyperlink xmlns:r="http://schemas.openxmlformats.org/officeDocument/2006/relationships" ref="L373" r:id="rId850"/>
    <hyperlink xmlns:r="http://schemas.openxmlformats.org/officeDocument/2006/relationships" ref="N373" r:id="rId851"/>
    <hyperlink xmlns:r="http://schemas.openxmlformats.org/officeDocument/2006/relationships" ref="K374" r:id="rId852"/>
    <hyperlink xmlns:r="http://schemas.openxmlformats.org/officeDocument/2006/relationships" ref="L374" r:id="rId853"/>
    <hyperlink xmlns:r="http://schemas.openxmlformats.org/officeDocument/2006/relationships" ref="N374" r:id="rId854"/>
    <hyperlink xmlns:r="http://schemas.openxmlformats.org/officeDocument/2006/relationships" ref="K375" r:id="rId855"/>
    <hyperlink xmlns:r="http://schemas.openxmlformats.org/officeDocument/2006/relationships" ref="L375" r:id="rId856"/>
    <hyperlink xmlns:r="http://schemas.openxmlformats.org/officeDocument/2006/relationships" ref="N375" r:id="rId857"/>
    <hyperlink xmlns:r="http://schemas.openxmlformats.org/officeDocument/2006/relationships" ref="K376" r:id="rId858"/>
    <hyperlink xmlns:r="http://schemas.openxmlformats.org/officeDocument/2006/relationships" ref="L376" r:id="rId859"/>
    <hyperlink xmlns:r="http://schemas.openxmlformats.org/officeDocument/2006/relationships" ref="N376" r:id="rId860"/>
    <hyperlink xmlns:r="http://schemas.openxmlformats.org/officeDocument/2006/relationships" ref="K377" r:id="rId861"/>
    <hyperlink xmlns:r="http://schemas.openxmlformats.org/officeDocument/2006/relationships" ref="L377" r:id="rId862"/>
    <hyperlink xmlns:r="http://schemas.openxmlformats.org/officeDocument/2006/relationships" ref="K378" r:id="rId863"/>
    <hyperlink xmlns:r="http://schemas.openxmlformats.org/officeDocument/2006/relationships" ref="K379" r:id="rId864"/>
    <hyperlink xmlns:r="http://schemas.openxmlformats.org/officeDocument/2006/relationships" ref="Q379" r:id="rId865"/>
    <hyperlink xmlns:r="http://schemas.openxmlformats.org/officeDocument/2006/relationships" ref="K380" r:id="rId866"/>
    <hyperlink xmlns:r="http://schemas.openxmlformats.org/officeDocument/2006/relationships" ref="L380" r:id="rId867"/>
    <hyperlink xmlns:r="http://schemas.openxmlformats.org/officeDocument/2006/relationships" ref="K381" r:id="rId868"/>
    <hyperlink xmlns:r="http://schemas.openxmlformats.org/officeDocument/2006/relationships" ref="L381" r:id="rId869"/>
    <hyperlink xmlns:r="http://schemas.openxmlformats.org/officeDocument/2006/relationships" ref="K382" r:id="rId870"/>
    <hyperlink xmlns:r="http://schemas.openxmlformats.org/officeDocument/2006/relationships" ref="L382" r:id="rId871"/>
    <hyperlink xmlns:r="http://schemas.openxmlformats.org/officeDocument/2006/relationships" ref="K383" r:id="rId872"/>
    <hyperlink xmlns:r="http://schemas.openxmlformats.org/officeDocument/2006/relationships" ref="L383" r:id="rId873"/>
    <hyperlink xmlns:r="http://schemas.openxmlformats.org/officeDocument/2006/relationships" ref="K384" r:id="rId874"/>
    <hyperlink xmlns:r="http://schemas.openxmlformats.org/officeDocument/2006/relationships" ref="L384" r:id="rId875"/>
    <hyperlink xmlns:r="http://schemas.openxmlformats.org/officeDocument/2006/relationships" ref="K385" r:id="rId876"/>
    <hyperlink xmlns:r="http://schemas.openxmlformats.org/officeDocument/2006/relationships" ref="K386" r:id="rId877"/>
    <hyperlink xmlns:r="http://schemas.openxmlformats.org/officeDocument/2006/relationships" ref="Q386" r:id="rId878"/>
    <hyperlink xmlns:r="http://schemas.openxmlformats.org/officeDocument/2006/relationships" ref="K387" r:id="rId879"/>
    <hyperlink xmlns:r="http://schemas.openxmlformats.org/officeDocument/2006/relationships" ref="L387" r:id="rId880"/>
    <hyperlink xmlns:r="http://schemas.openxmlformats.org/officeDocument/2006/relationships" ref="K388" r:id="rId881"/>
    <hyperlink xmlns:r="http://schemas.openxmlformats.org/officeDocument/2006/relationships" ref="L388" r:id="rId882"/>
    <hyperlink xmlns:r="http://schemas.openxmlformats.org/officeDocument/2006/relationships" ref="K389" r:id="rId883"/>
    <hyperlink xmlns:r="http://schemas.openxmlformats.org/officeDocument/2006/relationships" ref="L389" r:id="rId884"/>
    <hyperlink xmlns:r="http://schemas.openxmlformats.org/officeDocument/2006/relationships" ref="K390" r:id="rId885"/>
    <hyperlink xmlns:r="http://schemas.openxmlformats.org/officeDocument/2006/relationships" ref="Q390" r:id="rId886"/>
    <hyperlink xmlns:r="http://schemas.openxmlformats.org/officeDocument/2006/relationships" ref="K391" r:id="rId887"/>
    <hyperlink xmlns:r="http://schemas.openxmlformats.org/officeDocument/2006/relationships" ref="Q391" r:id="rId888"/>
    <hyperlink xmlns:r="http://schemas.openxmlformats.org/officeDocument/2006/relationships" ref="K392" r:id="rId889"/>
    <hyperlink xmlns:r="http://schemas.openxmlformats.org/officeDocument/2006/relationships" ref="Q392" r:id="rId890"/>
    <hyperlink xmlns:r="http://schemas.openxmlformats.org/officeDocument/2006/relationships" ref="K393" r:id="rId891"/>
    <hyperlink xmlns:r="http://schemas.openxmlformats.org/officeDocument/2006/relationships" ref="L393" r:id="rId892"/>
    <hyperlink xmlns:r="http://schemas.openxmlformats.org/officeDocument/2006/relationships" ref="K394" r:id="rId893"/>
    <hyperlink xmlns:r="http://schemas.openxmlformats.org/officeDocument/2006/relationships" ref="L394" r:id="rId894"/>
    <hyperlink xmlns:r="http://schemas.openxmlformats.org/officeDocument/2006/relationships" ref="K395" r:id="rId895"/>
    <hyperlink xmlns:r="http://schemas.openxmlformats.org/officeDocument/2006/relationships" ref="L395" r:id="rId896"/>
    <hyperlink xmlns:r="http://schemas.openxmlformats.org/officeDocument/2006/relationships" ref="K396" r:id="rId897"/>
    <hyperlink xmlns:r="http://schemas.openxmlformats.org/officeDocument/2006/relationships" ref="L396" r:id="rId898"/>
    <hyperlink xmlns:r="http://schemas.openxmlformats.org/officeDocument/2006/relationships" ref="K397" r:id="rId899"/>
    <hyperlink xmlns:r="http://schemas.openxmlformats.org/officeDocument/2006/relationships" ref="K398" r:id="rId900"/>
    <hyperlink xmlns:r="http://schemas.openxmlformats.org/officeDocument/2006/relationships" ref="K399" r:id="rId901"/>
    <hyperlink xmlns:r="http://schemas.openxmlformats.org/officeDocument/2006/relationships" ref="Q399" r:id="rId902"/>
    <hyperlink xmlns:r="http://schemas.openxmlformats.org/officeDocument/2006/relationships" ref="K400" r:id="rId903"/>
    <hyperlink xmlns:r="http://schemas.openxmlformats.org/officeDocument/2006/relationships" ref="L400" r:id="rId904"/>
    <hyperlink xmlns:r="http://schemas.openxmlformats.org/officeDocument/2006/relationships" ref="K401" r:id="rId905"/>
    <hyperlink xmlns:r="http://schemas.openxmlformats.org/officeDocument/2006/relationships" ref="L401" r:id="rId906"/>
    <hyperlink xmlns:r="http://schemas.openxmlformats.org/officeDocument/2006/relationships" ref="K402" r:id="rId907"/>
    <hyperlink xmlns:r="http://schemas.openxmlformats.org/officeDocument/2006/relationships" ref="L402" r:id="rId908"/>
    <hyperlink xmlns:r="http://schemas.openxmlformats.org/officeDocument/2006/relationships" ref="K403" r:id="rId909"/>
    <hyperlink xmlns:r="http://schemas.openxmlformats.org/officeDocument/2006/relationships" ref="L403" r:id="rId910"/>
    <hyperlink xmlns:r="http://schemas.openxmlformats.org/officeDocument/2006/relationships" ref="K404" r:id="rId911"/>
    <hyperlink xmlns:r="http://schemas.openxmlformats.org/officeDocument/2006/relationships" ref="K405" r:id="rId912"/>
    <hyperlink xmlns:r="http://schemas.openxmlformats.org/officeDocument/2006/relationships" ref="L405" r:id="rId913"/>
    <hyperlink xmlns:r="http://schemas.openxmlformats.org/officeDocument/2006/relationships" ref="K406" r:id="rId914"/>
    <hyperlink xmlns:r="http://schemas.openxmlformats.org/officeDocument/2006/relationships" ref="L406" r:id="rId915"/>
    <hyperlink xmlns:r="http://schemas.openxmlformats.org/officeDocument/2006/relationships" ref="K407" r:id="rId916"/>
    <hyperlink xmlns:r="http://schemas.openxmlformats.org/officeDocument/2006/relationships" ref="L407" r:id="rId917"/>
    <hyperlink xmlns:r="http://schemas.openxmlformats.org/officeDocument/2006/relationships" ref="K408" r:id="rId918"/>
    <hyperlink xmlns:r="http://schemas.openxmlformats.org/officeDocument/2006/relationships" ref="L408" r:id="rId919"/>
    <hyperlink xmlns:r="http://schemas.openxmlformats.org/officeDocument/2006/relationships" ref="K409" r:id="rId920"/>
    <hyperlink xmlns:r="http://schemas.openxmlformats.org/officeDocument/2006/relationships" ref="L409" r:id="rId921"/>
    <hyperlink xmlns:r="http://schemas.openxmlformats.org/officeDocument/2006/relationships" ref="K410" r:id="rId922"/>
    <hyperlink xmlns:r="http://schemas.openxmlformats.org/officeDocument/2006/relationships" ref="Q410" r:id="rId923"/>
    <hyperlink xmlns:r="http://schemas.openxmlformats.org/officeDocument/2006/relationships" ref="K411" r:id="rId924"/>
    <hyperlink xmlns:r="http://schemas.openxmlformats.org/officeDocument/2006/relationships" ref="L411" r:id="rId925"/>
    <hyperlink xmlns:r="http://schemas.openxmlformats.org/officeDocument/2006/relationships" ref="K412" r:id="rId926"/>
    <hyperlink xmlns:r="http://schemas.openxmlformats.org/officeDocument/2006/relationships" ref="L412" r:id="rId927"/>
    <hyperlink xmlns:r="http://schemas.openxmlformats.org/officeDocument/2006/relationships" ref="K413" r:id="rId928"/>
    <hyperlink xmlns:r="http://schemas.openxmlformats.org/officeDocument/2006/relationships" ref="L413" r:id="rId929"/>
    <hyperlink xmlns:r="http://schemas.openxmlformats.org/officeDocument/2006/relationships" ref="K414" r:id="rId930"/>
    <hyperlink xmlns:r="http://schemas.openxmlformats.org/officeDocument/2006/relationships" ref="L414" r:id="rId931"/>
    <hyperlink xmlns:r="http://schemas.openxmlformats.org/officeDocument/2006/relationships" ref="K415" r:id="rId932"/>
    <hyperlink xmlns:r="http://schemas.openxmlformats.org/officeDocument/2006/relationships" ref="L415" r:id="rId933"/>
    <hyperlink xmlns:r="http://schemas.openxmlformats.org/officeDocument/2006/relationships" ref="K416" r:id="rId934"/>
    <hyperlink xmlns:r="http://schemas.openxmlformats.org/officeDocument/2006/relationships" ref="L416" r:id="rId935"/>
    <hyperlink xmlns:r="http://schemas.openxmlformats.org/officeDocument/2006/relationships" ref="K417" r:id="rId936"/>
    <hyperlink xmlns:r="http://schemas.openxmlformats.org/officeDocument/2006/relationships" ref="L418" r:id="rId937"/>
    <hyperlink xmlns:r="http://schemas.openxmlformats.org/officeDocument/2006/relationships" ref="K419" r:id="rId938"/>
    <hyperlink xmlns:r="http://schemas.openxmlformats.org/officeDocument/2006/relationships" ref="L419" r:id="rId939"/>
    <hyperlink xmlns:r="http://schemas.openxmlformats.org/officeDocument/2006/relationships" ref="K420" r:id="rId940"/>
    <hyperlink xmlns:r="http://schemas.openxmlformats.org/officeDocument/2006/relationships" ref="L420" r:id="rId941"/>
    <hyperlink xmlns:r="http://schemas.openxmlformats.org/officeDocument/2006/relationships" ref="K421" r:id="rId942"/>
    <hyperlink xmlns:r="http://schemas.openxmlformats.org/officeDocument/2006/relationships" ref="L421" r:id="rId943"/>
    <hyperlink xmlns:r="http://schemas.openxmlformats.org/officeDocument/2006/relationships" ref="K422" r:id="rId944"/>
    <hyperlink xmlns:r="http://schemas.openxmlformats.org/officeDocument/2006/relationships" ref="K423" r:id="rId945"/>
    <hyperlink xmlns:r="http://schemas.openxmlformats.org/officeDocument/2006/relationships" ref="L423" r:id="rId946"/>
    <hyperlink xmlns:r="http://schemas.openxmlformats.org/officeDocument/2006/relationships" ref="L424" r:id="rId947"/>
    <hyperlink xmlns:r="http://schemas.openxmlformats.org/officeDocument/2006/relationships" ref="K425" r:id="rId948"/>
    <hyperlink xmlns:r="http://schemas.openxmlformats.org/officeDocument/2006/relationships" ref="L425" r:id="rId949"/>
    <hyperlink xmlns:r="http://schemas.openxmlformats.org/officeDocument/2006/relationships" ref="K426" r:id="rId950"/>
    <hyperlink xmlns:r="http://schemas.openxmlformats.org/officeDocument/2006/relationships" ref="L426" r:id="rId951"/>
    <hyperlink xmlns:r="http://schemas.openxmlformats.org/officeDocument/2006/relationships" ref="K427" r:id="rId952"/>
    <hyperlink xmlns:r="http://schemas.openxmlformats.org/officeDocument/2006/relationships" ref="L427" r:id="rId953"/>
    <hyperlink xmlns:r="http://schemas.openxmlformats.org/officeDocument/2006/relationships" ref="K428" r:id="rId954"/>
    <hyperlink xmlns:r="http://schemas.openxmlformats.org/officeDocument/2006/relationships" ref="L428" r:id="rId955"/>
    <hyperlink xmlns:r="http://schemas.openxmlformats.org/officeDocument/2006/relationships" ref="K429" r:id="rId956"/>
    <hyperlink xmlns:r="http://schemas.openxmlformats.org/officeDocument/2006/relationships" ref="L429" r:id="rId957"/>
    <hyperlink xmlns:r="http://schemas.openxmlformats.org/officeDocument/2006/relationships" ref="K430" r:id="rId958"/>
    <hyperlink xmlns:r="http://schemas.openxmlformats.org/officeDocument/2006/relationships" ref="L430" r:id="rId959"/>
    <hyperlink xmlns:r="http://schemas.openxmlformats.org/officeDocument/2006/relationships" ref="K431" r:id="rId960"/>
    <hyperlink xmlns:r="http://schemas.openxmlformats.org/officeDocument/2006/relationships" ref="L431" r:id="rId961"/>
    <hyperlink xmlns:r="http://schemas.openxmlformats.org/officeDocument/2006/relationships" ref="K432" r:id="rId962"/>
    <hyperlink xmlns:r="http://schemas.openxmlformats.org/officeDocument/2006/relationships" ref="L432" r:id="rId963"/>
    <hyperlink xmlns:r="http://schemas.openxmlformats.org/officeDocument/2006/relationships" ref="K433" r:id="rId964"/>
    <hyperlink xmlns:r="http://schemas.openxmlformats.org/officeDocument/2006/relationships" ref="Q433" r:id="rId965"/>
    <hyperlink xmlns:r="http://schemas.openxmlformats.org/officeDocument/2006/relationships" ref="K434" r:id="rId966"/>
    <hyperlink xmlns:r="http://schemas.openxmlformats.org/officeDocument/2006/relationships" ref="K435" r:id="rId967"/>
    <hyperlink xmlns:r="http://schemas.openxmlformats.org/officeDocument/2006/relationships" ref="Q435" r:id="rId968"/>
    <hyperlink xmlns:r="http://schemas.openxmlformats.org/officeDocument/2006/relationships" ref="K436" r:id="rId969"/>
    <hyperlink xmlns:r="http://schemas.openxmlformats.org/officeDocument/2006/relationships" ref="Q436" r:id="rId970"/>
    <hyperlink xmlns:r="http://schemas.openxmlformats.org/officeDocument/2006/relationships" ref="K437" r:id="rId971"/>
    <hyperlink xmlns:r="http://schemas.openxmlformats.org/officeDocument/2006/relationships" ref="Q437" r:id="rId972"/>
    <hyperlink xmlns:r="http://schemas.openxmlformats.org/officeDocument/2006/relationships" ref="K438" r:id="rId973"/>
    <hyperlink xmlns:r="http://schemas.openxmlformats.org/officeDocument/2006/relationships" ref="K439" r:id="rId974"/>
    <hyperlink xmlns:r="http://schemas.openxmlformats.org/officeDocument/2006/relationships" ref="Q439" r:id="rId975"/>
    <hyperlink xmlns:r="http://schemas.openxmlformats.org/officeDocument/2006/relationships" ref="L440" r:id="rId976"/>
    <hyperlink xmlns:r="http://schemas.openxmlformats.org/officeDocument/2006/relationships" ref="K441" r:id="rId977"/>
    <hyperlink xmlns:r="http://schemas.openxmlformats.org/officeDocument/2006/relationships" ref="L441" r:id="rId978"/>
    <hyperlink xmlns:r="http://schemas.openxmlformats.org/officeDocument/2006/relationships" ref="K442" r:id="rId979"/>
    <hyperlink xmlns:r="http://schemas.openxmlformats.org/officeDocument/2006/relationships" ref="Q442" r:id="rId980"/>
    <hyperlink xmlns:r="http://schemas.openxmlformats.org/officeDocument/2006/relationships" ref="K443" r:id="rId981"/>
    <hyperlink xmlns:r="http://schemas.openxmlformats.org/officeDocument/2006/relationships" ref="L443" r:id="rId982"/>
    <hyperlink xmlns:r="http://schemas.openxmlformats.org/officeDocument/2006/relationships" ref="K444" r:id="rId983"/>
    <hyperlink xmlns:r="http://schemas.openxmlformats.org/officeDocument/2006/relationships" ref="L444" r:id="rId984"/>
    <hyperlink xmlns:r="http://schemas.openxmlformats.org/officeDocument/2006/relationships" ref="K445" r:id="rId985"/>
    <hyperlink xmlns:r="http://schemas.openxmlformats.org/officeDocument/2006/relationships" ref="L445" r:id="rId986"/>
    <hyperlink xmlns:r="http://schemas.openxmlformats.org/officeDocument/2006/relationships" ref="K446" r:id="rId987"/>
    <hyperlink xmlns:r="http://schemas.openxmlformats.org/officeDocument/2006/relationships" ref="L446" r:id="rId988"/>
    <hyperlink xmlns:r="http://schemas.openxmlformats.org/officeDocument/2006/relationships" ref="K447" r:id="rId989"/>
    <hyperlink xmlns:r="http://schemas.openxmlformats.org/officeDocument/2006/relationships" ref="L447" r:id="rId990"/>
    <hyperlink xmlns:r="http://schemas.openxmlformats.org/officeDocument/2006/relationships" ref="K448" r:id="rId991"/>
    <hyperlink xmlns:r="http://schemas.openxmlformats.org/officeDocument/2006/relationships" ref="L448" r:id="rId992"/>
    <hyperlink xmlns:r="http://schemas.openxmlformats.org/officeDocument/2006/relationships" ref="K449" r:id="rId993"/>
    <hyperlink xmlns:r="http://schemas.openxmlformats.org/officeDocument/2006/relationships" ref="L449" r:id="rId994"/>
    <hyperlink xmlns:r="http://schemas.openxmlformats.org/officeDocument/2006/relationships" ref="K450" r:id="rId995"/>
    <hyperlink xmlns:r="http://schemas.openxmlformats.org/officeDocument/2006/relationships" ref="L450" r:id="rId996"/>
    <hyperlink xmlns:r="http://schemas.openxmlformats.org/officeDocument/2006/relationships" ref="K451" r:id="rId997"/>
    <hyperlink xmlns:r="http://schemas.openxmlformats.org/officeDocument/2006/relationships" ref="L451" r:id="rId998"/>
    <hyperlink xmlns:r="http://schemas.openxmlformats.org/officeDocument/2006/relationships" ref="K452" r:id="rId999"/>
    <hyperlink xmlns:r="http://schemas.openxmlformats.org/officeDocument/2006/relationships" ref="L452" r:id="rId1000"/>
    <hyperlink xmlns:r="http://schemas.openxmlformats.org/officeDocument/2006/relationships" ref="K453" r:id="rId1001"/>
    <hyperlink xmlns:r="http://schemas.openxmlformats.org/officeDocument/2006/relationships" ref="L453" r:id="rId1002"/>
    <hyperlink xmlns:r="http://schemas.openxmlformats.org/officeDocument/2006/relationships" ref="K454" r:id="rId1003"/>
    <hyperlink xmlns:r="http://schemas.openxmlformats.org/officeDocument/2006/relationships" ref="Q454" r:id="rId1004"/>
    <hyperlink xmlns:r="http://schemas.openxmlformats.org/officeDocument/2006/relationships" ref="K455" r:id="rId1005"/>
    <hyperlink xmlns:r="http://schemas.openxmlformats.org/officeDocument/2006/relationships" ref="L455" r:id="rId1006"/>
    <hyperlink xmlns:r="http://schemas.openxmlformats.org/officeDocument/2006/relationships" ref="K456" r:id="rId1007"/>
    <hyperlink xmlns:r="http://schemas.openxmlformats.org/officeDocument/2006/relationships" ref="L456" r:id="rId1008"/>
    <hyperlink xmlns:r="http://schemas.openxmlformats.org/officeDocument/2006/relationships" ref="L457" r:id="rId1009"/>
    <hyperlink xmlns:r="http://schemas.openxmlformats.org/officeDocument/2006/relationships" ref="K458" r:id="rId1010"/>
    <hyperlink xmlns:r="http://schemas.openxmlformats.org/officeDocument/2006/relationships" ref="L458" r:id="rId1011"/>
    <hyperlink xmlns:r="http://schemas.openxmlformats.org/officeDocument/2006/relationships" ref="K459" r:id="rId1012"/>
    <hyperlink xmlns:r="http://schemas.openxmlformats.org/officeDocument/2006/relationships" ref="L459" r:id="rId1013"/>
    <hyperlink xmlns:r="http://schemas.openxmlformats.org/officeDocument/2006/relationships" ref="L460" r:id="rId1014"/>
    <hyperlink xmlns:r="http://schemas.openxmlformats.org/officeDocument/2006/relationships" ref="K461" r:id="rId1015"/>
    <hyperlink xmlns:r="http://schemas.openxmlformats.org/officeDocument/2006/relationships" ref="L461" r:id="rId1016"/>
    <hyperlink xmlns:r="http://schemas.openxmlformats.org/officeDocument/2006/relationships" ref="L462" r:id="rId1017"/>
    <hyperlink xmlns:r="http://schemas.openxmlformats.org/officeDocument/2006/relationships" ref="K463" r:id="rId1018"/>
    <hyperlink xmlns:r="http://schemas.openxmlformats.org/officeDocument/2006/relationships" ref="L463" r:id="rId1019"/>
    <hyperlink xmlns:r="http://schemas.openxmlformats.org/officeDocument/2006/relationships" ref="K464" r:id="rId1020"/>
    <hyperlink xmlns:r="http://schemas.openxmlformats.org/officeDocument/2006/relationships" ref="L464" r:id="rId1021"/>
    <hyperlink xmlns:r="http://schemas.openxmlformats.org/officeDocument/2006/relationships" ref="K465" r:id="rId1022"/>
    <hyperlink xmlns:r="http://schemas.openxmlformats.org/officeDocument/2006/relationships" ref="L465" r:id="rId1023"/>
    <hyperlink xmlns:r="http://schemas.openxmlformats.org/officeDocument/2006/relationships" ref="K466" r:id="rId1024"/>
    <hyperlink xmlns:r="http://schemas.openxmlformats.org/officeDocument/2006/relationships" ref="L466" r:id="rId1025"/>
    <hyperlink xmlns:r="http://schemas.openxmlformats.org/officeDocument/2006/relationships" ref="K467" r:id="rId1026"/>
    <hyperlink xmlns:r="http://schemas.openxmlformats.org/officeDocument/2006/relationships" ref="K468" r:id="rId1027"/>
    <hyperlink xmlns:r="http://schemas.openxmlformats.org/officeDocument/2006/relationships" ref="L468" r:id="rId1028"/>
    <hyperlink xmlns:r="http://schemas.openxmlformats.org/officeDocument/2006/relationships" ref="K469" r:id="rId1029"/>
    <hyperlink xmlns:r="http://schemas.openxmlformats.org/officeDocument/2006/relationships" ref="L469" r:id="rId1030"/>
    <hyperlink xmlns:r="http://schemas.openxmlformats.org/officeDocument/2006/relationships" ref="K470" r:id="rId1031"/>
    <hyperlink xmlns:r="http://schemas.openxmlformats.org/officeDocument/2006/relationships" ref="L470" r:id="rId1032"/>
    <hyperlink xmlns:r="http://schemas.openxmlformats.org/officeDocument/2006/relationships" ref="L471" r:id="rId1033"/>
    <hyperlink xmlns:r="http://schemas.openxmlformats.org/officeDocument/2006/relationships" ref="K472" r:id="rId1034"/>
    <hyperlink xmlns:r="http://schemas.openxmlformats.org/officeDocument/2006/relationships" ref="L472" r:id="rId1035"/>
    <hyperlink xmlns:r="http://schemas.openxmlformats.org/officeDocument/2006/relationships" ref="L473" r:id="rId1036"/>
    <hyperlink xmlns:r="http://schemas.openxmlformats.org/officeDocument/2006/relationships" ref="K474" r:id="rId1037"/>
    <hyperlink xmlns:r="http://schemas.openxmlformats.org/officeDocument/2006/relationships" ref="L474" r:id="rId1038"/>
    <hyperlink xmlns:r="http://schemas.openxmlformats.org/officeDocument/2006/relationships" ref="K475" r:id="rId1039"/>
    <hyperlink xmlns:r="http://schemas.openxmlformats.org/officeDocument/2006/relationships" ref="L475" r:id="rId1040"/>
    <hyperlink xmlns:r="http://schemas.openxmlformats.org/officeDocument/2006/relationships" ref="K476" r:id="rId1041"/>
    <hyperlink xmlns:r="http://schemas.openxmlformats.org/officeDocument/2006/relationships" ref="L476" r:id="rId1042"/>
    <hyperlink xmlns:r="http://schemas.openxmlformats.org/officeDocument/2006/relationships" ref="K477" r:id="rId1043"/>
    <hyperlink xmlns:r="http://schemas.openxmlformats.org/officeDocument/2006/relationships" ref="L477" r:id="rId1044"/>
    <hyperlink xmlns:r="http://schemas.openxmlformats.org/officeDocument/2006/relationships" ref="K478" r:id="rId1045"/>
    <hyperlink xmlns:r="http://schemas.openxmlformats.org/officeDocument/2006/relationships" ref="L478" r:id="rId1046"/>
    <hyperlink xmlns:r="http://schemas.openxmlformats.org/officeDocument/2006/relationships" ref="K479" r:id="rId1047"/>
    <hyperlink xmlns:r="http://schemas.openxmlformats.org/officeDocument/2006/relationships" ref="L479" r:id="rId1048"/>
    <hyperlink xmlns:r="http://schemas.openxmlformats.org/officeDocument/2006/relationships" ref="Q479" r:id="rId1049"/>
    <hyperlink xmlns:r="http://schemas.openxmlformats.org/officeDocument/2006/relationships" ref="L480" r:id="rId1050"/>
    <hyperlink xmlns:r="http://schemas.openxmlformats.org/officeDocument/2006/relationships" ref="K481" r:id="rId1051"/>
    <hyperlink xmlns:r="http://schemas.openxmlformats.org/officeDocument/2006/relationships" ref="L481" r:id="rId1052"/>
    <hyperlink xmlns:r="http://schemas.openxmlformats.org/officeDocument/2006/relationships" ref="K482" r:id="rId1053"/>
    <hyperlink xmlns:r="http://schemas.openxmlformats.org/officeDocument/2006/relationships" ref="L482" r:id="rId1054"/>
    <hyperlink xmlns:r="http://schemas.openxmlformats.org/officeDocument/2006/relationships" ref="K483" r:id="rId1055"/>
    <hyperlink xmlns:r="http://schemas.openxmlformats.org/officeDocument/2006/relationships" ref="L483" r:id="rId1056"/>
    <hyperlink xmlns:r="http://schemas.openxmlformats.org/officeDocument/2006/relationships" ref="K484" r:id="rId1057"/>
    <hyperlink xmlns:r="http://schemas.openxmlformats.org/officeDocument/2006/relationships" ref="L484" r:id="rId1058"/>
    <hyperlink xmlns:r="http://schemas.openxmlformats.org/officeDocument/2006/relationships" ref="K485" r:id="rId1059"/>
    <hyperlink xmlns:r="http://schemas.openxmlformats.org/officeDocument/2006/relationships" ref="L485" r:id="rId1060"/>
    <hyperlink xmlns:r="http://schemas.openxmlformats.org/officeDocument/2006/relationships" ref="K486" r:id="rId1061"/>
    <hyperlink xmlns:r="http://schemas.openxmlformats.org/officeDocument/2006/relationships" ref="L486" r:id="rId1062"/>
    <hyperlink xmlns:r="http://schemas.openxmlformats.org/officeDocument/2006/relationships" ref="K487" r:id="rId1063"/>
    <hyperlink xmlns:r="http://schemas.openxmlformats.org/officeDocument/2006/relationships" ref="L487" r:id="rId1064"/>
    <hyperlink xmlns:r="http://schemas.openxmlformats.org/officeDocument/2006/relationships" ref="Q487" r:id="rId1065"/>
    <hyperlink xmlns:r="http://schemas.openxmlformats.org/officeDocument/2006/relationships" ref="K488" r:id="rId1066"/>
    <hyperlink xmlns:r="http://schemas.openxmlformats.org/officeDocument/2006/relationships" ref="L488" r:id="rId1067"/>
    <hyperlink xmlns:r="http://schemas.openxmlformats.org/officeDocument/2006/relationships" ref="Q488" r:id="rId1068"/>
    <hyperlink xmlns:r="http://schemas.openxmlformats.org/officeDocument/2006/relationships" ref="L489" r:id="rId1069"/>
    <hyperlink xmlns:r="http://schemas.openxmlformats.org/officeDocument/2006/relationships" ref="K490" r:id="rId1070"/>
    <hyperlink xmlns:r="http://schemas.openxmlformats.org/officeDocument/2006/relationships" ref="L490" r:id="rId1071"/>
    <hyperlink xmlns:r="http://schemas.openxmlformats.org/officeDocument/2006/relationships" ref="L491" r:id="rId1072"/>
    <hyperlink xmlns:r="http://schemas.openxmlformats.org/officeDocument/2006/relationships" ref="K492" r:id="rId1073"/>
    <hyperlink xmlns:r="http://schemas.openxmlformats.org/officeDocument/2006/relationships" ref="L492" r:id="rId1074"/>
    <hyperlink xmlns:r="http://schemas.openxmlformats.org/officeDocument/2006/relationships" ref="K493" r:id="rId1075"/>
    <hyperlink xmlns:r="http://schemas.openxmlformats.org/officeDocument/2006/relationships" ref="L493" r:id="rId1076"/>
    <hyperlink xmlns:r="http://schemas.openxmlformats.org/officeDocument/2006/relationships" ref="K494" r:id="rId1077"/>
    <hyperlink xmlns:r="http://schemas.openxmlformats.org/officeDocument/2006/relationships" ref="K495" r:id="rId1078"/>
    <hyperlink xmlns:r="http://schemas.openxmlformats.org/officeDocument/2006/relationships" ref="L495" r:id="rId1079"/>
    <hyperlink xmlns:r="http://schemas.openxmlformats.org/officeDocument/2006/relationships" ref="K496" r:id="rId1080"/>
    <hyperlink xmlns:r="http://schemas.openxmlformats.org/officeDocument/2006/relationships" ref="L496" r:id="rId1081"/>
    <hyperlink xmlns:r="http://schemas.openxmlformats.org/officeDocument/2006/relationships" ref="K497" r:id="rId1082"/>
    <hyperlink xmlns:r="http://schemas.openxmlformats.org/officeDocument/2006/relationships" ref="L497" r:id="rId1083"/>
    <hyperlink xmlns:r="http://schemas.openxmlformats.org/officeDocument/2006/relationships" ref="L498" r:id="rId1084"/>
    <hyperlink xmlns:r="http://schemas.openxmlformats.org/officeDocument/2006/relationships" ref="K499" r:id="rId1085"/>
    <hyperlink xmlns:r="http://schemas.openxmlformats.org/officeDocument/2006/relationships" ref="K500" r:id="rId1086"/>
    <hyperlink xmlns:r="http://schemas.openxmlformats.org/officeDocument/2006/relationships" ref="L500" r:id="rId1087"/>
    <hyperlink xmlns:r="http://schemas.openxmlformats.org/officeDocument/2006/relationships" ref="K501" r:id="rId1088"/>
    <hyperlink xmlns:r="http://schemas.openxmlformats.org/officeDocument/2006/relationships" ref="L501" r:id="rId1089"/>
    <hyperlink xmlns:r="http://schemas.openxmlformats.org/officeDocument/2006/relationships" ref="K502" r:id="rId1090"/>
    <hyperlink xmlns:r="http://schemas.openxmlformats.org/officeDocument/2006/relationships" ref="L502" r:id="rId1091"/>
    <hyperlink xmlns:r="http://schemas.openxmlformats.org/officeDocument/2006/relationships" ref="L503" r:id="rId1092"/>
    <hyperlink xmlns:r="http://schemas.openxmlformats.org/officeDocument/2006/relationships" ref="K504" r:id="rId1093"/>
    <hyperlink xmlns:r="http://schemas.openxmlformats.org/officeDocument/2006/relationships" ref="L504" r:id="rId1094"/>
    <hyperlink xmlns:r="http://schemas.openxmlformats.org/officeDocument/2006/relationships" ref="K505" r:id="rId1095"/>
    <hyperlink xmlns:r="http://schemas.openxmlformats.org/officeDocument/2006/relationships" ref="L505" r:id="rId1096"/>
    <hyperlink xmlns:r="http://schemas.openxmlformats.org/officeDocument/2006/relationships" ref="K506" r:id="rId1097"/>
    <hyperlink xmlns:r="http://schemas.openxmlformats.org/officeDocument/2006/relationships" ref="L506" r:id="rId1098"/>
    <hyperlink xmlns:r="http://schemas.openxmlformats.org/officeDocument/2006/relationships" ref="K507" r:id="rId1099"/>
    <hyperlink xmlns:r="http://schemas.openxmlformats.org/officeDocument/2006/relationships" ref="L507" r:id="rId1100"/>
    <hyperlink xmlns:r="http://schemas.openxmlformats.org/officeDocument/2006/relationships" ref="Q507" r:id="rId1101"/>
    <hyperlink xmlns:r="http://schemas.openxmlformats.org/officeDocument/2006/relationships" ref="P508" r:id="rId1102"/>
    <hyperlink xmlns:r="http://schemas.openxmlformats.org/officeDocument/2006/relationships" ref="Q509" r:id="rId1103"/>
    <hyperlink xmlns:r="http://schemas.openxmlformats.org/officeDocument/2006/relationships" ref="P510" r:id="rId1104"/>
    <hyperlink xmlns:r="http://schemas.openxmlformats.org/officeDocument/2006/relationships" ref="O511" r:id="rId1105"/>
    <hyperlink xmlns:r="http://schemas.openxmlformats.org/officeDocument/2006/relationships" ref="O512" r:id="rId1106"/>
    <hyperlink xmlns:r="http://schemas.openxmlformats.org/officeDocument/2006/relationships" ref="O513" r:id="rId1107"/>
    <hyperlink xmlns:r="http://schemas.openxmlformats.org/officeDocument/2006/relationships" ref="P514" r:id="rId1108"/>
    <hyperlink xmlns:r="http://schemas.openxmlformats.org/officeDocument/2006/relationships" ref="P515" r:id="rId1109"/>
    <hyperlink xmlns:r="http://schemas.openxmlformats.org/officeDocument/2006/relationships" ref="P516" r:id="rId1110"/>
    <hyperlink xmlns:r="http://schemas.openxmlformats.org/officeDocument/2006/relationships" ref="K517" r:id="rId1111"/>
    <hyperlink xmlns:r="http://schemas.openxmlformats.org/officeDocument/2006/relationships" ref="O517" r:id="rId1112"/>
    <hyperlink xmlns:r="http://schemas.openxmlformats.org/officeDocument/2006/relationships" ref="K518" r:id="rId1113"/>
    <hyperlink xmlns:r="http://schemas.openxmlformats.org/officeDocument/2006/relationships" ref="O518" r:id="rId1114"/>
    <hyperlink xmlns:r="http://schemas.openxmlformats.org/officeDocument/2006/relationships" ref="P519" r:id="rId1115"/>
    <hyperlink xmlns:r="http://schemas.openxmlformats.org/officeDocument/2006/relationships" ref="O521" r:id="rId1116"/>
    <hyperlink xmlns:r="http://schemas.openxmlformats.org/officeDocument/2006/relationships" ref="K522" r:id="rId1117"/>
    <hyperlink xmlns:r="http://schemas.openxmlformats.org/officeDocument/2006/relationships" ref="O522" r:id="rId1118"/>
    <hyperlink xmlns:r="http://schemas.openxmlformats.org/officeDocument/2006/relationships" ref="K523" r:id="rId1119"/>
    <hyperlink xmlns:r="http://schemas.openxmlformats.org/officeDocument/2006/relationships" ref="O523" r:id="rId1120"/>
    <hyperlink xmlns:r="http://schemas.openxmlformats.org/officeDocument/2006/relationships" ref="P523" r:id="rId1121"/>
    <hyperlink xmlns:r="http://schemas.openxmlformats.org/officeDocument/2006/relationships" ref="P524" r:id="rId1122"/>
    <hyperlink xmlns:r="http://schemas.openxmlformats.org/officeDocument/2006/relationships" ref="Q531" r:id="rId1123"/>
    <hyperlink xmlns:r="http://schemas.openxmlformats.org/officeDocument/2006/relationships" ref="Q532" r:id="rId1124"/>
    <hyperlink xmlns:r="http://schemas.openxmlformats.org/officeDocument/2006/relationships" ref="Q533" r:id="rId1125"/>
    <hyperlink xmlns:r="http://schemas.openxmlformats.org/officeDocument/2006/relationships" ref="Q534" r:id="rId1126"/>
    <hyperlink xmlns:r="http://schemas.openxmlformats.org/officeDocument/2006/relationships" ref="Q536" r:id="rId1127"/>
    <hyperlink xmlns:r="http://schemas.openxmlformats.org/officeDocument/2006/relationships" ref="Q537" r:id="rId1128"/>
    <hyperlink xmlns:r="http://schemas.openxmlformats.org/officeDocument/2006/relationships" ref="Q538" r:id="rId1129"/>
    <hyperlink xmlns:r="http://schemas.openxmlformats.org/officeDocument/2006/relationships" ref="Q540" r:id="rId1130"/>
    <hyperlink xmlns:r="http://schemas.openxmlformats.org/officeDocument/2006/relationships" ref="Q541" r:id="rId113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70" customWidth="1" min="1" max="1"/>
    <col width="12" customWidth="1" min="2" max="2"/>
  </cols>
  <sheetData>
    <row r="1">
      <c r="A1" t="inlineStr">
        <is>
          <t>Reports on the worklist</t>
        </is>
      </c>
      <c r="B1">
        <f>COUNTA(Worklist!B2:B541)</f>
        <v/>
      </c>
    </row>
    <row r="2">
      <c r="A2" t="inlineStr">
        <is>
          <t xml:space="preserve">  with abstract in the database record</t>
        </is>
      </c>
      <c r="B2">
        <f>COUNTIF(Worklist!AE2:AE541,"yes")</f>
        <v/>
      </c>
    </row>
    <row r="3">
      <c r="A3" t="inlineStr">
        <is>
          <t xml:space="preserve">  without abstract in the database record</t>
        </is>
      </c>
      <c r="B3">
        <f>COUNTIF(Worklist!AE2:AE541,"no")</f>
        <v/>
      </c>
    </row>
    <row r="4">
      <c r="A4" t="inlineStr">
        <is>
          <t>Route group 1 PMC record exists</t>
        </is>
      </c>
      <c r="B4">
        <f>COUNTIF(Worklist!R2:R541,"1 PMC record exists")</f>
        <v/>
      </c>
    </row>
    <row r="5">
      <c r="A5" t="inlineStr">
        <is>
          <t>Route group 2 English, DOI or PubMed link</t>
        </is>
      </c>
      <c r="B5">
        <f>COUNTIF(Worklist!R2:R541,"2 English, DOI or PubMed link")</f>
        <v/>
      </c>
    </row>
    <row r="6">
      <c r="A6" t="inlineStr">
        <is>
          <t>Route group 3 Chinese</t>
        </is>
      </c>
      <c r="B6">
        <f>COUNTIF(Worklist!R2:R541,"3 Chinese")</f>
        <v/>
      </c>
    </row>
    <row r="7">
      <c r="A7" t="inlineStr">
        <is>
          <t>Route group 4 English, no DOI and no PubMed link</t>
        </is>
      </c>
      <c r="B7">
        <f>COUNTIF(Worklist!R2:R541,"4 English, no DOI and no PubMed link")</f>
        <v/>
      </c>
    </row>
    <row r="8">
      <c r="A8" t="inlineStr">
        <is>
          <t>Full text obtained (first try)</t>
        </is>
      </c>
      <c r="B8">
        <f>COUNTIF(Worklist!W2:W541,"Yes")</f>
        <v/>
      </c>
    </row>
    <row r="9">
      <c r="A9" t="inlineStr">
        <is>
          <t>Not obtained at first try</t>
        </is>
      </c>
      <c r="B9">
        <f>COUNTIF(Worklist!W2:W541,"No")</f>
        <v/>
      </c>
    </row>
    <row r="10">
      <c r="A10" t="inlineStr">
        <is>
          <t>Second try obtained</t>
        </is>
      </c>
      <c r="B10">
        <f>COUNTIF(Worklist!AB2:AB541,"Yes")</f>
        <v/>
      </c>
    </row>
    <row r="11">
      <c r="A11" t="inlineStr">
        <is>
          <t>Second try not obtained (candidates for reason D if both logged all routes)</t>
        </is>
      </c>
      <c r="B11">
        <f>COUNTIF(Worklist!AB2:AB541,"No")</f>
        <v/>
      </c>
    </row>
    <row r="12">
      <c r="A12" t="inlineStr">
        <is>
          <t>Not yet tried</t>
        </is>
      </c>
      <c r="B12">
        <f>COUNTA(Worklist!B2:B541)-COUNTA(Worklist!W2:W541)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2026-10-19T00:02:02Z</dcterms:created>
  <dcterms:modified xmlns:dcterms="http://purl.org/dc/terms/" xmlns:xsi="http://www.w3.org/2001/XMLSchema-instance" xsi:type="dcterms:W3CDTF">2026-10-19T00:02:03Z</dcterms:modified>
</cp:coreProperties>
</file>