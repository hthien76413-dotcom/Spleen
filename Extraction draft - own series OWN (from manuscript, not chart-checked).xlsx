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rt_check" sheetId="2" state="visible" r:id="rId2"/>
    <sheet xmlns:r="http://schemas.openxmlformats.org/officeDocument/2006/relationships" name="Reports" sheetId="3" state="visible" r:id="rId3"/>
    <sheet xmlns:r="http://schemas.openxmlformats.org/officeDocument/2006/relationships" name="Patients" sheetId="4" state="visible" r:id="rId4"/>
    <sheet xmlns:r="http://schemas.openxmlformats.org/officeDocument/2006/relationships" name="Rules" sheetId="5" state="visible" r:id="rId5"/>
    <sheet xmlns:r="http://schemas.openxmlformats.org/officeDocument/2006/relationships" name="Duration_calc" sheetId="6" state="visible" r:id="rId6"/>
    <sheet xmlns:r="http://schemas.openxmlformats.org/officeDocument/2006/relationships" name="Lists"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font>
    <font>
      <b val="1"/>
      <sz val="14"/>
    </font>
    <font>
      <b val="1"/>
      <color rgb="00FFFFFF"/>
      <sz val="12"/>
    </font>
    <font>
      <b val="1"/>
      <sz val="12"/>
    </font>
    <font>
      <b val="1"/>
      <color rgb="00FFFFFF"/>
    </font>
    <font>
      <i val="1"/>
      <color rgb="00404040"/>
      <sz val="9"/>
    </font>
    <font>
      <b val="1"/>
      <color rgb="00C00000"/>
    </font>
  </fonts>
  <fills count="12">
    <fill>
      <patternFill/>
    </fill>
    <fill>
      <patternFill patternType="gray125"/>
    </fill>
    <fill>
      <patternFill patternType="solid">
        <fgColor rgb="002F75B5"/>
      </patternFill>
    </fill>
    <fill>
      <patternFill patternType="solid">
        <fgColor rgb="00E7E6E6"/>
      </patternFill>
    </fill>
    <fill>
      <patternFill patternType="solid">
        <fgColor rgb="0044546A"/>
      </patternFill>
    </fill>
    <fill>
      <patternFill patternType="solid">
        <fgColor rgb="00F2F2F2"/>
      </patternFill>
    </fill>
    <fill>
      <patternFill patternType="solid">
        <fgColor rgb="007F7F7F"/>
      </patternFill>
    </fill>
    <fill>
      <patternFill patternType="solid">
        <fgColor rgb="00548235"/>
      </patternFill>
    </fill>
    <fill>
      <patternFill patternType="solid">
        <fgColor rgb="00BF8F00"/>
      </patternFill>
    </fill>
    <fill>
      <patternFill patternType="solid">
        <fgColor rgb="00C55A11"/>
      </patternFill>
    </fill>
    <fill>
      <patternFill patternType="solid">
        <fgColor rgb="007030A0"/>
      </patternFill>
    </fill>
    <fill>
      <patternFill patternType="solid">
        <fgColor rgb="00FDE9D9"/>
      </patternFill>
    </fill>
  </fills>
  <borders count="5">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style="thin">
        <color rgb="00BBBBBB"/>
      </right>
      <top style="thin">
        <color rgb="00BBBBBB"/>
      </top>
      <bottom style="thin">
        <color rgb="00BBBBBB"/>
      </bottom>
      <diagonal/>
    </border>
  </borders>
  <cellStyleXfs count="1">
    <xf numFmtId="0" fontId="0" fillId="0" borderId="0"/>
  </cellStyleXfs>
  <cellXfs count="23">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5" fillId="4" borderId="1" applyAlignment="1" pivotButton="0" quotePrefix="0" xfId="0">
      <alignment vertical="top" wrapText="1"/>
    </xf>
    <xf numFmtId="0" fontId="5" fillId="2" borderId="1" applyAlignment="1" pivotButton="0" quotePrefix="0" xfId="0">
      <alignment vertical="top" wrapText="1"/>
    </xf>
    <xf numFmtId="0" fontId="5" fillId="6" borderId="1" applyAlignment="1" pivotButton="0" quotePrefix="0" xfId="0">
      <alignment vertical="top" wrapText="1"/>
    </xf>
    <xf numFmtId="0" fontId="6" fillId="5" borderId="1" applyAlignment="1" pivotButton="0" quotePrefix="0" xfId="0">
      <alignment vertical="top" wrapText="1"/>
    </xf>
    <xf numFmtId="164" fontId="0" fillId="0" borderId="0" pivotButton="0" quotePrefix="0" xfId="0"/>
    <xf numFmtId="0" fontId="0" fillId="3" borderId="0" pivotButton="0" quotePrefix="0" xfId="0"/>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4" fillId="0" borderId="0" pivotButton="0" quotePrefix="0" xfId="0"/>
    <xf numFmtId="0" fontId="5" fillId="2" borderId="1" pivotButton="0" quotePrefix="0" xfId="0"/>
    <xf numFmtId="0" fontId="0" fillId="0" borderId="1" applyAlignment="1" pivotButton="0" quotePrefix="0" xfId="0">
      <alignment vertical="top" wrapText="1"/>
    </xf>
    <xf numFmtId="0" fontId="1" fillId="0" borderId="0" pivotButton="0" quotePrefix="0" xfId="0"/>
    <xf numFmtId="0" fontId="0" fillId="0" borderId="1" pivotButton="0" quotePrefix="0" xfId="0"/>
    <xf numFmtId="0" fontId="0" fillId="3" borderId="1" pivotButton="0" quotePrefix="0" xfId="0"/>
    <xf numFmtId="0" fontId="7" fillId="11" borderId="0" applyAlignment="1" pivotButton="0" quotePrefix="0" xfId="0">
      <alignment vertical="top" wrapText="1"/>
    </xf>
    <xf numFmtId="0" fontId="5" fillId="9" borderId="0"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F7F7F"/>
    <outlinePr summaryBelow="1" summaryRight="1"/>
    <pageSetUpPr/>
  </sheetPr>
  <dimension ref="A1:A16"/>
  <sheetViews>
    <sheetView workbookViewId="0">
      <selection activeCell="A1" sqref="A1"/>
    </sheetView>
  </sheetViews>
  <sheetFormatPr baseColWidth="8" defaultRowHeight="15"/>
  <cols>
    <col width="150" customWidth="1" min="1" max="1"/>
  </cols>
  <sheetData>
    <row r="1" ht="18" customHeight="1">
      <c r="A1" s="1" t="inlineStr">
        <is>
          <t>草稿：本院 5 例（OWN）的提取表，由稿件预填，没有对照病历</t>
        </is>
      </c>
    </row>
    <row r="2" ht="48" customHeight="1">
      <c r="A2" s="20" t="inlineStr">
        <is>
          <t>这不是一份独立提取。每个值都来自稿件正文和 Table 1、Table 4（EJP 版文章和 Manuscript draft v0.2），不是来自住院病历。稿件里没写的项目是空白（空白 = 还没提取），只有稿件明确说'没有记录'的项才填 NR（如病例 5 的血小板数值、脾脏大小）。</t>
        </is>
      </c>
    </row>
    <row r="3" ht="18" customHeight="1">
      <c r="A3" s="3" t="inlineStr">
        <is>
          <t>怎么用（建议）</t>
        </is>
      </c>
    </row>
    <row r="4" ht="32" customHeight="1">
      <c r="A4" s="2" t="inlineStr">
        <is>
          <t>• 提取员（E1 舒俊、E2 卞红强）各自从病历提取这 5 名儿童，填进自己的提取表（OWN_P1–OWN_P5），在两人都完成之前不看这份草稿，也不看对方的文件。这样本院 5 例和已发表的报告一样是独立双人提取。</t>
        </is>
      </c>
    </row>
    <row r="5" ht="32" customHeight="1">
      <c r="A5" s="2" t="inlineStr">
        <is>
          <t>• 两人完成并做完共识以后，把共识的 OWN 行和这份草稿对照：不一致之处说明稿件和病历不一样，要查原因，必要时改稿件（例如第 3 例从首次就诊到第一次脾手术的间隔是 62 个月，而第二次到第三次就诊之间的 36 个月曾被误当作这个间隔，后来才改正）。</t>
        </is>
      </c>
    </row>
    <row r="6" ht="64" customHeight="1">
      <c r="A6" s="2" t="inlineStr">
        <is>
          <t>• 2026 年 10 月 18 日作者决定：按上面的建议，两位提取员先从病历独立提取，空白起始文件在 `search/extraction/own_series/`（`extraction_E1_OWN_starter.xlsx`、`extraction_E2_OWN_starter.xlsx`）。卞红强是否已知道这一决定没有确认。若改为从草稿出发逐格核对，这 5 例就不再是独立双人提取，要在 Methods 里说明，且应事先由三位定下。</t>
        </is>
      </c>
    </row>
    <row r="7" ht="18" customHeight="1">
      <c r="A7" s="2" t="inlineStr">
        <is>
          <t>• 核对清单见 Chart_check 表（每个病例要在病历里查什么）。</t>
        </is>
      </c>
    </row>
    <row r="8" ht="18" customHeight="1">
      <c r="A8" s="3" t="inlineStr">
        <is>
          <t>草稿里的编码规则</t>
        </is>
      </c>
    </row>
    <row r="9" ht="32" customHeight="1">
      <c r="A9" s="2" t="inlineStr">
        <is>
          <t>• 主要暴露、主要结局的编码与稿件 Table 4 一致：指数发作 1 天、1 天、9 天（间歇性，规则 6）、0.1 天、0.9 天；脾脏在指数手术时无活力：病例 1、2、5，以及（协议主要定义下，因梗死做部分脾切除）病例 3；病例 4 有活力。</t>
        </is>
      </c>
    </row>
    <row r="10" ht="32" customHeight="1">
      <c r="A10" s="2" t="inlineStr">
        <is>
          <t>• 病例 1、2 的'指数发作'是第二次就诊；病例 3 是第三次就诊（首次脾手术）。之后的手术（病例 3 复发后的全脾切除）写在 further_surgery 和 recurrence_details，不改 viability 和 procedure（提取说明 5.6）。</t>
        </is>
      </c>
    </row>
    <row r="11" ht="18" customHeight="1">
      <c r="A11" s="2" t="inlineStr">
        <is>
          <t>• 等待间隔和总病程是用稿件给的月数（月 × 30.4）加症状天数算的近似值，要用病历里的日期替换。</t>
        </is>
      </c>
    </row>
    <row r="12" ht="18" customHeight="1">
      <c r="A12" s="2" t="inlineStr">
        <is>
          <t>• year = 2026 只是占位，使 pub_period 能算出来；本院病例适用什么发表时期由统计分析负责人定。</t>
        </is>
      </c>
    </row>
    <row r="13" ht="18" customHeight="1">
      <c r="A13" s="2" t="inlineStr">
        <is>
          <t>• extractor 和 date_extracted 故意留空，因为这不是提取。灰色列是公式，不要改。</t>
        </is>
      </c>
    </row>
    <row r="14" ht="18" customHeight="1">
      <c r="A14" s="3" t="inlineStr">
        <is>
          <t>没有验证的事</t>
        </is>
      </c>
    </row>
    <row r="15" ht="18" customHeight="1">
      <c r="A15" s="2" t="inlineStr">
        <is>
          <t>• 这份文件没有在 Excel 或 WPS 里打开过（容器里没有）；下拉列表和版面实际是否正常没有验证。</t>
        </is>
      </c>
    </row>
    <row r="16" ht="18" customHeight="1">
      <c r="A16" s="2" t="inlineStr">
        <is>
          <t>• 文件里没有姓名、住院号、出生日期或具体日期。若在病历核对时发现这些，不要写进这份文件或仓库。</t>
        </is>
      </c>
    </row>
    <row r="17" ht="18" customHeight="1"/>
    <row r="18" ht="54" customHeight="1"/>
    <row r="19" ht="18" customHeight="1"/>
    <row r="20" ht="18" customHeight="1"/>
    <row r="21" ht="18" customHeight="1"/>
    <row r="22" ht="36" customHeight="1"/>
    <row r="23" ht="36" customHeight="1"/>
    <row r="24" ht="54" customHeight="1"/>
    <row r="25" ht="54" customHeight="1"/>
    <row r="26" ht="36" customHeight="1"/>
    <row r="27" ht="36" customHeight="1"/>
    <row r="28" ht="36" customHeight="1"/>
    <row r="29" ht="18" customHeight="1"/>
    <row r="30" ht="54" customHeight="1"/>
  </sheetData>
  <pageMargins left="0.75" right="0.75" top="1" bottom="1" header="0.5" footer="0.5"/>
</worksheet>
</file>

<file path=xl/worksheets/sheet2.xml><?xml version="1.0" encoding="utf-8"?>
<worksheet xmlns="http://schemas.openxmlformats.org/spreadsheetml/2006/main">
  <sheetPr>
    <tabColor rgb="00C55A11"/>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6" customWidth="1" min="3" max="3"/>
    <col width="110" customWidth="1" min="4" max="4"/>
  </cols>
  <sheetData>
    <row r="1">
      <c r="A1" s="21" t="inlineStr">
        <is>
          <t>patient_id</t>
        </is>
      </c>
      <c r="B1" s="21" t="inlineStr">
        <is>
          <t>field(s)</t>
        </is>
      </c>
      <c r="C1" s="21" t="inlineStr">
        <is>
          <t>value in the draft</t>
        </is>
      </c>
      <c r="D1" s="21" t="inlineStr">
        <is>
          <t>what to check in the records</t>
        </is>
      </c>
    </row>
    <row r="2" ht="45" customHeight="1">
      <c r="A2" s="2" t="inlineStr">
        <is>
          <t>all</t>
        </is>
      </c>
      <c r="B2" s="2" t="inlineStr">
        <is>
          <t>dates and times</t>
        </is>
      </c>
      <c r="C2" s="2" t="inlineStr">
        <is>
          <t>-</t>
        </is>
      </c>
      <c r="D2" s="2" t="inlineStr">
        <is>
          <t>Exact dates and times of onset, admission and operation for the index episode of every child (rule 8). Cases 1, 2 and 4: the manuscript has the duration at presentation only (Table 4 footnote a) and so adds no time to operation; Cases 1 and 2 are flagged as a lower bound (rule 9).</t>
        </is>
      </c>
    </row>
    <row r="3" ht="30" customHeight="1">
      <c r="A3" s="2" t="inlineStr">
        <is>
          <t>all</t>
        </is>
      </c>
      <c r="B3" s="2" t="inlineStr">
        <is>
          <t>presentation</t>
        </is>
      </c>
      <c r="C3" s="2" t="inlineStr">
        <is>
          <t>see Patients</t>
        </is>
      </c>
      <c r="D3" s="2" t="inlineStr">
        <is>
          <t>The five values of presentation are a reading of the guide (5.3) applied to the manuscript wording; check against the history.</t>
        </is>
      </c>
    </row>
    <row r="4" ht="45" customHeight="1">
      <c r="A4" s="2" t="inlineStr">
        <is>
          <t>all</t>
        </is>
      </c>
      <c r="B4" s="2" t="inlineStr">
        <is>
          <t>imaging columns</t>
        </is>
      </c>
      <c r="C4" s="2" t="inlineStr">
        <is>
          <t>pooled over all encounters</t>
        </is>
      </c>
      <c r="D4" s="2" t="inlineStr">
        <is>
          <t>The guide does not say whether img_us / img_ct count all encounters or the index episode only; the draft pools all encounters. Doppler and MRI are left blank because the manuscript does not mention them.</t>
        </is>
      </c>
    </row>
    <row r="5" ht="30" customHeight="1">
      <c r="A5" s="2" t="inlineStr">
        <is>
          <t>all</t>
        </is>
      </c>
      <c r="B5" s="2" t="inlineStr">
        <is>
          <t>follow-up</t>
        </is>
      </c>
      <c r="C5" s="2" t="inlineStr">
        <is>
          <t>Cases 4 and 5 only</t>
        </is>
      </c>
      <c r="D5" s="2" t="inlineStr">
        <is>
          <t>Length of follow-up for Cases 1, 2 and 3 is not in the manuscript. Cases 4 (13 months) and 5 (5 months) are as of the September 2026 manuscript; update to the date of the last review.</t>
        </is>
      </c>
    </row>
    <row r="6" ht="30" customHeight="1">
      <c r="A6" s="2" t="inlineStr">
        <is>
          <t>all</t>
        </is>
      </c>
      <c r="B6" s="2" t="inlineStr">
        <is>
          <t>after splenectomy</t>
        </is>
      </c>
      <c r="C6" s="2" t="inlineStr">
        <is>
          <t>-</t>
        </is>
      </c>
      <c r="D6" s="2" t="inlineStr">
        <is>
          <t>Whether vaccination and antibiotic prophylaxis after splenectomy are documented (the manuscript does not say).</t>
        </is>
      </c>
    </row>
    <row r="7" ht="45" customHeight="1">
      <c r="A7" s="2" t="inlineStr">
        <is>
          <t>all</t>
        </is>
      </c>
      <c r="B7" s="2" t="inlineStr">
        <is>
          <t>viab_basis</t>
        </is>
      </c>
      <c r="C7" s="2" t="inlineStr">
        <is>
          <t>see Patients</t>
        </is>
      </c>
      <c r="D7" s="2" t="inlineStr">
        <is>
          <t>Cases 4 and 5 (and 3) are marked Intraoperative from the operative description; check the operative note and whether histology exists. Cases 1 and 2: the manuscript gives CT infarction only, so viab_basis is blank.</t>
        </is>
      </c>
    </row>
    <row r="8" ht="45" customHeight="1">
      <c r="A8" s="2" t="inlineStr">
        <is>
          <t>all</t>
        </is>
      </c>
      <c r="B8" s="2" t="inlineStr">
        <is>
          <t>associated conditions</t>
        </is>
      </c>
      <c r="C8" s="2" t="inlineStr">
        <is>
          <t>blank</t>
        </is>
      </c>
      <c r="D8" s="2" t="inlineStr">
        <is>
          <t>Gastric volvulus / outlet obstruction, pancreatic tail, bowel obstruction, diaphragm, kidney, syndrome, previous surgery and aetiology are blank where the manuscript is silent. A blank here means not yet extracted; the record may allow Yes / No.</t>
        </is>
      </c>
    </row>
    <row r="9" ht="45" customHeight="1">
      <c r="A9" s="2" t="inlineStr">
        <is>
          <t>OWN_P1</t>
        </is>
      </c>
      <c r="B9" s="2" t="inlineStr">
        <is>
          <t>waiting_interval_days, total_hist_days</t>
        </is>
      </c>
      <c r="C9" s="2" t="inlineStr">
        <is>
          <t>486.4; 488.4</t>
        </is>
      </c>
      <c r="D9" s="2" t="inlineStr">
        <is>
          <t>Computed from the stated 16 months (x30.4) plus 2 days; the guide measures the waiting interval from the day the diagnosis was made and surgery deferred to the start of the index episode. Replace with the exact interval from the dates.</t>
        </is>
      </c>
    </row>
    <row r="10" ht="30" customHeight="1">
      <c r="A10" s="2" t="inlineStr">
        <is>
          <t>OWN_P2</t>
        </is>
      </c>
      <c r="B10" s="2" t="inlineStr">
        <is>
          <t>ws_basis</t>
        </is>
      </c>
      <c r="C10" s="2" t="inlineStr">
        <is>
          <t>blank</t>
        </is>
      </c>
      <c r="D10" s="2" t="inlineStr">
        <is>
          <t>Table 1 says only 'CT: pedicle torsion' for this child. Check the CT report and the operative note for the position or mobility of the spleen.</t>
        </is>
      </c>
    </row>
    <row r="11" ht="18" customHeight="1">
      <c r="A11" s="2" t="inlineStr">
        <is>
          <t>OWN_P2</t>
        </is>
      </c>
      <c r="B11" s="2" t="inlineStr">
        <is>
          <t>waiting_interval_days, total_hist_days</t>
        </is>
      </c>
      <c r="C11" s="2" t="inlineStr">
        <is>
          <t>577.6; 579.6</t>
        </is>
      </c>
      <c r="D11" s="2" t="inlineStr">
        <is>
          <t>As for OWN_P1 (19 months).</t>
        </is>
      </c>
    </row>
    <row r="12" ht="18" customHeight="1">
      <c r="A12" s="2" t="inlineStr">
        <is>
          <t>OWN_P2</t>
        </is>
      </c>
      <c r="B12" s="2" t="inlineStr">
        <is>
          <t>approach</t>
        </is>
      </c>
      <c r="C12" s="2" t="inlineStr">
        <is>
          <t>Converted</t>
        </is>
      </c>
      <c r="D12" s="2" t="inlineStr">
        <is>
          <t>Reason for conversion from laparoscopy to laparotomy (not in the manuscript).</t>
        </is>
      </c>
    </row>
    <row r="13" ht="30" customHeight="1">
      <c r="A13" s="2" t="inlineStr">
        <is>
          <t>OWN_P3</t>
        </is>
      </c>
      <c r="B13" s="2" t="inlineStr">
        <is>
          <t>idx_dur_days</t>
        </is>
      </c>
      <c r="C13" s="2" t="inlineStr">
        <is>
          <t>9 (intermittent)</t>
        </is>
      </c>
      <c r="D13" s="2" t="inlineStr">
        <is>
          <t>Duration of any worsening within the nine days, for the alternative coding of rule 6 (idx_dur_alt_days). Whether the time from presentation to operation is known (rule 9).</t>
        </is>
      </c>
    </row>
    <row r="14" ht="60" customHeight="1">
      <c r="A14" s="2" t="inlineStr">
        <is>
          <t>OWN_P3</t>
        </is>
      </c>
      <c r="B14" s="2" t="inlineStr">
        <is>
          <t>viability, viab_basis</t>
        </is>
      </c>
      <c r="C14" s="2" t="inlineStr">
        <is>
          <t>Partially non-viable, Intraoperative</t>
        </is>
      </c>
      <c r="D14" s="2" t="inlineStr">
        <is>
          <t>Extent of the infarction at operation and whether histology exists; whether the spleen removed at the second operation (total splenectomy after recurrence) was viable. Primary outcome under the protocol definition = Non-viable (partial splenectomy for infarction); sensitivity analysis 3 counts it as salvage.</t>
        </is>
      </c>
    </row>
    <row r="15" ht="30" customHeight="1">
      <c r="A15" s="2" t="inlineStr">
        <is>
          <t>OWN_P3</t>
        </is>
      </c>
      <c r="B15" s="2" t="inlineStr">
        <is>
          <t>torsion_at_op, cond_panc_tail</t>
        </is>
      </c>
      <c r="C15" s="2" t="inlineStr">
        <is>
          <t>blank</t>
        </is>
      </c>
      <c r="D15" s="2" t="inlineStr">
        <is>
          <t>Whether the pedicle was twisted at the index operation; the pancreatic rotation was seen on CT at the fourth encounter, after the index operation, so cond_panc_tail was left blank.</t>
        </is>
      </c>
    </row>
    <row r="16" ht="30" customHeight="1">
      <c r="A16" s="2" t="inlineStr">
        <is>
          <t>OWN_P3</t>
        </is>
      </c>
      <c r="B16" s="2" t="inlineStr">
        <is>
          <t>fixation</t>
        </is>
      </c>
      <c r="C16" s="2" t="inlineStr">
        <is>
          <t>Direct suture</t>
        </is>
      </c>
      <c r="D16" s="2" t="inlineStr">
        <is>
          <t>Capsular sutures to the diaphragm and lateral peritoneum with clips after an abandoned pouch; the choice between Direct suture and Other is a reading.</t>
        </is>
      </c>
    </row>
    <row r="17" ht="18" customHeight="1">
      <c r="A17" s="2" t="inlineStr">
        <is>
          <t>OWN_P3</t>
        </is>
      </c>
      <c r="B17" s="2" t="inlineStr">
        <is>
          <t>waiting_interval_days, total_hist_days</t>
        </is>
      </c>
      <c r="C17" s="2" t="inlineStr">
        <is>
          <t>1884.8; 1885.8</t>
        </is>
      </c>
      <c r="D17" s="2" t="inlineStr">
        <is>
          <t>As for OWN_P1 (62 months; first episode 1 day before the first presentation).</t>
        </is>
      </c>
    </row>
    <row r="18" ht="30" customHeight="1">
      <c r="A18" s="2" t="inlineStr">
        <is>
          <t>OWN_P4</t>
        </is>
      </c>
      <c r="B18" s="2" t="inlineStr">
        <is>
          <t>torsion_at_op</t>
        </is>
      </c>
      <c r="C18" s="2" t="inlineStr">
        <is>
          <t>blank</t>
        </is>
      </c>
      <c r="D18" s="2" t="inlineStr">
        <is>
          <t>CT showed pedicle torsion; the operative description says the spleen was held only by its pedicle but does not give torsion at operation.</t>
        </is>
      </c>
    </row>
    <row r="19" ht="18" customHeight="1">
      <c r="A19" s="2" t="inlineStr">
        <is>
          <t>OWN_P4</t>
        </is>
      </c>
      <c r="B19" s="2" t="inlineStr">
        <is>
          <t>recurrence / further surgery</t>
        </is>
      </c>
      <c r="C19" s="2" t="inlineStr">
        <is>
          <t>No / blank</t>
        </is>
      </c>
      <c r="D19" s="2" t="inlineStr">
        <is>
          <t>Recurrence = No from the CT at 13 months; further surgery is not stated.</t>
        </is>
      </c>
    </row>
    <row r="20" ht="45" customHeight="1">
      <c r="A20" s="2" t="inlineStr">
        <is>
          <t>OWN_P5</t>
        </is>
      </c>
      <c r="B20" s="2" t="inlineStr">
        <is>
          <t>idx_dur_days</t>
        </is>
      </c>
      <c r="C20" s="2" t="inlineStr">
        <is>
          <t>0.9</t>
        </is>
      </c>
      <c r="D20" s="2" t="inlineStr">
        <is>
          <t>The child was admitted to another hospital one week before presentation and treated as acute gastritis. If the abdominal symptoms were continuous over that week, the index episode is about 7 days (and total history longer); if not, 0.9 stands. Decide from the history in the records.</t>
        </is>
      </c>
    </row>
    <row r="21" ht="18" customHeight="1">
      <c r="A21" s="2" t="inlineStr">
        <is>
          <t>OWN_P5</t>
        </is>
      </c>
      <c r="B21" s="2" t="inlineStr">
        <is>
          <t>n_earlier_episodes, total_hist_days</t>
        </is>
      </c>
      <c r="C21" s="2" t="inlineStr">
        <is>
          <t>blank</t>
        </is>
      </c>
      <c r="D21" s="2" t="inlineStr">
        <is>
          <t>Left blank because of the point above.</t>
        </is>
      </c>
    </row>
    <row r="22" ht="30" customHeight="1">
      <c r="A22" s="2" t="inlineStr">
        <is>
          <t>OWN_P5</t>
        </is>
      </c>
      <c r="B22" s="2" t="inlineStr">
        <is>
          <t>platelets</t>
        </is>
      </c>
      <c r="C22" s="2" t="inlineStr">
        <is>
          <t>NR</t>
        </is>
      </c>
      <c r="D22" s="2" t="inlineStr">
        <is>
          <t>Reported as normal; the exact value was not recorded (manuscript). Check whether the laboratory system has it.</t>
        </is>
      </c>
    </row>
    <row r="23" ht="18" customHeight="1">
      <c r="A23" s="2" t="inlineStr">
        <is>
          <t>OWN_P5</t>
        </is>
      </c>
      <c r="B23" s="2" t="inlineStr">
        <is>
          <t>spleen_size_cm</t>
        </is>
      </c>
      <c r="C23" s="2" t="inlineStr">
        <is>
          <t>NR</t>
        </is>
      </c>
      <c r="D23" s="2" t="inlineStr">
        <is>
          <t>The spleen is described as enlarged; no measurement in the manuscript.</t>
        </is>
      </c>
    </row>
  </sheetData>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Q80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6" customWidth="1" min="2" max="2"/>
    <col width="7" customWidth="1" min="3" max="3"/>
    <col width="24" customWidth="1" min="4" max="4"/>
    <col width="12" customWidth="1" min="5" max="5"/>
    <col width="10" customWidth="1" min="6" max="6"/>
    <col width="20" customWidth="1" min="7" max="7"/>
    <col width="11" customWidth="1" min="8" max="8"/>
    <col width="26" customWidth="1" min="9" max="9"/>
    <col width="14" customWidth="1" min="10" max="10"/>
    <col width="16" customWidth="1" min="11" max="11"/>
    <col width="11" customWidth="1" min="12" max="12"/>
    <col width="11" customWidth="1" min="13" max="13"/>
    <col width="14" customWidth="1" min="14" max="14"/>
    <col width="11" customWidth="1" min="15" max="15"/>
    <col width="12" customWidth="1" min="16" max="16"/>
    <col width="30" customWidth="1" min="17" max="17"/>
  </cols>
  <sheetData>
    <row r="1" ht="22" customHeight="1">
      <c r="A1" s="4" t="inlineStr">
        <is>
          <t>report_id</t>
        </is>
      </c>
      <c r="B1" s="5" t="inlineStr">
        <is>
          <t>first_author</t>
        </is>
      </c>
      <c r="C1" s="5" t="inlineStr">
        <is>
          <t>year</t>
        </is>
      </c>
      <c r="D1" s="5" t="inlineStr">
        <is>
          <t>journal</t>
        </is>
      </c>
      <c r="E1" s="5" t="inlineStr">
        <is>
          <t>country</t>
        </is>
      </c>
      <c r="F1" s="5" t="inlineStr">
        <is>
          <t>language</t>
        </is>
      </c>
      <c r="G1" s="5" t="inlineStr">
        <is>
          <t>design</t>
        </is>
      </c>
      <c r="H1" s="5" t="inlineStr">
        <is>
          <t>consecutive</t>
        </is>
      </c>
      <c r="I1" s="5" t="inlineStr">
        <is>
          <t>institution</t>
        </is>
      </c>
      <c r="J1" s="5" t="inlineStr">
        <is>
          <t>study_period</t>
        </is>
      </c>
      <c r="K1" s="5" t="inlineStr">
        <is>
          <t>linked_duplicates</t>
        </is>
      </c>
      <c r="L1" s="5" t="inlineStr">
        <is>
          <t>n_children_individual</t>
        </is>
      </c>
      <c r="M1" s="5" t="inlineStr">
        <is>
          <t>n_children_aggregate</t>
        </is>
      </c>
      <c r="N1" s="5" t="inlineStr">
        <is>
          <t>pub_period</t>
        </is>
      </c>
      <c r="O1" s="4" t="inlineStr">
        <is>
          <t>extractor</t>
        </is>
      </c>
      <c r="P1" s="4" t="inlineStr">
        <is>
          <t>date_extracted</t>
        </is>
      </c>
      <c r="Q1" s="6" t="inlineStr">
        <is>
          <t>notes</t>
        </is>
      </c>
    </row>
    <row r="2" ht="62" customHeight="1">
      <c r="A2" s="4" t="inlineStr">
        <is>
          <t>Report ID</t>
        </is>
      </c>
      <c r="B2" s="5" t="inlineStr">
        <is>
          <t>First author</t>
        </is>
      </c>
      <c r="C2" s="5" t="inlineStr">
        <is>
          <t>Year</t>
        </is>
      </c>
      <c r="D2" s="5" t="inlineStr">
        <is>
          <t>Journal</t>
        </is>
      </c>
      <c r="E2" s="5" t="inlineStr">
        <is>
          <t>Country</t>
        </is>
      </c>
      <c r="F2" s="5" t="inlineStr">
        <is>
          <t>Language</t>
        </is>
      </c>
      <c r="G2" s="5" t="inlineStr">
        <is>
          <t>Design</t>
        </is>
      </c>
      <c r="H2" s="5" t="inlineStr">
        <is>
          <t>Consecutive series</t>
        </is>
      </c>
      <c r="I2" s="5" t="inlineStr">
        <is>
          <t>Institution</t>
        </is>
      </c>
      <c r="J2" s="5" t="inlineStr">
        <is>
          <t>Study period</t>
        </is>
      </c>
      <c r="K2" s="5" t="inlineStr">
        <is>
          <t>Linked duplicate reports</t>
        </is>
      </c>
      <c r="L2" s="5" t="inlineStr">
        <is>
          <t>Children with individual data</t>
        </is>
      </c>
      <c r="M2" s="5" t="inlineStr">
        <is>
          <t>Children aggregate-only</t>
        </is>
      </c>
      <c r="N2" s="5" t="inlineStr">
        <is>
          <t>Period of publication (derived)</t>
        </is>
      </c>
      <c r="O2" s="4" t="inlineStr">
        <is>
          <t>Extractor</t>
        </is>
      </c>
      <c r="P2" s="4" t="inlineStr">
        <is>
          <t>Date extracted</t>
        </is>
      </c>
      <c r="Q2" s="6" t="inlineStr">
        <is>
          <t>Notes</t>
        </is>
      </c>
    </row>
    <row r="3" ht="100" customHeight="1">
      <c r="A3" s="7" t="inlineStr">
        <is>
          <t>WS 编号；本机构用 OWN</t>
        </is>
      </c>
      <c r="B3" s="7" t="inlineStr"/>
      <c r="C3" s="7" t="inlineStr">
        <is>
          <t>发表年份</t>
        </is>
      </c>
      <c r="D3" s="7" t="inlineStr"/>
      <c r="E3" s="7" t="inlineStr"/>
      <c r="F3" s="7" t="inlineStr">
        <is>
          <t>English / Chinese</t>
        </is>
      </c>
      <c r="G3" s="7" t="inlineStr">
        <is>
          <t>Case report / Case series / Cohort / Letter / Review with new patients</t>
        </is>
      </c>
      <c r="H3" s="7" t="inlineStr">
        <is>
          <t>Yes / No / Unclear</t>
        </is>
      </c>
      <c r="I3" s="7" t="inlineStr">
        <is>
          <t>用于重复核对</t>
        </is>
      </c>
      <c r="J3" s="7" t="inlineStr">
        <is>
          <t>用于重复核对</t>
        </is>
      </c>
      <c r="K3" s="7" t="inlineStr">
        <is>
          <t>同一患者的其他报告 WS 编号</t>
        </is>
      </c>
      <c r="L3" s="7" t="inlineStr">
        <is>
          <t>整数</t>
        </is>
      </c>
      <c r="M3" s="7" t="inlineStr">
        <is>
          <t>整数；&gt;0 时去 IPD_requests 表登记</t>
        </is>
      </c>
      <c r="N3" s="7" t="inlineStr">
        <is>
          <t>公式，勿改：before 2000 / 2000-2014 / 2015 onward（第 16 节）</t>
        </is>
      </c>
      <c r="O3" s="7" t="inlineStr">
        <is>
          <t>E1 = 舒俊，E2 = 卞红强，Consensus</t>
        </is>
      </c>
      <c r="P3" s="7" t="inlineStr">
        <is>
          <t>yyyy-mm-dd</t>
        </is>
      </c>
      <c r="Q3" s="7" t="inlineStr"/>
    </row>
    <row r="4">
      <c r="A4" t="inlineStr">
        <is>
          <t>OWN</t>
        </is>
      </c>
      <c r="B4" t="inlineStr">
        <is>
          <t>Own institutional series</t>
        </is>
      </c>
      <c r="C4" t="n">
        <v>2026</v>
      </c>
      <c r="D4" t="inlineStr">
        <is>
          <t>Not published (this review)</t>
        </is>
      </c>
      <c r="E4" t="inlineStr">
        <is>
          <t>China</t>
        </is>
      </c>
      <c r="F4" t="inlineStr">
        <is>
          <t>English</t>
        </is>
      </c>
      <c r="G4" t="inlineStr">
        <is>
          <t>Case series</t>
        </is>
      </c>
      <c r="H4" t="inlineStr">
        <is>
          <t>Unclear</t>
        </is>
      </c>
      <c r="I4" t="inlineStr">
        <is>
          <t>Wuhan Children's Hospital</t>
        </is>
      </c>
      <c r="J4" t="inlineStr">
        <is>
          <t>1 May 2015 - 1 May 2026</t>
        </is>
      </c>
      <c r="L4" t="n">
        <v>5</v>
      </c>
      <c r="M4" t="n">
        <v>0</v>
      </c>
      <c r="N4" s="9">
        <f>IF(ISNUMBER(C4),IF(C4&lt;2000,"before 2000",IF(C4&lt;=2014,"2000-2014","2015 onward")),"")</f>
        <v/>
      </c>
      <c r="P4" s="8" t="n"/>
      <c r="Q4" t="inlineStr">
        <is>
          <t>DRAFT from the manuscript text, not from the records. year = 2026 is a placeholder (the year the paper is planned to be submitted) so that pub_period can be derived; the statistician decides what period applies to the own series. consecutive = Unclear until it is documented how the five children were identified (the manuscript says all children treated surgically in the period; the identification method is still PENDING).</t>
        </is>
      </c>
    </row>
    <row r="5">
      <c r="N5" s="9">
        <f>IF(ISNUMBER(C5),IF(C5&lt;2000,"before 2000",IF(C5&lt;=2014,"2000-2014","2015 onward")),"")</f>
        <v/>
      </c>
      <c r="P5" s="8" t="n"/>
    </row>
    <row r="6">
      <c r="N6" s="9">
        <f>IF(ISNUMBER(C6),IF(C6&lt;2000,"before 2000",IF(C6&lt;=2014,"2000-2014","2015 onward")),"")</f>
        <v/>
      </c>
      <c r="P6" s="8" t="n"/>
    </row>
    <row r="7">
      <c r="N7" s="9">
        <f>IF(ISNUMBER(C7),IF(C7&lt;2000,"before 2000",IF(C7&lt;=2014,"2000-2014","2015 onward")),"")</f>
        <v/>
      </c>
      <c r="P7" s="8" t="n"/>
    </row>
    <row r="8">
      <c r="N8" s="9">
        <f>IF(ISNUMBER(C8),IF(C8&lt;2000,"before 2000",IF(C8&lt;=2014,"2000-2014","2015 onward")),"")</f>
        <v/>
      </c>
      <c r="P8" s="8" t="n"/>
    </row>
    <row r="9">
      <c r="N9" s="9">
        <f>IF(ISNUMBER(C9),IF(C9&lt;2000,"before 2000",IF(C9&lt;=2014,"2000-2014","2015 onward")),"")</f>
        <v/>
      </c>
      <c r="P9" s="8" t="n"/>
    </row>
    <row r="10">
      <c r="N10" s="9">
        <f>IF(ISNUMBER(C10),IF(C10&lt;2000,"before 2000",IF(C10&lt;=2014,"2000-2014","2015 onward")),"")</f>
        <v/>
      </c>
      <c r="P10" s="8" t="n"/>
    </row>
    <row r="11">
      <c r="N11" s="9">
        <f>IF(ISNUMBER(C11),IF(C11&lt;2000,"before 2000",IF(C11&lt;=2014,"2000-2014","2015 onward")),"")</f>
        <v/>
      </c>
      <c r="P11" s="8" t="n"/>
    </row>
    <row r="12">
      <c r="N12" s="9">
        <f>IF(ISNUMBER(C12),IF(C12&lt;2000,"before 2000",IF(C12&lt;=2014,"2000-2014","2015 onward")),"")</f>
        <v/>
      </c>
      <c r="P12" s="8" t="n"/>
    </row>
    <row r="13">
      <c r="N13" s="9">
        <f>IF(ISNUMBER(C13),IF(C13&lt;2000,"before 2000",IF(C13&lt;=2014,"2000-2014","2015 onward")),"")</f>
        <v/>
      </c>
      <c r="P13" s="8" t="n"/>
    </row>
    <row r="14">
      <c r="N14" s="9">
        <f>IF(ISNUMBER(C14),IF(C14&lt;2000,"before 2000",IF(C14&lt;=2014,"2000-2014","2015 onward")),"")</f>
        <v/>
      </c>
      <c r="P14" s="8" t="n"/>
    </row>
    <row r="15">
      <c r="N15" s="9">
        <f>IF(ISNUMBER(C15),IF(C15&lt;2000,"before 2000",IF(C15&lt;=2014,"2000-2014","2015 onward")),"")</f>
        <v/>
      </c>
      <c r="P15" s="8" t="n"/>
    </row>
    <row r="16">
      <c r="N16" s="9">
        <f>IF(ISNUMBER(C16),IF(C16&lt;2000,"before 2000",IF(C16&lt;=2014,"2000-2014","2015 onward")),"")</f>
        <v/>
      </c>
      <c r="P16" s="8" t="n"/>
    </row>
    <row r="17">
      <c r="N17" s="9">
        <f>IF(ISNUMBER(C17),IF(C17&lt;2000,"before 2000",IF(C17&lt;=2014,"2000-2014","2015 onward")),"")</f>
        <v/>
      </c>
      <c r="P17" s="8" t="n"/>
    </row>
    <row r="18">
      <c r="N18" s="9">
        <f>IF(ISNUMBER(C18),IF(C18&lt;2000,"before 2000",IF(C18&lt;=2014,"2000-2014","2015 onward")),"")</f>
        <v/>
      </c>
      <c r="P18" s="8" t="n"/>
    </row>
    <row r="19">
      <c r="N19" s="9">
        <f>IF(ISNUMBER(C19),IF(C19&lt;2000,"before 2000",IF(C19&lt;=2014,"2000-2014","2015 onward")),"")</f>
        <v/>
      </c>
      <c r="P19" s="8" t="n"/>
    </row>
    <row r="20">
      <c r="N20" s="9">
        <f>IF(ISNUMBER(C20),IF(C20&lt;2000,"before 2000",IF(C20&lt;=2014,"2000-2014","2015 onward")),"")</f>
        <v/>
      </c>
      <c r="P20" s="8" t="n"/>
    </row>
    <row r="21">
      <c r="N21" s="9">
        <f>IF(ISNUMBER(C21),IF(C21&lt;2000,"before 2000",IF(C21&lt;=2014,"2000-2014","2015 onward")),"")</f>
        <v/>
      </c>
      <c r="P21" s="8" t="n"/>
    </row>
    <row r="22">
      <c r="N22" s="9">
        <f>IF(ISNUMBER(C22),IF(C22&lt;2000,"before 2000",IF(C22&lt;=2014,"2000-2014","2015 onward")),"")</f>
        <v/>
      </c>
      <c r="P22" s="8" t="n"/>
    </row>
    <row r="23">
      <c r="N23" s="9">
        <f>IF(ISNUMBER(C23),IF(C23&lt;2000,"before 2000",IF(C23&lt;=2014,"2000-2014","2015 onward")),"")</f>
        <v/>
      </c>
      <c r="P23" s="8" t="n"/>
    </row>
    <row r="24">
      <c r="N24" s="9">
        <f>IF(ISNUMBER(C24),IF(C24&lt;2000,"before 2000",IF(C24&lt;=2014,"2000-2014","2015 onward")),"")</f>
        <v/>
      </c>
      <c r="P24" s="8" t="n"/>
    </row>
    <row r="25">
      <c r="N25" s="9">
        <f>IF(ISNUMBER(C25),IF(C25&lt;2000,"before 2000",IF(C25&lt;=2014,"2000-2014","2015 onward")),"")</f>
        <v/>
      </c>
      <c r="P25" s="8" t="n"/>
    </row>
    <row r="26">
      <c r="N26" s="9">
        <f>IF(ISNUMBER(C26),IF(C26&lt;2000,"before 2000",IF(C26&lt;=2014,"2000-2014","2015 onward")),"")</f>
        <v/>
      </c>
      <c r="P26" s="8" t="n"/>
    </row>
    <row r="27">
      <c r="N27" s="9">
        <f>IF(ISNUMBER(C27),IF(C27&lt;2000,"before 2000",IF(C27&lt;=2014,"2000-2014","2015 onward")),"")</f>
        <v/>
      </c>
      <c r="P27" s="8" t="n"/>
    </row>
    <row r="28">
      <c r="N28" s="9">
        <f>IF(ISNUMBER(C28),IF(C28&lt;2000,"before 2000",IF(C28&lt;=2014,"2000-2014","2015 onward")),"")</f>
        <v/>
      </c>
      <c r="P28" s="8" t="n"/>
    </row>
    <row r="29">
      <c r="N29" s="9">
        <f>IF(ISNUMBER(C29),IF(C29&lt;2000,"before 2000",IF(C29&lt;=2014,"2000-2014","2015 onward")),"")</f>
        <v/>
      </c>
      <c r="P29" s="8" t="n"/>
    </row>
    <row r="30">
      <c r="N30" s="9">
        <f>IF(ISNUMBER(C30),IF(C30&lt;2000,"before 2000",IF(C30&lt;=2014,"2000-2014","2015 onward")),"")</f>
        <v/>
      </c>
      <c r="P30" s="8" t="n"/>
    </row>
    <row r="31">
      <c r="N31" s="9">
        <f>IF(ISNUMBER(C31),IF(C31&lt;2000,"before 2000",IF(C31&lt;=2014,"2000-2014","2015 onward")),"")</f>
        <v/>
      </c>
      <c r="P31" s="8" t="n"/>
    </row>
    <row r="32">
      <c r="N32" s="9">
        <f>IF(ISNUMBER(C32),IF(C32&lt;2000,"before 2000",IF(C32&lt;=2014,"2000-2014","2015 onward")),"")</f>
        <v/>
      </c>
      <c r="P32" s="8" t="n"/>
    </row>
    <row r="33">
      <c r="N33" s="9">
        <f>IF(ISNUMBER(C33),IF(C33&lt;2000,"before 2000",IF(C33&lt;=2014,"2000-2014","2015 onward")),"")</f>
        <v/>
      </c>
      <c r="P33" s="8" t="n"/>
    </row>
    <row r="34">
      <c r="N34" s="9">
        <f>IF(ISNUMBER(C34),IF(C34&lt;2000,"before 2000",IF(C34&lt;=2014,"2000-2014","2015 onward")),"")</f>
        <v/>
      </c>
      <c r="P34" s="8" t="n"/>
    </row>
    <row r="35">
      <c r="N35" s="9">
        <f>IF(ISNUMBER(C35),IF(C35&lt;2000,"before 2000",IF(C35&lt;=2014,"2000-2014","2015 onward")),"")</f>
        <v/>
      </c>
      <c r="P35" s="8" t="n"/>
    </row>
    <row r="36">
      <c r="N36" s="9">
        <f>IF(ISNUMBER(C36),IF(C36&lt;2000,"before 2000",IF(C36&lt;=2014,"2000-2014","2015 onward")),"")</f>
        <v/>
      </c>
      <c r="P36" s="8" t="n"/>
    </row>
    <row r="37">
      <c r="N37" s="9">
        <f>IF(ISNUMBER(C37),IF(C37&lt;2000,"before 2000",IF(C37&lt;=2014,"2000-2014","2015 onward")),"")</f>
        <v/>
      </c>
      <c r="P37" s="8" t="n"/>
    </row>
    <row r="38">
      <c r="N38" s="9">
        <f>IF(ISNUMBER(C38),IF(C38&lt;2000,"before 2000",IF(C38&lt;=2014,"2000-2014","2015 onward")),"")</f>
        <v/>
      </c>
      <c r="P38" s="8" t="n"/>
    </row>
    <row r="39">
      <c r="N39" s="9">
        <f>IF(ISNUMBER(C39),IF(C39&lt;2000,"before 2000",IF(C39&lt;=2014,"2000-2014","2015 onward")),"")</f>
        <v/>
      </c>
      <c r="P39" s="8" t="n"/>
    </row>
    <row r="40">
      <c r="N40" s="9">
        <f>IF(ISNUMBER(C40),IF(C40&lt;2000,"before 2000",IF(C40&lt;=2014,"2000-2014","2015 onward")),"")</f>
        <v/>
      </c>
      <c r="P40" s="8" t="n"/>
    </row>
    <row r="41">
      <c r="N41" s="9">
        <f>IF(ISNUMBER(C41),IF(C41&lt;2000,"before 2000",IF(C41&lt;=2014,"2000-2014","2015 onward")),"")</f>
        <v/>
      </c>
      <c r="P41" s="8" t="n"/>
    </row>
    <row r="42">
      <c r="N42" s="9">
        <f>IF(ISNUMBER(C42),IF(C42&lt;2000,"before 2000",IF(C42&lt;=2014,"2000-2014","2015 onward")),"")</f>
        <v/>
      </c>
      <c r="P42" s="8" t="n"/>
    </row>
    <row r="43">
      <c r="N43" s="9">
        <f>IF(ISNUMBER(C43),IF(C43&lt;2000,"before 2000",IF(C43&lt;=2014,"2000-2014","2015 onward")),"")</f>
        <v/>
      </c>
      <c r="P43" s="8" t="n"/>
    </row>
    <row r="44">
      <c r="N44" s="9">
        <f>IF(ISNUMBER(C44),IF(C44&lt;2000,"before 2000",IF(C44&lt;=2014,"2000-2014","2015 onward")),"")</f>
        <v/>
      </c>
      <c r="P44" s="8" t="n"/>
    </row>
    <row r="45">
      <c r="N45" s="9">
        <f>IF(ISNUMBER(C45),IF(C45&lt;2000,"before 2000",IF(C45&lt;=2014,"2000-2014","2015 onward")),"")</f>
        <v/>
      </c>
      <c r="P45" s="8" t="n"/>
    </row>
    <row r="46">
      <c r="N46" s="9">
        <f>IF(ISNUMBER(C46),IF(C46&lt;2000,"before 2000",IF(C46&lt;=2014,"2000-2014","2015 onward")),"")</f>
        <v/>
      </c>
      <c r="P46" s="8" t="n"/>
    </row>
    <row r="47">
      <c r="N47" s="9">
        <f>IF(ISNUMBER(C47),IF(C47&lt;2000,"before 2000",IF(C47&lt;=2014,"2000-2014","2015 onward")),"")</f>
        <v/>
      </c>
      <c r="P47" s="8" t="n"/>
    </row>
    <row r="48">
      <c r="N48" s="9">
        <f>IF(ISNUMBER(C48),IF(C48&lt;2000,"before 2000",IF(C48&lt;=2014,"2000-2014","2015 onward")),"")</f>
        <v/>
      </c>
      <c r="P48" s="8" t="n"/>
    </row>
    <row r="49">
      <c r="N49" s="9">
        <f>IF(ISNUMBER(C49),IF(C49&lt;2000,"before 2000",IF(C49&lt;=2014,"2000-2014","2015 onward")),"")</f>
        <v/>
      </c>
      <c r="P49" s="8" t="n"/>
    </row>
    <row r="50">
      <c r="N50" s="9">
        <f>IF(ISNUMBER(C50),IF(C50&lt;2000,"before 2000",IF(C50&lt;=2014,"2000-2014","2015 onward")),"")</f>
        <v/>
      </c>
      <c r="P50" s="8" t="n"/>
    </row>
    <row r="51">
      <c r="N51" s="9">
        <f>IF(ISNUMBER(C51),IF(C51&lt;2000,"before 2000",IF(C51&lt;=2014,"2000-2014","2015 onward")),"")</f>
        <v/>
      </c>
      <c r="P51" s="8" t="n"/>
    </row>
    <row r="52">
      <c r="N52" s="9">
        <f>IF(ISNUMBER(C52),IF(C52&lt;2000,"before 2000",IF(C52&lt;=2014,"2000-2014","2015 onward")),"")</f>
        <v/>
      </c>
      <c r="P52" s="8" t="n"/>
    </row>
    <row r="53">
      <c r="N53" s="9">
        <f>IF(ISNUMBER(C53),IF(C53&lt;2000,"before 2000",IF(C53&lt;=2014,"2000-2014","2015 onward")),"")</f>
        <v/>
      </c>
      <c r="P53" s="8" t="n"/>
    </row>
    <row r="54">
      <c r="N54" s="9">
        <f>IF(ISNUMBER(C54),IF(C54&lt;2000,"before 2000",IF(C54&lt;=2014,"2000-2014","2015 onward")),"")</f>
        <v/>
      </c>
      <c r="P54" s="8" t="n"/>
    </row>
    <row r="55">
      <c r="N55" s="9">
        <f>IF(ISNUMBER(C55),IF(C55&lt;2000,"before 2000",IF(C55&lt;=2014,"2000-2014","2015 onward")),"")</f>
        <v/>
      </c>
      <c r="P55" s="8" t="n"/>
    </row>
    <row r="56">
      <c r="N56" s="9">
        <f>IF(ISNUMBER(C56),IF(C56&lt;2000,"before 2000",IF(C56&lt;=2014,"2000-2014","2015 onward")),"")</f>
        <v/>
      </c>
      <c r="P56" s="8" t="n"/>
    </row>
    <row r="57">
      <c r="N57" s="9">
        <f>IF(ISNUMBER(C57),IF(C57&lt;2000,"before 2000",IF(C57&lt;=2014,"2000-2014","2015 onward")),"")</f>
        <v/>
      </c>
      <c r="P57" s="8" t="n"/>
    </row>
    <row r="58">
      <c r="N58" s="9">
        <f>IF(ISNUMBER(C58),IF(C58&lt;2000,"before 2000",IF(C58&lt;=2014,"2000-2014","2015 onward")),"")</f>
        <v/>
      </c>
      <c r="P58" s="8" t="n"/>
    </row>
    <row r="59">
      <c r="N59" s="9">
        <f>IF(ISNUMBER(C59),IF(C59&lt;2000,"before 2000",IF(C59&lt;=2014,"2000-2014","2015 onward")),"")</f>
        <v/>
      </c>
      <c r="P59" s="8" t="n"/>
    </row>
    <row r="60">
      <c r="N60" s="9">
        <f>IF(ISNUMBER(C60),IF(C60&lt;2000,"before 2000",IF(C60&lt;=2014,"2000-2014","2015 onward")),"")</f>
        <v/>
      </c>
      <c r="P60" s="8" t="n"/>
    </row>
    <row r="61">
      <c r="N61" s="9">
        <f>IF(ISNUMBER(C61),IF(C61&lt;2000,"before 2000",IF(C61&lt;=2014,"2000-2014","2015 onward")),"")</f>
        <v/>
      </c>
      <c r="P61" s="8" t="n"/>
    </row>
    <row r="62">
      <c r="N62" s="9">
        <f>IF(ISNUMBER(C62),IF(C62&lt;2000,"before 2000",IF(C62&lt;=2014,"2000-2014","2015 onward")),"")</f>
        <v/>
      </c>
      <c r="P62" s="8" t="n"/>
    </row>
    <row r="63">
      <c r="N63" s="9">
        <f>IF(ISNUMBER(C63),IF(C63&lt;2000,"before 2000",IF(C63&lt;=2014,"2000-2014","2015 onward")),"")</f>
        <v/>
      </c>
      <c r="P63" s="8" t="n"/>
    </row>
    <row r="64">
      <c r="N64" s="9">
        <f>IF(ISNUMBER(C64),IF(C64&lt;2000,"before 2000",IF(C64&lt;=2014,"2000-2014","2015 onward")),"")</f>
        <v/>
      </c>
      <c r="P64" s="8" t="n"/>
    </row>
    <row r="65">
      <c r="N65" s="9">
        <f>IF(ISNUMBER(C65),IF(C65&lt;2000,"before 2000",IF(C65&lt;=2014,"2000-2014","2015 onward")),"")</f>
        <v/>
      </c>
      <c r="P65" s="8" t="n"/>
    </row>
    <row r="66">
      <c r="N66" s="9">
        <f>IF(ISNUMBER(C66),IF(C66&lt;2000,"before 2000",IF(C66&lt;=2014,"2000-2014","2015 onward")),"")</f>
        <v/>
      </c>
      <c r="P66" s="8" t="n"/>
    </row>
    <row r="67">
      <c r="N67" s="9">
        <f>IF(ISNUMBER(C67),IF(C67&lt;2000,"before 2000",IF(C67&lt;=2014,"2000-2014","2015 onward")),"")</f>
        <v/>
      </c>
      <c r="P67" s="8" t="n"/>
    </row>
    <row r="68">
      <c r="N68" s="9">
        <f>IF(ISNUMBER(C68),IF(C68&lt;2000,"before 2000",IF(C68&lt;=2014,"2000-2014","2015 onward")),"")</f>
        <v/>
      </c>
      <c r="P68" s="8" t="n"/>
    </row>
    <row r="69">
      <c r="N69" s="9">
        <f>IF(ISNUMBER(C69),IF(C69&lt;2000,"before 2000",IF(C69&lt;=2014,"2000-2014","2015 onward")),"")</f>
        <v/>
      </c>
      <c r="P69" s="8" t="n"/>
    </row>
    <row r="70">
      <c r="N70" s="9">
        <f>IF(ISNUMBER(C70),IF(C70&lt;2000,"before 2000",IF(C70&lt;=2014,"2000-2014","2015 onward")),"")</f>
        <v/>
      </c>
      <c r="P70" s="8" t="n"/>
    </row>
    <row r="71">
      <c r="N71" s="9">
        <f>IF(ISNUMBER(C71),IF(C71&lt;2000,"before 2000",IF(C71&lt;=2014,"2000-2014","2015 onward")),"")</f>
        <v/>
      </c>
      <c r="P71" s="8" t="n"/>
    </row>
    <row r="72">
      <c r="N72" s="9">
        <f>IF(ISNUMBER(C72),IF(C72&lt;2000,"before 2000",IF(C72&lt;=2014,"2000-2014","2015 onward")),"")</f>
        <v/>
      </c>
      <c r="P72" s="8" t="n"/>
    </row>
    <row r="73">
      <c r="N73" s="9">
        <f>IF(ISNUMBER(C73),IF(C73&lt;2000,"before 2000",IF(C73&lt;=2014,"2000-2014","2015 onward")),"")</f>
        <v/>
      </c>
      <c r="P73" s="8" t="n"/>
    </row>
    <row r="74">
      <c r="N74" s="9">
        <f>IF(ISNUMBER(C74),IF(C74&lt;2000,"before 2000",IF(C74&lt;=2014,"2000-2014","2015 onward")),"")</f>
        <v/>
      </c>
      <c r="P74" s="8" t="n"/>
    </row>
    <row r="75">
      <c r="N75" s="9">
        <f>IF(ISNUMBER(C75),IF(C75&lt;2000,"before 2000",IF(C75&lt;=2014,"2000-2014","2015 onward")),"")</f>
        <v/>
      </c>
      <c r="P75" s="8" t="n"/>
    </row>
    <row r="76">
      <c r="N76" s="9">
        <f>IF(ISNUMBER(C76),IF(C76&lt;2000,"before 2000",IF(C76&lt;=2014,"2000-2014","2015 onward")),"")</f>
        <v/>
      </c>
      <c r="P76" s="8" t="n"/>
    </row>
    <row r="77">
      <c r="N77" s="9">
        <f>IF(ISNUMBER(C77),IF(C77&lt;2000,"before 2000",IF(C77&lt;=2014,"2000-2014","2015 onward")),"")</f>
        <v/>
      </c>
      <c r="P77" s="8" t="n"/>
    </row>
    <row r="78">
      <c r="N78" s="9">
        <f>IF(ISNUMBER(C78),IF(C78&lt;2000,"before 2000",IF(C78&lt;=2014,"2000-2014","2015 onward")),"")</f>
        <v/>
      </c>
      <c r="P78" s="8" t="n"/>
    </row>
    <row r="79">
      <c r="N79" s="9">
        <f>IF(ISNUMBER(C79),IF(C79&lt;2000,"before 2000",IF(C79&lt;=2014,"2000-2014","2015 onward")),"")</f>
        <v/>
      </c>
      <c r="P79" s="8" t="n"/>
    </row>
    <row r="80">
      <c r="N80" s="9">
        <f>IF(ISNUMBER(C80),IF(C80&lt;2000,"before 2000",IF(C80&lt;=2014,"2000-2014","2015 onward")),"")</f>
        <v/>
      </c>
      <c r="P80" s="8" t="n"/>
    </row>
    <row r="81">
      <c r="N81" s="9">
        <f>IF(ISNUMBER(C81),IF(C81&lt;2000,"before 2000",IF(C81&lt;=2014,"2000-2014","2015 onward")),"")</f>
        <v/>
      </c>
      <c r="P81" s="8" t="n"/>
    </row>
    <row r="82">
      <c r="N82" s="9">
        <f>IF(ISNUMBER(C82),IF(C82&lt;2000,"before 2000",IF(C82&lt;=2014,"2000-2014","2015 onward")),"")</f>
        <v/>
      </c>
      <c r="P82" s="8" t="n"/>
    </row>
    <row r="83">
      <c r="N83" s="9">
        <f>IF(ISNUMBER(C83),IF(C83&lt;2000,"before 2000",IF(C83&lt;=2014,"2000-2014","2015 onward")),"")</f>
        <v/>
      </c>
      <c r="P83" s="8" t="n"/>
    </row>
    <row r="84">
      <c r="N84" s="9">
        <f>IF(ISNUMBER(C84),IF(C84&lt;2000,"before 2000",IF(C84&lt;=2014,"2000-2014","2015 onward")),"")</f>
        <v/>
      </c>
      <c r="P84" s="8" t="n"/>
    </row>
    <row r="85">
      <c r="N85" s="9">
        <f>IF(ISNUMBER(C85),IF(C85&lt;2000,"before 2000",IF(C85&lt;=2014,"2000-2014","2015 onward")),"")</f>
        <v/>
      </c>
      <c r="P85" s="8" t="n"/>
    </row>
    <row r="86">
      <c r="N86" s="9">
        <f>IF(ISNUMBER(C86),IF(C86&lt;2000,"before 2000",IF(C86&lt;=2014,"2000-2014","2015 onward")),"")</f>
        <v/>
      </c>
      <c r="P86" s="8" t="n"/>
    </row>
    <row r="87">
      <c r="N87" s="9">
        <f>IF(ISNUMBER(C87),IF(C87&lt;2000,"before 2000",IF(C87&lt;=2014,"2000-2014","2015 onward")),"")</f>
        <v/>
      </c>
      <c r="P87" s="8" t="n"/>
    </row>
    <row r="88">
      <c r="N88" s="9">
        <f>IF(ISNUMBER(C88),IF(C88&lt;2000,"before 2000",IF(C88&lt;=2014,"2000-2014","2015 onward")),"")</f>
        <v/>
      </c>
      <c r="P88" s="8" t="n"/>
    </row>
    <row r="89">
      <c r="N89" s="9">
        <f>IF(ISNUMBER(C89),IF(C89&lt;2000,"before 2000",IF(C89&lt;=2014,"2000-2014","2015 onward")),"")</f>
        <v/>
      </c>
      <c r="P89" s="8" t="n"/>
    </row>
    <row r="90">
      <c r="N90" s="9">
        <f>IF(ISNUMBER(C90),IF(C90&lt;2000,"before 2000",IF(C90&lt;=2014,"2000-2014","2015 onward")),"")</f>
        <v/>
      </c>
      <c r="P90" s="8" t="n"/>
    </row>
    <row r="91">
      <c r="N91" s="9">
        <f>IF(ISNUMBER(C91),IF(C91&lt;2000,"before 2000",IF(C91&lt;=2014,"2000-2014","2015 onward")),"")</f>
        <v/>
      </c>
      <c r="P91" s="8" t="n"/>
    </row>
    <row r="92">
      <c r="N92" s="9">
        <f>IF(ISNUMBER(C92),IF(C92&lt;2000,"before 2000",IF(C92&lt;=2014,"2000-2014","2015 onward")),"")</f>
        <v/>
      </c>
      <c r="P92" s="8" t="n"/>
    </row>
    <row r="93">
      <c r="N93" s="9">
        <f>IF(ISNUMBER(C93),IF(C93&lt;2000,"before 2000",IF(C93&lt;=2014,"2000-2014","2015 onward")),"")</f>
        <v/>
      </c>
      <c r="P93" s="8" t="n"/>
    </row>
    <row r="94">
      <c r="N94" s="9">
        <f>IF(ISNUMBER(C94),IF(C94&lt;2000,"before 2000",IF(C94&lt;=2014,"2000-2014","2015 onward")),"")</f>
        <v/>
      </c>
      <c r="P94" s="8" t="n"/>
    </row>
    <row r="95">
      <c r="N95" s="9">
        <f>IF(ISNUMBER(C95),IF(C95&lt;2000,"before 2000",IF(C95&lt;=2014,"2000-2014","2015 onward")),"")</f>
        <v/>
      </c>
      <c r="P95" s="8" t="n"/>
    </row>
    <row r="96">
      <c r="N96" s="9">
        <f>IF(ISNUMBER(C96),IF(C96&lt;2000,"before 2000",IF(C96&lt;=2014,"2000-2014","2015 onward")),"")</f>
        <v/>
      </c>
      <c r="P96" s="8" t="n"/>
    </row>
    <row r="97">
      <c r="N97" s="9">
        <f>IF(ISNUMBER(C97),IF(C97&lt;2000,"before 2000",IF(C97&lt;=2014,"2000-2014","2015 onward")),"")</f>
        <v/>
      </c>
      <c r="P97" s="8" t="n"/>
    </row>
    <row r="98">
      <c r="N98" s="9">
        <f>IF(ISNUMBER(C98),IF(C98&lt;2000,"before 2000",IF(C98&lt;=2014,"2000-2014","2015 onward")),"")</f>
        <v/>
      </c>
      <c r="P98" s="8" t="n"/>
    </row>
    <row r="99">
      <c r="N99" s="9">
        <f>IF(ISNUMBER(C99),IF(C99&lt;2000,"before 2000",IF(C99&lt;=2014,"2000-2014","2015 onward")),"")</f>
        <v/>
      </c>
      <c r="P99" s="8" t="n"/>
    </row>
    <row r="100">
      <c r="N100" s="9">
        <f>IF(ISNUMBER(C100),IF(C100&lt;2000,"before 2000",IF(C100&lt;=2014,"2000-2014","2015 onward")),"")</f>
        <v/>
      </c>
      <c r="P100" s="8" t="n"/>
    </row>
    <row r="101">
      <c r="N101" s="9">
        <f>IF(ISNUMBER(C101),IF(C101&lt;2000,"before 2000",IF(C101&lt;=2014,"2000-2014","2015 onward")),"")</f>
        <v/>
      </c>
      <c r="P101" s="8" t="n"/>
    </row>
    <row r="102">
      <c r="N102" s="9">
        <f>IF(ISNUMBER(C102),IF(C102&lt;2000,"before 2000",IF(C102&lt;=2014,"2000-2014","2015 onward")),"")</f>
        <v/>
      </c>
      <c r="P102" s="8" t="n"/>
    </row>
    <row r="103">
      <c r="N103" s="9">
        <f>IF(ISNUMBER(C103),IF(C103&lt;2000,"before 2000",IF(C103&lt;=2014,"2000-2014","2015 onward")),"")</f>
        <v/>
      </c>
      <c r="P103" s="8" t="n"/>
    </row>
    <row r="104">
      <c r="N104" s="9">
        <f>IF(ISNUMBER(C104),IF(C104&lt;2000,"before 2000",IF(C104&lt;=2014,"2000-2014","2015 onward")),"")</f>
        <v/>
      </c>
      <c r="P104" s="8" t="n"/>
    </row>
    <row r="105">
      <c r="N105" s="9">
        <f>IF(ISNUMBER(C105),IF(C105&lt;2000,"before 2000",IF(C105&lt;=2014,"2000-2014","2015 onward")),"")</f>
        <v/>
      </c>
      <c r="P105" s="8" t="n"/>
    </row>
    <row r="106">
      <c r="N106" s="9">
        <f>IF(ISNUMBER(C106),IF(C106&lt;2000,"before 2000",IF(C106&lt;=2014,"2000-2014","2015 onward")),"")</f>
        <v/>
      </c>
      <c r="P106" s="8" t="n"/>
    </row>
    <row r="107">
      <c r="N107" s="9">
        <f>IF(ISNUMBER(C107),IF(C107&lt;2000,"before 2000",IF(C107&lt;=2014,"2000-2014","2015 onward")),"")</f>
        <v/>
      </c>
      <c r="P107" s="8" t="n"/>
    </row>
    <row r="108">
      <c r="N108" s="9">
        <f>IF(ISNUMBER(C108),IF(C108&lt;2000,"before 2000",IF(C108&lt;=2014,"2000-2014","2015 onward")),"")</f>
        <v/>
      </c>
      <c r="P108" s="8" t="n"/>
    </row>
    <row r="109">
      <c r="N109" s="9">
        <f>IF(ISNUMBER(C109),IF(C109&lt;2000,"before 2000",IF(C109&lt;=2014,"2000-2014","2015 onward")),"")</f>
        <v/>
      </c>
      <c r="P109" s="8" t="n"/>
    </row>
    <row r="110">
      <c r="N110" s="9">
        <f>IF(ISNUMBER(C110),IF(C110&lt;2000,"before 2000",IF(C110&lt;=2014,"2000-2014","2015 onward")),"")</f>
        <v/>
      </c>
      <c r="P110" s="8" t="n"/>
    </row>
    <row r="111">
      <c r="N111" s="9">
        <f>IF(ISNUMBER(C111),IF(C111&lt;2000,"before 2000",IF(C111&lt;=2014,"2000-2014","2015 onward")),"")</f>
        <v/>
      </c>
      <c r="P111" s="8" t="n"/>
    </row>
    <row r="112">
      <c r="N112" s="9">
        <f>IF(ISNUMBER(C112),IF(C112&lt;2000,"before 2000",IF(C112&lt;=2014,"2000-2014","2015 onward")),"")</f>
        <v/>
      </c>
      <c r="P112" s="8" t="n"/>
    </row>
    <row r="113">
      <c r="N113" s="9">
        <f>IF(ISNUMBER(C113),IF(C113&lt;2000,"before 2000",IF(C113&lt;=2014,"2000-2014","2015 onward")),"")</f>
        <v/>
      </c>
      <c r="P113" s="8" t="n"/>
    </row>
    <row r="114">
      <c r="N114" s="9">
        <f>IF(ISNUMBER(C114),IF(C114&lt;2000,"before 2000",IF(C114&lt;=2014,"2000-2014","2015 onward")),"")</f>
        <v/>
      </c>
      <c r="P114" s="8" t="n"/>
    </row>
    <row r="115">
      <c r="N115" s="9">
        <f>IF(ISNUMBER(C115),IF(C115&lt;2000,"before 2000",IF(C115&lt;=2014,"2000-2014","2015 onward")),"")</f>
        <v/>
      </c>
      <c r="P115" s="8" t="n"/>
    </row>
    <row r="116">
      <c r="N116" s="9">
        <f>IF(ISNUMBER(C116),IF(C116&lt;2000,"before 2000",IF(C116&lt;=2014,"2000-2014","2015 onward")),"")</f>
        <v/>
      </c>
      <c r="P116" s="8" t="n"/>
    </row>
    <row r="117">
      <c r="N117" s="9">
        <f>IF(ISNUMBER(C117),IF(C117&lt;2000,"before 2000",IF(C117&lt;=2014,"2000-2014","2015 onward")),"")</f>
        <v/>
      </c>
      <c r="P117" s="8" t="n"/>
    </row>
    <row r="118">
      <c r="N118" s="9">
        <f>IF(ISNUMBER(C118),IF(C118&lt;2000,"before 2000",IF(C118&lt;=2014,"2000-2014","2015 onward")),"")</f>
        <v/>
      </c>
      <c r="P118" s="8" t="n"/>
    </row>
    <row r="119">
      <c r="N119" s="9">
        <f>IF(ISNUMBER(C119),IF(C119&lt;2000,"before 2000",IF(C119&lt;=2014,"2000-2014","2015 onward")),"")</f>
        <v/>
      </c>
      <c r="P119" s="8" t="n"/>
    </row>
    <row r="120">
      <c r="N120" s="9">
        <f>IF(ISNUMBER(C120),IF(C120&lt;2000,"before 2000",IF(C120&lt;=2014,"2000-2014","2015 onward")),"")</f>
        <v/>
      </c>
      <c r="P120" s="8" t="n"/>
    </row>
    <row r="121">
      <c r="N121" s="9">
        <f>IF(ISNUMBER(C121),IF(C121&lt;2000,"before 2000",IF(C121&lt;=2014,"2000-2014","2015 onward")),"")</f>
        <v/>
      </c>
      <c r="P121" s="8" t="n"/>
    </row>
    <row r="122">
      <c r="N122" s="9">
        <f>IF(ISNUMBER(C122),IF(C122&lt;2000,"before 2000",IF(C122&lt;=2014,"2000-2014","2015 onward")),"")</f>
        <v/>
      </c>
      <c r="P122" s="8" t="n"/>
    </row>
    <row r="123">
      <c r="N123" s="9">
        <f>IF(ISNUMBER(C123),IF(C123&lt;2000,"before 2000",IF(C123&lt;=2014,"2000-2014","2015 onward")),"")</f>
        <v/>
      </c>
      <c r="P123" s="8" t="n"/>
    </row>
    <row r="124">
      <c r="N124" s="9">
        <f>IF(ISNUMBER(C124),IF(C124&lt;2000,"before 2000",IF(C124&lt;=2014,"2000-2014","2015 onward")),"")</f>
        <v/>
      </c>
      <c r="P124" s="8" t="n"/>
    </row>
    <row r="125">
      <c r="N125" s="9">
        <f>IF(ISNUMBER(C125),IF(C125&lt;2000,"before 2000",IF(C125&lt;=2014,"2000-2014","2015 onward")),"")</f>
        <v/>
      </c>
      <c r="P125" s="8" t="n"/>
    </row>
    <row r="126">
      <c r="N126" s="9">
        <f>IF(ISNUMBER(C126),IF(C126&lt;2000,"before 2000",IF(C126&lt;=2014,"2000-2014","2015 onward")),"")</f>
        <v/>
      </c>
      <c r="P126" s="8" t="n"/>
    </row>
    <row r="127">
      <c r="N127" s="9">
        <f>IF(ISNUMBER(C127),IF(C127&lt;2000,"before 2000",IF(C127&lt;=2014,"2000-2014","2015 onward")),"")</f>
        <v/>
      </c>
      <c r="P127" s="8" t="n"/>
    </row>
    <row r="128">
      <c r="N128" s="9">
        <f>IF(ISNUMBER(C128),IF(C128&lt;2000,"before 2000",IF(C128&lt;=2014,"2000-2014","2015 onward")),"")</f>
        <v/>
      </c>
      <c r="P128" s="8" t="n"/>
    </row>
    <row r="129">
      <c r="N129" s="9">
        <f>IF(ISNUMBER(C129),IF(C129&lt;2000,"before 2000",IF(C129&lt;=2014,"2000-2014","2015 onward")),"")</f>
        <v/>
      </c>
      <c r="P129" s="8" t="n"/>
    </row>
    <row r="130">
      <c r="N130" s="9">
        <f>IF(ISNUMBER(C130),IF(C130&lt;2000,"before 2000",IF(C130&lt;=2014,"2000-2014","2015 onward")),"")</f>
        <v/>
      </c>
      <c r="P130" s="8" t="n"/>
    </row>
    <row r="131">
      <c r="N131" s="9">
        <f>IF(ISNUMBER(C131),IF(C131&lt;2000,"before 2000",IF(C131&lt;=2014,"2000-2014","2015 onward")),"")</f>
        <v/>
      </c>
      <c r="P131" s="8" t="n"/>
    </row>
    <row r="132">
      <c r="N132" s="9">
        <f>IF(ISNUMBER(C132),IF(C132&lt;2000,"before 2000",IF(C132&lt;=2014,"2000-2014","2015 onward")),"")</f>
        <v/>
      </c>
      <c r="P132" s="8" t="n"/>
    </row>
    <row r="133">
      <c r="N133" s="9">
        <f>IF(ISNUMBER(C133),IF(C133&lt;2000,"before 2000",IF(C133&lt;=2014,"2000-2014","2015 onward")),"")</f>
        <v/>
      </c>
      <c r="P133" s="8" t="n"/>
    </row>
    <row r="134">
      <c r="N134" s="9">
        <f>IF(ISNUMBER(C134),IF(C134&lt;2000,"before 2000",IF(C134&lt;=2014,"2000-2014","2015 onward")),"")</f>
        <v/>
      </c>
      <c r="P134" s="8" t="n"/>
    </row>
    <row r="135">
      <c r="N135" s="9">
        <f>IF(ISNUMBER(C135),IF(C135&lt;2000,"before 2000",IF(C135&lt;=2014,"2000-2014","2015 onward")),"")</f>
        <v/>
      </c>
      <c r="P135" s="8" t="n"/>
    </row>
    <row r="136">
      <c r="N136" s="9">
        <f>IF(ISNUMBER(C136),IF(C136&lt;2000,"before 2000",IF(C136&lt;=2014,"2000-2014","2015 onward")),"")</f>
        <v/>
      </c>
      <c r="P136" s="8" t="n"/>
    </row>
    <row r="137">
      <c r="N137" s="9">
        <f>IF(ISNUMBER(C137),IF(C137&lt;2000,"before 2000",IF(C137&lt;=2014,"2000-2014","2015 onward")),"")</f>
        <v/>
      </c>
      <c r="P137" s="8" t="n"/>
    </row>
    <row r="138">
      <c r="N138" s="9">
        <f>IF(ISNUMBER(C138),IF(C138&lt;2000,"before 2000",IF(C138&lt;=2014,"2000-2014","2015 onward")),"")</f>
        <v/>
      </c>
      <c r="P138" s="8" t="n"/>
    </row>
    <row r="139">
      <c r="N139" s="9">
        <f>IF(ISNUMBER(C139),IF(C139&lt;2000,"before 2000",IF(C139&lt;=2014,"2000-2014","2015 onward")),"")</f>
        <v/>
      </c>
      <c r="P139" s="8" t="n"/>
    </row>
    <row r="140">
      <c r="N140" s="9">
        <f>IF(ISNUMBER(C140),IF(C140&lt;2000,"before 2000",IF(C140&lt;=2014,"2000-2014","2015 onward")),"")</f>
        <v/>
      </c>
      <c r="P140" s="8" t="n"/>
    </row>
    <row r="141">
      <c r="N141" s="9">
        <f>IF(ISNUMBER(C141),IF(C141&lt;2000,"before 2000",IF(C141&lt;=2014,"2000-2014","2015 onward")),"")</f>
        <v/>
      </c>
      <c r="P141" s="8" t="n"/>
    </row>
    <row r="142">
      <c r="N142" s="9">
        <f>IF(ISNUMBER(C142),IF(C142&lt;2000,"before 2000",IF(C142&lt;=2014,"2000-2014","2015 onward")),"")</f>
        <v/>
      </c>
      <c r="P142" s="8" t="n"/>
    </row>
    <row r="143">
      <c r="N143" s="9">
        <f>IF(ISNUMBER(C143),IF(C143&lt;2000,"before 2000",IF(C143&lt;=2014,"2000-2014","2015 onward")),"")</f>
        <v/>
      </c>
      <c r="P143" s="8" t="n"/>
    </row>
    <row r="144">
      <c r="N144" s="9">
        <f>IF(ISNUMBER(C144),IF(C144&lt;2000,"before 2000",IF(C144&lt;=2014,"2000-2014","2015 onward")),"")</f>
        <v/>
      </c>
      <c r="P144" s="8" t="n"/>
    </row>
    <row r="145">
      <c r="N145" s="9">
        <f>IF(ISNUMBER(C145),IF(C145&lt;2000,"before 2000",IF(C145&lt;=2014,"2000-2014","2015 onward")),"")</f>
        <v/>
      </c>
      <c r="P145" s="8" t="n"/>
    </row>
    <row r="146">
      <c r="N146" s="9">
        <f>IF(ISNUMBER(C146),IF(C146&lt;2000,"before 2000",IF(C146&lt;=2014,"2000-2014","2015 onward")),"")</f>
        <v/>
      </c>
      <c r="P146" s="8" t="n"/>
    </row>
    <row r="147">
      <c r="N147" s="9">
        <f>IF(ISNUMBER(C147),IF(C147&lt;2000,"before 2000",IF(C147&lt;=2014,"2000-2014","2015 onward")),"")</f>
        <v/>
      </c>
      <c r="P147" s="8" t="n"/>
    </row>
    <row r="148">
      <c r="N148" s="9">
        <f>IF(ISNUMBER(C148),IF(C148&lt;2000,"before 2000",IF(C148&lt;=2014,"2000-2014","2015 onward")),"")</f>
        <v/>
      </c>
      <c r="P148" s="8" t="n"/>
    </row>
    <row r="149">
      <c r="N149" s="9">
        <f>IF(ISNUMBER(C149),IF(C149&lt;2000,"before 2000",IF(C149&lt;=2014,"2000-2014","2015 onward")),"")</f>
        <v/>
      </c>
      <c r="P149" s="8" t="n"/>
    </row>
    <row r="150">
      <c r="N150" s="9">
        <f>IF(ISNUMBER(C150),IF(C150&lt;2000,"before 2000",IF(C150&lt;=2014,"2000-2014","2015 onward")),"")</f>
        <v/>
      </c>
      <c r="P150" s="8" t="n"/>
    </row>
    <row r="151">
      <c r="N151" s="9">
        <f>IF(ISNUMBER(C151),IF(C151&lt;2000,"before 2000",IF(C151&lt;=2014,"2000-2014","2015 onward")),"")</f>
        <v/>
      </c>
      <c r="P151" s="8" t="n"/>
    </row>
    <row r="152">
      <c r="N152" s="9">
        <f>IF(ISNUMBER(C152),IF(C152&lt;2000,"before 2000",IF(C152&lt;=2014,"2000-2014","2015 onward")),"")</f>
        <v/>
      </c>
      <c r="P152" s="8" t="n"/>
    </row>
    <row r="153">
      <c r="N153" s="9">
        <f>IF(ISNUMBER(C153),IF(C153&lt;2000,"before 2000",IF(C153&lt;=2014,"2000-2014","2015 onward")),"")</f>
        <v/>
      </c>
      <c r="P153" s="8" t="n"/>
    </row>
    <row r="154">
      <c r="N154" s="9">
        <f>IF(ISNUMBER(C154),IF(C154&lt;2000,"before 2000",IF(C154&lt;=2014,"2000-2014","2015 onward")),"")</f>
        <v/>
      </c>
      <c r="P154" s="8" t="n"/>
    </row>
    <row r="155">
      <c r="N155" s="9">
        <f>IF(ISNUMBER(C155),IF(C155&lt;2000,"before 2000",IF(C155&lt;=2014,"2000-2014","2015 onward")),"")</f>
        <v/>
      </c>
      <c r="P155" s="8" t="n"/>
    </row>
    <row r="156">
      <c r="N156" s="9">
        <f>IF(ISNUMBER(C156),IF(C156&lt;2000,"before 2000",IF(C156&lt;=2014,"2000-2014","2015 onward")),"")</f>
        <v/>
      </c>
      <c r="P156" s="8" t="n"/>
    </row>
    <row r="157">
      <c r="N157" s="9">
        <f>IF(ISNUMBER(C157),IF(C157&lt;2000,"before 2000",IF(C157&lt;=2014,"2000-2014","2015 onward")),"")</f>
        <v/>
      </c>
      <c r="P157" s="8" t="n"/>
    </row>
    <row r="158">
      <c r="N158" s="9">
        <f>IF(ISNUMBER(C158),IF(C158&lt;2000,"before 2000",IF(C158&lt;=2014,"2000-2014","2015 onward")),"")</f>
        <v/>
      </c>
      <c r="P158" s="8" t="n"/>
    </row>
    <row r="159">
      <c r="N159" s="9">
        <f>IF(ISNUMBER(C159),IF(C159&lt;2000,"before 2000",IF(C159&lt;=2014,"2000-2014","2015 onward")),"")</f>
        <v/>
      </c>
      <c r="P159" s="8" t="n"/>
    </row>
    <row r="160">
      <c r="N160" s="9">
        <f>IF(ISNUMBER(C160),IF(C160&lt;2000,"before 2000",IF(C160&lt;=2014,"2000-2014","2015 onward")),"")</f>
        <v/>
      </c>
      <c r="P160" s="8" t="n"/>
    </row>
    <row r="161">
      <c r="N161" s="9">
        <f>IF(ISNUMBER(C161),IF(C161&lt;2000,"before 2000",IF(C161&lt;=2014,"2000-2014","2015 onward")),"")</f>
        <v/>
      </c>
      <c r="P161" s="8" t="n"/>
    </row>
    <row r="162">
      <c r="N162" s="9">
        <f>IF(ISNUMBER(C162),IF(C162&lt;2000,"before 2000",IF(C162&lt;=2014,"2000-2014","2015 onward")),"")</f>
        <v/>
      </c>
      <c r="P162" s="8" t="n"/>
    </row>
    <row r="163">
      <c r="N163" s="9">
        <f>IF(ISNUMBER(C163),IF(C163&lt;2000,"before 2000",IF(C163&lt;=2014,"2000-2014","2015 onward")),"")</f>
        <v/>
      </c>
      <c r="P163" s="8" t="n"/>
    </row>
    <row r="164">
      <c r="N164" s="9">
        <f>IF(ISNUMBER(C164),IF(C164&lt;2000,"before 2000",IF(C164&lt;=2014,"2000-2014","2015 onward")),"")</f>
        <v/>
      </c>
      <c r="P164" s="8" t="n"/>
    </row>
    <row r="165">
      <c r="N165" s="9">
        <f>IF(ISNUMBER(C165),IF(C165&lt;2000,"before 2000",IF(C165&lt;=2014,"2000-2014","2015 onward")),"")</f>
        <v/>
      </c>
      <c r="P165" s="8" t="n"/>
    </row>
    <row r="166">
      <c r="N166" s="9">
        <f>IF(ISNUMBER(C166),IF(C166&lt;2000,"before 2000",IF(C166&lt;=2014,"2000-2014","2015 onward")),"")</f>
        <v/>
      </c>
      <c r="P166" s="8" t="n"/>
    </row>
    <row r="167">
      <c r="N167" s="9">
        <f>IF(ISNUMBER(C167),IF(C167&lt;2000,"before 2000",IF(C167&lt;=2014,"2000-2014","2015 onward")),"")</f>
        <v/>
      </c>
      <c r="P167" s="8" t="n"/>
    </row>
    <row r="168">
      <c r="N168" s="9">
        <f>IF(ISNUMBER(C168),IF(C168&lt;2000,"before 2000",IF(C168&lt;=2014,"2000-2014","2015 onward")),"")</f>
        <v/>
      </c>
      <c r="P168" s="8" t="n"/>
    </row>
    <row r="169">
      <c r="N169" s="9">
        <f>IF(ISNUMBER(C169),IF(C169&lt;2000,"before 2000",IF(C169&lt;=2014,"2000-2014","2015 onward")),"")</f>
        <v/>
      </c>
      <c r="P169" s="8" t="n"/>
    </row>
    <row r="170">
      <c r="N170" s="9">
        <f>IF(ISNUMBER(C170),IF(C170&lt;2000,"before 2000",IF(C170&lt;=2014,"2000-2014","2015 onward")),"")</f>
        <v/>
      </c>
      <c r="P170" s="8" t="n"/>
    </row>
    <row r="171">
      <c r="N171" s="9">
        <f>IF(ISNUMBER(C171),IF(C171&lt;2000,"before 2000",IF(C171&lt;=2014,"2000-2014","2015 onward")),"")</f>
        <v/>
      </c>
      <c r="P171" s="8" t="n"/>
    </row>
    <row r="172">
      <c r="N172" s="9">
        <f>IF(ISNUMBER(C172),IF(C172&lt;2000,"before 2000",IF(C172&lt;=2014,"2000-2014","2015 onward")),"")</f>
        <v/>
      </c>
      <c r="P172" s="8" t="n"/>
    </row>
    <row r="173">
      <c r="N173" s="9">
        <f>IF(ISNUMBER(C173),IF(C173&lt;2000,"before 2000",IF(C173&lt;=2014,"2000-2014","2015 onward")),"")</f>
        <v/>
      </c>
      <c r="P173" s="8" t="n"/>
    </row>
    <row r="174">
      <c r="N174" s="9">
        <f>IF(ISNUMBER(C174),IF(C174&lt;2000,"before 2000",IF(C174&lt;=2014,"2000-2014","2015 onward")),"")</f>
        <v/>
      </c>
      <c r="P174" s="8" t="n"/>
    </row>
    <row r="175">
      <c r="N175" s="9">
        <f>IF(ISNUMBER(C175),IF(C175&lt;2000,"before 2000",IF(C175&lt;=2014,"2000-2014","2015 onward")),"")</f>
        <v/>
      </c>
      <c r="P175" s="8" t="n"/>
    </row>
    <row r="176">
      <c r="N176" s="9">
        <f>IF(ISNUMBER(C176),IF(C176&lt;2000,"before 2000",IF(C176&lt;=2014,"2000-2014","2015 onward")),"")</f>
        <v/>
      </c>
      <c r="P176" s="8" t="n"/>
    </row>
    <row r="177">
      <c r="N177" s="9">
        <f>IF(ISNUMBER(C177),IF(C177&lt;2000,"before 2000",IF(C177&lt;=2014,"2000-2014","2015 onward")),"")</f>
        <v/>
      </c>
      <c r="P177" s="8" t="n"/>
    </row>
    <row r="178">
      <c r="N178" s="9">
        <f>IF(ISNUMBER(C178),IF(C178&lt;2000,"before 2000",IF(C178&lt;=2014,"2000-2014","2015 onward")),"")</f>
        <v/>
      </c>
      <c r="P178" s="8" t="n"/>
    </row>
    <row r="179">
      <c r="N179" s="9">
        <f>IF(ISNUMBER(C179),IF(C179&lt;2000,"before 2000",IF(C179&lt;=2014,"2000-2014","2015 onward")),"")</f>
        <v/>
      </c>
      <c r="P179" s="8" t="n"/>
    </row>
    <row r="180">
      <c r="N180" s="9">
        <f>IF(ISNUMBER(C180),IF(C180&lt;2000,"before 2000",IF(C180&lt;=2014,"2000-2014","2015 onward")),"")</f>
        <v/>
      </c>
      <c r="P180" s="8" t="n"/>
    </row>
    <row r="181">
      <c r="N181" s="9">
        <f>IF(ISNUMBER(C181),IF(C181&lt;2000,"before 2000",IF(C181&lt;=2014,"2000-2014","2015 onward")),"")</f>
        <v/>
      </c>
      <c r="P181" s="8" t="n"/>
    </row>
    <row r="182">
      <c r="N182" s="9">
        <f>IF(ISNUMBER(C182),IF(C182&lt;2000,"before 2000",IF(C182&lt;=2014,"2000-2014","2015 onward")),"")</f>
        <v/>
      </c>
      <c r="P182" s="8" t="n"/>
    </row>
    <row r="183">
      <c r="N183" s="9">
        <f>IF(ISNUMBER(C183),IF(C183&lt;2000,"before 2000",IF(C183&lt;=2014,"2000-2014","2015 onward")),"")</f>
        <v/>
      </c>
      <c r="P183" s="8" t="n"/>
    </row>
    <row r="184">
      <c r="N184" s="9">
        <f>IF(ISNUMBER(C184),IF(C184&lt;2000,"before 2000",IF(C184&lt;=2014,"2000-2014","2015 onward")),"")</f>
        <v/>
      </c>
      <c r="P184" s="8" t="n"/>
    </row>
    <row r="185">
      <c r="N185" s="9">
        <f>IF(ISNUMBER(C185),IF(C185&lt;2000,"before 2000",IF(C185&lt;=2014,"2000-2014","2015 onward")),"")</f>
        <v/>
      </c>
      <c r="P185" s="8" t="n"/>
    </row>
    <row r="186">
      <c r="N186" s="9">
        <f>IF(ISNUMBER(C186),IF(C186&lt;2000,"before 2000",IF(C186&lt;=2014,"2000-2014","2015 onward")),"")</f>
        <v/>
      </c>
      <c r="P186" s="8" t="n"/>
    </row>
    <row r="187">
      <c r="N187" s="9">
        <f>IF(ISNUMBER(C187),IF(C187&lt;2000,"before 2000",IF(C187&lt;=2014,"2000-2014","2015 onward")),"")</f>
        <v/>
      </c>
      <c r="P187" s="8" t="n"/>
    </row>
    <row r="188">
      <c r="N188" s="9">
        <f>IF(ISNUMBER(C188),IF(C188&lt;2000,"before 2000",IF(C188&lt;=2014,"2000-2014","2015 onward")),"")</f>
        <v/>
      </c>
      <c r="P188" s="8" t="n"/>
    </row>
    <row r="189">
      <c r="N189" s="9">
        <f>IF(ISNUMBER(C189),IF(C189&lt;2000,"before 2000",IF(C189&lt;=2014,"2000-2014","2015 onward")),"")</f>
        <v/>
      </c>
      <c r="P189" s="8" t="n"/>
    </row>
    <row r="190">
      <c r="N190" s="9">
        <f>IF(ISNUMBER(C190),IF(C190&lt;2000,"before 2000",IF(C190&lt;=2014,"2000-2014","2015 onward")),"")</f>
        <v/>
      </c>
      <c r="P190" s="8" t="n"/>
    </row>
    <row r="191">
      <c r="N191" s="9">
        <f>IF(ISNUMBER(C191),IF(C191&lt;2000,"before 2000",IF(C191&lt;=2014,"2000-2014","2015 onward")),"")</f>
        <v/>
      </c>
      <c r="P191" s="8" t="n"/>
    </row>
    <row r="192">
      <c r="N192" s="9">
        <f>IF(ISNUMBER(C192),IF(C192&lt;2000,"before 2000",IF(C192&lt;=2014,"2000-2014","2015 onward")),"")</f>
        <v/>
      </c>
      <c r="P192" s="8" t="n"/>
    </row>
    <row r="193">
      <c r="N193" s="9">
        <f>IF(ISNUMBER(C193),IF(C193&lt;2000,"before 2000",IF(C193&lt;=2014,"2000-2014","2015 onward")),"")</f>
        <v/>
      </c>
      <c r="P193" s="8" t="n"/>
    </row>
    <row r="194">
      <c r="N194" s="9">
        <f>IF(ISNUMBER(C194),IF(C194&lt;2000,"before 2000",IF(C194&lt;=2014,"2000-2014","2015 onward")),"")</f>
        <v/>
      </c>
      <c r="P194" s="8" t="n"/>
    </row>
    <row r="195">
      <c r="N195" s="9">
        <f>IF(ISNUMBER(C195),IF(C195&lt;2000,"before 2000",IF(C195&lt;=2014,"2000-2014","2015 onward")),"")</f>
        <v/>
      </c>
      <c r="P195" s="8" t="n"/>
    </row>
    <row r="196">
      <c r="N196" s="9">
        <f>IF(ISNUMBER(C196),IF(C196&lt;2000,"before 2000",IF(C196&lt;=2014,"2000-2014","2015 onward")),"")</f>
        <v/>
      </c>
      <c r="P196" s="8" t="n"/>
    </row>
    <row r="197">
      <c r="N197" s="9">
        <f>IF(ISNUMBER(C197),IF(C197&lt;2000,"before 2000",IF(C197&lt;=2014,"2000-2014","2015 onward")),"")</f>
        <v/>
      </c>
      <c r="P197" s="8" t="n"/>
    </row>
    <row r="198">
      <c r="N198" s="9">
        <f>IF(ISNUMBER(C198),IF(C198&lt;2000,"before 2000",IF(C198&lt;=2014,"2000-2014","2015 onward")),"")</f>
        <v/>
      </c>
      <c r="P198" s="8" t="n"/>
    </row>
    <row r="199">
      <c r="N199" s="9">
        <f>IF(ISNUMBER(C199),IF(C199&lt;2000,"before 2000",IF(C199&lt;=2014,"2000-2014","2015 onward")),"")</f>
        <v/>
      </c>
      <c r="P199" s="8" t="n"/>
    </row>
    <row r="200">
      <c r="N200" s="9">
        <f>IF(ISNUMBER(C200),IF(C200&lt;2000,"before 2000",IF(C200&lt;=2014,"2000-2014","2015 onward")),"")</f>
        <v/>
      </c>
      <c r="P200" s="8" t="n"/>
    </row>
    <row r="201">
      <c r="N201" s="9">
        <f>IF(ISNUMBER(C201),IF(C201&lt;2000,"before 2000",IF(C201&lt;=2014,"2000-2014","2015 onward")),"")</f>
        <v/>
      </c>
      <c r="P201" s="8" t="n"/>
    </row>
    <row r="202">
      <c r="N202" s="9">
        <f>IF(ISNUMBER(C202),IF(C202&lt;2000,"before 2000",IF(C202&lt;=2014,"2000-2014","2015 onward")),"")</f>
        <v/>
      </c>
      <c r="P202" s="8" t="n"/>
    </row>
    <row r="203">
      <c r="N203" s="9">
        <f>IF(ISNUMBER(C203),IF(C203&lt;2000,"before 2000",IF(C203&lt;=2014,"2000-2014","2015 onward")),"")</f>
        <v/>
      </c>
      <c r="P203" s="8" t="n"/>
    </row>
    <row r="204">
      <c r="N204" s="9">
        <f>IF(ISNUMBER(C204),IF(C204&lt;2000,"before 2000",IF(C204&lt;=2014,"2000-2014","2015 onward")),"")</f>
        <v/>
      </c>
      <c r="P204" s="8" t="n"/>
    </row>
    <row r="205">
      <c r="N205" s="9">
        <f>IF(ISNUMBER(C205),IF(C205&lt;2000,"before 2000",IF(C205&lt;=2014,"2000-2014","2015 onward")),"")</f>
        <v/>
      </c>
      <c r="P205" s="8" t="n"/>
    </row>
    <row r="206">
      <c r="N206" s="9">
        <f>IF(ISNUMBER(C206),IF(C206&lt;2000,"before 2000",IF(C206&lt;=2014,"2000-2014","2015 onward")),"")</f>
        <v/>
      </c>
      <c r="P206" s="8" t="n"/>
    </row>
    <row r="207">
      <c r="N207" s="9">
        <f>IF(ISNUMBER(C207),IF(C207&lt;2000,"before 2000",IF(C207&lt;=2014,"2000-2014","2015 onward")),"")</f>
        <v/>
      </c>
      <c r="P207" s="8" t="n"/>
    </row>
    <row r="208">
      <c r="N208" s="9">
        <f>IF(ISNUMBER(C208),IF(C208&lt;2000,"before 2000",IF(C208&lt;=2014,"2000-2014","2015 onward")),"")</f>
        <v/>
      </c>
      <c r="P208" s="8" t="n"/>
    </row>
    <row r="209">
      <c r="N209" s="9">
        <f>IF(ISNUMBER(C209),IF(C209&lt;2000,"before 2000",IF(C209&lt;=2014,"2000-2014","2015 onward")),"")</f>
        <v/>
      </c>
      <c r="P209" s="8" t="n"/>
    </row>
    <row r="210">
      <c r="N210" s="9">
        <f>IF(ISNUMBER(C210),IF(C210&lt;2000,"before 2000",IF(C210&lt;=2014,"2000-2014","2015 onward")),"")</f>
        <v/>
      </c>
      <c r="P210" s="8" t="n"/>
    </row>
    <row r="211">
      <c r="N211" s="9">
        <f>IF(ISNUMBER(C211),IF(C211&lt;2000,"before 2000",IF(C211&lt;=2014,"2000-2014","2015 onward")),"")</f>
        <v/>
      </c>
      <c r="P211" s="8" t="n"/>
    </row>
    <row r="212">
      <c r="N212" s="9">
        <f>IF(ISNUMBER(C212),IF(C212&lt;2000,"before 2000",IF(C212&lt;=2014,"2000-2014","2015 onward")),"")</f>
        <v/>
      </c>
      <c r="P212" s="8" t="n"/>
    </row>
    <row r="213">
      <c r="N213" s="9">
        <f>IF(ISNUMBER(C213),IF(C213&lt;2000,"before 2000",IF(C213&lt;=2014,"2000-2014","2015 onward")),"")</f>
        <v/>
      </c>
      <c r="P213" s="8" t="n"/>
    </row>
    <row r="214">
      <c r="N214" s="9">
        <f>IF(ISNUMBER(C214),IF(C214&lt;2000,"before 2000",IF(C214&lt;=2014,"2000-2014","2015 onward")),"")</f>
        <v/>
      </c>
      <c r="P214" s="8" t="n"/>
    </row>
    <row r="215">
      <c r="N215" s="9">
        <f>IF(ISNUMBER(C215),IF(C215&lt;2000,"before 2000",IF(C215&lt;=2014,"2000-2014","2015 onward")),"")</f>
        <v/>
      </c>
      <c r="P215" s="8" t="n"/>
    </row>
    <row r="216">
      <c r="N216" s="9">
        <f>IF(ISNUMBER(C216),IF(C216&lt;2000,"before 2000",IF(C216&lt;=2014,"2000-2014","2015 onward")),"")</f>
        <v/>
      </c>
      <c r="P216" s="8" t="n"/>
    </row>
    <row r="217">
      <c r="N217" s="9">
        <f>IF(ISNUMBER(C217),IF(C217&lt;2000,"before 2000",IF(C217&lt;=2014,"2000-2014","2015 onward")),"")</f>
        <v/>
      </c>
      <c r="P217" s="8" t="n"/>
    </row>
    <row r="218">
      <c r="N218" s="9">
        <f>IF(ISNUMBER(C218),IF(C218&lt;2000,"before 2000",IF(C218&lt;=2014,"2000-2014","2015 onward")),"")</f>
        <v/>
      </c>
      <c r="P218" s="8" t="n"/>
    </row>
    <row r="219">
      <c r="N219" s="9">
        <f>IF(ISNUMBER(C219),IF(C219&lt;2000,"before 2000",IF(C219&lt;=2014,"2000-2014","2015 onward")),"")</f>
        <v/>
      </c>
      <c r="P219" s="8" t="n"/>
    </row>
    <row r="220">
      <c r="N220" s="9">
        <f>IF(ISNUMBER(C220),IF(C220&lt;2000,"before 2000",IF(C220&lt;=2014,"2000-2014","2015 onward")),"")</f>
        <v/>
      </c>
      <c r="P220" s="8" t="n"/>
    </row>
    <row r="221">
      <c r="N221" s="9">
        <f>IF(ISNUMBER(C221),IF(C221&lt;2000,"before 2000",IF(C221&lt;=2014,"2000-2014","2015 onward")),"")</f>
        <v/>
      </c>
      <c r="P221" s="8" t="n"/>
    </row>
    <row r="222">
      <c r="N222" s="9">
        <f>IF(ISNUMBER(C222),IF(C222&lt;2000,"before 2000",IF(C222&lt;=2014,"2000-2014","2015 onward")),"")</f>
        <v/>
      </c>
      <c r="P222" s="8" t="n"/>
    </row>
    <row r="223">
      <c r="N223" s="9">
        <f>IF(ISNUMBER(C223),IF(C223&lt;2000,"before 2000",IF(C223&lt;=2014,"2000-2014","2015 onward")),"")</f>
        <v/>
      </c>
      <c r="P223" s="8" t="n"/>
    </row>
    <row r="224">
      <c r="N224" s="9">
        <f>IF(ISNUMBER(C224),IF(C224&lt;2000,"before 2000",IF(C224&lt;=2014,"2000-2014","2015 onward")),"")</f>
        <v/>
      </c>
      <c r="P224" s="8" t="n"/>
    </row>
    <row r="225">
      <c r="N225" s="9">
        <f>IF(ISNUMBER(C225),IF(C225&lt;2000,"before 2000",IF(C225&lt;=2014,"2000-2014","2015 onward")),"")</f>
        <v/>
      </c>
      <c r="P225" s="8" t="n"/>
    </row>
    <row r="226">
      <c r="N226" s="9">
        <f>IF(ISNUMBER(C226),IF(C226&lt;2000,"before 2000",IF(C226&lt;=2014,"2000-2014","2015 onward")),"")</f>
        <v/>
      </c>
      <c r="P226" s="8" t="n"/>
    </row>
    <row r="227">
      <c r="N227" s="9">
        <f>IF(ISNUMBER(C227),IF(C227&lt;2000,"before 2000",IF(C227&lt;=2014,"2000-2014","2015 onward")),"")</f>
        <v/>
      </c>
      <c r="P227" s="8" t="n"/>
    </row>
    <row r="228">
      <c r="N228" s="9">
        <f>IF(ISNUMBER(C228),IF(C228&lt;2000,"before 2000",IF(C228&lt;=2014,"2000-2014","2015 onward")),"")</f>
        <v/>
      </c>
      <c r="P228" s="8" t="n"/>
    </row>
    <row r="229">
      <c r="N229" s="9">
        <f>IF(ISNUMBER(C229),IF(C229&lt;2000,"before 2000",IF(C229&lt;=2014,"2000-2014","2015 onward")),"")</f>
        <v/>
      </c>
      <c r="P229" s="8" t="n"/>
    </row>
    <row r="230">
      <c r="N230" s="9">
        <f>IF(ISNUMBER(C230),IF(C230&lt;2000,"before 2000",IF(C230&lt;=2014,"2000-2014","2015 onward")),"")</f>
        <v/>
      </c>
      <c r="P230" s="8" t="n"/>
    </row>
    <row r="231">
      <c r="N231" s="9">
        <f>IF(ISNUMBER(C231),IF(C231&lt;2000,"before 2000",IF(C231&lt;=2014,"2000-2014","2015 onward")),"")</f>
        <v/>
      </c>
      <c r="P231" s="8" t="n"/>
    </row>
    <row r="232">
      <c r="N232" s="9">
        <f>IF(ISNUMBER(C232),IF(C232&lt;2000,"before 2000",IF(C232&lt;=2014,"2000-2014","2015 onward")),"")</f>
        <v/>
      </c>
      <c r="P232" s="8" t="n"/>
    </row>
    <row r="233">
      <c r="N233" s="9">
        <f>IF(ISNUMBER(C233),IF(C233&lt;2000,"before 2000",IF(C233&lt;=2014,"2000-2014","2015 onward")),"")</f>
        <v/>
      </c>
      <c r="P233" s="8" t="n"/>
    </row>
    <row r="234">
      <c r="N234" s="9">
        <f>IF(ISNUMBER(C234),IF(C234&lt;2000,"before 2000",IF(C234&lt;=2014,"2000-2014","2015 onward")),"")</f>
        <v/>
      </c>
      <c r="P234" s="8" t="n"/>
    </row>
    <row r="235">
      <c r="N235" s="9">
        <f>IF(ISNUMBER(C235),IF(C235&lt;2000,"before 2000",IF(C235&lt;=2014,"2000-2014","2015 onward")),"")</f>
        <v/>
      </c>
      <c r="P235" s="8" t="n"/>
    </row>
    <row r="236">
      <c r="N236" s="9">
        <f>IF(ISNUMBER(C236),IF(C236&lt;2000,"before 2000",IF(C236&lt;=2014,"2000-2014","2015 onward")),"")</f>
        <v/>
      </c>
      <c r="P236" s="8" t="n"/>
    </row>
    <row r="237">
      <c r="N237" s="9">
        <f>IF(ISNUMBER(C237),IF(C237&lt;2000,"before 2000",IF(C237&lt;=2014,"2000-2014","2015 onward")),"")</f>
        <v/>
      </c>
      <c r="P237" s="8" t="n"/>
    </row>
    <row r="238">
      <c r="N238" s="9">
        <f>IF(ISNUMBER(C238),IF(C238&lt;2000,"before 2000",IF(C238&lt;=2014,"2000-2014","2015 onward")),"")</f>
        <v/>
      </c>
      <c r="P238" s="8" t="n"/>
    </row>
    <row r="239">
      <c r="N239" s="9">
        <f>IF(ISNUMBER(C239),IF(C239&lt;2000,"before 2000",IF(C239&lt;=2014,"2000-2014","2015 onward")),"")</f>
        <v/>
      </c>
      <c r="P239" s="8" t="n"/>
    </row>
    <row r="240">
      <c r="N240" s="9">
        <f>IF(ISNUMBER(C240),IF(C240&lt;2000,"before 2000",IF(C240&lt;=2014,"2000-2014","2015 onward")),"")</f>
        <v/>
      </c>
      <c r="P240" s="8" t="n"/>
    </row>
    <row r="241">
      <c r="N241" s="9">
        <f>IF(ISNUMBER(C241),IF(C241&lt;2000,"before 2000",IF(C241&lt;=2014,"2000-2014","2015 onward")),"")</f>
        <v/>
      </c>
      <c r="P241" s="8" t="n"/>
    </row>
    <row r="242">
      <c r="N242" s="9">
        <f>IF(ISNUMBER(C242),IF(C242&lt;2000,"before 2000",IF(C242&lt;=2014,"2000-2014","2015 onward")),"")</f>
        <v/>
      </c>
      <c r="P242" s="8" t="n"/>
    </row>
    <row r="243">
      <c r="N243" s="9">
        <f>IF(ISNUMBER(C243),IF(C243&lt;2000,"before 2000",IF(C243&lt;=2014,"2000-2014","2015 onward")),"")</f>
        <v/>
      </c>
      <c r="P243" s="8" t="n"/>
    </row>
    <row r="244">
      <c r="N244" s="9">
        <f>IF(ISNUMBER(C244),IF(C244&lt;2000,"before 2000",IF(C244&lt;=2014,"2000-2014","2015 onward")),"")</f>
        <v/>
      </c>
      <c r="P244" s="8" t="n"/>
    </row>
    <row r="245">
      <c r="N245" s="9">
        <f>IF(ISNUMBER(C245),IF(C245&lt;2000,"before 2000",IF(C245&lt;=2014,"2000-2014","2015 onward")),"")</f>
        <v/>
      </c>
      <c r="P245" s="8" t="n"/>
    </row>
    <row r="246">
      <c r="N246" s="9">
        <f>IF(ISNUMBER(C246),IF(C246&lt;2000,"before 2000",IF(C246&lt;=2014,"2000-2014","2015 onward")),"")</f>
        <v/>
      </c>
      <c r="P246" s="8" t="n"/>
    </row>
    <row r="247">
      <c r="N247" s="9">
        <f>IF(ISNUMBER(C247),IF(C247&lt;2000,"before 2000",IF(C247&lt;=2014,"2000-2014","2015 onward")),"")</f>
        <v/>
      </c>
      <c r="P247" s="8" t="n"/>
    </row>
    <row r="248">
      <c r="N248" s="9">
        <f>IF(ISNUMBER(C248),IF(C248&lt;2000,"before 2000",IF(C248&lt;=2014,"2000-2014","2015 onward")),"")</f>
        <v/>
      </c>
      <c r="P248" s="8" t="n"/>
    </row>
    <row r="249">
      <c r="N249" s="9">
        <f>IF(ISNUMBER(C249),IF(C249&lt;2000,"before 2000",IF(C249&lt;=2014,"2000-2014","2015 onward")),"")</f>
        <v/>
      </c>
      <c r="P249" s="8" t="n"/>
    </row>
    <row r="250">
      <c r="N250" s="9">
        <f>IF(ISNUMBER(C250),IF(C250&lt;2000,"before 2000",IF(C250&lt;=2014,"2000-2014","2015 onward")),"")</f>
        <v/>
      </c>
      <c r="P250" s="8" t="n"/>
    </row>
    <row r="251">
      <c r="N251" s="9">
        <f>IF(ISNUMBER(C251),IF(C251&lt;2000,"before 2000",IF(C251&lt;=2014,"2000-2014","2015 onward")),"")</f>
        <v/>
      </c>
      <c r="P251" s="8" t="n"/>
    </row>
    <row r="252">
      <c r="N252" s="9">
        <f>IF(ISNUMBER(C252),IF(C252&lt;2000,"before 2000",IF(C252&lt;=2014,"2000-2014","2015 onward")),"")</f>
        <v/>
      </c>
      <c r="P252" s="8" t="n"/>
    </row>
    <row r="253">
      <c r="N253" s="9">
        <f>IF(ISNUMBER(C253),IF(C253&lt;2000,"before 2000",IF(C253&lt;=2014,"2000-2014","2015 onward")),"")</f>
        <v/>
      </c>
      <c r="P253" s="8" t="n"/>
    </row>
    <row r="254">
      <c r="N254" s="9">
        <f>IF(ISNUMBER(C254),IF(C254&lt;2000,"before 2000",IF(C254&lt;=2014,"2000-2014","2015 onward")),"")</f>
        <v/>
      </c>
      <c r="P254" s="8" t="n"/>
    </row>
    <row r="255">
      <c r="N255" s="9">
        <f>IF(ISNUMBER(C255),IF(C255&lt;2000,"before 2000",IF(C255&lt;=2014,"2000-2014","2015 onward")),"")</f>
        <v/>
      </c>
      <c r="P255" s="8" t="n"/>
    </row>
    <row r="256">
      <c r="N256" s="9">
        <f>IF(ISNUMBER(C256),IF(C256&lt;2000,"before 2000",IF(C256&lt;=2014,"2000-2014","2015 onward")),"")</f>
        <v/>
      </c>
      <c r="P256" s="8" t="n"/>
    </row>
    <row r="257">
      <c r="N257" s="9">
        <f>IF(ISNUMBER(C257),IF(C257&lt;2000,"before 2000",IF(C257&lt;=2014,"2000-2014","2015 onward")),"")</f>
        <v/>
      </c>
      <c r="P257" s="8" t="n"/>
    </row>
    <row r="258">
      <c r="N258" s="9">
        <f>IF(ISNUMBER(C258),IF(C258&lt;2000,"before 2000",IF(C258&lt;=2014,"2000-2014","2015 onward")),"")</f>
        <v/>
      </c>
      <c r="P258" s="8" t="n"/>
    </row>
    <row r="259">
      <c r="N259" s="9">
        <f>IF(ISNUMBER(C259),IF(C259&lt;2000,"before 2000",IF(C259&lt;=2014,"2000-2014","2015 onward")),"")</f>
        <v/>
      </c>
      <c r="P259" s="8" t="n"/>
    </row>
    <row r="260">
      <c r="N260" s="9">
        <f>IF(ISNUMBER(C260),IF(C260&lt;2000,"before 2000",IF(C260&lt;=2014,"2000-2014","2015 onward")),"")</f>
        <v/>
      </c>
      <c r="P260" s="8" t="n"/>
    </row>
    <row r="261">
      <c r="N261" s="9">
        <f>IF(ISNUMBER(C261),IF(C261&lt;2000,"before 2000",IF(C261&lt;=2014,"2000-2014","2015 onward")),"")</f>
        <v/>
      </c>
      <c r="P261" s="8" t="n"/>
    </row>
    <row r="262">
      <c r="N262" s="9">
        <f>IF(ISNUMBER(C262),IF(C262&lt;2000,"before 2000",IF(C262&lt;=2014,"2000-2014","2015 onward")),"")</f>
        <v/>
      </c>
      <c r="P262" s="8" t="n"/>
    </row>
    <row r="263">
      <c r="N263" s="9">
        <f>IF(ISNUMBER(C263),IF(C263&lt;2000,"before 2000",IF(C263&lt;=2014,"2000-2014","2015 onward")),"")</f>
        <v/>
      </c>
      <c r="P263" s="8" t="n"/>
    </row>
    <row r="264">
      <c r="N264" s="9">
        <f>IF(ISNUMBER(C264),IF(C264&lt;2000,"before 2000",IF(C264&lt;=2014,"2000-2014","2015 onward")),"")</f>
        <v/>
      </c>
      <c r="P264" s="8" t="n"/>
    </row>
    <row r="265">
      <c r="N265" s="9">
        <f>IF(ISNUMBER(C265),IF(C265&lt;2000,"before 2000",IF(C265&lt;=2014,"2000-2014","2015 onward")),"")</f>
        <v/>
      </c>
      <c r="P265" s="8" t="n"/>
    </row>
    <row r="266">
      <c r="N266" s="9">
        <f>IF(ISNUMBER(C266),IF(C266&lt;2000,"before 2000",IF(C266&lt;=2014,"2000-2014","2015 onward")),"")</f>
        <v/>
      </c>
      <c r="P266" s="8" t="n"/>
    </row>
    <row r="267">
      <c r="N267" s="9">
        <f>IF(ISNUMBER(C267),IF(C267&lt;2000,"before 2000",IF(C267&lt;=2014,"2000-2014","2015 onward")),"")</f>
        <v/>
      </c>
      <c r="P267" s="8" t="n"/>
    </row>
    <row r="268">
      <c r="N268" s="9">
        <f>IF(ISNUMBER(C268),IF(C268&lt;2000,"before 2000",IF(C268&lt;=2014,"2000-2014","2015 onward")),"")</f>
        <v/>
      </c>
      <c r="P268" s="8" t="n"/>
    </row>
    <row r="269">
      <c r="N269" s="9">
        <f>IF(ISNUMBER(C269),IF(C269&lt;2000,"before 2000",IF(C269&lt;=2014,"2000-2014","2015 onward")),"")</f>
        <v/>
      </c>
      <c r="P269" s="8" t="n"/>
    </row>
    <row r="270">
      <c r="N270" s="9">
        <f>IF(ISNUMBER(C270),IF(C270&lt;2000,"before 2000",IF(C270&lt;=2014,"2000-2014","2015 onward")),"")</f>
        <v/>
      </c>
      <c r="P270" s="8" t="n"/>
    </row>
    <row r="271">
      <c r="N271" s="9">
        <f>IF(ISNUMBER(C271),IF(C271&lt;2000,"before 2000",IF(C271&lt;=2014,"2000-2014","2015 onward")),"")</f>
        <v/>
      </c>
      <c r="P271" s="8" t="n"/>
    </row>
    <row r="272">
      <c r="N272" s="9">
        <f>IF(ISNUMBER(C272),IF(C272&lt;2000,"before 2000",IF(C272&lt;=2014,"2000-2014","2015 onward")),"")</f>
        <v/>
      </c>
      <c r="P272" s="8" t="n"/>
    </row>
    <row r="273">
      <c r="N273" s="9">
        <f>IF(ISNUMBER(C273),IF(C273&lt;2000,"before 2000",IF(C273&lt;=2014,"2000-2014","2015 onward")),"")</f>
        <v/>
      </c>
      <c r="P273" s="8" t="n"/>
    </row>
    <row r="274">
      <c r="N274" s="9">
        <f>IF(ISNUMBER(C274),IF(C274&lt;2000,"before 2000",IF(C274&lt;=2014,"2000-2014","2015 onward")),"")</f>
        <v/>
      </c>
      <c r="P274" s="8" t="n"/>
    </row>
    <row r="275">
      <c r="N275" s="9">
        <f>IF(ISNUMBER(C275),IF(C275&lt;2000,"before 2000",IF(C275&lt;=2014,"2000-2014","2015 onward")),"")</f>
        <v/>
      </c>
      <c r="P275" s="8" t="n"/>
    </row>
    <row r="276">
      <c r="N276" s="9">
        <f>IF(ISNUMBER(C276),IF(C276&lt;2000,"before 2000",IF(C276&lt;=2014,"2000-2014","2015 onward")),"")</f>
        <v/>
      </c>
      <c r="P276" s="8" t="n"/>
    </row>
    <row r="277">
      <c r="N277" s="9">
        <f>IF(ISNUMBER(C277),IF(C277&lt;2000,"before 2000",IF(C277&lt;=2014,"2000-2014","2015 onward")),"")</f>
        <v/>
      </c>
      <c r="P277" s="8" t="n"/>
    </row>
    <row r="278">
      <c r="N278" s="9">
        <f>IF(ISNUMBER(C278),IF(C278&lt;2000,"before 2000",IF(C278&lt;=2014,"2000-2014","2015 onward")),"")</f>
        <v/>
      </c>
      <c r="P278" s="8" t="n"/>
    </row>
    <row r="279">
      <c r="N279" s="9">
        <f>IF(ISNUMBER(C279),IF(C279&lt;2000,"before 2000",IF(C279&lt;=2014,"2000-2014","2015 onward")),"")</f>
        <v/>
      </c>
      <c r="P279" s="8" t="n"/>
    </row>
    <row r="280">
      <c r="N280" s="9">
        <f>IF(ISNUMBER(C280),IF(C280&lt;2000,"before 2000",IF(C280&lt;=2014,"2000-2014","2015 onward")),"")</f>
        <v/>
      </c>
      <c r="P280" s="8" t="n"/>
    </row>
    <row r="281">
      <c r="N281" s="9">
        <f>IF(ISNUMBER(C281),IF(C281&lt;2000,"before 2000",IF(C281&lt;=2014,"2000-2014","2015 onward")),"")</f>
        <v/>
      </c>
      <c r="P281" s="8" t="n"/>
    </row>
    <row r="282">
      <c r="N282" s="9">
        <f>IF(ISNUMBER(C282),IF(C282&lt;2000,"before 2000",IF(C282&lt;=2014,"2000-2014","2015 onward")),"")</f>
        <v/>
      </c>
      <c r="P282" s="8" t="n"/>
    </row>
    <row r="283">
      <c r="N283" s="9">
        <f>IF(ISNUMBER(C283),IF(C283&lt;2000,"before 2000",IF(C283&lt;=2014,"2000-2014","2015 onward")),"")</f>
        <v/>
      </c>
      <c r="P283" s="8" t="n"/>
    </row>
    <row r="284">
      <c r="N284" s="9">
        <f>IF(ISNUMBER(C284),IF(C284&lt;2000,"before 2000",IF(C284&lt;=2014,"2000-2014","2015 onward")),"")</f>
        <v/>
      </c>
      <c r="P284" s="8" t="n"/>
    </row>
    <row r="285">
      <c r="N285" s="9">
        <f>IF(ISNUMBER(C285),IF(C285&lt;2000,"before 2000",IF(C285&lt;=2014,"2000-2014","2015 onward")),"")</f>
        <v/>
      </c>
      <c r="P285" s="8" t="n"/>
    </row>
    <row r="286">
      <c r="N286" s="9">
        <f>IF(ISNUMBER(C286),IF(C286&lt;2000,"before 2000",IF(C286&lt;=2014,"2000-2014","2015 onward")),"")</f>
        <v/>
      </c>
      <c r="P286" s="8" t="n"/>
    </row>
    <row r="287">
      <c r="N287" s="9">
        <f>IF(ISNUMBER(C287),IF(C287&lt;2000,"before 2000",IF(C287&lt;=2014,"2000-2014","2015 onward")),"")</f>
        <v/>
      </c>
      <c r="P287" s="8" t="n"/>
    </row>
    <row r="288">
      <c r="N288" s="9">
        <f>IF(ISNUMBER(C288),IF(C288&lt;2000,"before 2000",IF(C288&lt;=2014,"2000-2014","2015 onward")),"")</f>
        <v/>
      </c>
      <c r="P288" s="8" t="n"/>
    </row>
    <row r="289">
      <c r="N289" s="9">
        <f>IF(ISNUMBER(C289),IF(C289&lt;2000,"before 2000",IF(C289&lt;=2014,"2000-2014","2015 onward")),"")</f>
        <v/>
      </c>
      <c r="P289" s="8" t="n"/>
    </row>
    <row r="290">
      <c r="N290" s="9">
        <f>IF(ISNUMBER(C290),IF(C290&lt;2000,"before 2000",IF(C290&lt;=2014,"2000-2014","2015 onward")),"")</f>
        <v/>
      </c>
      <c r="P290" s="8" t="n"/>
    </row>
    <row r="291">
      <c r="N291" s="9">
        <f>IF(ISNUMBER(C291),IF(C291&lt;2000,"before 2000",IF(C291&lt;=2014,"2000-2014","2015 onward")),"")</f>
        <v/>
      </c>
      <c r="P291" s="8" t="n"/>
    </row>
    <row r="292">
      <c r="N292" s="9">
        <f>IF(ISNUMBER(C292),IF(C292&lt;2000,"before 2000",IF(C292&lt;=2014,"2000-2014","2015 onward")),"")</f>
        <v/>
      </c>
      <c r="P292" s="8" t="n"/>
    </row>
    <row r="293">
      <c r="N293" s="9">
        <f>IF(ISNUMBER(C293),IF(C293&lt;2000,"before 2000",IF(C293&lt;=2014,"2000-2014","2015 onward")),"")</f>
        <v/>
      </c>
      <c r="P293" s="8" t="n"/>
    </row>
    <row r="294">
      <c r="N294" s="9">
        <f>IF(ISNUMBER(C294),IF(C294&lt;2000,"before 2000",IF(C294&lt;=2014,"2000-2014","2015 onward")),"")</f>
        <v/>
      </c>
      <c r="P294" s="8" t="n"/>
    </row>
    <row r="295">
      <c r="N295" s="9">
        <f>IF(ISNUMBER(C295),IF(C295&lt;2000,"before 2000",IF(C295&lt;=2014,"2000-2014","2015 onward")),"")</f>
        <v/>
      </c>
      <c r="P295" s="8" t="n"/>
    </row>
    <row r="296">
      <c r="N296" s="9">
        <f>IF(ISNUMBER(C296),IF(C296&lt;2000,"before 2000",IF(C296&lt;=2014,"2000-2014","2015 onward")),"")</f>
        <v/>
      </c>
      <c r="P296" s="8" t="n"/>
    </row>
    <row r="297">
      <c r="N297" s="9">
        <f>IF(ISNUMBER(C297),IF(C297&lt;2000,"before 2000",IF(C297&lt;=2014,"2000-2014","2015 onward")),"")</f>
        <v/>
      </c>
      <c r="P297" s="8" t="n"/>
    </row>
    <row r="298">
      <c r="N298" s="9">
        <f>IF(ISNUMBER(C298),IF(C298&lt;2000,"before 2000",IF(C298&lt;=2014,"2000-2014","2015 onward")),"")</f>
        <v/>
      </c>
      <c r="P298" s="8" t="n"/>
    </row>
    <row r="299">
      <c r="N299" s="9">
        <f>IF(ISNUMBER(C299),IF(C299&lt;2000,"before 2000",IF(C299&lt;=2014,"2000-2014","2015 onward")),"")</f>
        <v/>
      </c>
      <c r="P299" s="8" t="n"/>
    </row>
    <row r="300">
      <c r="N300" s="9">
        <f>IF(ISNUMBER(C300),IF(C300&lt;2000,"before 2000",IF(C300&lt;=2014,"2000-2014","2015 onward")),"")</f>
        <v/>
      </c>
      <c r="P300" s="8" t="n"/>
    </row>
    <row r="301">
      <c r="N301" s="9">
        <f>IF(ISNUMBER(C301),IF(C301&lt;2000,"before 2000",IF(C301&lt;=2014,"2000-2014","2015 onward")),"")</f>
        <v/>
      </c>
      <c r="P301" s="8" t="n"/>
    </row>
    <row r="302">
      <c r="N302" s="9">
        <f>IF(ISNUMBER(C302),IF(C302&lt;2000,"before 2000",IF(C302&lt;=2014,"2000-2014","2015 onward")),"")</f>
        <v/>
      </c>
      <c r="P302" s="8" t="n"/>
    </row>
    <row r="303">
      <c r="N303" s="9">
        <f>IF(ISNUMBER(C303),IF(C303&lt;2000,"before 2000",IF(C303&lt;=2014,"2000-2014","2015 onward")),"")</f>
        <v/>
      </c>
      <c r="P303" s="8" t="n"/>
    </row>
    <row r="304">
      <c r="N304" s="9">
        <f>IF(ISNUMBER(C304),IF(C304&lt;2000,"before 2000",IF(C304&lt;=2014,"2000-2014","2015 onward")),"")</f>
        <v/>
      </c>
      <c r="P304" s="8" t="n"/>
    </row>
    <row r="305">
      <c r="N305" s="9">
        <f>IF(ISNUMBER(C305),IF(C305&lt;2000,"before 2000",IF(C305&lt;=2014,"2000-2014","2015 onward")),"")</f>
        <v/>
      </c>
      <c r="P305" s="8" t="n"/>
    </row>
    <row r="306">
      <c r="N306" s="9">
        <f>IF(ISNUMBER(C306),IF(C306&lt;2000,"before 2000",IF(C306&lt;=2014,"2000-2014","2015 onward")),"")</f>
        <v/>
      </c>
      <c r="P306" s="8" t="n"/>
    </row>
    <row r="307">
      <c r="N307" s="9">
        <f>IF(ISNUMBER(C307),IF(C307&lt;2000,"before 2000",IF(C307&lt;=2014,"2000-2014","2015 onward")),"")</f>
        <v/>
      </c>
      <c r="P307" s="8" t="n"/>
    </row>
    <row r="308">
      <c r="N308" s="9">
        <f>IF(ISNUMBER(C308),IF(C308&lt;2000,"before 2000",IF(C308&lt;=2014,"2000-2014","2015 onward")),"")</f>
        <v/>
      </c>
      <c r="P308" s="8" t="n"/>
    </row>
    <row r="309">
      <c r="N309" s="9">
        <f>IF(ISNUMBER(C309),IF(C309&lt;2000,"before 2000",IF(C309&lt;=2014,"2000-2014","2015 onward")),"")</f>
        <v/>
      </c>
      <c r="P309" s="8" t="n"/>
    </row>
    <row r="310">
      <c r="N310" s="9">
        <f>IF(ISNUMBER(C310),IF(C310&lt;2000,"before 2000",IF(C310&lt;=2014,"2000-2014","2015 onward")),"")</f>
        <v/>
      </c>
      <c r="P310" s="8" t="n"/>
    </row>
    <row r="311">
      <c r="N311" s="9">
        <f>IF(ISNUMBER(C311),IF(C311&lt;2000,"before 2000",IF(C311&lt;=2014,"2000-2014","2015 onward")),"")</f>
        <v/>
      </c>
      <c r="P311" s="8" t="n"/>
    </row>
    <row r="312">
      <c r="N312" s="9">
        <f>IF(ISNUMBER(C312),IF(C312&lt;2000,"before 2000",IF(C312&lt;=2014,"2000-2014","2015 onward")),"")</f>
        <v/>
      </c>
      <c r="P312" s="8" t="n"/>
    </row>
    <row r="313">
      <c r="N313" s="9">
        <f>IF(ISNUMBER(C313),IF(C313&lt;2000,"before 2000",IF(C313&lt;=2014,"2000-2014","2015 onward")),"")</f>
        <v/>
      </c>
      <c r="P313" s="8" t="n"/>
    </row>
    <row r="314">
      <c r="N314" s="9">
        <f>IF(ISNUMBER(C314),IF(C314&lt;2000,"before 2000",IF(C314&lt;=2014,"2000-2014","2015 onward")),"")</f>
        <v/>
      </c>
      <c r="P314" s="8" t="n"/>
    </row>
    <row r="315">
      <c r="N315" s="9">
        <f>IF(ISNUMBER(C315),IF(C315&lt;2000,"before 2000",IF(C315&lt;=2014,"2000-2014","2015 onward")),"")</f>
        <v/>
      </c>
      <c r="P315" s="8" t="n"/>
    </row>
    <row r="316">
      <c r="N316" s="9">
        <f>IF(ISNUMBER(C316),IF(C316&lt;2000,"before 2000",IF(C316&lt;=2014,"2000-2014","2015 onward")),"")</f>
        <v/>
      </c>
      <c r="P316" s="8" t="n"/>
    </row>
    <row r="317">
      <c r="N317" s="9">
        <f>IF(ISNUMBER(C317),IF(C317&lt;2000,"before 2000",IF(C317&lt;=2014,"2000-2014","2015 onward")),"")</f>
        <v/>
      </c>
      <c r="P317" s="8" t="n"/>
    </row>
    <row r="318">
      <c r="N318" s="9">
        <f>IF(ISNUMBER(C318),IF(C318&lt;2000,"before 2000",IF(C318&lt;=2014,"2000-2014","2015 onward")),"")</f>
        <v/>
      </c>
      <c r="P318" s="8" t="n"/>
    </row>
    <row r="319">
      <c r="N319" s="9">
        <f>IF(ISNUMBER(C319),IF(C319&lt;2000,"before 2000",IF(C319&lt;=2014,"2000-2014","2015 onward")),"")</f>
        <v/>
      </c>
      <c r="P319" s="8" t="n"/>
    </row>
    <row r="320">
      <c r="N320" s="9">
        <f>IF(ISNUMBER(C320),IF(C320&lt;2000,"before 2000",IF(C320&lt;=2014,"2000-2014","2015 onward")),"")</f>
        <v/>
      </c>
      <c r="P320" s="8" t="n"/>
    </row>
    <row r="321">
      <c r="N321" s="9">
        <f>IF(ISNUMBER(C321),IF(C321&lt;2000,"before 2000",IF(C321&lt;=2014,"2000-2014","2015 onward")),"")</f>
        <v/>
      </c>
      <c r="P321" s="8" t="n"/>
    </row>
    <row r="322">
      <c r="N322" s="9">
        <f>IF(ISNUMBER(C322),IF(C322&lt;2000,"before 2000",IF(C322&lt;=2014,"2000-2014","2015 onward")),"")</f>
        <v/>
      </c>
      <c r="P322" s="8" t="n"/>
    </row>
    <row r="323">
      <c r="N323" s="9">
        <f>IF(ISNUMBER(C323),IF(C323&lt;2000,"before 2000",IF(C323&lt;=2014,"2000-2014","2015 onward")),"")</f>
        <v/>
      </c>
      <c r="P323" s="8" t="n"/>
    </row>
    <row r="324">
      <c r="N324" s="9">
        <f>IF(ISNUMBER(C324),IF(C324&lt;2000,"before 2000",IF(C324&lt;=2014,"2000-2014","2015 onward")),"")</f>
        <v/>
      </c>
      <c r="P324" s="8" t="n"/>
    </row>
    <row r="325">
      <c r="N325" s="9">
        <f>IF(ISNUMBER(C325),IF(C325&lt;2000,"before 2000",IF(C325&lt;=2014,"2000-2014","2015 onward")),"")</f>
        <v/>
      </c>
      <c r="P325" s="8" t="n"/>
    </row>
    <row r="326">
      <c r="N326" s="9">
        <f>IF(ISNUMBER(C326),IF(C326&lt;2000,"before 2000",IF(C326&lt;=2014,"2000-2014","2015 onward")),"")</f>
        <v/>
      </c>
      <c r="P326" s="8" t="n"/>
    </row>
    <row r="327">
      <c r="N327" s="9">
        <f>IF(ISNUMBER(C327),IF(C327&lt;2000,"before 2000",IF(C327&lt;=2014,"2000-2014","2015 onward")),"")</f>
        <v/>
      </c>
      <c r="P327" s="8" t="n"/>
    </row>
    <row r="328">
      <c r="N328" s="9">
        <f>IF(ISNUMBER(C328),IF(C328&lt;2000,"before 2000",IF(C328&lt;=2014,"2000-2014","2015 onward")),"")</f>
        <v/>
      </c>
      <c r="P328" s="8" t="n"/>
    </row>
    <row r="329">
      <c r="N329" s="9">
        <f>IF(ISNUMBER(C329),IF(C329&lt;2000,"before 2000",IF(C329&lt;=2014,"2000-2014","2015 onward")),"")</f>
        <v/>
      </c>
      <c r="P329" s="8" t="n"/>
    </row>
    <row r="330">
      <c r="N330" s="9">
        <f>IF(ISNUMBER(C330),IF(C330&lt;2000,"before 2000",IF(C330&lt;=2014,"2000-2014","2015 onward")),"")</f>
        <v/>
      </c>
      <c r="P330" s="8" t="n"/>
    </row>
    <row r="331">
      <c r="N331" s="9">
        <f>IF(ISNUMBER(C331),IF(C331&lt;2000,"before 2000",IF(C331&lt;=2014,"2000-2014","2015 onward")),"")</f>
        <v/>
      </c>
      <c r="P331" s="8" t="n"/>
    </row>
    <row r="332">
      <c r="N332" s="9">
        <f>IF(ISNUMBER(C332),IF(C332&lt;2000,"before 2000",IF(C332&lt;=2014,"2000-2014","2015 onward")),"")</f>
        <v/>
      </c>
      <c r="P332" s="8" t="n"/>
    </row>
    <row r="333">
      <c r="N333" s="9">
        <f>IF(ISNUMBER(C333),IF(C333&lt;2000,"before 2000",IF(C333&lt;=2014,"2000-2014","2015 onward")),"")</f>
        <v/>
      </c>
      <c r="P333" s="8" t="n"/>
    </row>
    <row r="334">
      <c r="N334" s="9">
        <f>IF(ISNUMBER(C334),IF(C334&lt;2000,"before 2000",IF(C334&lt;=2014,"2000-2014","2015 onward")),"")</f>
        <v/>
      </c>
      <c r="P334" s="8" t="n"/>
    </row>
    <row r="335">
      <c r="N335" s="9">
        <f>IF(ISNUMBER(C335),IF(C335&lt;2000,"before 2000",IF(C335&lt;=2014,"2000-2014","2015 onward")),"")</f>
        <v/>
      </c>
      <c r="P335" s="8" t="n"/>
    </row>
    <row r="336">
      <c r="N336" s="9">
        <f>IF(ISNUMBER(C336),IF(C336&lt;2000,"before 2000",IF(C336&lt;=2014,"2000-2014","2015 onward")),"")</f>
        <v/>
      </c>
      <c r="P336" s="8" t="n"/>
    </row>
    <row r="337">
      <c r="N337" s="9">
        <f>IF(ISNUMBER(C337),IF(C337&lt;2000,"before 2000",IF(C337&lt;=2014,"2000-2014","2015 onward")),"")</f>
        <v/>
      </c>
      <c r="P337" s="8" t="n"/>
    </row>
    <row r="338">
      <c r="N338" s="9">
        <f>IF(ISNUMBER(C338),IF(C338&lt;2000,"before 2000",IF(C338&lt;=2014,"2000-2014","2015 onward")),"")</f>
        <v/>
      </c>
      <c r="P338" s="8" t="n"/>
    </row>
    <row r="339">
      <c r="N339" s="9">
        <f>IF(ISNUMBER(C339),IF(C339&lt;2000,"before 2000",IF(C339&lt;=2014,"2000-2014","2015 onward")),"")</f>
        <v/>
      </c>
      <c r="P339" s="8" t="n"/>
    </row>
    <row r="340">
      <c r="N340" s="9">
        <f>IF(ISNUMBER(C340),IF(C340&lt;2000,"before 2000",IF(C340&lt;=2014,"2000-2014","2015 onward")),"")</f>
        <v/>
      </c>
      <c r="P340" s="8" t="n"/>
    </row>
    <row r="341">
      <c r="N341" s="9">
        <f>IF(ISNUMBER(C341),IF(C341&lt;2000,"before 2000",IF(C341&lt;=2014,"2000-2014","2015 onward")),"")</f>
        <v/>
      </c>
      <c r="P341" s="8" t="n"/>
    </row>
    <row r="342">
      <c r="N342" s="9">
        <f>IF(ISNUMBER(C342),IF(C342&lt;2000,"before 2000",IF(C342&lt;=2014,"2000-2014","2015 onward")),"")</f>
        <v/>
      </c>
      <c r="P342" s="8" t="n"/>
    </row>
    <row r="343">
      <c r="N343" s="9">
        <f>IF(ISNUMBER(C343),IF(C343&lt;2000,"before 2000",IF(C343&lt;=2014,"2000-2014","2015 onward")),"")</f>
        <v/>
      </c>
      <c r="P343" s="8" t="n"/>
    </row>
    <row r="344">
      <c r="N344" s="9">
        <f>IF(ISNUMBER(C344),IF(C344&lt;2000,"before 2000",IF(C344&lt;=2014,"2000-2014","2015 onward")),"")</f>
        <v/>
      </c>
      <c r="P344" s="8" t="n"/>
    </row>
    <row r="345">
      <c r="N345" s="9">
        <f>IF(ISNUMBER(C345),IF(C345&lt;2000,"before 2000",IF(C345&lt;=2014,"2000-2014","2015 onward")),"")</f>
        <v/>
      </c>
      <c r="P345" s="8" t="n"/>
    </row>
    <row r="346">
      <c r="N346" s="9">
        <f>IF(ISNUMBER(C346),IF(C346&lt;2000,"before 2000",IF(C346&lt;=2014,"2000-2014","2015 onward")),"")</f>
        <v/>
      </c>
      <c r="P346" s="8" t="n"/>
    </row>
    <row r="347">
      <c r="N347" s="9">
        <f>IF(ISNUMBER(C347),IF(C347&lt;2000,"before 2000",IF(C347&lt;=2014,"2000-2014","2015 onward")),"")</f>
        <v/>
      </c>
      <c r="P347" s="8" t="n"/>
    </row>
    <row r="348">
      <c r="N348" s="9">
        <f>IF(ISNUMBER(C348),IF(C348&lt;2000,"before 2000",IF(C348&lt;=2014,"2000-2014","2015 onward")),"")</f>
        <v/>
      </c>
      <c r="P348" s="8" t="n"/>
    </row>
    <row r="349">
      <c r="N349" s="9">
        <f>IF(ISNUMBER(C349),IF(C349&lt;2000,"before 2000",IF(C349&lt;=2014,"2000-2014","2015 onward")),"")</f>
        <v/>
      </c>
      <c r="P349" s="8" t="n"/>
    </row>
    <row r="350">
      <c r="N350" s="9">
        <f>IF(ISNUMBER(C350),IF(C350&lt;2000,"before 2000",IF(C350&lt;=2014,"2000-2014","2015 onward")),"")</f>
        <v/>
      </c>
      <c r="P350" s="8" t="n"/>
    </row>
    <row r="351">
      <c r="N351" s="9">
        <f>IF(ISNUMBER(C351),IF(C351&lt;2000,"before 2000",IF(C351&lt;=2014,"2000-2014","2015 onward")),"")</f>
        <v/>
      </c>
      <c r="P351" s="8" t="n"/>
    </row>
    <row r="352">
      <c r="N352" s="9">
        <f>IF(ISNUMBER(C352),IF(C352&lt;2000,"before 2000",IF(C352&lt;=2014,"2000-2014","2015 onward")),"")</f>
        <v/>
      </c>
      <c r="P352" s="8" t="n"/>
    </row>
    <row r="353">
      <c r="N353" s="9">
        <f>IF(ISNUMBER(C353),IF(C353&lt;2000,"before 2000",IF(C353&lt;=2014,"2000-2014","2015 onward")),"")</f>
        <v/>
      </c>
      <c r="P353" s="8" t="n"/>
    </row>
    <row r="354">
      <c r="N354" s="9">
        <f>IF(ISNUMBER(C354),IF(C354&lt;2000,"before 2000",IF(C354&lt;=2014,"2000-2014","2015 onward")),"")</f>
        <v/>
      </c>
      <c r="P354" s="8" t="n"/>
    </row>
    <row r="355">
      <c r="N355" s="9">
        <f>IF(ISNUMBER(C355),IF(C355&lt;2000,"before 2000",IF(C355&lt;=2014,"2000-2014","2015 onward")),"")</f>
        <v/>
      </c>
      <c r="P355" s="8" t="n"/>
    </row>
    <row r="356">
      <c r="N356" s="9">
        <f>IF(ISNUMBER(C356),IF(C356&lt;2000,"before 2000",IF(C356&lt;=2014,"2000-2014","2015 onward")),"")</f>
        <v/>
      </c>
      <c r="P356" s="8" t="n"/>
    </row>
    <row r="357">
      <c r="N357" s="9">
        <f>IF(ISNUMBER(C357),IF(C357&lt;2000,"before 2000",IF(C357&lt;=2014,"2000-2014","2015 onward")),"")</f>
        <v/>
      </c>
      <c r="P357" s="8" t="n"/>
    </row>
    <row r="358">
      <c r="N358" s="9">
        <f>IF(ISNUMBER(C358),IF(C358&lt;2000,"before 2000",IF(C358&lt;=2014,"2000-2014","2015 onward")),"")</f>
        <v/>
      </c>
      <c r="P358" s="8" t="n"/>
    </row>
    <row r="359">
      <c r="N359" s="9">
        <f>IF(ISNUMBER(C359),IF(C359&lt;2000,"before 2000",IF(C359&lt;=2014,"2000-2014","2015 onward")),"")</f>
        <v/>
      </c>
      <c r="P359" s="8" t="n"/>
    </row>
    <row r="360">
      <c r="N360" s="9">
        <f>IF(ISNUMBER(C360),IF(C360&lt;2000,"before 2000",IF(C360&lt;=2014,"2000-2014","2015 onward")),"")</f>
        <v/>
      </c>
      <c r="P360" s="8" t="n"/>
    </row>
    <row r="361">
      <c r="N361" s="9">
        <f>IF(ISNUMBER(C361),IF(C361&lt;2000,"before 2000",IF(C361&lt;=2014,"2000-2014","2015 onward")),"")</f>
        <v/>
      </c>
      <c r="P361" s="8" t="n"/>
    </row>
    <row r="362">
      <c r="N362" s="9">
        <f>IF(ISNUMBER(C362),IF(C362&lt;2000,"before 2000",IF(C362&lt;=2014,"2000-2014","2015 onward")),"")</f>
        <v/>
      </c>
      <c r="P362" s="8" t="n"/>
    </row>
    <row r="363">
      <c r="N363" s="9">
        <f>IF(ISNUMBER(C363),IF(C363&lt;2000,"before 2000",IF(C363&lt;=2014,"2000-2014","2015 onward")),"")</f>
        <v/>
      </c>
      <c r="P363" s="8" t="n"/>
    </row>
    <row r="364">
      <c r="N364" s="9">
        <f>IF(ISNUMBER(C364),IF(C364&lt;2000,"before 2000",IF(C364&lt;=2014,"2000-2014","2015 onward")),"")</f>
        <v/>
      </c>
      <c r="P364" s="8" t="n"/>
    </row>
    <row r="365">
      <c r="N365" s="9">
        <f>IF(ISNUMBER(C365),IF(C365&lt;2000,"before 2000",IF(C365&lt;=2014,"2000-2014","2015 onward")),"")</f>
        <v/>
      </c>
      <c r="P365" s="8" t="n"/>
    </row>
    <row r="366">
      <c r="N366" s="9">
        <f>IF(ISNUMBER(C366),IF(C366&lt;2000,"before 2000",IF(C366&lt;=2014,"2000-2014","2015 onward")),"")</f>
        <v/>
      </c>
      <c r="P366" s="8" t="n"/>
    </row>
    <row r="367">
      <c r="N367" s="9">
        <f>IF(ISNUMBER(C367),IF(C367&lt;2000,"before 2000",IF(C367&lt;=2014,"2000-2014","2015 onward")),"")</f>
        <v/>
      </c>
      <c r="P367" s="8" t="n"/>
    </row>
    <row r="368">
      <c r="N368" s="9">
        <f>IF(ISNUMBER(C368),IF(C368&lt;2000,"before 2000",IF(C368&lt;=2014,"2000-2014","2015 onward")),"")</f>
        <v/>
      </c>
      <c r="P368" s="8" t="n"/>
    </row>
    <row r="369">
      <c r="N369" s="9">
        <f>IF(ISNUMBER(C369),IF(C369&lt;2000,"before 2000",IF(C369&lt;=2014,"2000-2014","2015 onward")),"")</f>
        <v/>
      </c>
      <c r="P369" s="8" t="n"/>
    </row>
    <row r="370">
      <c r="N370" s="9">
        <f>IF(ISNUMBER(C370),IF(C370&lt;2000,"before 2000",IF(C370&lt;=2014,"2000-2014","2015 onward")),"")</f>
        <v/>
      </c>
      <c r="P370" s="8" t="n"/>
    </row>
    <row r="371">
      <c r="N371" s="9">
        <f>IF(ISNUMBER(C371),IF(C371&lt;2000,"before 2000",IF(C371&lt;=2014,"2000-2014","2015 onward")),"")</f>
        <v/>
      </c>
      <c r="P371" s="8" t="n"/>
    </row>
    <row r="372">
      <c r="N372" s="9">
        <f>IF(ISNUMBER(C372),IF(C372&lt;2000,"before 2000",IF(C372&lt;=2014,"2000-2014","2015 onward")),"")</f>
        <v/>
      </c>
      <c r="P372" s="8" t="n"/>
    </row>
    <row r="373">
      <c r="N373" s="9">
        <f>IF(ISNUMBER(C373),IF(C373&lt;2000,"before 2000",IF(C373&lt;=2014,"2000-2014","2015 onward")),"")</f>
        <v/>
      </c>
      <c r="P373" s="8" t="n"/>
    </row>
    <row r="374">
      <c r="N374" s="9">
        <f>IF(ISNUMBER(C374),IF(C374&lt;2000,"before 2000",IF(C374&lt;=2014,"2000-2014","2015 onward")),"")</f>
        <v/>
      </c>
      <c r="P374" s="8" t="n"/>
    </row>
    <row r="375">
      <c r="N375" s="9">
        <f>IF(ISNUMBER(C375),IF(C375&lt;2000,"before 2000",IF(C375&lt;=2014,"2000-2014","2015 onward")),"")</f>
        <v/>
      </c>
      <c r="P375" s="8" t="n"/>
    </row>
    <row r="376">
      <c r="N376" s="9">
        <f>IF(ISNUMBER(C376),IF(C376&lt;2000,"before 2000",IF(C376&lt;=2014,"2000-2014","2015 onward")),"")</f>
        <v/>
      </c>
      <c r="P376" s="8" t="n"/>
    </row>
    <row r="377">
      <c r="N377" s="9">
        <f>IF(ISNUMBER(C377),IF(C377&lt;2000,"before 2000",IF(C377&lt;=2014,"2000-2014","2015 onward")),"")</f>
        <v/>
      </c>
      <c r="P377" s="8" t="n"/>
    </row>
    <row r="378">
      <c r="N378" s="9">
        <f>IF(ISNUMBER(C378),IF(C378&lt;2000,"before 2000",IF(C378&lt;=2014,"2000-2014","2015 onward")),"")</f>
        <v/>
      </c>
      <c r="P378" s="8" t="n"/>
    </row>
    <row r="379">
      <c r="N379" s="9">
        <f>IF(ISNUMBER(C379),IF(C379&lt;2000,"before 2000",IF(C379&lt;=2014,"2000-2014","2015 onward")),"")</f>
        <v/>
      </c>
      <c r="P379" s="8" t="n"/>
    </row>
    <row r="380">
      <c r="N380" s="9">
        <f>IF(ISNUMBER(C380),IF(C380&lt;2000,"before 2000",IF(C380&lt;=2014,"2000-2014","2015 onward")),"")</f>
        <v/>
      </c>
      <c r="P380" s="8" t="n"/>
    </row>
    <row r="381">
      <c r="N381" s="9">
        <f>IF(ISNUMBER(C381),IF(C381&lt;2000,"before 2000",IF(C381&lt;=2014,"2000-2014","2015 onward")),"")</f>
        <v/>
      </c>
      <c r="P381" s="8" t="n"/>
    </row>
    <row r="382">
      <c r="N382" s="9">
        <f>IF(ISNUMBER(C382),IF(C382&lt;2000,"before 2000",IF(C382&lt;=2014,"2000-2014","2015 onward")),"")</f>
        <v/>
      </c>
      <c r="P382" s="8" t="n"/>
    </row>
    <row r="383">
      <c r="N383" s="9">
        <f>IF(ISNUMBER(C383),IF(C383&lt;2000,"before 2000",IF(C383&lt;=2014,"2000-2014","2015 onward")),"")</f>
        <v/>
      </c>
      <c r="P383" s="8" t="n"/>
    </row>
    <row r="384">
      <c r="N384" s="9">
        <f>IF(ISNUMBER(C384),IF(C384&lt;2000,"before 2000",IF(C384&lt;=2014,"2000-2014","2015 onward")),"")</f>
        <v/>
      </c>
      <c r="P384" s="8" t="n"/>
    </row>
    <row r="385">
      <c r="N385" s="9">
        <f>IF(ISNUMBER(C385),IF(C385&lt;2000,"before 2000",IF(C385&lt;=2014,"2000-2014","2015 onward")),"")</f>
        <v/>
      </c>
      <c r="P385" s="8" t="n"/>
    </row>
    <row r="386">
      <c r="N386" s="9">
        <f>IF(ISNUMBER(C386),IF(C386&lt;2000,"before 2000",IF(C386&lt;=2014,"2000-2014","2015 onward")),"")</f>
        <v/>
      </c>
      <c r="P386" s="8" t="n"/>
    </row>
    <row r="387">
      <c r="N387" s="9">
        <f>IF(ISNUMBER(C387),IF(C387&lt;2000,"before 2000",IF(C387&lt;=2014,"2000-2014","2015 onward")),"")</f>
        <v/>
      </c>
      <c r="P387" s="8" t="n"/>
    </row>
    <row r="388">
      <c r="N388" s="9">
        <f>IF(ISNUMBER(C388),IF(C388&lt;2000,"before 2000",IF(C388&lt;=2014,"2000-2014","2015 onward")),"")</f>
        <v/>
      </c>
      <c r="P388" s="8" t="n"/>
    </row>
    <row r="389">
      <c r="N389" s="9">
        <f>IF(ISNUMBER(C389),IF(C389&lt;2000,"before 2000",IF(C389&lt;=2014,"2000-2014","2015 onward")),"")</f>
        <v/>
      </c>
      <c r="P389" s="8" t="n"/>
    </row>
    <row r="390">
      <c r="N390" s="9">
        <f>IF(ISNUMBER(C390),IF(C390&lt;2000,"before 2000",IF(C390&lt;=2014,"2000-2014","2015 onward")),"")</f>
        <v/>
      </c>
      <c r="P390" s="8" t="n"/>
    </row>
    <row r="391">
      <c r="N391" s="9">
        <f>IF(ISNUMBER(C391),IF(C391&lt;2000,"before 2000",IF(C391&lt;=2014,"2000-2014","2015 onward")),"")</f>
        <v/>
      </c>
      <c r="P391" s="8" t="n"/>
    </row>
    <row r="392">
      <c r="N392" s="9">
        <f>IF(ISNUMBER(C392),IF(C392&lt;2000,"before 2000",IF(C392&lt;=2014,"2000-2014","2015 onward")),"")</f>
        <v/>
      </c>
      <c r="P392" s="8" t="n"/>
    </row>
    <row r="393">
      <c r="N393" s="9">
        <f>IF(ISNUMBER(C393),IF(C393&lt;2000,"before 2000",IF(C393&lt;=2014,"2000-2014","2015 onward")),"")</f>
        <v/>
      </c>
      <c r="P393" s="8" t="n"/>
    </row>
    <row r="394">
      <c r="N394" s="9">
        <f>IF(ISNUMBER(C394),IF(C394&lt;2000,"before 2000",IF(C394&lt;=2014,"2000-2014","2015 onward")),"")</f>
        <v/>
      </c>
      <c r="P394" s="8" t="n"/>
    </row>
    <row r="395">
      <c r="N395" s="9">
        <f>IF(ISNUMBER(C395),IF(C395&lt;2000,"before 2000",IF(C395&lt;=2014,"2000-2014","2015 onward")),"")</f>
        <v/>
      </c>
      <c r="P395" s="8" t="n"/>
    </row>
    <row r="396">
      <c r="N396" s="9">
        <f>IF(ISNUMBER(C396),IF(C396&lt;2000,"before 2000",IF(C396&lt;=2014,"2000-2014","2015 onward")),"")</f>
        <v/>
      </c>
      <c r="P396" s="8" t="n"/>
    </row>
    <row r="397">
      <c r="N397" s="9">
        <f>IF(ISNUMBER(C397),IF(C397&lt;2000,"before 2000",IF(C397&lt;=2014,"2000-2014","2015 onward")),"")</f>
        <v/>
      </c>
      <c r="P397" s="8" t="n"/>
    </row>
    <row r="398">
      <c r="N398" s="9">
        <f>IF(ISNUMBER(C398),IF(C398&lt;2000,"before 2000",IF(C398&lt;=2014,"2000-2014","2015 onward")),"")</f>
        <v/>
      </c>
      <c r="P398" s="8" t="n"/>
    </row>
    <row r="399">
      <c r="N399" s="9">
        <f>IF(ISNUMBER(C399),IF(C399&lt;2000,"before 2000",IF(C399&lt;=2014,"2000-2014","2015 onward")),"")</f>
        <v/>
      </c>
      <c r="P399" s="8" t="n"/>
    </row>
    <row r="400">
      <c r="N400" s="9">
        <f>IF(ISNUMBER(C400),IF(C400&lt;2000,"before 2000",IF(C400&lt;=2014,"2000-2014","2015 onward")),"")</f>
        <v/>
      </c>
      <c r="P400" s="8" t="n"/>
    </row>
    <row r="401">
      <c r="N401" s="9">
        <f>IF(ISNUMBER(C401),IF(C401&lt;2000,"before 2000",IF(C401&lt;=2014,"2000-2014","2015 onward")),"")</f>
        <v/>
      </c>
      <c r="P401" s="8" t="n"/>
    </row>
    <row r="402">
      <c r="N402" s="9">
        <f>IF(ISNUMBER(C402),IF(C402&lt;2000,"before 2000",IF(C402&lt;=2014,"2000-2014","2015 onward")),"")</f>
        <v/>
      </c>
      <c r="P402" s="8" t="n"/>
    </row>
    <row r="403">
      <c r="N403" s="9">
        <f>IF(ISNUMBER(C403),IF(C403&lt;2000,"before 2000",IF(C403&lt;=2014,"2000-2014","2015 onward")),"")</f>
        <v/>
      </c>
      <c r="P403" s="8" t="n"/>
    </row>
    <row r="404">
      <c r="N404" s="9">
        <f>IF(ISNUMBER(C404),IF(C404&lt;2000,"before 2000",IF(C404&lt;=2014,"2000-2014","2015 onward")),"")</f>
        <v/>
      </c>
      <c r="P404" s="8" t="n"/>
    </row>
    <row r="405">
      <c r="N405" s="9">
        <f>IF(ISNUMBER(C405),IF(C405&lt;2000,"before 2000",IF(C405&lt;=2014,"2000-2014","2015 onward")),"")</f>
        <v/>
      </c>
      <c r="P405" s="8" t="n"/>
    </row>
    <row r="406">
      <c r="N406" s="9">
        <f>IF(ISNUMBER(C406),IF(C406&lt;2000,"before 2000",IF(C406&lt;=2014,"2000-2014","2015 onward")),"")</f>
        <v/>
      </c>
      <c r="P406" s="8" t="n"/>
    </row>
    <row r="407">
      <c r="N407" s="9">
        <f>IF(ISNUMBER(C407),IF(C407&lt;2000,"before 2000",IF(C407&lt;=2014,"2000-2014","2015 onward")),"")</f>
        <v/>
      </c>
      <c r="P407" s="8" t="n"/>
    </row>
    <row r="408">
      <c r="N408" s="9">
        <f>IF(ISNUMBER(C408),IF(C408&lt;2000,"before 2000",IF(C408&lt;=2014,"2000-2014","2015 onward")),"")</f>
        <v/>
      </c>
      <c r="P408" s="8" t="n"/>
    </row>
    <row r="409">
      <c r="N409" s="9">
        <f>IF(ISNUMBER(C409),IF(C409&lt;2000,"before 2000",IF(C409&lt;=2014,"2000-2014","2015 onward")),"")</f>
        <v/>
      </c>
      <c r="P409" s="8" t="n"/>
    </row>
    <row r="410">
      <c r="N410" s="9">
        <f>IF(ISNUMBER(C410),IF(C410&lt;2000,"before 2000",IF(C410&lt;=2014,"2000-2014","2015 onward")),"")</f>
        <v/>
      </c>
      <c r="P410" s="8" t="n"/>
    </row>
    <row r="411">
      <c r="N411" s="9">
        <f>IF(ISNUMBER(C411),IF(C411&lt;2000,"before 2000",IF(C411&lt;=2014,"2000-2014","2015 onward")),"")</f>
        <v/>
      </c>
      <c r="P411" s="8" t="n"/>
    </row>
    <row r="412">
      <c r="N412" s="9">
        <f>IF(ISNUMBER(C412),IF(C412&lt;2000,"before 2000",IF(C412&lt;=2014,"2000-2014","2015 onward")),"")</f>
        <v/>
      </c>
      <c r="P412" s="8" t="n"/>
    </row>
    <row r="413">
      <c r="N413" s="9">
        <f>IF(ISNUMBER(C413),IF(C413&lt;2000,"before 2000",IF(C413&lt;=2014,"2000-2014","2015 onward")),"")</f>
        <v/>
      </c>
      <c r="P413" s="8" t="n"/>
    </row>
    <row r="414">
      <c r="N414" s="9">
        <f>IF(ISNUMBER(C414),IF(C414&lt;2000,"before 2000",IF(C414&lt;=2014,"2000-2014","2015 onward")),"")</f>
        <v/>
      </c>
      <c r="P414" s="8" t="n"/>
    </row>
    <row r="415">
      <c r="N415" s="9">
        <f>IF(ISNUMBER(C415),IF(C415&lt;2000,"before 2000",IF(C415&lt;=2014,"2000-2014","2015 onward")),"")</f>
        <v/>
      </c>
      <c r="P415" s="8" t="n"/>
    </row>
    <row r="416">
      <c r="N416" s="9">
        <f>IF(ISNUMBER(C416),IF(C416&lt;2000,"before 2000",IF(C416&lt;=2014,"2000-2014","2015 onward")),"")</f>
        <v/>
      </c>
      <c r="P416" s="8" t="n"/>
    </row>
    <row r="417">
      <c r="N417" s="9">
        <f>IF(ISNUMBER(C417),IF(C417&lt;2000,"before 2000",IF(C417&lt;=2014,"2000-2014","2015 onward")),"")</f>
        <v/>
      </c>
      <c r="P417" s="8" t="n"/>
    </row>
    <row r="418">
      <c r="N418" s="9">
        <f>IF(ISNUMBER(C418),IF(C418&lt;2000,"before 2000",IF(C418&lt;=2014,"2000-2014","2015 onward")),"")</f>
        <v/>
      </c>
      <c r="P418" s="8" t="n"/>
    </row>
    <row r="419">
      <c r="N419" s="9">
        <f>IF(ISNUMBER(C419),IF(C419&lt;2000,"before 2000",IF(C419&lt;=2014,"2000-2014","2015 onward")),"")</f>
        <v/>
      </c>
      <c r="P419" s="8" t="n"/>
    </row>
    <row r="420">
      <c r="N420" s="9">
        <f>IF(ISNUMBER(C420),IF(C420&lt;2000,"before 2000",IF(C420&lt;=2014,"2000-2014","2015 onward")),"")</f>
        <v/>
      </c>
      <c r="P420" s="8" t="n"/>
    </row>
    <row r="421">
      <c r="N421" s="9">
        <f>IF(ISNUMBER(C421),IF(C421&lt;2000,"before 2000",IF(C421&lt;=2014,"2000-2014","2015 onward")),"")</f>
        <v/>
      </c>
      <c r="P421" s="8" t="n"/>
    </row>
    <row r="422">
      <c r="N422" s="9">
        <f>IF(ISNUMBER(C422),IF(C422&lt;2000,"before 2000",IF(C422&lt;=2014,"2000-2014","2015 onward")),"")</f>
        <v/>
      </c>
      <c r="P422" s="8" t="n"/>
    </row>
    <row r="423">
      <c r="N423" s="9">
        <f>IF(ISNUMBER(C423),IF(C423&lt;2000,"before 2000",IF(C423&lt;=2014,"2000-2014","2015 onward")),"")</f>
        <v/>
      </c>
      <c r="P423" s="8" t="n"/>
    </row>
    <row r="424">
      <c r="N424" s="9">
        <f>IF(ISNUMBER(C424),IF(C424&lt;2000,"before 2000",IF(C424&lt;=2014,"2000-2014","2015 onward")),"")</f>
        <v/>
      </c>
      <c r="P424" s="8" t="n"/>
    </row>
    <row r="425">
      <c r="N425" s="9">
        <f>IF(ISNUMBER(C425),IF(C425&lt;2000,"before 2000",IF(C425&lt;=2014,"2000-2014","2015 onward")),"")</f>
        <v/>
      </c>
      <c r="P425" s="8" t="n"/>
    </row>
    <row r="426">
      <c r="N426" s="9">
        <f>IF(ISNUMBER(C426),IF(C426&lt;2000,"before 2000",IF(C426&lt;=2014,"2000-2014","2015 onward")),"")</f>
        <v/>
      </c>
      <c r="P426" s="8" t="n"/>
    </row>
    <row r="427">
      <c r="N427" s="9">
        <f>IF(ISNUMBER(C427),IF(C427&lt;2000,"before 2000",IF(C427&lt;=2014,"2000-2014","2015 onward")),"")</f>
        <v/>
      </c>
      <c r="P427" s="8" t="n"/>
    </row>
    <row r="428">
      <c r="N428" s="9">
        <f>IF(ISNUMBER(C428),IF(C428&lt;2000,"before 2000",IF(C428&lt;=2014,"2000-2014","2015 onward")),"")</f>
        <v/>
      </c>
      <c r="P428" s="8" t="n"/>
    </row>
    <row r="429">
      <c r="N429" s="9">
        <f>IF(ISNUMBER(C429),IF(C429&lt;2000,"before 2000",IF(C429&lt;=2014,"2000-2014","2015 onward")),"")</f>
        <v/>
      </c>
      <c r="P429" s="8" t="n"/>
    </row>
    <row r="430">
      <c r="N430" s="9">
        <f>IF(ISNUMBER(C430),IF(C430&lt;2000,"before 2000",IF(C430&lt;=2014,"2000-2014","2015 onward")),"")</f>
        <v/>
      </c>
      <c r="P430" s="8" t="n"/>
    </row>
    <row r="431">
      <c r="N431" s="9">
        <f>IF(ISNUMBER(C431),IF(C431&lt;2000,"before 2000",IF(C431&lt;=2014,"2000-2014","2015 onward")),"")</f>
        <v/>
      </c>
      <c r="P431" s="8" t="n"/>
    </row>
    <row r="432">
      <c r="N432" s="9">
        <f>IF(ISNUMBER(C432),IF(C432&lt;2000,"before 2000",IF(C432&lt;=2014,"2000-2014","2015 onward")),"")</f>
        <v/>
      </c>
      <c r="P432" s="8" t="n"/>
    </row>
    <row r="433">
      <c r="N433" s="9">
        <f>IF(ISNUMBER(C433),IF(C433&lt;2000,"before 2000",IF(C433&lt;=2014,"2000-2014","2015 onward")),"")</f>
        <v/>
      </c>
      <c r="P433" s="8" t="n"/>
    </row>
    <row r="434">
      <c r="N434" s="9">
        <f>IF(ISNUMBER(C434),IF(C434&lt;2000,"before 2000",IF(C434&lt;=2014,"2000-2014","2015 onward")),"")</f>
        <v/>
      </c>
      <c r="P434" s="8" t="n"/>
    </row>
    <row r="435">
      <c r="N435" s="9">
        <f>IF(ISNUMBER(C435),IF(C435&lt;2000,"before 2000",IF(C435&lt;=2014,"2000-2014","2015 onward")),"")</f>
        <v/>
      </c>
      <c r="P435" s="8" t="n"/>
    </row>
    <row r="436">
      <c r="N436" s="9">
        <f>IF(ISNUMBER(C436),IF(C436&lt;2000,"before 2000",IF(C436&lt;=2014,"2000-2014","2015 onward")),"")</f>
        <v/>
      </c>
      <c r="P436" s="8" t="n"/>
    </row>
    <row r="437">
      <c r="N437" s="9">
        <f>IF(ISNUMBER(C437),IF(C437&lt;2000,"before 2000",IF(C437&lt;=2014,"2000-2014","2015 onward")),"")</f>
        <v/>
      </c>
      <c r="P437" s="8" t="n"/>
    </row>
    <row r="438">
      <c r="N438" s="9">
        <f>IF(ISNUMBER(C438),IF(C438&lt;2000,"before 2000",IF(C438&lt;=2014,"2000-2014","2015 onward")),"")</f>
        <v/>
      </c>
      <c r="P438" s="8" t="n"/>
    </row>
    <row r="439">
      <c r="N439" s="9">
        <f>IF(ISNUMBER(C439),IF(C439&lt;2000,"before 2000",IF(C439&lt;=2014,"2000-2014","2015 onward")),"")</f>
        <v/>
      </c>
      <c r="P439" s="8" t="n"/>
    </row>
    <row r="440">
      <c r="N440" s="9">
        <f>IF(ISNUMBER(C440),IF(C440&lt;2000,"before 2000",IF(C440&lt;=2014,"2000-2014","2015 onward")),"")</f>
        <v/>
      </c>
      <c r="P440" s="8" t="n"/>
    </row>
    <row r="441">
      <c r="N441" s="9">
        <f>IF(ISNUMBER(C441),IF(C441&lt;2000,"before 2000",IF(C441&lt;=2014,"2000-2014","2015 onward")),"")</f>
        <v/>
      </c>
      <c r="P441" s="8" t="n"/>
    </row>
    <row r="442">
      <c r="N442" s="9">
        <f>IF(ISNUMBER(C442),IF(C442&lt;2000,"before 2000",IF(C442&lt;=2014,"2000-2014","2015 onward")),"")</f>
        <v/>
      </c>
      <c r="P442" s="8" t="n"/>
    </row>
    <row r="443">
      <c r="N443" s="9">
        <f>IF(ISNUMBER(C443),IF(C443&lt;2000,"before 2000",IF(C443&lt;=2014,"2000-2014","2015 onward")),"")</f>
        <v/>
      </c>
      <c r="P443" s="8" t="n"/>
    </row>
    <row r="444">
      <c r="N444" s="9">
        <f>IF(ISNUMBER(C444),IF(C444&lt;2000,"before 2000",IF(C444&lt;=2014,"2000-2014","2015 onward")),"")</f>
        <v/>
      </c>
      <c r="P444" s="8" t="n"/>
    </row>
    <row r="445">
      <c r="N445" s="9">
        <f>IF(ISNUMBER(C445),IF(C445&lt;2000,"before 2000",IF(C445&lt;=2014,"2000-2014","2015 onward")),"")</f>
        <v/>
      </c>
      <c r="P445" s="8" t="n"/>
    </row>
    <row r="446">
      <c r="N446" s="9">
        <f>IF(ISNUMBER(C446),IF(C446&lt;2000,"before 2000",IF(C446&lt;=2014,"2000-2014","2015 onward")),"")</f>
        <v/>
      </c>
      <c r="P446" s="8" t="n"/>
    </row>
    <row r="447">
      <c r="N447" s="9">
        <f>IF(ISNUMBER(C447),IF(C447&lt;2000,"before 2000",IF(C447&lt;=2014,"2000-2014","2015 onward")),"")</f>
        <v/>
      </c>
      <c r="P447" s="8" t="n"/>
    </row>
    <row r="448">
      <c r="N448" s="9">
        <f>IF(ISNUMBER(C448),IF(C448&lt;2000,"before 2000",IF(C448&lt;=2014,"2000-2014","2015 onward")),"")</f>
        <v/>
      </c>
      <c r="P448" s="8" t="n"/>
    </row>
    <row r="449">
      <c r="N449" s="9">
        <f>IF(ISNUMBER(C449),IF(C449&lt;2000,"before 2000",IF(C449&lt;=2014,"2000-2014","2015 onward")),"")</f>
        <v/>
      </c>
      <c r="P449" s="8" t="n"/>
    </row>
    <row r="450">
      <c r="N450" s="9">
        <f>IF(ISNUMBER(C450),IF(C450&lt;2000,"before 2000",IF(C450&lt;=2014,"2000-2014","2015 onward")),"")</f>
        <v/>
      </c>
      <c r="P450" s="8" t="n"/>
    </row>
    <row r="451">
      <c r="N451" s="9">
        <f>IF(ISNUMBER(C451),IF(C451&lt;2000,"before 2000",IF(C451&lt;=2014,"2000-2014","2015 onward")),"")</f>
        <v/>
      </c>
      <c r="P451" s="8" t="n"/>
    </row>
    <row r="452">
      <c r="N452" s="9">
        <f>IF(ISNUMBER(C452),IF(C452&lt;2000,"before 2000",IF(C452&lt;=2014,"2000-2014","2015 onward")),"")</f>
        <v/>
      </c>
      <c r="P452" s="8" t="n"/>
    </row>
    <row r="453">
      <c r="N453" s="9">
        <f>IF(ISNUMBER(C453),IF(C453&lt;2000,"before 2000",IF(C453&lt;=2014,"2000-2014","2015 onward")),"")</f>
        <v/>
      </c>
      <c r="P453" s="8" t="n"/>
    </row>
    <row r="454">
      <c r="N454" s="9">
        <f>IF(ISNUMBER(C454),IF(C454&lt;2000,"before 2000",IF(C454&lt;=2014,"2000-2014","2015 onward")),"")</f>
        <v/>
      </c>
      <c r="P454" s="8" t="n"/>
    </row>
    <row r="455">
      <c r="N455" s="9">
        <f>IF(ISNUMBER(C455),IF(C455&lt;2000,"before 2000",IF(C455&lt;=2014,"2000-2014","2015 onward")),"")</f>
        <v/>
      </c>
      <c r="P455" s="8" t="n"/>
    </row>
    <row r="456">
      <c r="N456" s="9">
        <f>IF(ISNUMBER(C456),IF(C456&lt;2000,"before 2000",IF(C456&lt;=2014,"2000-2014","2015 onward")),"")</f>
        <v/>
      </c>
      <c r="P456" s="8" t="n"/>
    </row>
    <row r="457">
      <c r="N457" s="9">
        <f>IF(ISNUMBER(C457),IF(C457&lt;2000,"before 2000",IF(C457&lt;=2014,"2000-2014","2015 onward")),"")</f>
        <v/>
      </c>
      <c r="P457" s="8" t="n"/>
    </row>
    <row r="458">
      <c r="N458" s="9">
        <f>IF(ISNUMBER(C458),IF(C458&lt;2000,"before 2000",IF(C458&lt;=2014,"2000-2014","2015 onward")),"")</f>
        <v/>
      </c>
      <c r="P458" s="8" t="n"/>
    </row>
    <row r="459">
      <c r="N459" s="9">
        <f>IF(ISNUMBER(C459),IF(C459&lt;2000,"before 2000",IF(C459&lt;=2014,"2000-2014","2015 onward")),"")</f>
        <v/>
      </c>
      <c r="P459" s="8" t="n"/>
    </row>
    <row r="460">
      <c r="N460" s="9">
        <f>IF(ISNUMBER(C460),IF(C460&lt;2000,"before 2000",IF(C460&lt;=2014,"2000-2014","2015 onward")),"")</f>
        <v/>
      </c>
      <c r="P460" s="8" t="n"/>
    </row>
    <row r="461">
      <c r="N461" s="9">
        <f>IF(ISNUMBER(C461),IF(C461&lt;2000,"before 2000",IF(C461&lt;=2014,"2000-2014","2015 onward")),"")</f>
        <v/>
      </c>
      <c r="P461" s="8" t="n"/>
    </row>
    <row r="462">
      <c r="N462" s="9">
        <f>IF(ISNUMBER(C462),IF(C462&lt;2000,"before 2000",IF(C462&lt;=2014,"2000-2014","2015 onward")),"")</f>
        <v/>
      </c>
      <c r="P462" s="8" t="n"/>
    </row>
    <row r="463">
      <c r="N463" s="9">
        <f>IF(ISNUMBER(C463),IF(C463&lt;2000,"before 2000",IF(C463&lt;=2014,"2000-2014","2015 onward")),"")</f>
        <v/>
      </c>
      <c r="P463" s="8" t="n"/>
    </row>
    <row r="464">
      <c r="N464" s="9">
        <f>IF(ISNUMBER(C464),IF(C464&lt;2000,"before 2000",IF(C464&lt;=2014,"2000-2014","2015 onward")),"")</f>
        <v/>
      </c>
      <c r="P464" s="8" t="n"/>
    </row>
    <row r="465">
      <c r="N465" s="9">
        <f>IF(ISNUMBER(C465),IF(C465&lt;2000,"before 2000",IF(C465&lt;=2014,"2000-2014","2015 onward")),"")</f>
        <v/>
      </c>
      <c r="P465" s="8" t="n"/>
    </row>
    <row r="466">
      <c r="N466" s="9">
        <f>IF(ISNUMBER(C466),IF(C466&lt;2000,"before 2000",IF(C466&lt;=2014,"2000-2014","2015 onward")),"")</f>
        <v/>
      </c>
      <c r="P466" s="8" t="n"/>
    </row>
    <row r="467">
      <c r="N467" s="9">
        <f>IF(ISNUMBER(C467),IF(C467&lt;2000,"before 2000",IF(C467&lt;=2014,"2000-2014","2015 onward")),"")</f>
        <v/>
      </c>
      <c r="P467" s="8" t="n"/>
    </row>
    <row r="468">
      <c r="N468" s="9">
        <f>IF(ISNUMBER(C468),IF(C468&lt;2000,"before 2000",IF(C468&lt;=2014,"2000-2014","2015 onward")),"")</f>
        <v/>
      </c>
      <c r="P468" s="8" t="n"/>
    </row>
    <row r="469">
      <c r="N469" s="9">
        <f>IF(ISNUMBER(C469),IF(C469&lt;2000,"before 2000",IF(C469&lt;=2014,"2000-2014","2015 onward")),"")</f>
        <v/>
      </c>
      <c r="P469" s="8" t="n"/>
    </row>
    <row r="470">
      <c r="N470" s="9">
        <f>IF(ISNUMBER(C470),IF(C470&lt;2000,"before 2000",IF(C470&lt;=2014,"2000-2014","2015 onward")),"")</f>
        <v/>
      </c>
      <c r="P470" s="8" t="n"/>
    </row>
    <row r="471">
      <c r="N471" s="9">
        <f>IF(ISNUMBER(C471),IF(C471&lt;2000,"before 2000",IF(C471&lt;=2014,"2000-2014","2015 onward")),"")</f>
        <v/>
      </c>
      <c r="P471" s="8" t="n"/>
    </row>
    <row r="472">
      <c r="N472" s="9">
        <f>IF(ISNUMBER(C472),IF(C472&lt;2000,"before 2000",IF(C472&lt;=2014,"2000-2014","2015 onward")),"")</f>
        <v/>
      </c>
      <c r="P472" s="8" t="n"/>
    </row>
    <row r="473">
      <c r="N473" s="9">
        <f>IF(ISNUMBER(C473),IF(C473&lt;2000,"before 2000",IF(C473&lt;=2014,"2000-2014","2015 onward")),"")</f>
        <v/>
      </c>
      <c r="P473" s="8" t="n"/>
    </row>
    <row r="474">
      <c r="N474" s="9">
        <f>IF(ISNUMBER(C474),IF(C474&lt;2000,"before 2000",IF(C474&lt;=2014,"2000-2014","2015 onward")),"")</f>
        <v/>
      </c>
      <c r="P474" s="8" t="n"/>
    </row>
    <row r="475">
      <c r="N475" s="9">
        <f>IF(ISNUMBER(C475),IF(C475&lt;2000,"before 2000",IF(C475&lt;=2014,"2000-2014","2015 onward")),"")</f>
        <v/>
      </c>
      <c r="P475" s="8" t="n"/>
    </row>
    <row r="476">
      <c r="N476" s="9">
        <f>IF(ISNUMBER(C476),IF(C476&lt;2000,"before 2000",IF(C476&lt;=2014,"2000-2014","2015 onward")),"")</f>
        <v/>
      </c>
      <c r="P476" s="8" t="n"/>
    </row>
    <row r="477">
      <c r="N477" s="9">
        <f>IF(ISNUMBER(C477),IF(C477&lt;2000,"before 2000",IF(C477&lt;=2014,"2000-2014","2015 onward")),"")</f>
        <v/>
      </c>
      <c r="P477" s="8" t="n"/>
    </row>
    <row r="478">
      <c r="N478" s="9">
        <f>IF(ISNUMBER(C478),IF(C478&lt;2000,"before 2000",IF(C478&lt;=2014,"2000-2014","2015 onward")),"")</f>
        <v/>
      </c>
      <c r="P478" s="8" t="n"/>
    </row>
    <row r="479">
      <c r="N479" s="9">
        <f>IF(ISNUMBER(C479),IF(C479&lt;2000,"before 2000",IF(C479&lt;=2014,"2000-2014","2015 onward")),"")</f>
        <v/>
      </c>
      <c r="P479" s="8" t="n"/>
    </row>
    <row r="480">
      <c r="N480" s="9">
        <f>IF(ISNUMBER(C480),IF(C480&lt;2000,"before 2000",IF(C480&lt;=2014,"2000-2014","2015 onward")),"")</f>
        <v/>
      </c>
      <c r="P480" s="8" t="n"/>
    </row>
    <row r="481">
      <c r="N481" s="9">
        <f>IF(ISNUMBER(C481),IF(C481&lt;2000,"before 2000",IF(C481&lt;=2014,"2000-2014","2015 onward")),"")</f>
        <v/>
      </c>
      <c r="P481" s="8" t="n"/>
    </row>
    <row r="482">
      <c r="N482" s="9">
        <f>IF(ISNUMBER(C482),IF(C482&lt;2000,"before 2000",IF(C482&lt;=2014,"2000-2014","2015 onward")),"")</f>
        <v/>
      </c>
      <c r="P482" s="8" t="n"/>
    </row>
    <row r="483">
      <c r="N483" s="9">
        <f>IF(ISNUMBER(C483),IF(C483&lt;2000,"before 2000",IF(C483&lt;=2014,"2000-2014","2015 onward")),"")</f>
        <v/>
      </c>
      <c r="P483" s="8" t="n"/>
    </row>
    <row r="484">
      <c r="N484" s="9">
        <f>IF(ISNUMBER(C484),IF(C484&lt;2000,"before 2000",IF(C484&lt;=2014,"2000-2014","2015 onward")),"")</f>
        <v/>
      </c>
      <c r="P484" s="8" t="n"/>
    </row>
    <row r="485">
      <c r="N485" s="9">
        <f>IF(ISNUMBER(C485),IF(C485&lt;2000,"before 2000",IF(C485&lt;=2014,"2000-2014","2015 onward")),"")</f>
        <v/>
      </c>
      <c r="P485" s="8" t="n"/>
    </row>
    <row r="486">
      <c r="N486" s="9">
        <f>IF(ISNUMBER(C486),IF(C486&lt;2000,"before 2000",IF(C486&lt;=2014,"2000-2014","2015 onward")),"")</f>
        <v/>
      </c>
      <c r="P486" s="8" t="n"/>
    </row>
    <row r="487">
      <c r="N487" s="9">
        <f>IF(ISNUMBER(C487),IF(C487&lt;2000,"before 2000",IF(C487&lt;=2014,"2000-2014","2015 onward")),"")</f>
        <v/>
      </c>
      <c r="P487" s="8" t="n"/>
    </row>
    <row r="488">
      <c r="N488" s="9">
        <f>IF(ISNUMBER(C488),IF(C488&lt;2000,"before 2000",IF(C488&lt;=2014,"2000-2014","2015 onward")),"")</f>
        <v/>
      </c>
      <c r="P488" s="8" t="n"/>
    </row>
    <row r="489">
      <c r="N489" s="9">
        <f>IF(ISNUMBER(C489),IF(C489&lt;2000,"before 2000",IF(C489&lt;=2014,"2000-2014","2015 onward")),"")</f>
        <v/>
      </c>
      <c r="P489" s="8" t="n"/>
    </row>
    <row r="490">
      <c r="N490" s="9">
        <f>IF(ISNUMBER(C490),IF(C490&lt;2000,"before 2000",IF(C490&lt;=2014,"2000-2014","2015 onward")),"")</f>
        <v/>
      </c>
      <c r="P490" s="8" t="n"/>
    </row>
    <row r="491">
      <c r="N491" s="9">
        <f>IF(ISNUMBER(C491),IF(C491&lt;2000,"before 2000",IF(C491&lt;=2014,"2000-2014","2015 onward")),"")</f>
        <v/>
      </c>
      <c r="P491" s="8" t="n"/>
    </row>
    <row r="492">
      <c r="N492" s="9">
        <f>IF(ISNUMBER(C492),IF(C492&lt;2000,"before 2000",IF(C492&lt;=2014,"2000-2014","2015 onward")),"")</f>
        <v/>
      </c>
      <c r="P492" s="8" t="n"/>
    </row>
    <row r="493">
      <c r="N493" s="9">
        <f>IF(ISNUMBER(C493),IF(C493&lt;2000,"before 2000",IF(C493&lt;=2014,"2000-2014","2015 onward")),"")</f>
        <v/>
      </c>
      <c r="P493" s="8" t="n"/>
    </row>
    <row r="494">
      <c r="N494" s="9">
        <f>IF(ISNUMBER(C494),IF(C494&lt;2000,"before 2000",IF(C494&lt;=2014,"2000-2014","2015 onward")),"")</f>
        <v/>
      </c>
      <c r="P494" s="8" t="n"/>
    </row>
    <row r="495">
      <c r="N495" s="9">
        <f>IF(ISNUMBER(C495),IF(C495&lt;2000,"before 2000",IF(C495&lt;=2014,"2000-2014","2015 onward")),"")</f>
        <v/>
      </c>
      <c r="P495" s="8" t="n"/>
    </row>
    <row r="496">
      <c r="N496" s="9">
        <f>IF(ISNUMBER(C496),IF(C496&lt;2000,"before 2000",IF(C496&lt;=2014,"2000-2014","2015 onward")),"")</f>
        <v/>
      </c>
      <c r="P496" s="8" t="n"/>
    </row>
    <row r="497">
      <c r="N497" s="9">
        <f>IF(ISNUMBER(C497),IF(C497&lt;2000,"before 2000",IF(C497&lt;=2014,"2000-2014","2015 onward")),"")</f>
        <v/>
      </c>
      <c r="P497" s="8" t="n"/>
    </row>
    <row r="498">
      <c r="N498" s="9">
        <f>IF(ISNUMBER(C498),IF(C498&lt;2000,"before 2000",IF(C498&lt;=2014,"2000-2014","2015 onward")),"")</f>
        <v/>
      </c>
      <c r="P498" s="8" t="n"/>
    </row>
    <row r="499">
      <c r="N499" s="9">
        <f>IF(ISNUMBER(C499),IF(C499&lt;2000,"before 2000",IF(C499&lt;=2014,"2000-2014","2015 onward")),"")</f>
        <v/>
      </c>
      <c r="P499" s="8" t="n"/>
    </row>
    <row r="500">
      <c r="N500" s="9">
        <f>IF(ISNUMBER(C500),IF(C500&lt;2000,"before 2000",IF(C500&lt;=2014,"2000-2014","2015 onward")),"")</f>
        <v/>
      </c>
      <c r="P500" s="8" t="n"/>
    </row>
    <row r="501">
      <c r="N501" s="9">
        <f>IF(ISNUMBER(C501),IF(C501&lt;2000,"before 2000",IF(C501&lt;=2014,"2000-2014","2015 onward")),"")</f>
        <v/>
      </c>
      <c r="P501" s="8" t="n"/>
    </row>
    <row r="502">
      <c r="N502" s="9">
        <f>IF(ISNUMBER(C502),IF(C502&lt;2000,"before 2000",IF(C502&lt;=2014,"2000-2014","2015 onward")),"")</f>
        <v/>
      </c>
      <c r="P502" s="8" t="n"/>
    </row>
    <row r="503">
      <c r="N503" s="9">
        <f>IF(ISNUMBER(C503),IF(C503&lt;2000,"before 2000",IF(C503&lt;=2014,"2000-2014","2015 onward")),"")</f>
        <v/>
      </c>
      <c r="P503" s="8" t="n"/>
    </row>
    <row r="504">
      <c r="N504" s="9">
        <f>IF(ISNUMBER(C504),IF(C504&lt;2000,"before 2000",IF(C504&lt;=2014,"2000-2014","2015 onward")),"")</f>
        <v/>
      </c>
      <c r="P504" s="8" t="n"/>
    </row>
    <row r="505">
      <c r="N505" s="9">
        <f>IF(ISNUMBER(C505),IF(C505&lt;2000,"before 2000",IF(C505&lt;=2014,"2000-2014","2015 onward")),"")</f>
        <v/>
      </c>
      <c r="P505" s="8" t="n"/>
    </row>
    <row r="506">
      <c r="N506" s="9">
        <f>IF(ISNUMBER(C506),IF(C506&lt;2000,"before 2000",IF(C506&lt;=2014,"2000-2014","2015 onward")),"")</f>
        <v/>
      </c>
      <c r="P506" s="8" t="n"/>
    </row>
    <row r="507">
      <c r="N507" s="9">
        <f>IF(ISNUMBER(C507),IF(C507&lt;2000,"before 2000",IF(C507&lt;=2014,"2000-2014","2015 onward")),"")</f>
        <v/>
      </c>
      <c r="P507" s="8" t="n"/>
    </row>
    <row r="508">
      <c r="N508" s="9">
        <f>IF(ISNUMBER(C508),IF(C508&lt;2000,"before 2000",IF(C508&lt;=2014,"2000-2014","2015 onward")),"")</f>
        <v/>
      </c>
      <c r="P508" s="8" t="n"/>
    </row>
    <row r="509">
      <c r="N509" s="9">
        <f>IF(ISNUMBER(C509),IF(C509&lt;2000,"before 2000",IF(C509&lt;=2014,"2000-2014","2015 onward")),"")</f>
        <v/>
      </c>
      <c r="P509" s="8" t="n"/>
    </row>
    <row r="510">
      <c r="N510" s="9">
        <f>IF(ISNUMBER(C510),IF(C510&lt;2000,"before 2000",IF(C510&lt;=2014,"2000-2014","2015 onward")),"")</f>
        <v/>
      </c>
      <c r="P510" s="8" t="n"/>
    </row>
    <row r="511">
      <c r="N511" s="9">
        <f>IF(ISNUMBER(C511),IF(C511&lt;2000,"before 2000",IF(C511&lt;=2014,"2000-2014","2015 onward")),"")</f>
        <v/>
      </c>
      <c r="P511" s="8" t="n"/>
    </row>
    <row r="512">
      <c r="N512" s="9">
        <f>IF(ISNUMBER(C512),IF(C512&lt;2000,"before 2000",IF(C512&lt;=2014,"2000-2014","2015 onward")),"")</f>
        <v/>
      </c>
      <c r="P512" s="8" t="n"/>
    </row>
    <row r="513">
      <c r="N513" s="9">
        <f>IF(ISNUMBER(C513),IF(C513&lt;2000,"before 2000",IF(C513&lt;=2014,"2000-2014","2015 onward")),"")</f>
        <v/>
      </c>
      <c r="P513" s="8" t="n"/>
    </row>
    <row r="514">
      <c r="N514" s="9">
        <f>IF(ISNUMBER(C514),IF(C514&lt;2000,"before 2000",IF(C514&lt;=2014,"2000-2014","2015 onward")),"")</f>
        <v/>
      </c>
      <c r="P514" s="8" t="n"/>
    </row>
    <row r="515">
      <c r="N515" s="9">
        <f>IF(ISNUMBER(C515),IF(C515&lt;2000,"before 2000",IF(C515&lt;=2014,"2000-2014","2015 onward")),"")</f>
        <v/>
      </c>
      <c r="P515" s="8" t="n"/>
    </row>
    <row r="516">
      <c r="N516" s="9">
        <f>IF(ISNUMBER(C516),IF(C516&lt;2000,"before 2000",IF(C516&lt;=2014,"2000-2014","2015 onward")),"")</f>
        <v/>
      </c>
      <c r="P516" s="8" t="n"/>
    </row>
    <row r="517">
      <c r="N517" s="9">
        <f>IF(ISNUMBER(C517),IF(C517&lt;2000,"before 2000",IF(C517&lt;=2014,"2000-2014","2015 onward")),"")</f>
        <v/>
      </c>
      <c r="P517" s="8" t="n"/>
    </row>
    <row r="518">
      <c r="N518" s="9">
        <f>IF(ISNUMBER(C518),IF(C518&lt;2000,"before 2000",IF(C518&lt;=2014,"2000-2014","2015 onward")),"")</f>
        <v/>
      </c>
      <c r="P518" s="8" t="n"/>
    </row>
    <row r="519">
      <c r="N519" s="9">
        <f>IF(ISNUMBER(C519),IF(C519&lt;2000,"before 2000",IF(C519&lt;=2014,"2000-2014","2015 onward")),"")</f>
        <v/>
      </c>
      <c r="P519" s="8" t="n"/>
    </row>
    <row r="520">
      <c r="N520" s="9">
        <f>IF(ISNUMBER(C520),IF(C520&lt;2000,"before 2000",IF(C520&lt;=2014,"2000-2014","2015 onward")),"")</f>
        <v/>
      </c>
      <c r="P520" s="8" t="n"/>
    </row>
    <row r="521">
      <c r="N521" s="9">
        <f>IF(ISNUMBER(C521),IF(C521&lt;2000,"before 2000",IF(C521&lt;=2014,"2000-2014","2015 onward")),"")</f>
        <v/>
      </c>
      <c r="P521" s="8" t="n"/>
    </row>
    <row r="522">
      <c r="N522" s="9">
        <f>IF(ISNUMBER(C522),IF(C522&lt;2000,"before 2000",IF(C522&lt;=2014,"2000-2014","2015 onward")),"")</f>
        <v/>
      </c>
      <c r="P522" s="8" t="n"/>
    </row>
    <row r="523">
      <c r="N523" s="9">
        <f>IF(ISNUMBER(C523),IF(C523&lt;2000,"before 2000",IF(C523&lt;=2014,"2000-2014","2015 onward")),"")</f>
        <v/>
      </c>
      <c r="P523" s="8" t="n"/>
    </row>
    <row r="524">
      <c r="N524" s="9">
        <f>IF(ISNUMBER(C524),IF(C524&lt;2000,"before 2000",IF(C524&lt;=2014,"2000-2014","2015 onward")),"")</f>
        <v/>
      </c>
      <c r="P524" s="8" t="n"/>
    </row>
    <row r="525">
      <c r="N525" s="9">
        <f>IF(ISNUMBER(C525),IF(C525&lt;2000,"before 2000",IF(C525&lt;=2014,"2000-2014","2015 onward")),"")</f>
        <v/>
      </c>
      <c r="P525" s="8" t="n"/>
    </row>
    <row r="526">
      <c r="N526" s="9">
        <f>IF(ISNUMBER(C526),IF(C526&lt;2000,"before 2000",IF(C526&lt;=2014,"2000-2014","2015 onward")),"")</f>
        <v/>
      </c>
      <c r="P526" s="8" t="n"/>
    </row>
    <row r="527">
      <c r="N527" s="9">
        <f>IF(ISNUMBER(C527),IF(C527&lt;2000,"before 2000",IF(C527&lt;=2014,"2000-2014","2015 onward")),"")</f>
        <v/>
      </c>
      <c r="P527" s="8" t="n"/>
    </row>
    <row r="528">
      <c r="N528" s="9">
        <f>IF(ISNUMBER(C528),IF(C528&lt;2000,"before 2000",IF(C528&lt;=2014,"2000-2014","2015 onward")),"")</f>
        <v/>
      </c>
      <c r="P528" s="8" t="n"/>
    </row>
    <row r="529">
      <c r="N529" s="9">
        <f>IF(ISNUMBER(C529),IF(C529&lt;2000,"before 2000",IF(C529&lt;=2014,"2000-2014","2015 onward")),"")</f>
        <v/>
      </c>
      <c r="P529" s="8" t="n"/>
    </row>
    <row r="530">
      <c r="N530" s="9">
        <f>IF(ISNUMBER(C530),IF(C530&lt;2000,"before 2000",IF(C530&lt;=2014,"2000-2014","2015 onward")),"")</f>
        <v/>
      </c>
      <c r="P530" s="8" t="n"/>
    </row>
    <row r="531">
      <c r="N531" s="9">
        <f>IF(ISNUMBER(C531),IF(C531&lt;2000,"before 2000",IF(C531&lt;=2014,"2000-2014","2015 onward")),"")</f>
        <v/>
      </c>
      <c r="P531" s="8" t="n"/>
    </row>
    <row r="532">
      <c r="N532" s="9">
        <f>IF(ISNUMBER(C532),IF(C532&lt;2000,"before 2000",IF(C532&lt;=2014,"2000-2014","2015 onward")),"")</f>
        <v/>
      </c>
      <c r="P532" s="8" t="n"/>
    </row>
    <row r="533">
      <c r="N533" s="9">
        <f>IF(ISNUMBER(C533),IF(C533&lt;2000,"before 2000",IF(C533&lt;=2014,"2000-2014","2015 onward")),"")</f>
        <v/>
      </c>
      <c r="P533" s="8" t="n"/>
    </row>
    <row r="534">
      <c r="N534" s="9">
        <f>IF(ISNUMBER(C534),IF(C534&lt;2000,"before 2000",IF(C534&lt;=2014,"2000-2014","2015 onward")),"")</f>
        <v/>
      </c>
      <c r="P534" s="8" t="n"/>
    </row>
    <row r="535">
      <c r="N535" s="9">
        <f>IF(ISNUMBER(C535),IF(C535&lt;2000,"before 2000",IF(C535&lt;=2014,"2000-2014","2015 onward")),"")</f>
        <v/>
      </c>
      <c r="P535" s="8" t="n"/>
    </row>
    <row r="536">
      <c r="N536" s="9">
        <f>IF(ISNUMBER(C536),IF(C536&lt;2000,"before 2000",IF(C536&lt;=2014,"2000-2014","2015 onward")),"")</f>
        <v/>
      </c>
      <c r="P536" s="8" t="n"/>
    </row>
    <row r="537">
      <c r="N537" s="9">
        <f>IF(ISNUMBER(C537),IF(C537&lt;2000,"before 2000",IF(C537&lt;=2014,"2000-2014","2015 onward")),"")</f>
        <v/>
      </c>
      <c r="P537" s="8" t="n"/>
    </row>
    <row r="538">
      <c r="N538" s="9">
        <f>IF(ISNUMBER(C538),IF(C538&lt;2000,"before 2000",IF(C538&lt;=2014,"2000-2014","2015 onward")),"")</f>
        <v/>
      </c>
      <c r="P538" s="8" t="n"/>
    </row>
    <row r="539">
      <c r="N539" s="9">
        <f>IF(ISNUMBER(C539),IF(C539&lt;2000,"before 2000",IF(C539&lt;=2014,"2000-2014","2015 onward")),"")</f>
        <v/>
      </c>
      <c r="P539" s="8" t="n"/>
    </row>
    <row r="540">
      <c r="N540" s="9">
        <f>IF(ISNUMBER(C540),IF(C540&lt;2000,"before 2000",IF(C540&lt;=2014,"2000-2014","2015 onward")),"")</f>
        <v/>
      </c>
      <c r="P540" s="8" t="n"/>
    </row>
    <row r="541">
      <c r="N541" s="9">
        <f>IF(ISNUMBER(C541),IF(C541&lt;2000,"before 2000",IF(C541&lt;=2014,"2000-2014","2015 onward")),"")</f>
        <v/>
      </c>
      <c r="P541" s="8" t="n"/>
    </row>
    <row r="542">
      <c r="N542" s="9">
        <f>IF(ISNUMBER(C542),IF(C542&lt;2000,"before 2000",IF(C542&lt;=2014,"2000-2014","2015 onward")),"")</f>
        <v/>
      </c>
      <c r="P542" s="8" t="n"/>
    </row>
    <row r="543">
      <c r="N543" s="9">
        <f>IF(ISNUMBER(C543),IF(C543&lt;2000,"before 2000",IF(C543&lt;=2014,"2000-2014","2015 onward")),"")</f>
        <v/>
      </c>
      <c r="P543" s="8" t="n"/>
    </row>
    <row r="544">
      <c r="N544" s="9">
        <f>IF(ISNUMBER(C544),IF(C544&lt;2000,"before 2000",IF(C544&lt;=2014,"2000-2014","2015 onward")),"")</f>
        <v/>
      </c>
      <c r="P544" s="8" t="n"/>
    </row>
    <row r="545">
      <c r="N545" s="9">
        <f>IF(ISNUMBER(C545),IF(C545&lt;2000,"before 2000",IF(C545&lt;=2014,"2000-2014","2015 onward")),"")</f>
        <v/>
      </c>
      <c r="P545" s="8" t="n"/>
    </row>
    <row r="546">
      <c r="N546" s="9">
        <f>IF(ISNUMBER(C546),IF(C546&lt;2000,"before 2000",IF(C546&lt;=2014,"2000-2014","2015 onward")),"")</f>
        <v/>
      </c>
      <c r="P546" s="8" t="n"/>
    </row>
    <row r="547">
      <c r="N547" s="9">
        <f>IF(ISNUMBER(C547),IF(C547&lt;2000,"before 2000",IF(C547&lt;=2014,"2000-2014","2015 onward")),"")</f>
        <v/>
      </c>
      <c r="P547" s="8" t="n"/>
    </row>
    <row r="548">
      <c r="N548" s="9">
        <f>IF(ISNUMBER(C548),IF(C548&lt;2000,"before 2000",IF(C548&lt;=2014,"2000-2014","2015 onward")),"")</f>
        <v/>
      </c>
      <c r="P548" s="8" t="n"/>
    </row>
    <row r="549">
      <c r="N549" s="9">
        <f>IF(ISNUMBER(C549),IF(C549&lt;2000,"before 2000",IF(C549&lt;=2014,"2000-2014","2015 onward")),"")</f>
        <v/>
      </c>
      <c r="P549" s="8" t="n"/>
    </row>
    <row r="550">
      <c r="N550" s="9">
        <f>IF(ISNUMBER(C550),IF(C550&lt;2000,"before 2000",IF(C550&lt;=2014,"2000-2014","2015 onward")),"")</f>
        <v/>
      </c>
      <c r="P550" s="8" t="n"/>
    </row>
    <row r="551">
      <c r="N551" s="9">
        <f>IF(ISNUMBER(C551),IF(C551&lt;2000,"before 2000",IF(C551&lt;=2014,"2000-2014","2015 onward")),"")</f>
        <v/>
      </c>
      <c r="P551" s="8" t="n"/>
    </row>
    <row r="552">
      <c r="N552" s="9">
        <f>IF(ISNUMBER(C552),IF(C552&lt;2000,"before 2000",IF(C552&lt;=2014,"2000-2014","2015 onward")),"")</f>
        <v/>
      </c>
      <c r="P552" s="8" t="n"/>
    </row>
    <row r="553">
      <c r="N553" s="9">
        <f>IF(ISNUMBER(C553),IF(C553&lt;2000,"before 2000",IF(C553&lt;=2014,"2000-2014","2015 onward")),"")</f>
        <v/>
      </c>
      <c r="P553" s="8" t="n"/>
    </row>
    <row r="554">
      <c r="N554" s="9">
        <f>IF(ISNUMBER(C554),IF(C554&lt;2000,"before 2000",IF(C554&lt;=2014,"2000-2014","2015 onward")),"")</f>
        <v/>
      </c>
      <c r="P554" s="8" t="n"/>
    </row>
    <row r="555">
      <c r="N555" s="9">
        <f>IF(ISNUMBER(C555),IF(C555&lt;2000,"before 2000",IF(C555&lt;=2014,"2000-2014","2015 onward")),"")</f>
        <v/>
      </c>
      <c r="P555" s="8" t="n"/>
    </row>
    <row r="556">
      <c r="N556" s="9">
        <f>IF(ISNUMBER(C556),IF(C556&lt;2000,"before 2000",IF(C556&lt;=2014,"2000-2014","2015 onward")),"")</f>
        <v/>
      </c>
      <c r="P556" s="8" t="n"/>
    </row>
    <row r="557">
      <c r="N557" s="9">
        <f>IF(ISNUMBER(C557),IF(C557&lt;2000,"before 2000",IF(C557&lt;=2014,"2000-2014","2015 onward")),"")</f>
        <v/>
      </c>
      <c r="P557" s="8" t="n"/>
    </row>
    <row r="558">
      <c r="N558" s="9">
        <f>IF(ISNUMBER(C558),IF(C558&lt;2000,"before 2000",IF(C558&lt;=2014,"2000-2014","2015 onward")),"")</f>
        <v/>
      </c>
      <c r="P558" s="8" t="n"/>
    </row>
    <row r="559">
      <c r="N559" s="9">
        <f>IF(ISNUMBER(C559),IF(C559&lt;2000,"before 2000",IF(C559&lt;=2014,"2000-2014","2015 onward")),"")</f>
        <v/>
      </c>
      <c r="P559" s="8" t="n"/>
    </row>
    <row r="560">
      <c r="N560" s="9">
        <f>IF(ISNUMBER(C560),IF(C560&lt;2000,"before 2000",IF(C560&lt;=2014,"2000-2014","2015 onward")),"")</f>
        <v/>
      </c>
      <c r="P560" s="8" t="n"/>
    </row>
    <row r="561">
      <c r="N561" s="9">
        <f>IF(ISNUMBER(C561),IF(C561&lt;2000,"before 2000",IF(C561&lt;=2014,"2000-2014","2015 onward")),"")</f>
        <v/>
      </c>
      <c r="P561" s="8" t="n"/>
    </row>
    <row r="562">
      <c r="N562" s="9">
        <f>IF(ISNUMBER(C562),IF(C562&lt;2000,"before 2000",IF(C562&lt;=2014,"2000-2014","2015 onward")),"")</f>
        <v/>
      </c>
      <c r="P562" s="8" t="n"/>
    </row>
    <row r="563">
      <c r="N563" s="9">
        <f>IF(ISNUMBER(C563),IF(C563&lt;2000,"before 2000",IF(C563&lt;=2014,"2000-2014","2015 onward")),"")</f>
        <v/>
      </c>
      <c r="P563" s="8" t="n"/>
    </row>
    <row r="564">
      <c r="N564" s="9">
        <f>IF(ISNUMBER(C564),IF(C564&lt;2000,"before 2000",IF(C564&lt;=2014,"2000-2014","2015 onward")),"")</f>
        <v/>
      </c>
      <c r="P564" s="8" t="n"/>
    </row>
    <row r="565">
      <c r="N565" s="9">
        <f>IF(ISNUMBER(C565),IF(C565&lt;2000,"before 2000",IF(C565&lt;=2014,"2000-2014","2015 onward")),"")</f>
        <v/>
      </c>
      <c r="P565" s="8" t="n"/>
    </row>
    <row r="566">
      <c r="N566" s="9">
        <f>IF(ISNUMBER(C566),IF(C566&lt;2000,"before 2000",IF(C566&lt;=2014,"2000-2014","2015 onward")),"")</f>
        <v/>
      </c>
      <c r="P566" s="8" t="n"/>
    </row>
    <row r="567">
      <c r="N567" s="9">
        <f>IF(ISNUMBER(C567),IF(C567&lt;2000,"before 2000",IF(C567&lt;=2014,"2000-2014","2015 onward")),"")</f>
        <v/>
      </c>
      <c r="P567" s="8" t="n"/>
    </row>
    <row r="568">
      <c r="N568" s="9">
        <f>IF(ISNUMBER(C568),IF(C568&lt;2000,"before 2000",IF(C568&lt;=2014,"2000-2014","2015 onward")),"")</f>
        <v/>
      </c>
      <c r="P568" s="8" t="n"/>
    </row>
    <row r="569">
      <c r="N569" s="9">
        <f>IF(ISNUMBER(C569),IF(C569&lt;2000,"before 2000",IF(C569&lt;=2014,"2000-2014","2015 onward")),"")</f>
        <v/>
      </c>
      <c r="P569" s="8" t="n"/>
    </row>
    <row r="570">
      <c r="N570" s="9">
        <f>IF(ISNUMBER(C570),IF(C570&lt;2000,"before 2000",IF(C570&lt;=2014,"2000-2014","2015 onward")),"")</f>
        <v/>
      </c>
      <c r="P570" s="8" t="n"/>
    </row>
    <row r="571">
      <c r="N571" s="9">
        <f>IF(ISNUMBER(C571),IF(C571&lt;2000,"before 2000",IF(C571&lt;=2014,"2000-2014","2015 onward")),"")</f>
        <v/>
      </c>
      <c r="P571" s="8" t="n"/>
    </row>
    <row r="572">
      <c r="N572" s="9">
        <f>IF(ISNUMBER(C572),IF(C572&lt;2000,"before 2000",IF(C572&lt;=2014,"2000-2014","2015 onward")),"")</f>
        <v/>
      </c>
      <c r="P572" s="8" t="n"/>
    </row>
    <row r="573">
      <c r="N573" s="9">
        <f>IF(ISNUMBER(C573),IF(C573&lt;2000,"before 2000",IF(C573&lt;=2014,"2000-2014","2015 onward")),"")</f>
        <v/>
      </c>
      <c r="P573" s="8" t="n"/>
    </row>
    <row r="574">
      <c r="N574" s="9">
        <f>IF(ISNUMBER(C574),IF(C574&lt;2000,"before 2000",IF(C574&lt;=2014,"2000-2014","2015 onward")),"")</f>
        <v/>
      </c>
      <c r="P574" s="8" t="n"/>
    </row>
    <row r="575">
      <c r="N575" s="9">
        <f>IF(ISNUMBER(C575),IF(C575&lt;2000,"before 2000",IF(C575&lt;=2014,"2000-2014","2015 onward")),"")</f>
        <v/>
      </c>
      <c r="P575" s="8" t="n"/>
    </row>
    <row r="576">
      <c r="N576" s="9">
        <f>IF(ISNUMBER(C576),IF(C576&lt;2000,"before 2000",IF(C576&lt;=2014,"2000-2014","2015 onward")),"")</f>
        <v/>
      </c>
      <c r="P576" s="8" t="n"/>
    </row>
    <row r="577">
      <c r="N577" s="9">
        <f>IF(ISNUMBER(C577),IF(C577&lt;2000,"before 2000",IF(C577&lt;=2014,"2000-2014","2015 onward")),"")</f>
        <v/>
      </c>
      <c r="P577" s="8" t="n"/>
    </row>
    <row r="578">
      <c r="N578" s="9">
        <f>IF(ISNUMBER(C578),IF(C578&lt;2000,"before 2000",IF(C578&lt;=2014,"2000-2014","2015 onward")),"")</f>
        <v/>
      </c>
      <c r="P578" s="8" t="n"/>
    </row>
    <row r="579">
      <c r="N579" s="9">
        <f>IF(ISNUMBER(C579),IF(C579&lt;2000,"before 2000",IF(C579&lt;=2014,"2000-2014","2015 onward")),"")</f>
        <v/>
      </c>
      <c r="P579" s="8" t="n"/>
    </row>
    <row r="580">
      <c r="N580" s="9">
        <f>IF(ISNUMBER(C580),IF(C580&lt;2000,"before 2000",IF(C580&lt;=2014,"2000-2014","2015 onward")),"")</f>
        <v/>
      </c>
      <c r="P580" s="8" t="n"/>
    </row>
    <row r="581">
      <c r="N581" s="9">
        <f>IF(ISNUMBER(C581),IF(C581&lt;2000,"before 2000",IF(C581&lt;=2014,"2000-2014","2015 onward")),"")</f>
        <v/>
      </c>
      <c r="P581" s="8" t="n"/>
    </row>
    <row r="582">
      <c r="N582" s="9">
        <f>IF(ISNUMBER(C582),IF(C582&lt;2000,"before 2000",IF(C582&lt;=2014,"2000-2014","2015 onward")),"")</f>
        <v/>
      </c>
      <c r="P582" s="8" t="n"/>
    </row>
    <row r="583">
      <c r="N583" s="9">
        <f>IF(ISNUMBER(C583),IF(C583&lt;2000,"before 2000",IF(C583&lt;=2014,"2000-2014","2015 onward")),"")</f>
        <v/>
      </c>
      <c r="P583" s="8" t="n"/>
    </row>
    <row r="584">
      <c r="N584" s="9">
        <f>IF(ISNUMBER(C584),IF(C584&lt;2000,"before 2000",IF(C584&lt;=2014,"2000-2014","2015 onward")),"")</f>
        <v/>
      </c>
      <c r="P584" s="8" t="n"/>
    </row>
    <row r="585">
      <c r="N585" s="9">
        <f>IF(ISNUMBER(C585),IF(C585&lt;2000,"before 2000",IF(C585&lt;=2014,"2000-2014","2015 onward")),"")</f>
        <v/>
      </c>
      <c r="P585" s="8" t="n"/>
    </row>
    <row r="586">
      <c r="N586" s="9">
        <f>IF(ISNUMBER(C586),IF(C586&lt;2000,"before 2000",IF(C586&lt;=2014,"2000-2014","2015 onward")),"")</f>
        <v/>
      </c>
      <c r="P586" s="8" t="n"/>
    </row>
    <row r="587">
      <c r="N587" s="9">
        <f>IF(ISNUMBER(C587),IF(C587&lt;2000,"before 2000",IF(C587&lt;=2014,"2000-2014","2015 onward")),"")</f>
        <v/>
      </c>
      <c r="P587" s="8" t="n"/>
    </row>
    <row r="588">
      <c r="N588" s="9">
        <f>IF(ISNUMBER(C588),IF(C588&lt;2000,"before 2000",IF(C588&lt;=2014,"2000-2014","2015 onward")),"")</f>
        <v/>
      </c>
      <c r="P588" s="8" t="n"/>
    </row>
    <row r="589">
      <c r="N589" s="9">
        <f>IF(ISNUMBER(C589),IF(C589&lt;2000,"before 2000",IF(C589&lt;=2014,"2000-2014","2015 onward")),"")</f>
        <v/>
      </c>
      <c r="P589" s="8" t="n"/>
    </row>
    <row r="590">
      <c r="N590" s="9">
        <f>IF(ISNUMBER(C590),IF(C590&lt;2000,"before 2000",IF(C590&lt;=2014,"2000-2014","2015 onward")),"")</f>
        <v/>
      </c>
      <c r="P590" s="8" t="n"/>
    </row>
    <row r="591">
      <c r="N591" s="9">
        <f>IF(ISNUMBER(C591),IF(C591&lt;2000,"before 2000",IF(C591&lt;=2014,"2000-2014","2015 onward")),"")</f>
        <v/>
      </c>
      <c r="P591" s="8" t="n"/>
    </row>
    <row r="592">
      <c r="N592" s="9">
        <f>IF(ISNUMBER(C592),IF(C592&lt;2000,"before 2000",IF(C592&lt;=2014,"2000-2014","2015 onward")),"")</f>
        <v/>
      </c>
      <c r="P592" s="8" t="n"/>
    </row>
    <row r="593">
      <c r="N593" s="9">
        <f>IF(ISNUMBER(C593),IF(C593&lt;2000,"before 2000",IF(C593&lt;=2014,"2000-2014","2015 onward")),"")</f>
        <v/>
      </c>
      <c r="P593" s="8" t="n"/>
    </row>
    <row r="594">
      <c r="N594" s="9">
        <f>IF(ISNUMBER(C594),IF(C594&lt;2000,"before 2000",IF(C594&lt;=2014,"2000-2014","2015 onward")),"")</f>
        <v/>
      </c>
      <c r="P594" s="8" t="n"/>
    </row>
    <row r="595">
      <c r="N595" s="9">
        <f>IF(ISNUMBER(C595),IF(C595&lt;2000,"before 2000",IF(C595&lt;=2014,"2000-2014","2015 onward")),"")</f>
        <v/>
      </c>
      <c r="P595" s="8" t="n"/>
    </row>
    <row r="596">
      <c r="N596" s="9">
        <f>IF(ISNUMBER(C596),IF(C596&lt;2000,"before 2000",IF(C596&lt;=2014,"2000-2014","2015 onward")),"")</f>
        <v/>
      </c>
      <c r="P596" s="8" t="n"/>
    </row>
    <row r="597">
      <c r="N597" s="9">
        <f>IF(ISNUMBER(C597),IF(C597&lt;2000,"before 2000",IF(C597&lt;=2014,"2000-2014","2015 onward")),"")</f>
        <v/>
      </c>
      <c r="P597" s="8" t="n"/>
    </row>
    <row r="598">
      <c r="N598" s="9">
        <f>IF(ISNUMBER(C598),IF(C598&lt;2000,"before 2000",IF(C598&lt;=2014,"2000-2014","2015 onward")),"")</f>
        <v/>
      </c>
      <c r="P598" s="8" t="n"/>
    </row>
    <row r="599">
      <c r="N599" s="9">
        <f>IF(ISNUMBER(C599),IF(C599&lt;2000,"before 2000",IF(C599&lt;=2014,"2000-2014","2015 onward")),"")</f>
        <v/>
      </c>
      <c r="P599" s="8" t="n"/>
    </row>
    <row r="600">
      <c r="N600" s="9">
        <f>IF(ISNUMBER(C600),IF(C600&lt;2000,"before 2000",IF(C600&lt;=2014,"2000-2014","2015 onward")),"")</f>
        <v/>
      </c>
      <c r="P600" s="8" t="n"/>
    </row>
    <row r="601">
      <c r="N601" s="9">
        <f>IF(ISNUMBER(C601),IF(C601&lt;2000,"before 2000",IF(C601&lt;=2014,"2000-2014","2015 onward")),"")</f>
        <v/>
      </c>
      <c r="P601" s="8" t="n"/>
    </row>
    <row r="602">
      <c r="N602" s="9">
        <f>IF(ISNUMBER(C602),IF(C602&lt;2000,"before 2000",IF(C602&lt;=2014,"2000-2014","2015 onward")),"")</f>
        <v/>
      </c>
      <c r="P602" s="8" t="n"/>
    </row>
    <row r="603">
      <c r="N603" s="9">
        <f>IF(ISNUMBER(C603),IF(C603&lt;2000,"before 2000",IF(C603&lt;=2014,"2000-2014","2015 onward")),"")</f>
        <v/>
      </c>
      <c r="P603" s="8" t="n"/>
    </row>
    <row r="604">
      <c r="N604" s="9">
        <f>IF(ISNUMBER(C604),IF(C604&lt;2000,"before 2000",IF(C604&lt;=2014,"2000-2014","2015 onward")),"")</f>
        <v/>
      </c>
      <c r="P604" s="8" t="n"/>
    </row>
    <row r="605">
      <c r="N605" s="9">
        <f>IF(ISNUMBER(C605),IF(C605&lt;2000,"before 2000",IF(C605&lt;=2014,"2000-2014","2015 onward")),"")</f>
        <v/>
      </c>
      <c r="P605" s="8" t="n"/>
    </row>
    <row r="606">
      <c r="N606" s="9">
        <f>IF(ISNUMBER(C606),IF(C606&lt;2000,"before 2000",IF(C606&lt;=2014,"2000-2014","2015 onward")),"")</f>
        <v/>
      </c>
      <c r="P606" s="8" t="n"/>
    </row>
    <row r="607">
      <c r="N607" s="9">
        <f>IF(ISNUMBER(C607),IF(C607&lt;2000,"before 2000",IF(C607&lt;=2014,"2000-2014","2015 onward")),"")</f>
        <v/>
      </c>
      <c r="P607" s="8" t="n"/>
    </row>
    <row r="608">
      <c r="N608" s="9">
        <f>IF(ISNUMBER(C608),IF(C608&lt;2000,"before 2000",IF(C608&lt;=2014,"2000-2014","2015 onward")),"")</f>
        <v/>
      </c>
      <c r="P608" s="8" t="n"/>
    </row>
    <row r="609">
      <c r="N609" s="9">
        <f>IF(ISNUMBER(C609),IF(C609&lt;2000,"before 2000",IF(C609&lt;=2014,"2000-2014","2015 onward")),"")</f>
        <v/>
      </c>
      <c r="P609" s="8" t="n"/>
    </row>
    <row r="610">
      <c r="N610" s="9">
        <f>IF(ISNUMBER(C610),IF(C610&lt;2000,"before 2000",IF(C610&lt;=2014,"2000-2014","2015 onward")),"")</f>
        <v/>
      </c>
      <c r="P610" s="8" t="n"/>
    </row>
    <row r="611">
      <c r="N611" s="9">
        <f>IF(ISNUMBER(C611),IF(C611&lt;2000,"before 2000",IF(C611&lt;=2014,"2000-2014","2015 onward")),"")</f>
        <v/>
      </c>
      <c r="P611" s="8" t="n"/>
    </row>
    <row r="612">
      <c r="N612" s="9">
        <f>IF(ISNUMBER(C612),IF(C612&lt;2000,"before 2000",IF(C612&lt;=2014,"2000-2014","2015 onward")),"")</f>
        <v/>
      </c>
      <c r="P612" s="8" t="n"/>
    </row>
    <row r="613">
      <c r="N613" s="9">
        <f>IF(ISNUMBER(C613),IF(C613&lt;2000,"before 2000",IF(C613&lt;=2014,"2000-2014","2015 onward")),"")</f>
        <v/>
      </c>
      <c r="P613" s="8" t="n"/>
    </row>
    <row r="614">
      <c r="N614" s="9">
        <f>IF(ISNUMBER(C614),IF(C614&lt;2000,"before 2000",IF(C614&lt;=2014,"2000-2014","2015 onward")),"")</f>
        <v/>
      </c>
      <c r="P614" s="8" t="n"/>
    </row>
    <row r="615">
      <c r="N615" s="9">
        <f>IF(ISNUMBER(C615),IF(C615&lt;2000,"before 2000",IF(C615&lt;=2014,"2000-2014","2015 onward")),"")</f>
        <v/>
      </c>
      <c r="P615" s="8" t="n"/>
    </row>
    <row r="616">
      <c r="N616" s="9">
        <f>IF(ISNUMBER(C616),IF(C616&lt;2000,"before 2000",IF(C616&lt;=2014,"2000-2014","2015 onward")),"")</f>
        <v/>
      </c>
      <c r="P616" s="8" t="n"/>
    </row>
    <row r="617">
      <c r="N617" s="9">
        <f>IF(ISNUMBER(C617),IF(C617&lt;2000,"before 2000",IF(C617&lt;=2014,"2000-2014","2015 onward")),"")</f>
        <v/>
      </c>
      <c r="P617" s="8" t="n"/>
    </row>
    <row r="618">
      <c r="N618" s="9">
        <f>IF(ISNUMBER(C618),IF(C618&lt;2000,"before 2000",IF(C618&lt;=2014,"2000-2014","2015 onward")),"")</f>
        <v/>
      </c>
      <c r="P618" s="8" t="n"/>
    </row>
    <row r="619">
      <c r="N619" s="9">
        <f>IF(ISNUMBER(C619),IF(C619&lt;2000,"before 2000",IF(C619&lt;=2014,"2000-2014","2015 onward")),"")</f>
        <v/>
      </c>
      <c r="P619" s="8" t="n"/>
    </row>
    <row r="620">
      <c r="N620" s="9">
        <f>IF(ISNUMBER(C620),IF(C620&lt;2000,"before 2000",IF(C620&lt;=2014,"2000-2014","2015 onward")),"")</f>
        <v/>
      </c>
      <c r="P620" s="8" t="n"/>
    </row>
    <row r="621">
      <c r="N621" s="9">
        <f>IF(ISNUMBER(C621),IF(C621&lt;2000,"before 2000",IF(C621&lt;=2014,"2000-2014","2015 onward")),"")</f>
        <v/>
      </c>
      <c r="P621" s="8" t="n"/>
    </row>
    <row r="622">
      <c r="N622" s="9">
        <f>IF(ISNUMBER(C622),IF(C622&lt;2000,"before 2000",IF(C622&lt;=2014,"2000-2014","2015 onward")),"")</f>
        <v/>
      </c>
      <c r="P622" s="8" t="n"/>
    </row>
    <row r="623">
      <c r="N623" s="9">
        <f>IF(ISNUMBER(C623),IF(C623&lt;2000,"before 2000",IF(C623&lt;=2014,"2000-2014","2015 onward")),"")</f>
        <v/>
      </c>
      <c r="P623" s="8" t="n"/>
    </row>
    <row r="624">
      <c r="N624" s="9">
        <f>IF(ISNUMBER(C624),IF(C624&lt;2000,"before 2000",IF(C624&lt;=2014,"2000-2014","2015 onward")),"")</f>
        <v/>
      </c>
      <c r="P624" s="8" t="n"/>
    </row>
    <row r="625">
      <c r="N625" s="9">
        <f>IF(ISNUMBER(C625),IF(C625&lt;2000,"before 2000",IF(C625&lt;=2014,"2000-2014","2015 onward")),"")</f>
        <v/>
      </c>
      <c r="P625" s="8" t="n"/>
    </row>
    <row r="626">
      <c r="N626" s="9">
        <f>IF(ISNUMBER(C626),IF(C626&lt;2000,"before 2000",IF(C626&lt;=2014,"2000-2014","2015 onward")),"")</f>
        <v/>
      </c>
      <c r="P626" s="8" t="n"/>
    </row>
    <row r="627">
      <c r="N627" s="9">
        <f>IF(ISNUMBER(C627),IF(C627&lt;2000,"before 2000",IF(C627&lt;=2014,"2000-2014","2015 onward")),"")</f>
        <v/>
      </c>
      <c r="P627" s="8" t="n"/>
    </row>
    <row r="628">
      <c r="N628" s="9">
        <f>IF(ISNUMBER(C628),IF(C628&lt;2000,"before 2000",IF(C628&lt;=2014,"2000-2014","2015 onward")),"")</f>
        <v/>
      </c>
      <c r="P628" s="8" t="n"/>
    </row>
    <row r="629">
      <c r="N629" s="9">
        <f>IF(ISNUMBER(C629),IF(C629&lt;2000,"before 2000",IF(C629&lt;=2014,"2000-2014","2015 onward")),"")</f>
        <v/>
      </c>
      <c r="P629" s="8" t="n"/>
    </row>
    <row r="630">
      <c r="N630" s="9">
        <f>IF(ISNUMBER(C630),IF(C630&lt;2000,"before 2000",IF(C630&lt;=2014,"2000-2014","2015 onward")),"")</f>
        <v/>
      </c>
      <c r="P630" s="8" t="n"/>
    </row>
    <row r="631">
      <c r="N631" s="9">
        <f>IF(ISNUMBER(C631),IF(C631&lt;2000,"before 2000",IF(C631&lt;=2014,"2000-2014","2015 onward")),"")</f>
        <v/>
      </c>
      <c r="P631" s="8" t="n"/>
    </row>
    <row r="632">
      <c r="N632" s="9">
        <f>IF(ISNUMBER(C632),IF(C632&lt;2000,"before 2000",IF(C632&lt;=2014,"2000-2014","2015 onward")),"")</f>
        <v/>
      </c>
      <c r="P632" s="8" t="n"/>
    </row>
    <row r="633">
      <c r="N633" s="9">
        <f>IF(ISNUMBER(C633),IF(C633&lt;2000,"before 2000",IF(C633&lt;=2014,"2000-2014","2015 onward")),"")</f>
        <v/>
      </c>
      <c r="P633" s="8" t="n"/>
    </row>
    <row r="634">
      <c r="N634" s="9">
        <f>IF(ISNUMBER(C634),IF(C634&lt;2000,"before 2000",IF(C634&lt;=2014,"2000-2014","2015 onward")),"")</f>
        <v/>
      </c>
      <c r="P634" s="8" t="n"/>
    </row>
    <row r="635">
      <c r="N635" s="9">
        <f>IF(ISNUMBER(C635),IF(C635&lt;2000,"before 2000",IF(C635&lt;=2014,"2000-2014","2015 onward")),"")</f>
        <v/>
      </c>
      <c r="P635" s="8" t="n"/>
    </row>
    <row r="636">
      <c r="N636" s="9">
        <f>IF(ISNUMBER(C636),IF(C636&lt;2000,"before 2000",IF(C636&lt;=2014,"2000-2014","2015 onward")),"")</f>
        <v/>
      </c>
      <c r="P636" s="8" t="n"/>
    </row>
    <row r="637">
      <c r="N637" s="9">
        <f>IF(ISNUMBER(C637),IF(C637&lt;2000,"before 2000",IF(C637&lt;=2014,"2000-2014","2015 onward")),"")</f>
        <v/>
      </c>
      <c r="P637" s="8" t="n"/>
    </row>
    <row r="638">
      <c r="N638" s="9">
        <f>IF(ISNUMBER(C638),IF(C638&lt;2000,"before 2000",IF(C638&lt;=2014,"2000-2014","2015 onward")),"")</f>
        <v/>
      </c>
      <c r="P638" s="8" t="n"/>
    </row>
    <row r="639">
      <c r="N639" s="9">
        <f>IF(ISNUMBER(C639),IF(C639&lt;2000,"before 2000",IF(C639&lt;=2014,"2000-2014","2015 onward")),"")</f>
        <v/>
      </c>
      <c r="P639" s="8" t="n"/>
    </row>
    <row r="640">
      <c r="N640" s="9">
        <f>IF(ISNUMBER(C640),IF(C640&lt;2000,"before 2000",IF(C640&lt;=2014,"2000-2014","2015 onward")),"")</f>
        <v/>
      </c>
      <c r="P640" s="8" t="n"/>
    </row>
    <row r="641">
      <c r="N641" s="9">
        <f>IF(ISNUMBER(C641),IF(C641&lt;2000,"before 2000",IF(C641&lt;=2014,"2000-2014","2015 onward")),"")</f>
        <v/>
      </c>
      <c r="P641" s="8" t="n"/>
    </row>
    <row r="642">
      <c r="N642" s="9">
        <f>IF(ISNUMBER(C642),IF(C642&lt;2000,"before 2000",IF(C642&lt;=2014,"2000-2014","2015 onward")),"")</f>
        <v/>
      </c>
      <c r="P642" s="8" t="n"/>
    </row>
    <row r="643">
      <c r="N643" s="9">
        <f>IF(ISNUMBER(C643),IF(C643&lt;2000,"before 2000",IF(C643&lt;=2014,"2000-2014","2015 onward")),"")</f>
        <v/>
      </c>
      <c r="P643" s="8" t="n"/>
    </row>
    <row r="644">
      <c r="N644" s="9">
        <f>IF(ISNUMBER(C644),IF(C644&lt;2000,"before 2000",IF(C644&lt;=2014,"2000-2014","2015 onward")),"")</f>
        <v/>
      </c>
      <c r="P644" s="8" t="n"/>
    </row>
    <row r="645">
      <c r="N645" s="9">
        <f>IF(ISNUMBER(C645),IF(C645&lt;2000,"before 2000",IF(C645&lt;=2014,"2000-2014","2015 onward")),"")</f>
        <v/>
      </c>
      <c r="P645" s="8" t="n"/>
    </row>
    <row r="646">
      <c r="N646" s="9">
        <f>IF(ISNUMBER(C646),IF(C646&lt;2000,"before 2000",IF(C646&lt;=2014,"2000-2014","2015 onward")),"")</f>
        <v/>
      </c>
      <c r="P646" s="8" t="n"/>
    </row>
    <row r="647">
      <c r="N647" s="9">
        <f>IF(ISNUMBER(C647),IF(C647&lt;2000,"before 2000",IF(C647&lt;=2014,"2000-2014","2015 onward")),"")</f>
        <v/>
      </c>
      <c r="P647" s="8" t="n"/>
    </row>
    <row r="648">
      <c r="N648" s="9">
        <f>IF(ISNUMBER(C648),IF(C648&lt;2000,"before 2000",IF(C648&lt;=2014,"2000-2014","2015 onward")),"")</f>
        <v/>
      </c>
      <c r="P648" s="8" t="n"/>
    </row>
    <row r="649">
      <c r="N649" s="9">
        <f>IF(ISNUMBER(C649),IF(C649&lt;2000,"before 2000",IF(C649&lt;=2014,"2000-2014","2015 onward")),"")</f>
        <v/>
      </c>
      <c r="P649" s="8" t="n"/>
    </row>
    <row r="650">
      <c r="N650" s="9">
        <f>IF(ISNUMBER(C650),IF(C650&lt;2000,"before 2000",IF(C650&lt;=2014,"2000-2014","2015 onward")),"")</f>
        <v/>
      </c>
      <c r="P650" s="8" t="n"/>
    </row>
    <row r="651">
      <c r="N651" s="9">
        <f>IF(ISNUMBER(C651),IF(C651&lt;2000,"before 2000",IF(C651&lt;=2014,"2000-2014","2015 onward")),"")</f>
        <v/>
      </c>
      <c r="P651" s="8" t="n"/>
    </row>
    <row r="652">
      <c r="N652" s="9">
        <f>IF(ISNUMBER(C652),IF(C652&lt;2000,"before 2000",IF(C652&lt;=2014,"2000-2014","2015 onward")),"")</f>
        <v/>
      </c>
      <c r="P652" s="8" t="n"/>
    </row>
    <row r="653">
      <c r="N653" s="9">
        <f>IF(ISNUMBER(C653),IF(C653&lt;2000,"before 2000",IF(C653&lt;=2014,"2000-2014","2015 onward")),"")</f>
        <v/>
      </c>
      <c r="P653" s="8" t="n"/>
    </row>
    <row r="654">
      <c r="N654" s="9">
        <f>IF(ISNUMBER(C654),IF(C654&lt;2000,"before 2000",IF(C654&lt;=2014,"2000-2014","2015 onward")),"")</f>
        <v/>
      </c>
      <c r="P654" s="8" t="n"/>
    </row>
    <row r="655">
      <c r="N655" s="9">
        <f>IF(ISNUMBER(C655),IF(C655&lt;2000,"before 2000",IF(C655&lt;=2014,"2000-2014","2015 onward")),"")</f>
        <v/>
      </c>
      <c r="P655" s="8" t="n"/>
    </row>
    <row r="656">
      <c r="N656" s="9">
        <f>IF(ISNUMBER(C656),IF(C656&lt;2000,"before 2000",IF(C656&lt;=2014,"2000-2014","2015 onward")),"")</f>
        <v/>
      </c>
      <c r="P656" s="8" t="n"/>
    </row>
    <row r="657">
      <c r="N657" s="9">
        <f>IF(ISNUMBER(C657),IF(C657&lt;2000,"before 2000",IF(C657&lt;=2014,"2000-2014","2015 onward")),"")</f>
        <v/>
      </c>
      <c r="P657" s="8" t="n"/>
    </row>
    <row r="658">
      <c r="N658" s="9">
        <f>IF(ISNUMBER(C658),IF(C658&lt;2000,"before 2000",IF(C658&lt;=2014,"2000-2014","2015 onward")),"")</f>
        <v/>
      </c>
      <c r="P658" s="8" t="n"/>
    </row>
    <row r="659">
      <c r="N659" s="9">
        <f>IF(ISNUMBER(C659),IF(C659&lt;2000,"before 2000",IF(C659&lt;=2014,"2000-2014","2015 onward")),"")</f>
        <v/>
      </c>
      <c r="P659" s="8" t="n"/>
    </row>
    <row r="660">
      <c r="N660" s="9">
        <f>IF(ISNUMBER(C660),IF(C660&lt;2000,"before 2000",IF(C660&lt;=2014,"2000-2014","2015 onward")),"")</f>
        <v/>
      </c>
      <c r="P660" s="8" t="n"/>
    </row>
    <row r="661">
      <c r="N661" s="9">
        <f>IF(ISNUMBER(C661),IF(C661&lt;2000,"before 2000",IF(C661&lt;=2014,"2000-2014","2015 onward")),"")</f>
        <v/>
      </c>
      <c r="P661" s="8" t="n"/>
    </row>
    <row r="662">
      <c r="N662" s="9">
        <f>IF(ISNUMBER(C662),IF(C662&lt;2000,"before 2000",IF(C662&lt;=2014,"2000-2014","2015 onward")),"")</f>
        <v/>
      </c>
      <c r="P662" s="8" t="n"/>
    </row>
    <row r="663">
      <c r="N663" s="9">
        <f>IF(ISNUMBER(C663),IF(C663&lt;2000,"before 2000",IF(C663&lt;=2014,"2000-2014","2015 onward")),"")</f>
        <v/>
      </c>
      <c r="P663" s="8" t="n"/>
    </row>
    <row r="664">
      <c r="N664" s="9">
        <f>IF(ISNUMBER(C664),IF(C664&lt;2000,"before 2000",IF(C664&lt;=2014,"2000-2014","2015 onward")),"")</f>
        <v/>
      </c>
      <c r="P664" s="8" t="n"/>
    </row>
    <row r="665">
      <c r="N665" s="9">
        <f>IF(ISNUMBER(C665),IF(C665&lt;2000,"before 2000",IF(C665&lt;=2014,"2000-2014","2015 onward")),"")</f>
        <v/>
      </c>
      <c r="P665" s="8" t="n"/>
    </row>
    <row r="666">
      <c r="N666" s="9">
        <f>IF(ISNUMBER(C666),IF(C666&lt;2000,"before 2000",IF(C666&lt;=2014,"2000-2014","2015 onward")),"")</f>
        <v/>
      </c>
      <c r="P666" s="8" t="n"/>
    </row>
    <row r="667">
      <c r="N667" s="9">
        <f>IF(ISNUMBER(C667),IF(C667&lt;2000,"before 2000",IF(C667&lt;=2014,"2000-2014","2015 onward")),"")</f>
        <v/>
      </c>
      <c r="P667" s="8" t="n"/>
    </row>
    <row r="668">
      <c r="N668" s="9">
        <f>IF(ISNUMBER(C668),IF(C668&lt;2000,"before 2000",IF(C668&lt;=2014,"2000-2014","2015 onward")),"")</f>
        <v/>
      </c>
      <c r="P668" s="8" t="n"/>
    </row>
    <row r="669">
      <c r="N669" s="9">
        <f>IF(ISNUMBER(C669),IF(C669&lt;2000,"before 2000",IF(C669&lt;=2014,"2000-2014","2015 onward")),"")</f>
        <v/>
      </c>
      <c r="P669" s="8" t="n"/>
    </row>
    <row r="670">
      <c r="N670" s="9">
        <f>IF(ISNUMBER(C670),IF(C670&lt;2000,"before 2000",IF(C670&lt;=2014,"2000-2014","2015 onward")),"")</f>
        <v/>
      </c>
      <c r="P670" s="8" t="n"/>
    </row>
    <row r="671">
      <c r="N671" s="9">
        <f>IF(ISNUMBER(C671),IF(C671&lt;2000,"before 2000",IF(C671&lt;=2014,"2000-2014","2015 onward")),"")</f>
        <v/>
      </c>
      <c r="P671" s="8" t="n"/>
    </row>
    <row r="672">
      <c r="N672" s="9">
        <f>IF(ISNUMBER(C672),IF(C672&lt;2000,"before 2000",IF(C672&lt;=2014,"2000-2014","2015 onward")),"")</f>
        <v/>
      </c>
      <c r="P672" s="8" t="n"/>
    </row>
    <row r="673">
      <c r="N673" s="9">
        <f>IF(ISNUMBER(C673),IF(C673&lt;2000,"before 2000",IF(C673&lt;=2014,"2000-2014","2015 onward")),"")</f>
        <v/>
      </c>
      <c r="P673" s="8" t="n"/>
    </row>
    <row r="674">
      <c r="N674" s="9">
        <f>IF(ISNUMBER(C674),IF(C674&lt;2000,"before 2000",IF(C674&lt;=2014,"2000-2014","2015 onward")),"")</f>
        <v/>
      </c>
      <c r="P674" s="8" t="n"/>
    </row>
    <row r="675">
      <c r="N675" s="9">
        <f>IF(ISNUMBER(C675),IF(C675&lt;2000,"before 2000",IF(C675&lt;=2014,"2000-2014","2015 onward")),"")</f>
        <v/>
      </c>
      <c r="P675" s="8" t="n"/>
    </row>
    <row r="676">
      <c r="N676" s="9">
        <f>IF(ISNUMBER(C676),IF(C676&lt;2000,"before 2000",IF(C676&lt;=2014,"2000-2014","2015 onward")),"")</f>
        <v/>
      </c>
      <c r="P676" s="8" t="n"/>
    </row>
    <row r="677">
      <c r="N677" s="9">
        <f>IF(ISNUMBER(C677),IF(C677&lt;2000,"before 2000",IF(C677&lt;=2014,"2000-2014","2015 onward")),"")</f>
        <v/>
      </c>
      <c r="P677" s="8" t="n"/>
    </row>
    <row r="678">
      <c r="N678" s="9">
        <f>IF(ISNUMBER(C678),IF(C678&lt;2000,"before 2000",IF(C678&lt;=2014,"2000-2014","2015 onward")),"")</f>
        <v/>
      </c>
      <c r="P678" s="8" t="n"/>
    </row>
    <row r="679">
      <c r="N679" s="9">
        <f>IF(ISNUMBER(C679),IF(C679&lt;2000,"before 2000",IF(C679&lt;=2014,"2000-2014","2015 onward")),"")</f>
        <v/>
      </c>
      <c r="P679" s="8" t="n"/>
    </row>
    <row r="680">
      <c r="N680" s="9">
        <f>IF(ISNUMBER(C680),IF(C680&lt;2000,"before 2000",IF(C680&lt;=2014,"2000-2014","2015 onward")),"")</f>
        <v/>
      </c>
      <c r="P680" s="8" t="n"/>
    </row>
    <row r="681">
      <c r="N681" s="9">
        <f>IF(ISNUMBER(C681),IF(C681&lt;2000,"before 2000",IF(C681&lt;=2014,"2000-2014","2015 onward")),"")</f>
        <v/>
      </c>
      <c r="P681" s="8" t="n"/>
    </row>
    <row r="682">
      <c r="N682" s="9">
        <f>IF(ISNUMBER(C682),IF(C682&lt;2000,"before 2000",IF(C682&lt;=2014,"2000-2014","2015 onward")),"")</f>
        <v/>
      </c>
      <c r="P682" s="8" t="n"/>
    </row>
    <row r="683">
      <c r="N683" s="9">
        <f>IF(ISNUMBER(C683),IF(C683&lt;2000,"before 2000",IF(C683&lt;=2014,"2000-2014","2015 onward")),"")</f>
        <v/>
      </c>
      <c r="P683" s="8" t="n"/>
    </row>
    <row r="684">
      <c r="N684" s="9">
        <f>IF(ISNUMBER(C684),IF(C684&lt;2000,"before 2000",IF(C684&lt;=2014,"2000-2014","2015 onward")),"")</f>
        <v/>
      </c>
      <c r="P684" s="8" t="n"/>
    </row>
    <row r="685">
      <c r="N685" s="9">
        <f>IF(ISNUMBER(C685),IF(C685&lt;2000,"before 2000",IF(C685&lt;=2014,"2000-2014","2015 onward")),"")</f>
        <v/>
      </c>
      <c r="P685" s="8" t="n"/>
    </row>
    <row r="686">
      <c r="N686" s="9">
        <f>IF(ISNUMBER(C686),IF(C686&lt;2000,"before 2000",IF(C686&lt;=2014,"2000-2014","2015 onward")),"")</f>
        <v/>
      </c>
      <c r="P686" s="8" t="n"/>
    </row>
    <row r="687">
      <c r="N687" s="9">
        <f>IF(ISNUMBER(C687),IF(C687&lt;2000,"before 2000",IF(C687&lt;=2014,"2000-2014","2015 onward")),"")</f>
        <v/>
      </c>
      <c r="P687" s="8" t="n"/>
    </row>
    <row r="688">
      <c r="N688" s="9">
        <f>IF(ISNUMBER(C688),IF(C688&lt;2000,"before 2000",IF(C688&lt;=2014,"2000-2014","2015 onward")),"")</f>
        <v/>
      </c>
      <c r="P688" s="8" t="n"/>
    </row>
    <row r="689">
      <c r="N689" s="9">
        <f>IF(ISNUMBER(C689),IF(C689&lt;2000,"before 2000",IF(C689&lt;=2014,"2000-2014","2015 onward")),"")</f>
        <v/>
      </c>
      <c r="P689" s="8" t="n"/>
    </row>
    <row r="690">
      <c r="N690" s="9">
        <f>IF(ISNUMBER(C690),IF(C690&lt;2000,"before 2000",IF(C690&lt;=2014,"2000-2014","2015 onward")),"")</f>
        <v/>
      </c>
      <c r="P690" s="8" t="n"/>
    </row>
    <row r="691">
      <c r="N691" s="9">
        <f>IF(ISNUMBER(C691),IF(C691&lt;2000,"before 2000",IF(C691&lt;=2014,"2000-2014","2015 onward")),"")</f>
        <v/>
      </c>
      <c r="P691" s="8" t="n"/>
    </row>
    <row r="692">
      <c r="N692" s="9">
        <f>IF(ISNUMBER(C692),IF(C692&lt;2000,"before 2000",IF(C692&lt;=2014,"2000-2014","2015 onward")),"")</f>
        <v/>
      </c>
      <c r="P692" s="8" t="n"/>
    </row>
    <row r="693">
      <c r="N693" s="9">
        <f>IF(ISNUMBER(C693),IF(C693&lt;2000,"before 2000",IF(C693&lt;=2014,"2000-2014","2015 onward")),"")</f>
        <v/>
      </c>
      <c r="P693" s="8" t="n"/>
    </row>
    <row r="694">
      <c r="N694" s="9">
        <f>IF(ISNUMBER(C694),IF(C694&lt;2000,"before 2000",IF(C694&lt;=2014,"2000-2014","2015 onward")),"")</f>
        <v/>
      </c>
      <c r="P694" s="8" t="n"/>
    </row>
    <row r="695">
      <c r="N695" s="9">
        <f>IF(ISNUMBER(C695),IF(C695&lt;2000,"before 2000",IF(C695&lt;=2014,"2000-2014","2015 onward")),"")</f>
        <v/>
      </c>
      <c r="P695" s="8" t="n"/>
    </row>
    <row r="696">
      <c r="N696" s="9">
        <f>IF(ISNUMBER(C696),IF(C696&lt;2000,"before 2000",IF(C696&lt;=2014,"2000-2014","2015 onward")),"")</f>
        <v/>
      </c>
      <c r="P696" s="8" t="n"/>
    </row>
    <row r="697">
      <c r="N697" s="9">
        <f>IF(ISNUMBER(C697),IF(C697&lt;2000,"before 2000",IF(C697&lt;=2014,"2000-2014","2015 onward")),"")</f>
        <v/>
      </c>
      <c r="P697" s="8" t="n"/>
    </row>
    <row r="698">
      <c r="N698" s="9">
        <f>IF(ISNUMBER(C698),IF(C698&lt;2000,"before 2000",IF(C698&lt;=2014,"2000-2014","2015 onward")),"")</f>
        <v/>
      </c>
      <c r="P698" s="8" t="n"/>
    </row>
    <row r="699">
      <c r="N699" s="9">
        <f>IF(ISNUMBER(C699),IF(C699&lt;2000,"before 2000",IF(C699&lt;=2014,"2000-2014","2015 onward")),"")</f>
        <v/>
      </c>
      <c r="P699" s="8" t="n"/>
    </row>
    <row r="700">
      <c r="N700" s="9">
        <f>IF(ISNUMBER(C700),IF(C700&lt;2000,"before 2000",IF(C700&lt;=2014,"2000-2014","2015 onward")),"")</f>
        <v/>
      </c>
      <c r="P700" s="8" t="n"/>
    </row>
    <row r="701">
      <c r="N701" s="9">
        <f>IF(ISNUMBER(C701),IF(C701&lt;2000,"before 2000",IF(C701&lt;=2014,"2000-2014","2015 onward")),"")</f>
        <v/>
      </c>
      <c r="P701" s="8" t="n"/>
    </row>
    <row r="702">
      <c r="N702" s="9">
        <f>IF(ISNUMBER(C702),IF(C702&lt;2000,"before 2000",IF(C702&lt;=2014,"2000-2014","2015 onward")),"")</f>
        <v/>
      </c>
      <c r="P702" s="8" t="n"/>
    </row>
    <row r="703">
      <c r="N703" s="9">
        <f>IF(ISNUMBER(C703),IF(C703&lt;2000,"before 2000",IF(C703&lt;=2014,"2000-2014","2015 onward")),"")</f>
        <v/>
      </c>
      <c r="P703" s="8" t="n"/>
    </row>
    <row r="704">
      <c r="N704" s="9">
        <f>IF(ISNUMBER(C704),IF(C704&lt;2000,"before 2000",IF(C704&lt;=2014,"2000-2014","2015 onward")),"")</f>
        <v/>
      </c>
      <c r="P704" s="8" t="n"/>
    </row>
    <row r="705">
      <c r="N705" s="9">
        <f>IF(ISNUMBER(C705),IF(C705&lt;2000,"before 2000",IF(C705&lt;=2014,"2000-2014","2015 onward")),"")</f>
        <v/>
      </c>
      <c r="P705" s="8" t="n"/>
    </row>
    <row r="706">
      <c r="N706" s="9">
        <f>IF(ISNUMBER(C706),IF(C706&lt;2000,"before 2000",IF(C706&lt;=2014,"2000-2014","2015 onward")),"")</f>
        <v/>
      </c>
      <c r="P706" s="8" t="n"/>
    </row>
    <row r="707">
      <c r="N707" s="9">
        <f>IF(ISNUMBER(C707),IF(C707&lt;2000,"before 2000",IF(C707&lt;=2014,"2000-2014","2015 onward")),"")</f>
        <v/>
      </c>
      <c r="P707" s="8" t="n"/>
    </row>
    <row r="708">
      <c r="N708" s="9">
        <f>IF(ISNUMBER(C708),IF(C708&lt;2000,"before 2000",IF(C708&lt;=2014,"2000-2014","2015 onward")),"")</f>
        <v/>
      </c>
      <c r="P708" s="8" t="n"/>
    </row>
    <row r="709">
      <c r="N709" s="9">
        <f>IF(ISNUMBER(C709),IF(C709&lt;2000,"before 2000",IF(C709&lt;=2014,"2000-2014","2015 onward")),"")</f>
        <v/>
      </c>
      <c r="P709" s="8" t="n"/>
    </row>
    <row r="710">
      <c r="N710" s="9">
        <f>IF(ISNUMBER(C710),IF(C710&lt;2000,"before 2000",IF(C710&lt;=2014,"2000-2014","2015 onward")),"")</f>
        <v/>
      </c>
      <c r="P710" s="8" t="n"/>
    </row>
    <row r="711">
      <c r="N711" s="9">
        <f>IF(ISNUMBER(C711),IF(C711&lt;2000,"before 2000",IF(C711&lt;=2014,"2000-2014","2015 onward")),"")</f>
        <v/>
      </c>
      <c r="P711" s="8" t="n"/>
    </row>
    <row r="712">
      <c r="N712" s="9">
        <f>IF(ISNUMBER(C712),IF(C712&lt;2000,"before 2000",IF(C712&lt;=2014,"2000-2014","2015 onward")),"")</f>
        <v/>
      </c>
      <c r="P712" s="8" t="n"/>
    </row>
    <row r="713">
      <c r="N713" s="9">
        <f>IF(ISNUMBER(C713),IF(C713&lt;2000,"before 2000",IF(C713&lt;=2014,"2000-2014","2015 onward")),"")</f>
        <v/>
      </c>
      <c r="P713" s="8" t="n"/>
    </row>
    <row r="714">
      <c r="N714" s="9">
        <f>IF(ISNUMBER(C714),IF(C714&lt;2000,"before 2000",IF(C714&lt;=2014,"2000-2014","2015 onward")),"")</f>
        <v/>
      </c>
      <c r="P714" s="8" t="n"/>
    </row>
    <row r="715">
      <c r="N715" s="9">
        <f>IF(ISNUMBER(C715),IF(C715&lt;2000,"before 2000",IF(C715&lt;=2014,"2000-2014","2015 onward")),"")</f>
        <v/>
      </c>
      <c r="P715" s="8" t="n"/>
    </row>
    <row r="716">
      <c r="N716" s="9">
        <f>IF(ISNUMBER(C716),IF(C716&lt;2000,"before 2000",IF(C716&lt;=2014,"2000-2014","2015 onward")),"")</f>
        <v/>
      </c>
      <c r="P716" s="8" t="n"/>
    </row>
    <row r="717">
      <c r="N717" s="9">
        <f>IF(ISNUMBER(C717),IF(C717&lt;2000,"before 2000",IF(C717&lt;=2014,"2000-2014","2015 onward")),"")</f>
        <v/>
      </c>
      <c r="P717" s="8" t="n"/>
    </row>
    <row r="718">
      <c r="N718" s="9">
        <f>IF(ISNUMBER(C718),IF(C718&lt;2000,"before 2000",IF(C718&lt;=2014,"2000-2014","2015 onward")),"")</f>
        <v/>
      </c>
      <c r="P718" s="8" t="n"/>
    </row>
    <row r="719">
      <c r="N719" s="9">
        <f>IF(ISNUMBER(C719),IF(C719&lt;2000,"before 2000",IF(C719&lt;=2014,"2000-2014","2015 onward")),"")</f>
        <v/>
      </c>
      <c r="P719" s="8" t="n"/>
    </row>
    <row r="720">
      <c r="N720" s="9">
        <f>IF(ISNUMBER(C720),IF(C720&lt;2000,"before 2000",IF(C720&lt;=2014,"2000-2014","2015 onward")),"")</f>
        <v/>
      </c>
      <c r="P720" s="8" t="n"/>
    </row>
    <row r="721">
      <c r="N721" s="9">
        <f>IF(ISNUMBER(C721),IF(C721&lt;2000,"before 2000",IF(C721&lt;=2014,"2000-2014","2015 onward")),"")</f>
        <v/>
      </c>
      <c r="P721" s="8" t="n"/>
    </row>
    <row r="722">
      <c r="N722" s="9">
        <f>IF(ISNUMBER(C722),IF(C722&lt;2000,"before 2000",IF(C722&lt;=2014,"2000-2014","2015 onward")),"")</f>
        <v/>
      </c>
      <c r="P722" s="8" t="n"/>
    </row>
    <row r="723">
      <c r="N723" s="9">
        <f>IF(ISNUMBER(C723),IF(C723&lt;2000,"before 2000",IF(C723&lt;=2014,"2000-2014","2015 onward")),"")</f>
        <v/>
      </c>
      <c r="P723" s="8" t="n"/>
    </row>
    <row r="724">
      <c r="N724" s="9">
        <f>IF(ISNUMBER(C724),IF(C724&lt;2000,"before 2000",IF(C724&lt;=2014,"2000-2014","2015 onward")),"")</f>
        <v/>
      </c>
      <c r="P724" s="8" t="n"/>
    </row>
    <row r="725">
      <c r="N725" s="9">
        <f>IF(ISNUMBER(C725),IF(C725&lt;2000,"before 2000",IF(C725&lt;=2014,"2000-2014","2015 onward")),"")</f>
        <v/>
      </c>
      <c r="P725" s="8" t="n"/>
    </row>
    <row r="726">
      <c r="N726" s="9">
        <f>IF(ISNUMBER(C726),IF(C726&lt;2000,"before 2000",IF(C726&lt;=2014,"2000-2014","2015 onward")),"")</f>
        <v/>
      </c>
      <c r="P726" s="8" t="n"/>
    </row>
    <row r="727">
      <c r="N727" s="9">
        <f>IF(ISNUMBER(C727),IF(C727&lt;2000,"before 2000",IF(C727&lt;=2014,"2000-2014","2015 onward")),"")</f>
        <v/>
      </c>
      <c r="P727" s="8" t="n"/>
    </row>
    <row r="728">
      <c r="N728" s="9">
        <f>IF(ISNUMBER(C728),IF(C728&lt;2000,"before 2000",IF(C728&lt;=2014,"2000-2014","2015 onward")),"")</f>
        <v/>
      </c>
      <c r="P728" s="8" t="n"/>
    </row>
    <row r="729">
      <c r="N729" s="9">
        <f>IF(ISNUMBER(C729),IF(C729&lt;2000,"before 2000",IF(C729&lt;=2014,"2000-2014","2015 onward")),"")</f>
        <v/>
      </c>
      <c r="P729" s="8" t="n"/>
    </row>
    <row r="730">
      <c r="N730" s="9">
        <f>IF(ISNUMBER(C730),IF(C730&lt;2000,"before 2000",IF(C730&lt;=2014,"2000-2014","2015 onward")),"")</f>
        <v/>
      </c>
      <c r="P730" s="8" t="n"/>
    </row>
    <row r="731">
      <c r="N731" s="9">
        <f>IF(ISNUMBER(C731),IF(C731&lt;2000,"before 2000",IF(C731&lt;=2014,"2000-2014","2015 onward")),"")</f>
        <v/>
      </c>
      <c r="P731" s="8" t="n"/>
    </row>
    <row r="732">
      <c r="N732" s="9">
        <f>IF(ISNUMBER(C732),IF(C732&lt;2000,"before 2000",IF(C732&lt;=2014,"2000-2014","2015 onward")),"")</f>
        <v/>
      </c>
      <c r="P732" s="8" t="n"/>
    </row>
    <row r="733">
      <c r="N733" s="9">
        <f>IF(ISNUMBER(C733),IF(C733&lt;2000,"before 2000",IF(C733&lt;=2014,"2000-2014","2015 onward")),"")</f>
        <v/>
      </c>
      <c r="P733" s="8" t="n"/>
    </row>
    <row r="734">
      <c r="N734" s="9">
        <f>IF(ISNUMBER(C734),IF(C734&lt;2000,"before 2000",IF(C734&lt;=2014,"2000-2014","2015 onward")),"")</f>
        <v/>
      </c>
      <c r="P734" s="8" t="n"/>
    </row>
    <row r="735">
      <c r="N735" s="9">
        <f>IF(ISNUMBER(C735),IF(C735&lt;2000,"before 2000",IF(C735&lt;=2014,"2000-2014","2015 onward")),"")</f>
        <v/>
      </c>
      <c r="P735" s="8" t="n"/>
    </row>
    <row r="736">
      <c r="N736" s="9">
        <f>IF(ISNUMBER(C736),IF(C736&lt;2000,"before 2000",IF(C736&lt;=2014,"2000-2014","2015 onward")),"")</f>
        <v/>
      </c>
      <c r="P736" s="8" t="n"/>
    </row>
    <row r="737">
      <c r="N737" s="9">
        <f>IF(ISNUMBER(C737),IF(C737&lt;2000,"before 2000",IF(C737&lt;=2014,"2000-2014","2015 onward")),"")</f>
        <v/>
      </c>
      <c r="P737" s="8" t="n"/>
    </row>
    <row r="738">
      <c r="N738" s="9">
        <f>IF(ISNUMBER(C738),IF(C738&lt;2000,"before 2000",IF(C738&lt;=2014,"2000-2014","2015 onward")),"")</f>
        <v/>
      </c>
      <c r="P738" s="8" t="n"/>
    </row>
    <row r="739">
      <c r="N739" s="9">
        <f>IF(ISNUMBER(C739),IF(C739&lt;2000,"before 2000",IF(C739&lt;=2014,"2000-2014","2015 onward")),"")</f>
        <v/>
      </c>
      <c r="P739" s="8" t="n"/>
    </row>
    <row r="740">
      <c r="N740" s="9">
        <f>IF(ISNUMBER(C740),IF(C740&lt;2000,"before 2000",IF(C740&lt;=2014,"2000-2014","2015 onward")),"")</f>
        <v/>
      </c>
      <c r="P740" s="8" t="n"/>
    </row>
    <row r="741">
      <c r="N741" s="9">
        <f>IF(ISNUMBER(C741),IF(C741&lt;2000,"before 2000",IF(C741&lt;=2014,"2000-2014","2015 onward")),"")</f>
        <v/>
      </c>
      <c r="P741" s="8" t="n"/>
    </row>
    <row r="742">
      <c r="N742" s="9">
        <f>IF(ISNUMBER(C742),IF(C742&lt;2000,"before 2000",IF(C742&lt;=2014,"2000-2014","2015 onward")),"")</f>
        <v/>
      </c>
      <c r="P742" s="8" t="n"/>
    </row>
    <row r="743">
      <c r="N743" s="9">
        <f>IF(ISNUMBER(C743),IF(C743&lt;2000,"before 2000",IF(C743&lt;=2014,"2000-2014","2015 onward")),"")</f>
        <v/>
      </c>
      <c r="P743" s="8" t="n"/>
    </row>
    <row r="744">
      <c r="N744" s="9">
        <f>IF(ISNUMBER(C744),IF(C744&lt;2000,"before 2000",IF(C744&lt;=2014,"2000-2014","2015 onward")),"")</f>
        <v/>
      </c>
      <c r="P744" s="8" t="n"/>
    </row>
    <row r="745">
      <c r="N745" s="9">
        <f>IF(ISNUMBER(C745),IF(C745&lt;2000,"before 2000",IF(C745&lt;=2014,"2000-2014","2015 onward")),"")</f>
        <v/>
      </c>
      <c r="P745" s="8" t="n"/>
    </row>
    <row r="746">
      <c r="N746" s="9">
        <f>IF(ISNUMBER(C746),IF(C746&lt;2000,"before 2000",IF(C746&lt;=2014,"2000-2014","2015 onward")),"")</f>
        <v/>
      </c>
      <c r="P746" s="8" t="n"/>
    </row>
    <row r="747">
      <c r="N747" s="9">
        <f>IF(ISNUMBER(C747),IF(C747&lt;2000,"before 2000",IF(C747&lt;=2014,"2000-2014","2015 onward")),"")</f>
        <v/>
      </c>
      <c r="P747" s="8" t="n"/>
    </row>
    <row r="748">
      <c r="N748" s="9">
        <f>IF(ISNUMBER(C748),IF(C748&lt;2000,"before 2000",IF(C748&lt;=2014,"2000-2014","2015 onward")),"")</f>
        <v/>
      </c>
      <c r="P748" s="8" t="n"/>
    </row>
    <row r="749">
      <c r="N749" s="9">
        <f>IF(ISNUMBER(C749),IF(C749&lt;2000,"before 2000",IF(C749&lt;=2014,"2000-2014","2015 onward")),"")</f>
        <v/>
      </c>
      <c r="P749" s="8" t="n"/>
    </row>
    <row r="750">
      <c r="N750" s="9">
        <f>IF(ISNUMBER(C750),IF(C750&lt;2000,"before 2000",IF(C750&lt;=2014,"2000-2014","2015 onward")),"")</f>
        <v/>
      </c>
      <c r="P750" s="8" t="n"/>
    </row>
    <row r="751">
      <c r="N751" s="9">
        <f>IF(ISNUMBER(C751),IF(C751&lt;2000,"before 2000",IF(C751&lt;=2014,"2000-2014","2015 onward")),"")</f>
        <v/>
      </c>
      <c r="P751" s="8" t="n"/>
    </row>
    <row r="752">
      <c r="N752" s="9">
        <f>IF(ISNUMBER(C752),IF(C752&lt;2000,"before 2000",IF(C752&lt;=2014,"2000-2014","2015 onward")),"")</f>
        <v/>
      </c>
      <c r="P752" s="8" t="n"/>
    </row>
    <row r="753">
      <c r="N753" s="9">
        <f>IF(ISNUMBER(C753),IF(C753&lt;2000,"before 2000",IF(C753&lt;=2014,"2000-2014","2015 onward")),"")</f>
        <v/>
      </c>
      <c r="P753" s="8" t="n"/>
    </row>
    <row r="754">
      <c r="N754" s="9">
        <f>IF(ISNUMBER(C754),IF(C754&lt;2000,"before 2000",IF(C754&lt;=2014,"2000-2014","2015 onward")),"")</f>
        <v/>
      </c>
      <c r="P754" s="8" t="n"/>
    </row>
    <row r="755">
      <c r="N755" s="9">
        <f>IF(ISNUMBER(C755),IF(C755&lt;2000,"before 2000",IF(C755&lt;=2014,"2000-2014","2015 onward")),"")</f>
        <v/>
      </c>
      <c r="P755" s="8" t="n"/>
    </row>
    <row r="756">
      <c r="N756" s="9">
        <f>IF(ISNUMBER(C756),IF(C756&lt;2000,"before 2000",IF(C756&lt;=2014,"2000-2014","2015 onward")),"")</f>
        <v/>
      </c>
      <c r="P756" s="8" t="n"/>
    </row>
    <row r="757">
      <c r="N757" s="9">
        <f>IF(ISNUMBER(C757),IF(C757&lt;2000,"before 2000",IF(C757&lt;=2014,"2000-2014","2015 onward")),"")</f>
        <v/>
      </c>
      <c r="P757" s="8" t="n"/>
    </row>
    <row r="758">
      <c r="N758" s="9">
        <f>IF(ISNUMBER(C758),IF(C758&lt;2000,"before 2000",IF(C758&lt;=2014,"2000-2014","2015 onward")),"")</f>
        <v/>
      </c>
      <c r="P758" s="8" t="n"/>
    </row>
    <row r="759">
      <c r="N759" s="9">
        <f>IF(ISNUMBER(C759),IF(C759&lt;2000,"before 2000",IF(C759&lt;=2014,"2000-2014","2015 onward")),"")</f>
        <v/>
      </c>
      <c r="P759" s="8" t="n"/>
    </row>
    <row r="760">
      <c r="N760" s="9">
        <f>IF(ISNUMBER(C760),IF(C760&lt;2000,"before 2000",IF(C760&lt;=2014,"2000-2014","2015 onward")),"")</f>
        <v/>
      </c>
      <c r="P760" s="8" t="n"/>
    </row>
    <row r="761">
      <c r="N761" s="9">
        <f>IF(ISNUMBER(C761),IF(C761&lt;2000,"before 2000",IF(C761&lt;=2014,"2000-2014","2015 onward")),"")</f>
        <v/>
      </c>
      <c r="P761" s="8" t="n"/>
    </row>
    <row r="762">
      <c r="N762" s="9">
        <f>IF(ISNUMBER(C762),IF(C762&lt;2000,"before 2000",IF(C762&lt;=2014,"2000-2014","2015 onward")),"")</f>
        <v/>
      </c>
      <c r="P762" s="8" t="n"/>
    </row>
    <row r="763">
      <c r="N763" s="9">
        <f>IF(ISNUMBER(C763),IF(C763&lt;2000,"before 2000",IF(C763&lt;=2014,"2000-2014","2015 onward")),"")</f>
        <v/>
      </c>
      <c r="P763" s="8" t="n"/>
    </row>
    <row r="764">
      <c r="N764" s="9">
        <f>IF(ISNUMBER(C764),IF(C764&lt;2000,"before 2000",IF(C764&lt;=2014,"2000-2014","2015 onward")),"")</f>
        <v/>
      </c>
      <c r="P764" s="8" t="n"/>
    </row>
    <row r="765">
      <c r="N765" s="9">
        <f>IF(ISNUMBER(C765),IF(C765&lt;2000,"before 2000",IF(C765&lt;=2014,"2000-2014","2015 onward")),"")</f>
        <v/>
      </c>
      <c r="P765" s="8" t="n"/>
    </row>
    <row r="766">
      <c r="N766" s="9">
        <f>IF(ISNUMBER(C766),IF(C766&lt;2000,"before 2000",IF(C766&lt;=2014,"2000-2014","2015 onward")),"")</f>
        <v/>
      </c>
      <c r="P766" s="8" t="n"/>
    </row>
    <row r="767">
      <c r="N767" s="9">
        <f>IF(ISNUMBER(C767),IF(C767&lt;2000,"before 2000",IF(C767&lt;=2014,"2000-2014","2015 onward")),"")</f>
        <v/>
      </c>
      <c r="P767" s="8" t="n"/>
    </row>
    <row r="768">
      <c r="N768" s="9">
        <f>IF(ISNUMBER(C768),IF(C768&lt;2000,"before 2000",IF(C768&lt;=2014,"2000-2014","2015 onward")),"")</f>
        <v/>
      </c>
      <c r="P768" s="8" t="n"/>
    </row>
    <row r="769">
      <c r="N769" s="9">
        <f>IF(ISNUMBER(C769),IF(C769&lt;2000,"before 2000",IF(C769&lt;=2014,"2000-2014","2015 onward")),"")</f>
        <v/>
      </c>
      <c r="P769" s="8" t="n"/>
    </row>
    <row r="770">
      <c r="N770" s="9">
        <f>IF(ISNUMBER(C770),IF(C770&lt;2000,"before 2000",IF(C770&lt;=2014,"2000-2014","2015 onward")),"")</f>
        <v/>
      </c>
      <c r="P770" s="8" t="n"/>
    </row>
    <row r="771">
      <c r="N771" s="9">
        <f>IF(ISNUMBER(C771),IF(C771&lt;2000,"before 2000",IF(C771&lt;=2014,"2000-2014","2015 onward")),"")</f>
        <v/>
      </c>
      <c r="P771" s="8" t="n"/>
    </row>
    <row r="772">
      <c r="N772" s="9">
        <f>IF(ISNUMBER(C772),IF(C772&lt;2000,"before 2000",IF(C772&lt;=2014,"2000-2014","2015 onward")),"")</f>
        <v/>
      </c>
      <c r="P772" s="8" t="n"/>
    </row>
    <row r="773">
      <c r="N773" s="9">
        <f>IF(ISNUMBER(C773),IF(C773&lt;2000,"before 2000",IF(C773&lt;=2014,"2000-2014","2015 onward")),"")</f>
        <v/>
      </c>
      <c r="P773" s="8" t="n"/>
    </row>
    <row r="774">
      <c r="N774" s="9">
        <f>IF(ISNUMBER(C774),IF(C774&lt;2000,"before 2000",IF(C774&lt;=2014,"2000-2014","2015 onward")),"")</f>
        <v/>
      </c>
      <c r="P774" s="8" t="n"/>
    </row>
    <row r="775">
      <c r="N775" s="9">
        <f>IF(ISNUMBER(C775),IF(C775&lt;2000,"before 2000",IF(C775&lt;=2014,"2000-2014","2015 onward")),"")</f>
        <v/>
      </c>
      <c r="P775" s="8" t="n"/>
    </row>
    <row r="776">
      <c r="N776" s="9">
        <f>IF(ISNUMBER(C776),IF(C776&lt;2000,"before 2000",IF(C776&lt;=2014,"2000-2014","2015 onward")),"")</f>
        <v/>
      </c>
      <c r="P776" s="8" t="n"/>
    </row>
    <row r="777">
      <c r="N777" s="9">
        <f>IF(ISNUMBER(C777),IF(C777&lt;2000,"before 2000",IF(C777&lt;=2014,"2000-2014","2015 onward")),"")</f>
        <v/>
      </c>
      <c r="P777" s="8" t="n"/>
    </row>
    <row r="778">
      <c r="N778" s="9">
        <f>IF(ISNUMBER(C778),IF(C778&lt;2000,"before 2000",IF(C778&lt;=2014,"2000-2014","2015 onward")),"")</f>
        <v/>
      </c>
      <c r="P778" s="8" t="n"/>
    </row>
    <row r="779">
      <c r="N779" s="9">
        <f>IF(ISNUMBER(C779),IF(C779&lt;2000,"before 2000",IF(C779&lt;=2014,"2000-2014","2015 onward")),"")</f>
        <v/>
      </c>
      <c r="P779" s="8" t="n"/>
    </row>
    <row r="780">
      <c r="N780" s="9">
        <f>IF(ISNUMBER(C780),IF(C780&lt;2000,"before 2000",IF(C780&lt;=2014,"2000-2014","2015 onward")),"")</f>
        <v/>
      </c>
      <c r="P780" s="8" t="n"/>
    </row>
    <row r="781">
      <c r="N781" s="9">
        <f>IF(ISNUMBER(C781),IF(C781&lt;2000,"before 2000",IF(C781&lt;=2014,"2000-2014","2015 onward")),"")</f>
        <v/>
      </c>
      <c r="P781" s="8" t="n"/>
    </row>
    <row r="782">
      <c r="N782" s="9">
        <f>IF(ISNUMBER(C782),IF(C782&lt;2000,"before 2000",IF(C782&lt;=2014,"2000-2014","2015 onward")),"")</f>
        <v/>
      </c>
      <c r="P782" s="8" t="n"/>
    </row>
    <row r="783">
      <c r="N783" s="9">
        <f>IF(ISNUMBER(C783),IF(C783&lt;2000,"before 2000",IF(C783&lt;=2014,"2000-2014","2015 onward")),"")</f>
        <v/>
      </c>
      <c r="P783" s="8" t="n"/>
    </row>
    <row r="784">
      <c r="N784" s="9">
        <f>IF(ISNUMBER(C784),IF(C784&lt;2000,"before 2000",IF(C784&lt;=2014,"2000-2014","2015 onward")),"")</f>
        <v/>
      </c>
      <c r="P784" s="8" t="n"/>
    </row>
    <row r="785">
      <c r="N785" s="9">
        <f>IF(ISNUMBER(C785),IF(C785&lt;2000,"before 2000",IF(C785&lt;=2014,"2000-2014","2015 onward")),"")</f>
        <v/>
      </c>
      <c r="P785" s="8" t="n"/>
    </row>
    <row r="786">
      <c r="N786" s="9">
        <f>IF(ISNUMBER(C786),IF(C786&lt;2000,"before 2000",IF(C786&lt;=2014,"2000-2014","2015 onward")),"")</f>
        <v/>
      </c>
      <c r="P786" s="8" t="n"/>
    </row>
    <row r="787">
      <c r="N787" s="9">
        <f>IF(ISNUMBER(C787),IF(C787&lt;2000,"before 2000",IF(C787&lt;=2014,"2000-2014","2015 onward")),"")</f>
        <v/>
      </c>
      <c r="P787" s="8" t="n"/>
    </row>
    <row r="788">
      <c r="N788" s="9">
        <f>IF(ISNUMBER(C788),IF(C788&lt;2000,"before 2000",IF(C788&lt;=2014,"2000-2014","2015 onward")),"")</f>
        <v/>
      </c>
      <c r="P788" s="8" t="n"/>
    </row>
    <row r="789">
      <c r="N789" s="9">
        <f>IF(ISNUMBER(C789),IF(C789&lt;2000,"before 2000",IF(C789&lt;=2014,"2000-2014","2015 onward")),"")</f>
        <v/>
      </c>
      <c r="P789" s="8" t="n"/>
    </row>
    <row r="790">
      <c r="N790" s="9">
        <f>IF(ISNUMBER(C790),IF(C790&lt;2000,"before 2000",IF(C790&lt;=2014,"2000-2014","2015 onward")),"")</f>
        <v/>
      </c>
      <c r="P790" s="8" t="n"/>
    </row>
    <row r="791">
      <c r="N791" s="9">
        <f>IF(ISNUMBER(C791),IF(C791&lt;2000,"before 2000",IF(C791&lt;=2014,"2000-2014","2015 onward")),"")</f>
        <v/>
      </c>
      <c r="P791" s="8" t="n"/>
    </row>
    <row r="792">
      <c r="N792" s="9">
        <f>IF(ISNUMBER(C792),IF(C792&lt;2000,"before 2000",IF(C792&lt;=2014,"2000-2014","2015 onward")),"")</f>
        <v/>
      </c>
      <c r="P792" s="8" t="n"/>
    </row>
    <row r="793">
      <c r="N793" s="9">
        <f>IF(ISNUMBER(C793),IF(C793&lt;2000,"before 2000",IF(C793&lt;=2014,"2000-2014","2015 onward")),"")</f>
        <v/>
      </c>
      <c r="P793" s="8" t="n"/>
    </row>
    <row r="794">
      <c r="N794" s="9">
        <f>IF(ISNUMBER(C794),IF(C794&lt;2000,"before 2000",IF(C794&lt;=2014,"2000-2014","2015 onward")),"")</f>
        <v/>
      </c>
      <c r="P794" s="8" t="n"/>
    </row>
    <row r="795">
      <c r="N795" s="9">
        <f>IF(ISNUMBER(C795),IF(C795&lt;2000,"before 2000",IF(C795&lt;=2014,"2000-2014","2015 onward")),"")</f>
        <v/>
      </c>
      <c r="P795" s="8" t="n"/>
    </row>
    <row r="796">
      <c r="N796" s="9">
        <f>IF(ISNUMBER(C796),IF(C796&lt;2000,"before 2000",IF(C796&lt;=2014,"2000-2014","2015 onward")),"")</f>
        <v/>
      </c>
      <c r="P796" s="8" t="n"/>
    </row>
    <row r="797">
      <c r="N797" s="9">
        <f>IF(ISNUMBER(C797),IF(C797&lt;2000,"before 2000",IF(C797&lt;=2014,"2000-2014","2015 onward")),"")</f>
        <v/>
      </c>
      <c r="P797" s="8" t="n"/>
    </row>
    <row r="798">
      <c r="N798" s="9">
        <f>IF(ISNUMBER(C798),IF(C798&lt;2000,"before 2000",IF(C798&lt;=2014,"2000-2014","2015 onward")),"")</f>
        <v/>
      </c>
      <c r="P798" s="8" t="n"/>
    </row>
    <row r="799">
      <c r="N799" s="9">
        <f>IF(ISNUMBER(C799),IF(C799&lt;2000,"before 2000",IF(C799&lt;=2014,"2000-2014","2015 onward")),"")</f>
        <v/>
      </c>
      <c r="P799" s="8" t="n"/>
    </row>
    <row r="800">
      <c r="N800" s="9">
        <f>IF(ISNUMBER(C800),IF(C800&lt;2000,"before 2000",IF(C800&lt;=2014,"2000-2014","2015 onward")),"")</f>
        <v/>
      </c>
      <c r="P800" s="8" t="n"/>
    </row>
    <row r="801">
      <c r="N801" s="9">
        <f>IF(ISNUMBER(C801),IF(C801&lt;2000,"before 2000",IF(C801&lt;=2014,"2000-2014","2015 onward")),"")</f>
        <v/>
      </c>
      <c r="P801" s="8" t="n"/>
    </row>
    <row r="802">
      <c r="N802" s="9">
        <f>IF(ISNUMBER(C802),IF(C802&lt;2000,"before 2000",IF(C802&lt;=2014,"2000-2014","2015 onward")),"")</f>
        <v/>
      </c>
      <c r="P802" s="8" t="n"/>
    </row>
    <row r="803">
      <c r="N803" s="9">
        <f>IF(ISNUMBER(C803),IF(C803&lt;2000,"before 2000",IF(C803&lt;=2014,"2000-2014","2015 onward")),"")</f>
        <v/>
      </c>
      <c r="P803" s="8" t="n"/>
    </row>
  </sheetData>
  <dataValidations count="7">
    <dataValidation sqref="C4:C803" showDropDown="0" showInputMessage="0" showErrorMessage="1" allowBlank="1" errorTitle="Integer" error="请填非负整数。" type="whole" errorStyle="warning" operator="greaterThanOrEqual">
      <formula1>0</formula1>
    </dataValidation>
    <dataValidation sqref="F4:F803" showDropDown="0" showInputMessage="0" showErrorMessage="1" allowBlank="1" errorTitle="Not in list" error="值不在列表里。请从下拉列表选择；确需例外请在 Notes 里说明。" type="list" errorStyle="warning">
      <formula1>Lists!$D$2:$D$3</formula1>
    </dataValidation>
    <dataValidation sqref="G4:G803" showDropDown="0" showInputMessage="0" showErrorMessage="1" allowBlank="1" errorTitle="Not in list" error="值不在列表里。请从下拉列表选择；确需例外请在 Notes 里说明。" type="list" errorStyle="warning">
      <formula1>Lists!$F$2:$F$6</formula1>
    </dataValidation>
    <dataValidation sqref="H4:H803" showDropDown="0" showInputMessage="0" showErrorMessage="1" allowBlank="1" errorTitle="Not in list" error="值不在列表里。请从下拉列表选择；确需例外请在 Notes 里说明。" type="list" errorStyle="warning">
      <formula1>Lists!$G$2:$G$4</formula1>
    </dataValidation>
    <dataValidation sqref="L4:L803" showDropDown="0" showInputMessage="0" showErrorMessage="1" allowBlank="1" errorTitle="Integer" error="请填非负整数。" type="whole" errorStyle="warning" operator="greaterThanOrEqual">
      <formula1>0</formula1>
    </dataValidation>
    <dataValidation sqref="M4:M803" showDropDown="0" showInputMessage="0" showErrorMessage="1" allowBlank="1" errorTitle="Integer" error="请填非负整数。" type="whole" errorStyle="warning" operator="greaterThanOrEqual">
      <formula1>0</formula1>
    </dataValidation>
    <dataValidation sqref="O4:O803" showDropDown="0" showInputMessage="0" showErrorMessage="1" allowBlank="1" errorTitle="Not in list" error="值不在列表里。请从下拉列表选择；确需例外请在 Notes 里说明。" type="list" errorStyle="warning">
      <formula1>Lists!$X$2:$X$4</formula1>
    </dataValidation>
  </dataValidation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BU150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1" customWidth="1" min="2" max="2"/>
    <col width="11" customWidth="1" min="3" max="3"/>
    <col width="12" customWidth="1" min="4" max="4"/>
    <col width="10" customWidth="1" min="5" max="5"/>
    <col width="14" customWidth="1" min="6" max="6"/>
    <col width="9" customWidth="1" min="7" max="7"/>
    <col width="16" customWidth="1" min="8" max="8"/>
    <col width="6" customWidth="1" min="9" max="9"/>
    <col width="8" customWidth="1" min="10" max="10"/>
    <col width="9" customWidth="1" min="11" max="11"/>
    <col width="9" customWidth="1" min="12" max="12"/>
    <col width="9" customWidth="1" min="13" max="13"/>
    <col width="10" customWidth="1" min="14" max="14"/>
    <col width="10" customWidth="1" min="15" max="15"/>
    <col width="8" customWidth="1" min="16" max="16"/>
    <col width="9" customWidth="1" min="17" max="17"/>
    <col width="16" customWidth="1" min="18" max="18"/>
    <col width="14" customWidth="1" min="19" max="19"/>
    <col width="16" customWidth="1" min="20" max="20"/>
    <col width="11" customWidth="1" min="21" max="21"/>
    <col width="14" customWidth="1" min="22" max="22"/>
    <col width="22" customWidth="1" min="23" max="23"/>
    <col width="16" customWidth="1" min="24" max="24"/>
    <col width="20" customWidth="1" min="25" max="25"/>
    <col width="10" customWidth="1" min="26" max="26"/>
    <col width="9" customWidth="1" min="27" max="27"/>
    <col width="11" customWidth="1" min="28" max="28"/>
    <col width="11" customWidth="1" min="29" max="29"/>
    <col width="10" customWidth="1" min="30" max="30"/>
    <col width="11" customWidth="1" min="31" max="31"/>
    <col width="11" customWidth="1" min="32" max="32"/>
    <col width="20" customWidth="1" min="33" max="33"/>
    <col width="10" customWidth="1" min="34" max="34"/>
    <col width="9" customWidth="1" min="35" max="35"/>
    <col width="9" customWidth="1" min="36" max="36"/>
    <col width="18" customWidth="1" min="37" max="37"/>
    <col width="16" customWidth="1" min="38" max="38"/>
    <col width="11" customWidth="1" min="39" max="39"/>
    <col width="16" customWidth="1" min="40" max="40"/>
    <col width="10" customWidth="1" min="41" max="41"/>
    <col width="12" customWidth="1" min="42" max="42"/>
    <col width="7" customWidth="1" min="43" max="43"/>
    <col width="8" customWidth="1" min="44" max="44"/>
    <col width="7" customWidth="1" min="45" max="45"/>
    <col width="7" customWidth="1" min="46" max="46"/>
    <col width="8" customWidth="1" min="47" max="47"/>
    <col width="10" customWidth="1" min="48" max="48"/>
    <col width="10" customWidth="1" min="49" max="49"/>
    <col width="11" customWidth="1" min="50" max="50"/>
    <col width="13" customWidth="1" min="51" max="51"/>
    <col width="9" customWidth="1" min="52" max="52"/>
    <col width="8" customWidth="1" min="53" max="53"/>
    <col width="16" customWidth="1" min="54" max="54"/>
    <col width="13" customWidth="1" min="55" max="55"/>
    <col width="24" customWidth="1" min="56" max="56"/>
    <col width="18" customWidth="1" min="57" max="57"/>
    <col width="22" customWidth="1" min="58" max="58"/>
    <col width="16" customWidth="1" min="59" max="59"/>
    <col width="10" customWidth="1" min="60" max="60"/>
    <col width="16" customWidth="1" min="61" max="61"/>
    <col width="16" customWidth="1" min="62" max="62"/>
    <col width="9" customWidth="1" min="63" max="63"/>
    <col width="10" customWidth="1" min="64" max="64"/>
    <col width="9" customWidth="1" min="65" max="65"/>
    <col width="20" customWidth="1" min="66" max="66"/>
    <col width="13" customWidth="1" min="67" max="67"/>
    <col width="20" customWidth="1" min="68" max="68"/>
    <col width="12" customWidth="1" min="69" max="69"/>
    <col width="12" customWidth="1" min="70" max="70"/>
    <col width="12" customWidth="1" min="71" max="71"/>
    <col width="12" customWidth="1" min="72" max="72"/>
    <col width="30" customWidth="1" min="73" max="73"/>
  </cols>
  <sheetData>
    <row r="1" ht="22" customHeight="1">
      <c r="A1" s="4" t="inlineStr">
        <is>
          <t>patient_id</t>
        </is>
      </c>
      <c r="B1" s="4" t="inlineStr">
        <is>
          <t>report_id</t>
        </is>
      </c>
      <c r="C1" s="4" t="inlineStr">
        <is>
          <t>extractor</t>
        </is>
      </c>
      <c r="D1" s="4" t="inlineStr">
        <is>
          <t>date_extracted</t>
        </is>
      </c>
      <c r="E1" s="4" t="inlineStr">
        <is>
          <t>own_patient</t>
        </is>
      </c>
      <c r="F1" s="4" t="inlineStr">
        <is>
          <t>same_patient_as</t>
        </is>
      </c>
      <c r="G1" s="5" t="inlineStr">
        <is>
          <t>age_years</t>
        </is>
      </c>
      <c r="H1" s="5" t="inlineStr">
        <is>
          <t>age_verbatim</t>
        </is>
      </c>
      <c r="I1" s="5" t="inlineStr">
        <is>
          <t>sex</t>
        </is>
      </c>
      <c r="J1" s="5" t="inlineStr">
        <is>
          <t>cond_gv</t>
        </is>
      </c>
      <c r="K1" s="5" t="inlineStr">
        <is>
          <t>cond_goo</t>
        </is>
      </c>
      <c r="L1" s="5" t="inlineStr">
        <is>
          <t>cond_panc_tail</t>
        </is>
      </c>
      <c r="M1" s="5" t="inlineStr">
        <is>
          <t>cond_bowel_obs</t>
        </is>
      </c>
      <c r="N1" s="5" t="inlineStr">
        <is>
          <t>cond_dh</t>
        </is>
      </c>
      <c r="O1" s="5" t="inlineStr">
        <is>
          <t>cond_kidney</t>
        </is>
      </c>
      <c r="P1" s="5" t="inlineStr">
        <is>
          <t>cond_prune</t>
        </is>
      </c>
      <c r="Q1" s="5" t="inlineStr">
        <is>
          <t>cond_prev_surg</t>
        </is>
      </c>
      <c r="R1" s="5" t="inlineStr">
        <is>
          <t>prev_surg_type</t>
        </is>
      </c>
      <c r="S1" s="5" t="inlineStr">
        <is>
          <t>cond_syndrome</t>
        </is>
      </c>
      <c r="T1" s="5" t="inlineStr">
        <is>
          <t>cond_other</t>
        </is>
      </c>
      <c r="U1" s="5" t="inlineStr">
        <is>
          <t>aetiology</t>
        </is>
      </c>
      <c r="V1" s="5" t="inlineStr">
        <is>
          <t>aetiology_cause</t>
        </is>
      </c>
      <c r="W1" s="5" t="inlineStr">
        <is>
          <t>ws_basis</t>
        </is>
      </c>
      <c r="X1" s="10" t="inlineStr">
        <is>
          <t>presentation</t>
        </is>
      </c>
      <c r="Y1" s="10" t="inlineStr">
        <is>
          <t>idx_dur_verbatim</t>
        </is>
      </c>
      <c r="Z1" s="10" t="inlineStr">
        <is>
          <t>idx_dur_days</t>
        </is>
      </c>
      <c r="AA1" s="10" t="inlineStr">
        <is>
          <t>idx_dur_rules</t>
        </is>
      </c>
      <c r="AB1" s="10" t="inlineStr">
        <is>
          <t>idx_dur_intermittent</t>
        </is>
      </c>
      <c r="AC1" s="10" t="inlineStr">
        <is>
          <t>idx_dur_alt_days</t>
        </is>
      </c>
      <c r="AD1" s="10" t="inlineStr">
        <is>
          <t>idx_dur_lower_bound</t>
        </is>
      </c>
      <c r="AE1" s="10" t="inlineStr">
        <is>
          <t>idx_dur_cat_imprecise</t>
        </is>
      </c>
      <c r="AF1" s="10" t="inlineStr">
        <is>
          <t>idx_dur_category</t>
        </is>
      </c>
      <c r="AG1" s="10" t="inlineStr">
        <is>
          <t>total_hist_verbatim</t>
        </is>
      </c>
      <c r="AH1" s="10" t="inlineStr">
        <is>
          <t>total_hist_days</t>
        </is>
      </c>
      <c r="AI1" s="10" t="inlineStr">
        <is>
          <t>n_earlier_episodes</t>
        </is>
      </c>
      <c r="AJ1" s="10" t="inlineStr">
        <is>
          <t>missed_dx</t>
        </is>
      </c>
      <c r="AK1" s="10" t="inlineStr">
        <is>
          <t>missed_dx_alt</t>
        </is>
      </c>
      <c r="AL1" s="10" t="inlineStr">
        <is>
          <t>missed_dx_contact</t>
        </is>
      </c>
      <c r="AM1" s="10" t="inlineStr">
        <is>
          <t>known_dx_deferred</t>
        </is>
      </c>
      <c r="AN1" s="10" t="inlineStr">
        <is>
          <t>deferred_reason</t>
        </is>
      </c>
      <c r="AO1" s="10" t="inlineStr">
        <is>
          <t>waiting_interval_days</t>
        </is>
      </c>
      <c r="AP1" s="10" t="inlineStr">
        <is>
          <t>torsion_awaiting</t>
        </is>
      </c>
      <c r="AQ1" s="11" t="inlineStr">
        <is>
          <t>img_us</t>
        </is>
      </c>
      <c r="AR1" s="11" t="inlineStr">
        <is>
          <t>img_doppler</t>
        </is>
      </c>
      <c r="AS1" s="11" t="inlineStr">
        <is>
          <t>img_ct</t>
        </is>
      </c>
      <c r="AT1" s="11" t="inlineStr">
        <is>
          <t>img_mri</t>
        </is>
      </c>
      <c r="AU1" s="11" t="inlineStr">
        <is>
          <t>whirl_sign</t>
        </is>
      </c>
      <c r="AV1" s="11" t="inlineStr">
        <is>
          <t>perfusion</t>
        </is>
      </c>
      <c r="AW1" s="11" t="inlineStr">
        <is>
          <t>platelets</t>
        </is>
      </c>
      <c r="AX1" s="11" t="inlineStr">
        <is>
          <t>thrombocytosis</t>
        </is>
      </c>
      <c r="AY1" s="12" t="inlineStr">
        <is>
          <t>approach</t>
        </is>
      </c>
      <c r="AZ1" s="12" t="inlineStr">
        <is>
          <t>torsion_at_op</t>
        </is>
      </c>
      <c r="BA1" s="12" t="inlineStr">
        <is>
          <t>torsion_degrees</t>
        </is>
      </c>
      <c r="BB1" s="12" t="inlineStr">
        <is>
          <t>viability</t>
        </is>
      </c>
      <c r="BC1" s="12" t="inlineStr">
        <is>
          <t>viab_basis</t>
        </is>
      </c>
      <c r="BD1" s="12" t="inlineStr">
        <is>
          <t>procedure</t>
        </is>
      </c>
      <c r="BE1" s="12" t="inlineStr">
        <is>
          <t>procedure_other</t>
        </is>
      </c>
      <c r="BF1" s="12" t="inlineStr">
        <is>
          <t>fixation</t>
        </is>
      </c>
      <c r="BG1" s="12" t="inlineStr">
        <is>
          <t>fixation_other</t>
        </is>
      </c>
      <c r="BH1" s="12" t="inlineStr">
        <is>
          <t>spleen_size_cm</t>
        </is>
      </c>
      <c r="BI1" s="12" t="inlineStr">
        <is>
          <t>reason_viable_removed</t>
        </is>
      </c>
      <c r="BJ1" s="12" t="inlineStr">
        <is>
          <t>primary_outcome</t>
        </is>
      </c>
      <c r="BK1" s="13" t="inlineStr">
        <is>
          <t>followup_months</t>
        </is>
      </c>
      <c r="BL1" s="13" t="inlineStr">
        <is>
          <t>recurrence</t>
        </is>
      </c>
      <c r="BM1" s="13" t="inlineStr">
        <is>
          <t>further_surgery</t>
        </is>
      </c>
      <c r="BN1" s="13" t="inlineStr">
        <is>
          <t>recurrence_details</t>
        </is>
      </c>
      <c r="BO1" s="13" t="inlineStr">
        <is>
          <t>status_last_fu</t>
        </is>
      </c>
      <c r="BP1" s="13" t="inlineStr">
        <is>
          <t>post_splenectomy_compl</t>
        </is>
      </c>
      <c r="BQ1" s="6" t="inlineStr">
        <is>
          <t>src_age_sex</t>
        </is>
      </c>
      <c r="BR1" s="6" t="inlineStr">
        <is>
          <t>src_exposure</t>
        </is>
      </c>
      <c r="BS1" s="6" t="inlineStr">
        <is>
          <t>src_outcome</t>
        </is>
      </c>
      <c r="BT1" s="6" t="inlineStr">
        <is>
          <t>src_other</t>
        </is>
      </c>
      <c r="BU1" s="6" t="inlineStr">
        <is>
          <t>notes</t>
        </is>
      </c>
    </row>
    <row r="2" ht="62" customHeight="1">
      <c r="A2" s="4" t="inlineStr">
        <is>
          <t>Patient ID</t>
        </is>
      </c>
      <c r="B2" s="4" t="inlineStr">
        <is>
          <t>Report ID</t>
        </is>
      </c>
      <c r="C2" s="4" t="inlineStr">
        <is>
          <t>Extractor</t>
        </is>
      </c>
      <c r="D2" s="4" t="inlineStr">
        <is>
          <t>Date extracted</t>
        </is>
      </c>
      <c r="E2" s="4" t="inlineStr">
        <is>
          <t>Own patient (derived)</t>
        </is>
      </c>
      <c r="F2" s="4" t="inlineStr">
        <is>
          <t>Same patient as</t>
        </is>
      </c>
      <c r="G2" s="5" t="inlineStr">
        <is>
          <t>Age at operation</t>
        </is>
      </c>
      <c r="H2" s="5" t="inlineStr">
        <is>
          <t>Age (verbatim)</t>
        </is>
      </c>
      <c r="I2" s="5" t="inlineStr">
        <is>
          <t>Sex</t>
        </is>
      </c>
      <c r="J2" s="5" t="inlineStr">
        <is>
          <t>Gastric volvulus</t>
        </is>
      </c>
      <c r="K2" s="5" t="inlineStr">
        <is>
          <t>Gastric outlet obstruction</t>
        </is>
      </c>
      <c r="L2" s="5" t="inlineStr">
        <is>
          <t>Pancreatic tail torsion</t>
        </is>
      </c>
      <c r="M2" s="5" t="inlineStr">
        <is>
          <t>Bowel obstruction</t>
        </is>
      </c>
      <c r="N2" s="5" t="inlineStr">
        <is>
          <t>Diaphragmatic hernia or eventration</t>
        </is>
      </c>
      <c r="O2" s="5" t="inlineStr">
        <is>
          <t>Absent or ectopic left kidney</t>
        </is>
      </c>
      <c r="P2" s="5" t="inlineStr">
        <is>
          <t>Prune belly syndrome</t>
        </is>
      </c>
      <c r="Q2" s="5" t="inlineStr">
        <is>
          <t>Previous abdominal surgery</t>
        </is>
      </c>
      <c r="R2" s="5" t="inlineStr">
        <is>
          <t>Previous abdominal surgery (type)</t>
        </is>
      </c>
      <c r="S2" s="5" t="inlineStr">
        <is>
          <t>Syndrome</t>
        </is>
      </c>
      <c r="T2" s="5" t="inlineStr">
        <is>
          <t>Other associated condition</t>
        </is>
      </c>
      <c r="U2" s="5" t="inlineStr">
        <is>
          <t>Aetiology</t>
        </is>
      </c>
      <c r="V2" s="5" t="inlineStr">
        <is>
          <t>Aetiology (cause)</t>
        </is>
      </c>
      <c r="W2" s="5" t="inlineStr">
        <is>
          <t>Basis for wandering spleen (added)</t>
        </is>
      </c>
      <c r="X2" s="10" t="inlineStr">
        <is>
          <t>Presentation</t>
        </is>
      </c>
      <c r="Y2" s="10" t="inlineStr">
        <is>
          <t>Index-episode duration (verbatim)</t>
        </is>
      </c>
      <c r="Z2" s="10" t="inlineStr">
        <is>
          <t>Index-episode duration (days)</t>
        </is>
      </c>
      <c r="AA2" s="10" t="inlineStr">
        <is>
          <t>Rule(s) applied</t>
        </is>
      </c>
      <c r="AB2" s="10" t="inlineStr">
        <is>
          <t>Intermittent / worsening flag</t>
        </is>
      </c>
      <c r="AC2" s="10" t="inlineStr">
        <is>
          <t>Alternative coding (days)</t>
        </is>
      </c>
      <c r="AD2" s="10" t="inlineStr">
        <is>
          <t>Lower-bound flag</t>
        </is>
      </c>
      <c r="AE2" s="10" t="inlineStr">
        <is>
          <t>Category if duration imprecise</t>
        </is>
      </c>
      <c r="AF2" s="10" t="inlineStr">
        <is>
          <t>Duration category (derived)</t>
        </is>
      </c>
      <c r="AG2" s="10" t="inlineStr">
        <is>
          <t>Total symptom history (verbatim)</t>
        </is>
      </c>
      <c r="AH2" s="10" t="inlineStr">
        <is>
          <t>Total symptom history (days)</t>
        </is>
      </c>
      <c r="AI2" s="10" t="inlineStr">
        <is>
          <t>Number of earlier episodes</t>
        </is>
      </c>
      <c r="AJ2" s="10" t="inlineStr">
        <is>
          <t>Missed diagnosis</t>
        </is>
      </c>
      <c r="AK2" s="10" t="inlineStr">
        <is>
          <t>Alternative diagnosis made</t>
        </is>
      </c>
      <c r="AL2" s="10" t="inlineStr">
        <is>
          <t>Contact at which missed</t>
        </is>
      </c>
      <c r="AM2" s="10" t="inlineStr">
        <is>
          <t>Known diagnosis, surgery deferred</t>
        </is>
      </c>
      <c r="AN2" s="10" t="inlineStr">
        <is>
          <t>Reason for deferral</t>
        </is>
      </c>
      <c r="AO2" s="10" t="inlineStr">
        <is>
          <t>Waiting interval (days)</t>
        </is>
      </c>
      <c r="AP2" s="10" t="inlineStr">
        <is>
          <t>Torsion while awaiting surgery</t>
        </is>
      </c>
      <c r="AQ2" s="11" t="inlineStr">
        <is>
          <t>Imaging: US</t>
        </is>
      </c>
      <c r="AR2" s="11" t="inlineStr">
        <is>
          <t>Imaging: Doppler US</t>
        </is>
      </c>
      <c r="AS2" s="11" t="inlineStr">
        <is>
          <t>Imaging: CT</t>
        </is>
      </c>
      <c r="AT2" s="11" t="inlineStr">
        <is>
          <t>Imaging: MRI</t>
        </is>
      </c>
      <c r="AU2" s="11" t="inlineStr">
        <is>
          <t>Whirl sign</t>
        </is>
      </c>
      <c r="AV2" s="11" t="inlineStr">
        <is>
          <t>Splenic perfusion</t>
        </is>
      </c>
      <c r="AW2" s="11" t="inlineStr">
        <is>
          <t>Preoperative platelet count</t>
        </is>
      </c>
      <c r="AX2" s="11" t="inlineStr">
        <is>
          <t>Thrombocytosis (derived)</t>
        </is>
      </c>
      <c r="AY2" s="12" t="inlineStr">
        <is>
          <t>Approach</t>
        </is>
      </c>
      <c r="AZ2" s="12" t="inlineStr">
        <is>
          <t>Torsion at operation</t>
        </is>
      </c>
      <c r="BA2" s="12" t="inlineStr">
        <is>
          <t>Degrees of torsion</t>
        </is>
      </c>
      <c r="BB2" s="12" t="inlineStr">
        <is>
          <t>Splenic viability (primary outcome)</t>
        </is>
      </c>
      <c r="BC2" s="12" t="inlineStr">
        <is>
          <t>Basis of viability</t>
        </is>
      </c>
      <c r="BD2" s="12" t="inlineStr">
        <is>
          <t>Procedure</t>
        </is>
      </c>
      <c r="BE2" s="12" t="inlineStr">
        <is>
          <t>Other procedures</t>
        </is>
      </c>
      <c r="BF2" s="12" t="inlineStr">
        <is>
          <t>Fixation technique</t>
        </is>
      </c>
      <c r="BG2" s="12" t="inlineStr">
        <is>
          <t>Fixation technique (specify)</t>
        </is>
      </c>
      <c r="BH2" s="12" t="inlineStr">
        <is>
          <t>Spleen size (longest dimension, cm)</t>
        </is>
      </c>
      <c r="BI2" s="12" t="inlineStr">
        <is>
          <t>Reason for removing a viable spleen</t>
        </is>
      </c>
      <c r="BJ2" s="12" t="inlineStr">
        <is>
          <t>Primary outcome (derived)</t>
        </is>
      </c>
      <c r="BK2" s="13" t="inlineStr">
        <is>
          <t>Length of follow-up</t>
        </is>
      </c>
      <c r="BL2" s="13" t="inlineStr">
        <is>
          <t>Recurrence or re-torsion</t>
        </is>
      </c>
      <c r="BM2" s="13" t="inlineStr">
        <is>
          <t>Further surgery</t>
        </is>
      </c>
      <c r="BN2" s="13" t="inlineStr">
        <is>
          <t>Recurrence / further surgery details</t>
        </is>
      </c>
      <c r="BO2" s="13" t="inlineStr">
        <is>
          <t>Splenic status at last follow-up</t>
        </is>
      </c>
      <c r="BP2" s="13" t="inlineStr">
        <is>
          <t>Post-splenectomy complications</t>
        </is>
      </c>
      <c r="BQ2" s="6" t="inlineStr">
        <is>
          <t>Source: age, sex</t>
        </is>
      </c>
      <c r="BR2" s="6" t="inlineStr">
        <is>
          <t>Source: duration, history</t>
        </is>
      </c>
      <c r="BS2" s="6" t="inlineStr">
        <is>
          <t>Source: viability, procedure</t>
        </is>
      </c>
      <c r="BT2" s="6" t="inlineStr">
        <is>
          <t>Source: other items</t>
        </is>
      </c>
      <c r="BU2" s="6" t="inlineStr">
        <is>
          <t>Notes</t>
        </is>
      </c>
    </row>
    <row r="3" ht="100" customHeight="1">
      <c r="A3" s="7" t="inlineStr">
        <is>
          <t>报告编号_P序号，如 WS0123_P1；本机构为 OWN_P1–OWN_P5</t>
        </is>
      </c>
      <c r="B3" s="7" t="inlineStr">
        <is>
          <t>WS 编号（Reports 表里要有同一编号）；本机构病例用 OWN</t>
        </is>
      </c>
      <c r="C3" s="7" t="inlineStr">
        <is>
          <t>E1 = 舒俊，E2 = 卞红强，Consensus = 共识</t>
        </is>
      </c>
      <c r="D3" s="7" t="inlineStr">
        <is>
          <t>yyyy-mm-dd</t>
        </is>
      </c>
      <c r="E3" s="7" t="inlineStr">
        <is>
          <t>公式，勿改：report_id 为 OWN 时为 Yes（敏感性分析 1）</t>
        </is>
      </c>
      <c r="F3" s="7" t="inlineStr">
        <is>
          <t>与另一报告重复时，填更完整那篇里的 patient_id；否则留空</t>
        </is>
      </c>
      <c r="G3" s="7" t="inlineStr">
        <is>
          <t>岁，两位小数（月数 ÷ 12）；未报告填 NR。≥18 的不应出现在此表</t>
        </is>
      </c>
      <c r="H3" s="7" t="inlineStr">
        <is>
          <t>原文写法，如 '3 months'、'患儿'</t>
        </is>
      </c>
      <c r="I3" s="7" t="inlineStr">
        <is>
          <t>M / F / NR</t>
        </is>
      </c>
      <c r="J3" s="7" t="inlineStr">
        <is>
          <t>Yes / No / NR</t>
        </is>
      </c>
      <c r="K3" s="7" t="inlineStr">
        <is>
          <t>Yes / No / NR</t>
        </is>
      </c>
      <c r="L3" s="7" t="inlineStr">
        <is>
          <t>第 13 节；Yes / No / NR</t>
        </is>
      </c>
      <c r="M3" s="7" t="inlineStr">
        <is>
          <t>第 13 节；Yes / No / NR</t>
        </is>
      </c>
      <c r="N3" s="7" t="inlineStr">
        <is>
          <t>Yes / No / NR</t>
        </is>
      </c>
      <c r="O3" s="7" t="inlineStr">
        <is>
          <t>Yes / No / NR</t>
        </is>
      </c>
      <c r="P3" s="7" t="inlineStr">
        <is>
          <t>Yes / No / NR</t>
        </is>
      </c>
      <c r="Q3" s="7" t="inlineStr">
        <is>
          <t>Yes / No / NR</t>
        </is>
      </c>
      <c r="R3" s="7" t="inlineStr">
        <is>
          <t>手术类型，如 fundoplication；无则留空</t>
        </is>
      </c>
      <c r="S3" s="7" t="inlineStr">
        <is>
          <t>如 trisomy 21；无综合征填 None，未报告填 NR</t>
        </is>
      </c>
      <c r="T3" s="7" t="inlineStr">
        <is>
          <t>其他，自由文本</t>
        </is>
      </c>
      <c r="U3" s="7" t="inlineStr">
        <is>
          <t>Congenital / Acquired / NR</t>
        </is>
      </c>
      <c r="V3" s="7" t="inlineStr">
        <is>
          <t>获得性时写明原因</t>
        </is>
      </c>
      <c r="W3" s="7" t="inlineStr">
        <is>
          <t>报告凭什么说是游走脾（待确认，见 README 差异 A5）</t>
        </is>
      </c>
      <c r="X3" s="7" t="inlineStr">
        <is>
          <t>Acute / Chronic or intermittent / Acute on chronic / Asymptomatic / Mass only；报告没写发作形式填 NR</t>
        </is>
      </c>
      <c r="Y3" s="7" t="inlineStr">
        <is>
          <t>原文写法</t>
        </is>
      </c>
      <c r="Z3" s="7" t="inlineStr">
        <is>
          <t>天，按下方 Rules 表规则；含糊或没有填 NR</t>
        </is>
      </c>
      <c r="AA3" s="7" t="inlineStr">
        <is>
          <t>用了第几条换算规则，如 2;3</t>
        </is>
      </c>
      <c r="AB3" s="7" t="inlineStr">
        <is>
          <t>Yes / No（规则 6）</t>
        </is>
      </c>
      <c r="AC3" s="7" t="inlineStr">
        <is>
          <t>规则 6 的备选编码（加重时段）；没有则留空</t>
        </is>
      </c>
      <c r="AD3" s="7" t="inlineStr">
        <is>
          <t>规则 9：用入院时持续时间并作为下限时填 Yes</t>
        </is>
      </c>
      <c r="AE3" s="7" t="inlineStr">
        <is>
          <t>规则 5：只有所有合理理解都在同一类别时才填</t>
        </is>
      </c>
      <c r="AF3" s="7" t="inlineStr">
        <is>
          <t>公式，勿改：&lt;=2 d / 3-7 d / 8-30 d / &gt;30 d</t>
        </is>
      </c>
      <c r="AG3" s="7" t="inlineStr">
        <is>
          <t>原文写法</t>
        </is>
      </c>
      <c r="AH3" s="7" t="inlineStr">
        <is>
          <t>天；没有填 NR</t>
        </is>
      </c>
      <c r="AI3" s="7" t="inlineStr">
        <is>
          <t>整数 / NR</t>
        </is>
      </c>
      <c r="AJ3" s="7" t="inlineStr">
        <is>
          <t>Yes / No / NR</t>
        </is>
      </c>
      <c r="AK3" s="7" t="inlineStr">
        <is>
          <t>当时做了什么诊断</t>
        </is>
      </c>
      <c r="AL3" s="7" t="inlineStr">
        <is>
          <t>在哪一次就诊</t>
        </is>
      </c>
      <c r="AM3" s="7" t="inlineStr">
        <is>
          <t>Yes / No / NR</t>
        </is>
      </c>
      <c r="AN3" s="7" t="inlineStr">
        <is>
          <t>Family declined / Observation advised / Elective operation scheduled / Other / Not applicable</t>
        </is>
      </c>
      <c r="AO3" s="7" t="inlineStr">
        <is>
          <t>天；规则 7；没有填 NR 或留空</t>
        </is>
      </c>
      <c r="AP3" s="7" t="inlineStr">
        <is>
          <t>Yes / No / Not applicable</t>
        </is>
      </c>
      <c r="AQ3" s="7" t="inlineStr">
        <is>
          <t>Yes / No / NR</t>
        </is>
      </c>
      <c r="AR3" s="7" t="inlineStr">
        <is>
          <t>Yes / No / NR</t>
        </is>
      </c>
      <c r="AS3" s="7" t="inlineStr">
        <is>
          <t>Yes / No / NR</t>
        </is>
      </c>
      <c r="AT3" s="7" t="inlineStr">
        <is>
          <t>Yes / No / NR</t>
        </is>
      </c>
      <c r="AU3" s="7" t="inlineStr">
        <is>
          <t>Yes / No / NR</t>
        </is>
      </c>
      <c r="AV3" s="7" t="inlineStr">
        <is>
          <t>Normal / Reduced / Absent / NR</t>
        </is>
      </c>
      <c r="AW3" s="7" t="inlineStr">
        <is>
          <t>×10⁹/L；NR</t>
        </is>
      </c>
      <c r="AX3" s="7" t="inlineStr">
        <is>
          <t>公式，勿改：&gt;450 ×10⁹/L 为 Yes</t>
        </is>
      </c>
      <c r="AY3" s="7" t="inlineStr">
        <is>
          <t>Open / Laparoscopic / Converted；未手术填 Not applicable</t>
        </is>
      </c>
      <c r="AZ3" s="7" t="inlineStr">
        <is>
          <t>Yes / No / NR</t>
        </is>
      </c>
      <c r="BA3" s="7" t="inlineStr">
        <is>
          <t>度数；NR</t>
        </is>
      </c>
      <c r="BB3" s="7" t="inlineStr">
        <is>
          <t>Viable / Partially non-viable / Non-viable / NR；未手术填 Not applicable</t>
        </is>
      </c>
      <c r="BC3" s="7" t="inlineStr">
        <is>
          <t>Intraoperative / Histology / Both / NR</t>
        </is>
      </c>
      <c r="BD3" s="7" t="inlineStr">
        <is>
          <t>协议五项加 No operation（第 7 节）与 NR</t>
        </is>
      </c>
      <c r="BE3" s="7" t="inlineStr">
        <is>
          <t>如 gastropexy、hernia repair；自由文本</t>
        </is>
      </c>
      <c r="BF3" s="7" t="inlineStr">
        <is>
          <t>Mesh / pouch / Omental wrap / Direct suture / Other / Not applicable / NR</t>
        </is>
      </c>
      <c r="BG3" s="7" t="inlineStr">
        <is>
          <t>选 Other 时写明</t>
        </is>
      </c>
      <c r="BH3" s="7" t="inlineStr">
        <is>
          <t>厘米；NR</t>
        </is>
      </c>
      <c r="BI3" s="7" t="inlineStr">
        <is>
          <t>Failure of fixation / Surgeon's preference / Other / Not applicable</t>
        </is>
      </c>
      <c r="BJ3" s="7" t="inlineStr">
        <is>
          <t>公式，勿改：见 Rules 表 D3；Review 的由共识解决</t>
        </is>
      </c>
      <c r="BK3" s="7" t="inlineStr">
        <is>
          <t>月；NR</t>
        </is>
      </c>
      <c r="BL3" s="7" t="inlineStr">
        <is>
          <t>Yes / No / NR</t>
        </is>
      </c>
      <c r="BM3" s="7" t="inlineStr">
        <is>
          <t>Yes / No / NR</t>
        </is>
      </c>
      <c r="BN3" s="7" t="inlineStr">
        <is>
          <t>自由文本</t>
        </is>
      </c>
      <c r="BO3" s="7" t="inlineStr">
        <is>
          <t>Preserved / Partially preserved / Lost / NR</t>
        </is>
      </c>
      <c r="BP3" s="7" t="inlineStr">
        <is>
          <t>自由文本</t>
        </is>
      </c>
      <c r="BQ3" s="7" t="inlineStr">
        <is>
          <t>页 / 表 / 图</t>
        </is>
      </c>
      <c r="BR3" s="7" t="inlineStr">
        <is>
          <t>页 / 表 / 图（主要暴露的出处必填）</t>
        </is>
      </c>
      <c r="BS3" s="7" t="inlineStr">
        <is>
          <t>页 / 表 / 图（主要结局的出处必填）</t>
        </is>
      </c>
      <c r="BT3" s="7" t="inlineStr">
        <is>
          <t>页 / 表 / 图</t>
        </is>
      </c>
      <c r="BU3" s="7" t="inlineStr">
        <is>
          <t>任何需要共识讨论的问题</t>
        </is>
      </c>
    </row>
    <row r="4">
      <c r="A4" t="inlineStr">
        <is>
          <t>OWN_P1</t>
        </is>
      </c>
      <c r="B4" t="inlineStr">
        <is>
          <t>OWN</t>
        </is>
      </c>
      <c r="D4" s="8" t="n"/>
      <c r="E4" s="9">
        <f>IF(B4="","",IF(B4="OWN","Yes","No"))</f>
        <v/>
      </c>
      <c r="G4" t="n">
        <v>5.08</v>
      </c>
      <c r="H4" t="inlineStr">
        <is>
          <t>5.08 years at the index operation</t>
        </is>
      </c>
      <c r="I4" t="inlineStr">
        <is>
          <t>M</t>
        </is>
      </c>
      <c r="W4" t="inlineStr">
        <is>
          <t>Imaging shows ectopic position or mobility</t>
        </is>
      </c>
      <c r="X4" t="inlineStr">
        <is>
          <t>Acute on chronic</t>
        </is>
      </c>
      <c r="Y4" t="inlineStr">
        <is>
          <t>abdominal pain and fever, 1 day (second encounter)</t>
        </is>
      </c>
      <c r="Z4" t="n">
        <v>1</v>
      </c>
      <c r="AA4" t="inlineStr">
        <is>
          <t>9</t>
        </is>
      </c>
      <c r="AB4" t="inlineStr">
        <is>
          <t>No</t>
        </is>
      </c>
      <c r="AD4" t="inlineStr">
        <is>
          <t>Yes</t>
        </is>
      </c>
      <c r="AF4" s="9">
        <f>IF(ISNUMBER(Z4),IF(Z4&lt;=2,"&lt;=2 d",IF(Z4&lt;=7,"3-7 d",IF(Z4&lt;=30,"8-30 d","&gt;30 d"))),IF(AE4&lt;&gt;"",AE4,IF(Z4="NR","NR","")))</f>
        <v/>
      </c>
      <c r="AG4" t="inlineStr">
        <is>
          <t>first episode 2 days before the first presentation; index operation 16 months after the first presentation</t>
        </is>
      </c>
      <c r="AH4" t="n">
        <v>488.4</v>
      </c>
      <c r="AI4" t="n">
        <v>1</v>
      </c>
      <c r="AJ4" t="inlineStr">
        <is>
          <t>No</t>
        </is>
      </c>
      <c r="AM4" t="inlineStr">
        <is>
          <t>Yes</t>
        </is>
      </c>
      <c r="AN4" t="inlineStr">
        <is>
          <t>Family declined</t>
        </is>
      </c>
      <c r="AO4" t="n">
        <v>486.4</v>
      </c>
      <c r="AP4" t="inlineStr">
        <is>
          <t>Yes</t>
        </is>
      </c>
      <c r="AQ4" t="inlineStr">
        <is>
          <t>Yes</t>
        </is>
      </c>
      <c r="AS4" t="inlineStr">
        <is>
          <t>Yes</t>
        </is>
      </c>
      <c r="AW4" t="n">
        <v>428</v>
      </c>
      <c r="AX4" s="9">
        <f>IF(ISNUMBER(AW4),IF(AW4&gt;450,"Yes","No"),IF(AW4="NR","NR",""))</f>
        <v/>
      </c>
      <c r="AY4" t="inlineStr">
        <is>
          <t>Open</t>
        </is>
      </c>
      <c r="BB4" t="inlineStr">
        <is>
          <t>Non-viable</t>
        </is>
      </c>
      <c r="BD4" t="inlineStr">
        <is>
          <t>Total splenectomy</t>
        </is>
      </c>
      <c r="BF4" t="inlineStr">
        <is>
          <t>Not applicable</t>
        </is>
      </c>
      <c r="BI4" t="inlineStr">
        <is>
          <t>Not applicable</t>
        </is>
      </c>
      <c r="BJ4" s="9">
        <f>IF(BB4="","",IF(BB4="Non-viable","Non-viable",IF(BB4="Viable","Viable",IF(BB4="Partially non-viable",IF(OR(BD4="Total splenectomy",BD4="Partial splenectomy +/- splenopexy"),"Non-viable","Review"),IF(BB4="NR",IF(OR(BD4="Total splenectomy",BD4="Partial splenectomy +/- splenopexy"),"NR - removed, check reason","NR"),"Not applicable")))))</f>
        <v/>
      </c>
      <c r="BO4" t="inlineStr">
        <is>
          <t>Lost</t>
        </is>
      </c>
      <c r="BP4" t="inlineStr">
        <is>
          <t>Postoperative thrombocytosis, normalised on oral dipyridamole; no overwhelming infection, thromboembolism or pulmonary hypertension (manuscript states this for the four splenectomised children together)</t>
        </is>
      </c>
      <c r="BQ4" t="inlineStr">
        <is>
          <t>Manuscript Table 4</t>
        </is>
      </c>
      <c r="BR4" t="inlineStr">
        <is>
          <t>Manuscript Table 1, Table 4</t>
        </is>
      </c>
      <c r="BS4" t="inlineStr">
        <is>
          <t>Manuscript Results, Table 1, Table 4</t>
        </is>
      </c>
      <c r="BU4" t="inlineStr">
        <is>
          <t>DRAFT, see Chart_check. Index operation = second encounter (CT: pedicle torsion with splenic infarction).</t>
        </is>
      </c>
    </row>
    <row r="5">
      <c r="A5" t="inlineStr">
        <is>
          <t>OWN_P2</t>
        </is>
      </c>
      <c r="B5" t="inlineStr">
        <is>
          <t>OWN</t>
        </is>
      </c>
      <c r="D5" s="8" t="n"/>
      <c r="E5" s="9">
        <f>IF(B5="","",IF(B5="OWN","Yes","No"))</f>
        <v/>
      </c>
      <c r="G5" t="n">
        <v>7.08</v>
      </c>
      <c r="H5" t="inlineStr">
        <is>
          <t>7.08 years at the index operation</t>
        </is>
      </c>
      <c r="I5" t="inlineStr">
        <is>
          <t>F</t>
        </is>
      </c>
      <c r="X5" t="inlineStr">
        <is>
          <t>Acute on chronic</t>
        </is>
      </c>
      <c r="Y5" t="inlineStr">
        <is>
          <t>abdominal pain, 1 day (second encounter)</t>
        </is>
      </c>
      <c r="Z5" t="n">
        <v>1</v>
      </c>
      <c r="AA5" t="inlineStr">
        <is>
          <t>9</t>
        </is>
      </c>
      <c r="AB5" t="inlineStr">
        <is>
          <t>No</t>
        </is>
      </c>
      <c r="AD5" t="inlineStr">
        <is>
          <t>Yes</t>
        </is>
      </c>
      <c r="AF5" s="9">
        <f>IF(ISNUMBER(Z5),IF(Z5&lt;=2,"&lt;=2 d",IF(Z5&lt;=7,"3-7 d",IF(Z5&lt;=30,"8-30 d","&gt;30 d"))),IF(AE5&lt;&gt;"",AE5,IF(Z5="NR","NR","")))</f>
        <v/>
      </c>
      <c r="AG5" t="inlineStr">
        <is>
          <t>first episode 2 days before the first presentation; index operation 19 months after the first presentation</t>
        </is>
      </c>
      <c r="AH5" t="n">
        <v>579.6</v>
      </c>
      <c r="AI5" t="n">
        <v>1</v>
      </c>
      <c r="AJ5" t="inlineStr">
        <is>
          <t>No</t>
        </is>
      </c>
      <c r="AM5" t="inlineStr">
        <is>
          <t>Yes</t>
        </is>
      </c>
      <c r="AN5" t="inlineStr">
        <is>
          <t>Family declined</t>
        </is>
      </c>
      <c r="AO5" t="n">
        <v>577.6</v>
      </c>
      <c r="AP5" t="inlineStr">
        <is>
          <t>Yes</t>
        </is>
      </c>
      <c r="AS5" t="inlineStr">
        <is>
          <t>Yes</t>
        </is>
      </c>
      <c r="AW5" t="n">
        <v>525</v>
      </c>
      <c r="AX5" s="9">
        <f>IF(ISNUMBER(AW5),IF(AW5&gt;450,"Yes","No"),IF(AW5="NR","NR",""))</f>
        <v/>
      </c>
      <c r="AY5" t="inlineStr">
        <is>
          <t>Converted</t>
        </is>
      </c>
      <c r="BB5" t="inlineStr">
        <is>
          <t>Non-viable</t>
        </is>
      </c>
      <c r="BD5" t="inlineStr">
        <is>
          <t>Total splenectomy</t>
        </is>
      </c>
      <c r="BF5" t="inlineStr">
        <is>
          <t>Not applicable</t>
        </is>
      </c>
      <c r="BI5" t="inlineStr">
        <is>
          <t>Not applicable</t>
        </is>
      </c>
      <c r="BJ5" s="9">
        <f>IF(BB5="","",IF(BB5="Non-viable","Non-viable",IF(BB5="Viable","Viable",IF(BB5="Partially non-viable",IF(OR(BD5="Total splenectomy",BD5="Partial splenectomy +/- splenopexy"),"Non-viable","Review"),IF(BB5="NR",IF(OR(BD5="Total splenectomy",BD5="Partial splenectomy +/- splenopexy"),"NR - removed, check reason","NR"),"Not applicable")))))</f>
        <v/>
      </c>
      <c r="BO5" t="inlineStr">
        <is>
          <t>Lost</t>
        </is>
      </c>
      <c r="BP5" t="inlineStr">
        <is>
          <t>Postoperative thrombocytosis, normalised on oral dipyridamole; no overwhelming infection, thromboembolism or pulmonary hypertension (manuscript states this for the four splenectomised children together)</t>
        </is>
      </c>
      <c r="BQ5" t="inlineStr">
        <is>
          <t>Manuscript Table 4</t>
        </is>
      </c>
      <c r="BR5" t="inlineStr">
        <is>
          <t>Manuscript Table 1, Table 4</t>
        </is>
      </c>
      <c r="BS5" t="inlineStr">
        <is>
          <t>Manuscript Results, Table 1, Table 4</t>
        </is>
      </c>
      <c r="BU5" t="inlineStr">
        <is>
          <t>DRAFT, see Chart_check. Index operation = second encounter (CT: pedicle torsion with splenic infarction); laparoscopy converted to laparotomy.</t>
        </is>
      </c>
    </row>
    <row r="6">
      <c r="A6" t="inlineStr">
        <is>
          <t>OWN_P3</t>
        </is>
      </c>
      <c r="B6" t="inlineStr">
        <is>
          <t>OWN</t>
        </is>
      </c>
      <c r="D6" s="8" t="n"/>
      <c r="E6" s="9">
        <f>IF(B6="","",IF(B6="OWN","Yes","No"))</f>
        <v/>
      </c>
      <c r="G6" t="n">
        <v>9.67</v>
      </c>
      <c r="H6" t="inlineStr">
        <is>
          <t>9.67 years at the index operation</t>
        </is>
      </c>
      <c r="I6" t="inlineStr">
        <is>
          <t>F</t>
        </is>
      </c>
      <c r="T6" t="inlineStr">
        <is>
          <t>marked gastric distension with vomiting at the first two encounters (the manuscript does not call it gastric volvulus)</t>
        </is>
      </c>
      <c r="W6" t="inlineStr">
        <is>
          <t>Imaging shows ectopic position or mobility</t>
        </is>
      </c>
      <c r="X6" t="inlineStr">
        <is>
          <t>Chronic or intermittent</t>
        </is>
      </c>
      <c r="Y6" t="inlineStr">
        <is>
          <t>intermittent abdominal pain, 9 days (third encounter)</t>
        </is>
      </c>
      <c r="Z6" t="n">
        <v>9</v>
      </c>
      <c r="AA6" t="inlineStr">
        <is>
          <t>6</t>
        </is>
      </c>
      <c r="AB6" t="inlineStr">
        <is>
          <t>Yes</t>
        </is>
      </c>
      <c r="AF6" s="9">
        <f>IF(ISNUMBER(Z6),IF(Z6&lt;=2,"&lt;=2 d",IF(Z6&lt;=7,"3-7 d",IF(Z6&lt;=30,"8-30 d","&gt;30 d"))),IF(AE6&lt;&gt;"",AE6,IF(Z6="NR","NR","")))</f>
        <v/>
      </c>
      <c r="AG6" t="inlineStr">
        <is>
          <t>first episode 1 day before the first presentation; index operation 62 months after the first presentation</t>
        </is>
      </c>
      <c r="AH6" t="n">
        <v>1885.8</v>
      </c>
      <c r="AI6" t="n">
        <v>2</v>
      </c>
      <c r="AJ6" t="inlineStr">
        <is>
          <t>No</t>
        </is>
      </c>
      <c r="AM6" t="inlineStr">
        <is>
          <t>Yes</t>
        </is>
      </c>
      <c r="AN6" t="inlineStr">
        <is>
          <t>Family declined</t>
        </is>
      </c>
      <c r="AO6" t="n">
        <v>1884.8</v>
      </c>
      <c r="AQ6" t="inlineStr">
        <is>
          <t>Yes</t>
        </is>
      </c>
      <c r="AS6" t="inlineStr">
        <is>
          <t>Yes</t>
        </is>
      </c>
      <c r="AW6" t="n">
        <v>172</v>
      </c>
      <c r="AX6" s="9">
        <f>IF(ISNUMBER(AW6),IF(AW6&gt;450,"Yes","No"),IF(AW6="NR","NR",""))</f>
        <v/>
      </c>
      <c r="AY6" t="inlineStr">
        <is>
          <t>Laparoscopic</t>
        </is>
      </c>
      <c r="BB6" t="inlineStr">
        <is>
          <t>Partially non-viable</t>
        </is>
      </c>
      <c r="BC6" t="inlineStr">
        <is>
          <t>Intraoperative</t>
        </is>
      </c>
      <c r="BD6" t="inlineStr">
        <is>
          <t>Partial splenectomy +/- splenopexy</t>
        </is>
      </c>
      <c r="BE6" t="inlineStr">
        <is>
          <t>subperitoneal pouch made first and abandoned because the spleen did not fit</t>
        </is>
      </c>
      <c r="BF6" t="inlineStr">
        <is>
          <t>Direct suture</t>
        </is>
      </c>
      <c r="BG6" t="inlineStr">
        <is>
          <t>upper pole to diaphragm, lower pole to lateral peritoneum, 5-0 silk, Hem-o-lok clips added</t>
        </is>
      </c>
      <c r="BH6" t="n">
        <v>17.3</v>
      </c>
      <c r="BI6" t="inlineStr">
        <is>
          <t>Not applicable</t>
        </is>
      </c>
      <c r="BJ6" s="9">
        <f>IF(BB6="","",IF(BB6="Non-viable","Non-viable",IF(BB6="Viable","Viable",IF(BB6="Partially non-viable",IF(OR(BD6="Total splenectomy",BD6="Partial splenectomy +/- splenopexy"),"Non-viable","Review"),IF(BB6="NR",IF(OR(BD6="Total splenectomy",BD6="Partial splenectomy +/- splenopexy"),"NR - removed, check reason","NR"),"Not applicable")))))</f>
        <v/>
      </c>
      <c r="BL6" t="inlineStr">
        <is>
          <t>Yes</t>
        </is>
      </c>
      <c r="BM6" t="inlineStr">
        <is>
          <t>Yes</t>
        </is>
      </c>
      <c r="BN6" t="inlineStr">
        <is>
          <t>recurrent migration of the spleen 1 month after the index operation (16.6 x 7.6 cm, anteromedial rotation of the body and tail of the pancreas on CT); total splenectomy with omental autotransplantation (3-cm slices)</t>
        </is>
      </c>
      <c r="BO6" t="inlineStr">
        <is>
          <t>Lost</t>
        </is>
      </c>
      <c r="BP6" t="inlineStr">
        <is>
          <t>Postoperative thrombocytosis, normalised on oral dipyridamole; no overwhelming infection, thromboembolism or pulmonary hypertension (manuscript states this for the four splenectomised children together)</t>
        </is>
      </c>
      <c r="BQ6" t="inlineStr">
        <is>
          <t>Manuscript Table 4</t>
        </is>
      </c>
      <c r="BR6" t="inlineStr">
        <is>
          <t>Manuscript Table 1, Table 4</t>
        </is>
      </c>
      <c r="BS6" t="inlineStr">
        <is>
          <t>Manuscript Results, Table 1, Table 4</t>
        </is>
      </c>
      <c r="BU6" t="inlineStr">
        <is>
          <t>DRAFT, see Chart_check. Index operation = third encounter (first splenic operation, 62 months after the first presentation).</t>
        </is>
      </c>
    </row>
    <row r="7">
      <c r="A7" t="inlineStr">
        <is>
          <t>OWN_P4</t>
        </is>
      </c>
      <c r="B7" t="inlineStr">
        <is>
          <t>OWN</t>
        </is>
      </c>
      <c r="D7" s="8" t="n"/>
      <c r="E7" s="9">
        <f>IF(B7="","",IF(B7="OWN","Yes","No"))</f>
        <v/>
      </c>
      <c r="G7" t="n">
        <v>2.75</v>
      </c>
      <c r="H7" t="inlineStr">
        <is>
          <t>2 years 9 months</t>
        </is>
      </c>
      <c r="I7" t="inlineStr">
        <is>
          <t>M</t>
        </is>
      </c>
      <c r="J7" t="inlineStr">
        <is>
          <t>Yes</t>
        </is>
      </c>
      <c r="T7" t="inlineStr">
        <is>
          <t>gastric perforation (2 cm, posterior wall of the antrum), repaired at the same operation</t>
        </is>
      </c>
      <c r="W7" t="inlineStr">
        <is>
          <t>Imaging and operation</t>
        </is>
      </c>
      <c r="X7" t="inlineStr">
        <is>
          <t>Acute</t>
        </is>
      </c>
      <c r="Y7" t="inlineStr">
        <is>
          <t>abdominal distension, 2 hours</t>
        </is>
      </c>
      <c r="Z7" t="n">
        <v>0.1</v>
      </c>
      <c r="AA7" t="inlineStr">
        <is>
          <t>1;9</t>
        </is>
      </c>
      <c r="AB7" t="inlineStr">
        <is>
          <t>No</t>
        </is>
      </c>
      <c r="AD7" t="inlineStr">
        <is>
          <t>No</t>
        </is>
      </c>
      <c r="AF7" s="9">
        <f>IF(ISNUMBER(Z7),IF(Z7&lt;=2,"&lt;=2 d",IF(Z7&lt;=7,"3-7 d",IF(Z7&lt;=30,"8-30 d","&gt;30 d"))),IF(AE7&lt;&gt;"",AE7,IF(Z7="NR","NR","")))</f>
        <v/>
      </c>
      <c r="AG7" t="inlineStr">
        <is>
          <t>single episode, 2 hours</t>
        </is>
      </c>
      <c r="AH7" t="n">
        <v>0.1</v>
      </c>
      <c r="AI7" t="n">
        <v>0</v>
      </c>
      <c r="AJ7" t="inlineStr">
        <is>
          <t>No</t>
        </is>
      </c>
      <c r="AM7" t="inlineStr">
        <is>
          <t>No</t>
        </is>
      </c>
      <c r="AN7" t="inlineStr">
        <is>
          <t>Not applicable</t>
        </is>
      </c>
      <c r="AP7" t="inlineStr">
        <is>
          <t>Not applicable</t>
        </is>
      </c>
      <c r="AS7" t="inlineStr">
        <is>
          <t>Yes</t>
        </is>
      </c>
      <c r="AV7" t="inlineStr">
        <is>
          <t>Normal</t>
        </is>
      </c>
      <c r="AW7" t="n">
        <v>177</v>
      </c>
      <c r="AX7" s="9">
        <f>IF(ISNUMBER(AW7),IF(AW7&gt;450,"Yes","No"),IF(AW7="NR","NR",""))</f>
        <v/>
      </c>
      <c r="AY7" t="inlineStr">
        <is>
          <t>Open</t>
        </is>
      </c>
      <c r="BB7" t="inlineStr">
        <is>
          <t>Viable</t>
        </is>
      </c>
      <c r="BC7" t="inlineStr">
        <is>
          <t>Intraoperative</t>
        </is>
      </c>
      <c r="BD7" t="inlineStr">
        <is>
          <t>Splenopexy</t>
        </is>
      </c>
      <c r="BE7" t="inlineStr">
        <is>
          <t>repair of the gastric perforation</t>
        </is>
      </c>
      <c r="BF7" t="inlineStr">
        <is>
          <t>Other (specify)</t>
        </is>
      </c>
      <c r="BG7" t="inlineStr">
        <is>
          <t>reinforced two-pole fixation: 2-0 non-absorbable silk through absorbable haemostatic gauze and the full thickness of the parenchyma, upper pole to the diaphragmatic muscle, lower pole to the left lateral abdominal wall</t>
        </is>
      </c>
      <c r="BH7" t="n">
        <v>8.4</v>
      </c>
      <c r="BI7" t="inlineStr">
        <is>
          <t>Not applicable</t>
        </is>
      </c>
      <c r="BJ7" s="9">
        <f>IF(BB7="","",IF(BB7="Non-viable","Non-viable",IF(BB7="Viable","Viable",IF(BB7="Partially non-viable",IF(OR(BD7="Total splenectomy",BD7="Partial splenectomy +/- splenopexy"),"Non-viable","Review"),IF(BB7="NR",IF(OR(BD7="Total splenectomy",BD7="Partial splenectomy +/- splenopexy"),"NR - removed, check reason","NR"),"Not applicable")))))</f>
        <v/>
      </c>
      <c r="BK7" t="n">
        <v>13</v>
      </c>
      <c r="BL7" t="inlineStr">
        <is>
          <t>No</t>
        </is>
      </c>
      <c r="BN7" t="inlineStr">
        <is>
          <t>normally positioned spleen on CT at 13 months, asymptomatic</t>
        </is>
      </c>
      <c r="BO7" t="inlineStr">
        <is>
          <t>Preserved</t>
        </is>
      </c>
      <c r="BQ7" t="inlineStr">
        <is>
          <t>Manuscript Table 4</t>
        </is>
      </c>
      <c r="BR7" t="inlineStr">
        <is>
          <t>Manuscript Table 1, Table 4</t>
        </is>
      </c>
      <c r="BS7" t="inlineStr">
        <is>
          <t>Manuscript Results, Table 1, Table 4</t>
        </is>
      </c>
      <c r="BU7" t="inlineStr">
        <is>
          <t>DRAFT, see Chart_check. Operated at the first presentation, because of the gastric perforation.</t>
        </is>
      </c>
    </row>
    <row r="8">
      <c r="A8" t="inlineStr">
        <is>
          <t>OWN_P5</t>
        </is>
      </c>
      <c r="B8" t="inlineStr">
        <is>
          <t>OWN</t>
        </is>
      </c>
      <c r="D8" s="8" t="n"/>
      <c r="E8" s="9">
        <f>IF(B8="","",IF(B8="OWN","Yes","No"))</f>
        <v/>
      </c>
      <c r="G8" t="n">
        <v>13.08</v>
      </c>
      <c r="H8" t="inlineStr">
        <is>
          <t>13 years (13.08 in Table 4)</t>
        </is>
      </c>
      <c r="I8" t="inlineStr">
        <is>
          <t>M</t>
        </is>
      </c>
      <c r="W8" t="inlineStr">
        <is>
          <t>Imaging shows ectopic position or mobility</t>
        </is>
      </c>
      <c r="X8" t="inlineStr">
        <is>
          <t>Acute</t>
        </is>
      </c>
      <c r="Y8" t="inlineStr">
        <is>
          <t>continuous periumbilical pain 18 hours before presentation; laparotomy 2.5 hours after presentation</t>
        </is>
      </c>
      <c r="Z8" t="n">
        <v>0.9</v>
      </c>
      <c r="AA8" t="inlineStr">
        <is>
          <t>1;8</t>
        </is>
      </c>
      <c r="AB8" t="inlineStr">
        <is>
          <t>No</t>
        </is>
      </c>
      <c r="AD8" t="inlineStr">
        <is>
          <t>No</t>
        </is>
      </c>
      <c r="AF8" s="9">
        <f>IF(ISNUMBER(Z8),IF(Z8&lt;=2,"&lt;=2 d",IF(Z8&lt;=7,"3-7 d",IF(Z8&lt;=30,"8-30 d","&gt;30 d"))),IF(AE8&lt;&gt;"",AE8,IF(Z8="NR","NR","")))</f>
        <v/>
      </c>
      <c r="AJ8" t="inlineStr">
        <is>
          <t>Yes</t>
        </is>
      </c>
      <c r="AK8" t="inlineStr">
        <is>
          <t>acute gastritis</t>
        </is>
      </c>
      <c r="AL8" t="inlineStr">
        <is>
          <t>admission to another hospital one week before presentation</t>
        </is>
      </c>
      <c r="AM8" t="inlineStr">
        <is>
          <t>No</t>
        </is>
      </c>
      <c r="AN8" t="inlineStr">
        <is>
          <t>Not applicable</t>
        </is>
      </c>
      <c r="AP8" t="inlineStr">
        <is>
          <t>Not applicable</t>
        </is>
      </c>
      <c r="AS8" t="inlineStr">
        <is>
          <t>Yes</t>
        </is>
      </c>
      <c r="AU8" t="inlineStr">
        <is>
          <t>Yes</t>
        </is>
      </c>
      <c r="AW8" t="inlineStr">
        <is>
          <t>NR</t>
        </is>
      </c>
      <c r="AX8" s="9">
        <f>IF(ISNUMBER(AW8),IF(AW8&gt;450,"Yes","No"),IF(AW8="NR","NR",""))</f>
        <v/>
      </c>
      <c r="AY8" t="inlineStr">
        <is>
          <t>Open</t>
        </is>
      </c>
      <c r="AZ8" t="inlineStr">
        <is>
          <t>Yes</t>
        </is>
      </c>
      <c r="BA8" t="n">
        <v>720</v>
      </c>
      <c r="BB8" t="inlineStr">
        <is>
          <t>Non-viable</t>
        </is>
      </c>
      <c r="BC8" t="inlineStr">
        <is>
          <t>Intraoperative</t>
        </is>
      </c>
      <c r="BD8" t="inlineStr">
        <is>
          <t>Total splenectomy</t>
        </is>
      </c>
      <c r="BE8" t="inlineStr">
        <is>
          <t>separate double ligation of the splenic artery</t>
        </is>
      </c>
      <c r="BF8" t="inlineStr">
        <is>
          <t>Not applicable</t>
        </is>
      </c>
      <c r="BH8" t="inlineStr">
        <is>
          <t>NR</t>
        </is>
      </c>
      <c r="BI8" t="inlineStr">
        <is>
          <t>Not applicable</t>
        </is>
      </c>
      <c r="BJ8" s="9">
        <f>IF(BB8="","",IF(BB8="Non-viable","Non-viable",IF(BB8="Viable","Viable",IF(BB8="Partially non-viable",IF(OR(BD8="Total splenectomy",BD8="Partial splenectomy +/- splenopexy"),"Non-viable","Review"),IF(BB8="NR",IF(OR(BD8="Total splenectomy",BD8="Partial splenectomy +/- splenopexy"),"NR - removed, check reason","NR"),"Not applicable")))))</f>
        <v/>
      </c>
      <c r="BK8" t="n">
        <v>5</v>
      </c>
      <c r="BO8" t="inlineStr">
        <is>
          <t>Lost</t>
        </is>
      </c>
      <c r="BP8" t="inlineStr">
        <is>
          <t>Thrombocytosis 918 x10^9/L on postoperative day 9, normalised on oral dipyridamole; no overwhelming infection, thromboembolism or pulmonary hypertension</t>
        </is>
      </c>
      <c r="BQ8" t="inlineStr">
        <is>
          <t>Manuscript Table 4</t>
        </is>
      </c>
      <c r="BR8" t="inlineStr">
        <is>
          <t>Manuscript Table 1, Table 4</t>
        </is>
      </c>
      <c r="BS8" t="inlineStr">
        <is>
          <t>Manuscript Results, Table 1, Table 4</t>
        </is>
      </c>
      <c r="BU8" t="inlineStr">
        <is>
          <t>DRAFT, see Chart_check. Platelet count reported as normal, exact value not recorded (manuscript). Spleen described as enlarged, no size. Index operation 20.5 hours after the onset of the continuous pain (18 h + 2.5 h = 0.9 day).</t>
        </is>
      </c>
    </row>
    <row r="9">
      <c r="D9" s="8" t="n"/>
      <c r="E9" s="9">
        <f>IF(B9="","",IF(B9="OWN","Yes","No"))</f>
        <v/>
      </c>
      <c r="AF9" s="9">
        <f>IF(ISNUMBER(Z9),IF(Z9&lt;=2,"&lt;=2 d",IF(Z9&lt;=7,"3-7 d",IF(Z9&lt;=30,"8-30 d","&gt;30 d"))),IF(AE9&lt;&gt;"",AE9,IF(Z9="NR","NR","")))</f>
        <v/>
      </c>
      <c r="AX9" s="9">
        <f>IF(ISNUMBER(AW9),IF(AW9&gt;450,"Yes","No"),IF(AW9="NR","NR",""))</f>
        <v/>
      </c>
      <c r="BJ9" s="9">
        <f>IF(BB9="","",IF(BB9="Non-viable","Non-viable",IF(BB9="Viable","Viable",IF(BB9="Partially non-viable",IF(OR(BD9="Total splenectomy",BD9="Partial splenectomy +/- splenopexy"),"Non-viable","Review"),IF(BB9="NR",IF(OR(BD9="Total splenectomy",BD9="Partial splenectomy +/- splenopexy"),"NR - removed, check reason","NR"),"Not applicable")))))</f>
        <v/>
      </c>
    </row>
    <row r="10">
      <c r="D10" s="8" t="n"/>
      <c r="E10" s="9">
        <f>IF(B10="","",IF(B10="OWN","Yes","No"))</f>
        <v/>
      </c>
      <c r="AF10" s="9">
        <f>IF(ISNUMBER(Z10),IF(Z10&lt;=2,"&lt;=2 d",IF(Z10&lt;=7,"3-7 d",IF(Z10&lt;=30,"8-30 d","&gt;30 d"))),IF(AE10&lt;&gt;"",AE10,IF(Z10="NR","NR","")))</f>
        <v/>
      </c>
      <c r="AX10" s="9">
        <f>IF(ISNUMBER(AW10),IF(AW10&gt;450,"Yes","No"),IF(AW10="NR","NR",""))</f>
        <v/>
      </c>
      <c r="BJ10" s="9">
        <f>IF(BB10="","",IF(BB10="Non-viable","Non-viable",IF(BB10="Viable","Viable",IF(BB10="Partially non-viable",IF(OR(BD10="Total splenectomy",BD10="Partial splenectomy +/- splenopexy"),"Non-viable","Review"),IF(BB10="NR",IF(OR(BD10="Total splenectomy",BD10="Partial splenectomy +/- splenopexy"),"NR - removed, check reason","NR"),"Not applicable")))))</f>
        <v/>
      </c>
    </row>
    <row r="11">
      <c r="D11" s="8" t="n"/>
      <c r="E11" s="9">
        <f>IF(B11="","",IF(B11="OWN","Yes","No"))</f>
        <v/>
      </c>
      <c r="AF11" s="9">
        <f>IF(ISNUMBER(Z11),IF(Z11&lt;=2,"&lt;=2 d",IF(Z11&lt;=7,"3-7 d",IF(Z11&lt;=30,"8-30 d","&gt;30 d"))),IF(AE11&lt;&gt;"",AE11,IF(Z11="NR","NR","")))</f>
        <v/>
      </c>
      <c r="AX11" s="9">
        <f>IF(ISNUMBER(AW11),IF(AW11&gt;450,"Yes","No"),IF(AW11="NR","NR",""))</f>
        <v/>
      </c>
      <c r="BJ11" s="9">
        <f>IF(BB11="","",IF(BB11="Non-viable","Non-viable",IF(BB11="Viable","Viable",IF(BB11="Partially non-viable",IF(OR(BD11="Total splenectomy",BD11="Partial splenectomy +/- splenopexy"),"Non-viable","Review"),IF(BB11="NR",IF(OR(BD11="Total splenectomy",BD11="Partial splenectomy +/- splenopexy"),"NR - removed, check reason","NR"),"Not applicable")))))</f>
        <v/>
      </c>
    </row>
    <row r="12">
      <c r="D12" s="8" t="n"/>
      <c r="E12" s="9">
        <f>IF(B12="","",IF(B12="OWN","Yes","No"))</f>
        <v/>
      </c>
      <c r="AF12" s="9">
        <f>IF(ISNUMBER(Z12),IF(Z12&lt;=2,"&lt;=2 d",IF(Z12&lt;=7,"3-7 d",IF(Z12&lt;=30,"8-30 d","&gt;30 d"))),IF(AE12&lt;&gt;"",AE12,IF(Z12="NR","NR","")))</f>
        <v/>
      </c>
      <c r="AX12" s="9">
        <f>IF(ISNUMBER(AW12),IF(AW12&gt;450,"Yes","No"),IF(AW12="NR","NR",""))</f>
        <v/>
      </c>
      <c r="BJ12" s="9">
        <f>IF(BB12="","",IF(BB12="Non-viable","Non-viable",IF(BB12="Viable","Viable",IF(BB12="Partially non-viable",IF(OR(BD12="Total splenectomy",BD12="Partial splenectomy +/- splenopexy"),"Non-viable","Review"),IF(BB12="NR",IF(OR(BD12="Total splenectomy",BD12="Partial splenectomy +/- splenopexy"),"NR - removed, check reason","NR"),"Not applicable")))))</f>
        <v/>
      </c>
    </row>
    <row r="13">
      <c r="D13" s="8" t="n"/>
      <c r="E13" s="9">
        <f>IF(B13="","",IF(B13="OWN","Yes","No"))</f>
        <v/>
      </c>
      <c r="AF13" s="9">
        <f>IF(ISNUMBER(Z13),IF(Z13&lt;=2,"&lt;=2 d",IF(Z13&lt;=7,"3-7 d",IF(Z13&lt;=30,"8-30 d","&gt;30 d"))),IF(AE13&lt;&gt;"",AE13,IF(Z13="NR","NR","")))</f>
        <v/>
      </c>
      <c r="AX13" s="9">
        <f>IF(ISNUMBER(AW13),IF(AW13&gt;450,"Yes","No"),IF(AW13="NR","NR",""))</f>
        <v/>
      </c>
      <c r="BJ13" s="9">
        <f>IF(BB13="","",IF(BB13="Non-viable","Non-viable",IF(BB13="Viable","Viable",IF(BB13="Partially non-viable",IF(OR(BD13="Total splenectomy",BD13="Partial splenectomy +/- splenopexy"),"Non-viable","Review"),IF(BB13="NR",IF(OR(BD13="Total splenectomy",BD13="Partial splenectomy +/- splenopexy"),"NR - removed, check reason","NR"),"Not applicable")))))</f>
        <v/>
      </c>
    </row>
    <row r="14">
      <c r="D14" s="8" t="n"/>
      <c r="E14" s="9">
        <f>IF(B14="","",IF(B14="OWN","Yes","No"))</f>
        <v/>
      </c>
      <c r="AF14" s="9">
        <f>IF(ISNUMBER(Z14),IF(Z14&lt;=2,"&lt;=2 d",IF(Z14&lt;=7,"3-7 d",IF(Z14&lt;=30,"8-30 d","&gt;30 d"))),IF(AE14&lt;&gt;"",AE14,IF(Z14="NR","NR","")))</f>
        <v/>
      </c>
      <c r="AX14" s="9">
        <f>IF(ISNUMBER(AW14),IF(AW14&gt;450,"Yes","No"),IF(AW14="NR","NR",""))</f>
        <v/>
      </c>
      <c r="BJ14" s="9">
        <f>IF(BB14="","",IF(BB14="Non-viable","Non-viable",IF(BB14="Viable","Viable",IF(BB14="Partially non-viable",IF(OR(BD14="Total splenectomy",BD14="Partial splenectomy +/- splenopexy"),"Non-viable","Review"),IF(BB14="NR",IF(OR(BD14="Total splenectomy",BD14="Partial splenectomy +/- splenopexy"),"NR - removed, check reason","NR"),"Not applicable")))))</f>
        <v/>
      </c>
    </row>
    <row r="15">
      <c r="D15" s="8" t="n"/>
      <c r="E15" s="9">
        <f>IF(B15="","",IF(B15="OWN","Yes","No"))</f>
        <v/>
      </c>
      <c r="AF15" s="9">
        <f>IF(ISNUMBER(Z15),IF(Z15&lt;=2,"&lt;=2 d",IF(Z15&lt;=7,"3-7 d",IF(Z15&lt;=30,"8-30 d","&gt;30 d"))),IF(AE15&lt;&gt;"",AE15,IF(Z15="NR","NR","")))</f>
        <v/>
      </c>
      <c r="AX15" s="9">
        <f>IF(ISNUMBER(AW15),IF(AW15&gt;450,"Yes","No"),IF(AW15="NR","NR",""))</f>
        <v/>
      </c>
      <c r="BJ15" s="9">
        <f>IF(BB15="","",IF(BB15="Non-viable","Non-viable",IF(BB15="Viable","Viable",IF(BB15="Partially non-viable",IF(OR(BD15="Total splenectomy",BD15="Partial splenectomy +/- splenopexy"),"Non-viable","Review"),IF(BB15="NR",IF(OR(BD15="Total splenectomy",BD15="Partial splenectomy +/- splenopexy"),"NR - removed, check reason","NR"),"Not applicable")))))</f>
        <v/>
      </c>
    </row>
    <row r="16">
      <c r="D16" s="8" t="n"/>
      <c r="E16" s="9">
        <f>IF(B16="","",IF(B16="OWN","Yes","No"))</f>
        <v/>
      </c>
      <c r="AF16" s="9">
        <f>IF(ISNUMBER(Z16),IF(Z16&lt;=2,"&lt;=2 d",IF(Z16&lt;=7,"3-7 d",IF(Z16&lt;=30,"8-30 d","&gt;30 d"))),IF(AE16&lt;&gt;"",AE16,IF(Z16="NR","NR","")))</f>
        <v/>
      </c>
      <c r="AX16" s="9">
        <f>IF(ISNUMBER(AW16),IF(AW16&gt;450,"Yes","No"),IF(AW16="NR","NR",""))</f>
        <v/>
      </c>
      <c r="BJ16" s="9">
        <f>IF(BB16="","",IF(BB16="Non-viable","Non-viable",IF(BB16="Viable","Viable",IF(BB16="Partially non-viable",IF(OR(BD16="Total splenectomy",BD16="Partial splenectomy +/- splenopexy"),"Non-viable","Review"),IF(BB16="NR",IF(OR(BD16="Total splenectomy",BD16="Partial splenectomy +/- splenopexy"),"NR - removed, check reason","NR"),"Not applicable")))))</f>
        <v/>
      </c>
    </row>
    <row r="17">
      <c r="D17" s="8" t="n"/>
      <c r="E17" s="9">
        <f>IF(B17="","",IF(B17="OWN","Yes","No"))</f>
        <v/>
      </c>
      <c r="AF17" s="9">
        <f>IF(ISNUMBER(Z17),IF(Z17&lt;=2,"&lt;=2 d",IF(Z17&lt;=7,"3-7 d",IF(Z17&lt;=30,"8-30 d","&gt;30 d"))),IF(AE17&lt;&gt;"",AE17,IF(Z17="NR","NR","")))</f>
        <v/>
      </c>
      <c r="AX17" s="9">
        <f>IF(ISNUMBER(AW17),IF(AW17&gt;450,"Yes","No"),IF(AW17="NR","NR",""))</f>
        <v/>
      </c>
      <c r="BJ17" s="9">
        <f>IF(BB17="","",IF(BB17="Non-viable","Non-viable",IF(BB17="Viable","Viable",IF(BB17="Partially non-viable",IF(OR(BD17="Total splenectomy",BD17="Partial splenectomy +/- splenopexy"),"Non-viable","Review"),IF(BB17="NR",IF(OR(BD17="Total splenectomy",BD17="Partial splenectomy +/- splenopexy"),"NR - removed, check reason","NR"),"Not applicable")))))</f>
        <v/>
      </c>
    </row>
    <row r="18">
      <c r="D18" s="8" t="n"/>
      <c r="E18" s="9">
        <f>IF(B18="","",IF(B18="OWN","Yes","No"))</f>
        <v/>
      </c>
      <c r="AF18" s="9">
        <f>IF(ISNUMBER(Z18),IF(Z18&lt;=2,"&lt;=2 d",IF(Z18&lt;=7,"3-7 d",IF(Z18&lt;=30,"8-30 d","&gt;30 d"))),IF(AE18&lt;&gt;"",AE18,IF(Z18="NR","NR","")))</f>
        <v/>
      </c>
      <c r="AX18" s="9">
        <f>IF(ISNUMBER(AW18),IF(AW18&gt;450,"Yes","No"),IF(AW18="NR","NR",""))</f>
        <v/>
      </c>
      <c r="BJ18" s="9">
        <f>IF(BB18="","",IF(BB18="Non-viable","Non-viable",IF(BB18="Viable","Viable",IF(BB18="Partially non-viable",IF(OR(BD18="Total splenectomy",BD18="Partial splenectomy +/- splenopexy"),"Non-viable","Review"),IF(BB18="NR",IF(OR(BD18="Total splenectomy",BD18="Partial splenectomy +/- splenopexy"),"NR - removed, check reason","NR"),"Not applicable")))))</f>
        <v/>
      </c>
    </row>
    <row r="19">
      <c r="D19" s="8" t="n"/>
      <c r="E19" s="9">
        <f>IF(B19="","",IF(B19="OWN","Yes","No"))</f>
        <v/>
      </c>
      <c r="AF19" s="9">
        <f>IF(ISNUMBER(Z19),IF(Z19&lt;=2,"&lt;=2 d",IF(Z19&lt;=7,"3-7 d",IF(Z19&lt;=30,"8-30 d","&gt;30 d"))),IF(AE19&lt;&gt;"",AE19,IF(Z19="NR","NR","")))</f>
        <v/>
      </c>
      <c r="AX19" s="9">
        <f>IF(ISNUMBER(AW19),IF(AW19&gt;450,"Yes","No"),IF(AW19="NR","NR",""))</f>
        <v/>
      </c>
      <c r="BJ19" s="9">
        <f>IF(BB19="","",IF(BB19="Non-viable","Non-viable",IF(BB19="Viable","Viable",IF(BB19="Partially non-viable",IF(OR(BD19="Total splenectomy",BD19="Partial splenectomy +/- splenopexy"),"Non-viable","Review"),IF(BB19="NR",IF(OR(BD19="Total splenectomy",BD19="Partial splenectomy +/- splenopexy"),"NR - removed, check reason","NR"),"Not applicable")))))</f>
        <v/>
      </c>
    </row>
    <row r="20">
      <c r="D20" s="8" t="n"/>
      <c r="E20" s="9">
        <f>IF(B20="","",IF(B20="OWN","Yes","No"))</f>
        <v/>
      </c>
      <c r="AF20" s="9">
        <f>IF(ISNUMBER(Z20),IF(Z20&lt;=2,"&lt;=2 d",IF(Z20&lt;=7,"3-7 d",IF(Z20&lt;=30,"8-30 d","&gt;30 d"))),IF(AE20&lt;&gt;"",AE20,IF(Z20="NR","NR","")))</f>
        <v/>
      </c>
      <c r="AX20" s="9">
        <f>IF(ISNUMBER(AW20),IF(AW20&gt;450,"Yes","No"),IF(AW20="NR","NR",""))</f>
        <v/>
      </c>
      <c r="BJ20" s="9">
        <f>IF(BB20="","",IF(BB20="Non-viable","Non-viable",IF(BB20="Viable","Viable",IF(BB20="Partially non-viable",IF(OR(BD20="Total splenectomy",BD20="Partial splenectomy +/- splenopexy"),"Non-viable","Review"),IF(BB20="NR",IF(OR(BD20="Total splenectomy",BD20="Partial splenectomy +/- splenopexy"),"NR - removed, check reason","NR"),"Not applicable")))))</f>
        <v/>
      </c>
    </row>
    <row r="21">
      <c r="D21" s="8" t="n"/>
      <c r="E21" s="9">
        <f>IF(B21="","",IF(B21="OWN","Yes","No"))</f>
        <v/>
      </c>
      <c r="AF21" s="9">
        <f>IF(ISNUMBER(Z21),IF(Z21&lt;=2,"&lt;=2 d",IF(Z21&lt;=7,"3-7 d",IF(Z21&lt;=30,"8-30 d","&gt;30 d"))),IF(AE21&lt;&gt;"",AE21,IF(Z21="NR","NR","")))</f>
        <v/>
      </c>
      <c r="AX21" s="9">
        <f>IF(ISNUMBER(AW21),IF(AW21&gt;450,"Yes","No"),IF(AW21="NR","NR",""))</f>
        <v/>
      </c>
      <c r="BJ21" s="9">
        <f>IF(BB21="","",IF(BB21="Non-viable","Non-viable",IF(BB21="Viable","Viable",IF(BB21="Partially non-viable",IF(OR(BD21="Total splenectomy",BD21="Partial splenectomy +/- splenopexy"),"Non-viable","Review"),IF(BB21="NR",IF(OR(BD21="Total splenectomy",BD21="Partial splenectomy +/- splenopexy"),"NR - removed, check reason","NR"),"Not applicable")))))</f>
        <v/>
      </c>
    </row>
    <row r="22">
      <c r="D22" s="8" t="n"/>
      <c r="E22" s="9">
        <f>IF(B22="","",IF(B22="OWN","Yes","No"))</f>
        <v/>
      </c>
      <c r="AF22" s="9">
        <f>IF(ISNUMBER(Z22),IF(Z22&lt;=2,"&lt;=2 d",IF(Z22&lt;=7,"3-7 d",IF(Z22&lt;=30,"8-30 d","&gt;30 d"))),IF(AE22&lt;&gt;"",AE22,IF(Z22="NR","NR","")))</f>
        <v/>
      </c>
      <c r="AX22" s="9">
        <f>IF(ISNUMBER(AW22),IF(AW22&gt;450,"Yes","No"),IF(AW22="NR","NR",""))</f>
        <v/>
      </c>
      <c r="BJ22" s="9">
        <f>IF(BB22="","",IF(BB22="Non-viable","Non-viable",IF(BB22="Viable","Viable",IF(BB22="Partially non-viable",IF(OR(BD22="Total splenectomy",BD22="Partial splenectomy +/- splenopexy"),"Non-viable","Review"),IF(BB22="NR",IF(OR(BD22="Total splenectomy",BD22="Partial splenectomy +/- splenopexy"),"NR - removed, check reason","NR"),"Not applicable")))))</f>
        <v/>
      </c>
    </row>
    <row r="23">
      <c r="D23" s="8" t="n"/>
      <c r="E23" s="9">
        <f>IF(B23="","",IF(B23="OWN","Yes","No"))</f>
        <v/>
      </c>
      <c r="AF23" s="9">
        <f>IF(ISNUMBER(Z23),IF(Z23&lt;=2,"&lt;=2 d",IF(Z23&lt;=7,"3-7 d",IF(Z23&lt;=30,"8-30 d","&gt;30 d"))),IF(AE23&lt;&gt;"",AE23,IF(Z23="NR","NR","")))</f>
        <v/>
      </c>
      <c r="AX23" s="9">
        <f>IF(ISNUMBER(AW23),IF(AW23&gt;450,"Yes","No"),IF(AW23="NR","NR",""))</f>
        <v/>
      </c>
      <c r="BJ23" s="9">
        <f>IF(BB23="","",IF(BB23="Non-viable","Non-viable",IF(BB23="Viable","Viable",IF(BB23="Partially non-viable",IF(OR(BD23="Total splenectomy",BD23="Partial splenectomy +/- splenopexy"),"Non-viable","Review"),IF(BB23="NR",IF(OR(BD23="Total splenectomy",BD23="Partial splenectomy +/- splenopexy"),"NR - removed, check reason","NR"),"Not applicable")))))</f>
        <v/>
      </c>
    </row>
    <row r="24">
      <c r="D24" s="8" t="n"/>
      <c r="E24" s="9">
        <f>IF(B24="","",IF(B24="OWN","Yes","No"))</f>
        <v/>
      </c>
      <c r="AF24" s="9">
        <f>IF(ISNUMBER(Z24),IF(Z24&lt;=2,"&lt;=2 d",IF(Z24&lt;=7,"3-7 d",IF(Z24&lt;=30,"8-30 d","&gt;30 d"))),IF(AE24&lt;&gt;"",AE24,IF(Z24="NR","NR","")))</f>
        <v/>
      </c>
      <c r="AX24" s="9">
        <f>IF(ISNUMBER(AW24),IF(AW24&gt;450,"Yes","No"),IF(AW24="NR","NR",""))</f>
        <v/>
      </c>
      <c r="BJ24" s="9">
        <f>IF(BB24="","",IF(BB24="Non-viable","Non-viable",IF(BB24="Viable","Viable",IF(BB24="Partially non-viable",IF(OR(BD24="Total splenectomy",BD24="Partial splenectomy +/- splenopexy"),"Non-viable","Review"),IF(BB24="NR",IF(OR(BD24="Total splenectomy",BD24="Partial splenectomy +/- splenopexy"),"NR - removed, check reason","NR"),"Not applicable")))))</f>
        <v/>
      </c>
    </row>
    <row r="25">
      <c r="D25" s="8" t="n"/>
      <c r="E25" s="9">
        <f>IF(B25="","",IF(B25="OWN","Yes","No"))</f>
        <v/>
      </c>
      <c r="AF25" s="9">
        <f>IF(ISNUMBER(Z25),IF(Z25&lt;=2,"&lt;=2 d",IF(Z25&lt;=7,"3-7 d",IF(Z25&lt;=30,"8-30 d","&gt;30 d"))),IF(AE25&lt;&gt;"",AE25,IF(Z25="NR","NR","")))</f>
        <v/>
      </c>
      <c r="AX25" s="9">
        <f>IF(ISNUMBER(AW25),IF(AW25&gt;450,"Yes","No"),IF(AW25="NR","NR",""))</f>
        <v/>
      </c>
      <c r="BJ25" s="9">
        <f>IF(BB25="","",IF(BB25="Non-viable","Non-viable",IF(BB25="Viable","Viable",IF(BB25="Partially non-viable",IF(OR(BD25="Total splenectomy",BD25="Partial splenectomy +/- splenopexy"),"Non-viable","Review"),IF(BB25="NR",IF(OR(BD25="Total splenectomy",BD25="Partial splenectomy +/- splenopexy"),"NR - removed, check reason","NR"),"Not applicable")))))</f>
        <v/>
      </c>
    </row>
    <row r="26">
      <c r="D26" s="8" t="n"/>
      <c r="E26" s="9">
        <f>IF(B26="","",IF(B26="OWN","Yes","No"))</f>
        <v/>
      </c>
      <c r="AF26" s="9">
        <f>IF(ISNUMBER(Z26),IF(Z26&lt;=2,"&lt;=2 d",IF(Z26&lt;=7,"3-7 d",IF(Z26&lt;=30,"8-30 d","&gt;30 d"))),IF(AE26&lt;&gt;"",AE26,IF(Z26="NR","NR","")))</f>
        <v/>
      </c>
      <c r="AX26" s="9">
        <f>IF(ISNUMBER(AW26),IF(AW26&gt;450,"Yes","No"),IF(AW26="NR","NR",""))</f>
        <v/>
      </c>
      <c r="BJ26" s="9">
        <f>IF(BB26="","",IF(BB26="Non-viable","Non-viable",IF(BB26="Viable","Viable",IF(BB26="Partially non-viable",IF(OR(BD26="Total splenectomy",BD26="Partial splenectomy +/- splenopexy"),"Non-viable","Review"),IF(BB26="NR",IF(OR(BD26="Total splenectomy",BD26="Partial splenectomy +/- splenopexy"),"NR - removed, check reason","NR"),"Not applicable")))))</f>
        <v/>
      </c>
    </row>
    <row r="27">
      <c r="D27" s="8" t="n"/>
      <c r="E27" s="9">
        <f>IF(B27="","",IF(B27="OWN","Yes","No"))</f>
        <v/>
      </c>
      <c r="AF27" s="9">
        <f>IF(ISNUMBER(Z27),IF(Z27&lt;=2,"&lt;=2 d",IF(Z27&lt;=7,"3-7 d",IF(Z27&lt;=30,"8-30 d","&gt;30 d"))),IF(AE27&lt;&gt;"",AE27,IF(Z27="NR","NR","")))</f>
        <v/>
      </c>
      <c r="AX27" s="9">
        <f>IF(ISNUMBER(AW27),IF(AW27&gt;450,"Yes","No"),IF(AW27="NR","NR",""))</f>
        <v/>
      </c>
      <c r="BJ27" s="9">
        <f>IF(BB27="","",IF(BB27="Non-viable","Non-viable",IF(BB27="Viable","Viable",IF(BB27="Partially non-viable",IF(OR(BD27="Total splenectomy",BD27="Partial splenectomy +/- splenopexy"),"Non-viable","Review"),IF(BB27="NR",IF(OR(BD27="Total splenectomy",BD27="Partial splenectomy +/- splenopexy"),"NR - removed, check reason","NR"),"Not applicable")))))</f>
        <v/>
      </c>
    </row>
    <row r="28">
      <c r="D28" s="8" t="n"/>
      <c r="E28" s="9">
        <f>IF(B28="","",IF(B28="OWN","Yes","No"))</f>
        <v/>
      </c>
      <c r="AF28" s="9">
        <f>IF(ISNUMBER(Z28),IF(Z28&lt;=2,"&lt;=2 d",IF(Z28&lt;=7,"3-7 d",IF(Z28&lt;=30,"8-30 d","&gt;30 d"))),IF(AE28&lt;&gt;"",AE28,IF(Z28="NR","NR","")))</f>
        <v/>
      </c>
      <c r="AX28" s="9">
        <f>IF(ISNUMBER(AW28),IF(AW28&gt;450,"Yes","No"),IF(AW28="NR","NR",""))</f>
        <v/>
      </c>
      <c r="BJ28" s="9">
        <f>IF(BB28="","",IF(BB28="Non-viable","Non-viable",IF(BB28="Viable","Viable",IF(BB28="Partially non-viable",IF(OR(BD28="Total splenectomy",BD28="Partial splenectomy +/- splenopexy"),"Non-viable","Review"),IF(BB28="NR",IF(OR(BD28="Total splenectomy",BD28="Partial splenectomy +/- splenopexy"),"NR - removed, check reason","NR"),"Not applicable")))))</f>
        <v/>
      </c>
    </row>
    <row r="29">
      <c r="D29" s="8" t="n"/>
      <c r="E29" s="9">
        <f>IF(B29="","",IF(B29="OWN","Yes","No"))</f>
        <v/>
      </c>
      <c r="AF29" s="9">
        <f>IF(ISNUMBER(Z29),IF(Z29&lt;=2,"&lt;=2 d",IF(Z29&lt;=7,"3-7 d",IF(Z29&lt;=30,"8-30 d","&gt;30 d"))),IF(AE29&lt;&gt;"",AE29,IF(Z29="NR","NR","")))</f>
        <v/>
      </c>
      <c r="AX29" s="9">
        <f>IF(ISNUMBER(AW29),IF(AW29&gt;450,"Yes","No"),IF(AW29="NR","NR",""))</f>
        <v/>
      </c>
      <c r="BJ29" s="9">
        <f>IF(BB29="","",IF(BB29="Non-viable","Non-viable",IF(BB29="Viable","Viable",IF(BB29="Partially non-viable",IF(OR(BD29="Total splenectomy",BD29="Partial splenectomy +/- splenopexy"),"Non-viable","Review"),IF(BB29="NR",IF(OR(BD29="Total splenectomy",BD29="Partial splenectomy +/- splenopexy"),"NR - removed, check reason","NR"),"Not applicable")))))</f>
        <v/>
      </c>
    </row>
    <row r="30">
      <c r="D30" s="8" t="n"/>
      <c r="E30" s="9">
        <f>IF(B30="","",IF(B30="OWN","Yes","No"))</f>
        <v/>
      </c>
      <c r="AF30" s="9">
        <f>IF(ISNUMBER(Z30),IF(Z30&lt;=2,"&lt;=2 d",IF(Z30&lt;=7,"3-7 d",IF(Z30&lt;=30,"8-30 d","&gt;30 d"))),IF(AE30&lt;&gt;"",AE30,IF(Z30="NR","NR","")))</f>
        <v/>
      </c>
      <c r="AX30" s="9">
        <f>IF(ISNUMBER(AW30),IF(AW30&gt;450,"Yes","No"),IF(AW30="NR","NR",""))</f>
        <v/>
      </c>
      <c r="BJ30" s="9">
        <f>IF(BB30="","",IF(BB30="Non-viable","Non-viable",IF(BB30="Viable","Viable",IF(BB30="Partially non-viable",IF(OR(BD30="Total splenectomy",BD30="Partial splenectomy +/- splenopexy"),"Non-viable","Review"),IF(BB30="NR",IF(OR(BD30="Total splenectomy",BD30="Partial splenectomy +/- splenopexy"),"NR - removed, check reason","NR"),"Not applicable")))))</f>
        <v/>
      </c>
    </row>
    <row r="31">
      <c r="D31" s="8" t="n"/>
      <c r="E31" s="9">
        <f>IF(B31="","",IF(B31="OWN","Yes","No"))</f>
        <v/>
      </c>
      <c r="AF31" s="9">
        <f>IF(ISNUMBER(Z31),IF(Z31&lt;=2,"&lt;=2 d",IF(Z31&lt;=7,"3-7 d",IF(Z31&lt;=30,"8-30 d","&gt;30 d"))),IF(AE31&lt;&gt;"",AE31,IF(Z31="NR","NR","")))</f>
        <v/>
      </c>
      <c r="AX31" s="9">
        <f>IF(ISNUMBER(AW31),IF(AW31&gt;450,"Yes","No"),IF(AW31="NR","NR",""))</f>
        <v/>
      </c>
      <c r="BJ31" s="9">
        <f>IF(BB31="","",IF(BB31="Non-viable","Non-viable",IF(BB31="Viable","Viable",IF(BB31="Partially non-viable",IF(OR(BD31="Total splenectomy",BD31="Partial splenectomy +/- splenopexy"),"Non-viable","Review"),IF(BB31="NR",IF(OR(BD31="Total splenectomy",BD31="Partial splenectomy +/- splenopexy"),"NR - removed, check reason","NR"),"Not applicable")))))</f>
        <v/>
      </c>
    </row>
    <row r="32">
      <c r="D32" s="8" t="n"/>
      <c r="E32" s="9">
        <f>IF(B32="","",IF(B32="OWN","Yes","No"))</f>
        <v/>
      </c>
      <c r="AF32" s="9">
        <f>IF(ISNUMBER(Z32),IF(Z32&lt;=2,"&lt;=2 d",IF(Z32&lt;=7,"3-7 d",IF(Z32&lt;=30,"8-30 d","&gt;30 d"))),IF(AE32&lt;&gt;"",AE32,IF(Z32="NR","NR","")))</f>
        <v/>
      </c>
      <c r="AX32" s="9">
        <f>IF(ISNUMBER(AW32),IF(AW32&gt;450,"Yes","No"),IF(AW32="NR","NR",""))</f>
        <v/>
      </c>
      <c r="BJ32" s="9">
        <f>IF(BB32="","",IF(BB32="Non-viable","Non-viable",IF(BB32="Viable","Viable",IF(BB32="Partially non-viable",IF(OR(BD32="Total splenectomy",BD32="Partial splenectomy +/- splenopexy"),"Non-viable","Review"),IF(BB32="NR",IF(OR(BD32="Total splenectomy",BD32="Partial splenectomy +/- splenopexy"),"NR - removed, check reason","NR"),"Not applicable")))))</f>
        <v/>
      </c>
    </row>
    <row r="33">
      <c r="D33" s="8" t="n"/>
      <c r="E33" s="9">
        <f>IF(B33="","",IF(B33="OWN","Yes","No"))</f>
        <v/>
      </c>
      <c r="AF33" s="9">
        <f>IF(ISNUMBER(Z33),IF(Z33&lt;=2,"&lt;=2 d",IF(Z33&lt;=7,"3-7 d",IF(Z33&lt;=30,"8-30 d","&gt;30 d"))),IF(AE33&lt;&gt;"",AE33,IF(Z33="NR","NR","")))</f>
        <v/>
      </c>
      <c r="AX33" s="9">
        <f>IF(ISNUMBER(AW33),IF(AW33&gt;450,"Yes","No"),IF(AW33="NR","NR",""))</f>
        <v/>
      </c>
      <c r="BJ33" s="9">
        <f>IF(BB33="","",IF(BB33="Non-viable","Non-viable",IF(BB33="Viable","Viable",IF(BB33="Partially non-viable",IF(OR(BD33="Total splenectomy",BD33="Partial splenectomy +/- splenopexy"),"Non-viable","Review"),IF(BB33="NR",IF(OR(BD33="Total splenectomy",BD33="Partial splenectomy +/- splenopexy"),"NR - removed, check reason","NR"),"Not applicable")))))</f>
        <v/>
      </c>
    </row>
    <row r="34">
      <c r="D34" s="8" t="n"/>
      <c r="E34" s="9">
        <f>IF(B34="","",IF(B34="OWN","Yes","No"))</f>
        <v/>
      </c>
      <c r="AF34" s="9">
        <f>IF(ISNUMBER(Z34),IF(Z34&lt;=2,"&lt;=2 d",IF(Z34&lt;=7,"3-7 d",IF(Z34&lt;=30,"8-30 d","&gt;30 d"))),IF(AE34&lt;&gt;"",AE34,IF(Z34="NR","NR","")))</f>
        <v/>
      </c>
      <c r="AX34" s="9">
        <f>IF(ISNUMBER(AW34),IF(AW34&gt;450,"Yes","No"),IF(AW34="NR","NR",""))</f>
        <v/>
      </c>
      <c r="BJ34" s="9">
        <f>IF(BB34="","",IF(BB34="Non-viable","Non-viable",IF(BB34="Viable","Viable",IF(BB34="Partially non-viable",IF(OR(BD34="Total splenectomy",BD34="Partial splenectomy +/- splenopexy"),"Non-viable","Review"),IF(BB34="NR",IF(OR(BD34="Total splenectomy",BD34="Partial splenectomy +/- splenopexy"),"NR - removed, check reason","NR"),"Not applicable")))))</f>
        <v/>
      </c>
    </row>
    <row r="35">
      <c r="D35" s="8" t="n"/>
      <c r="E35" s="9">
        <f>IF(B35="","",IF(B35="OWN","Yes","No"))</f>
        <v/>
      </c>
      <c r="AF35" s="9">
        <f>IF(ISNUMBER(Z35),IF(Z35&lt;=2,"&lt;=2 d",IF(Z35&lt;=7,"3-7 d",IF(Z35&lt;=30,"8-30 d","&gt;30 d"))),IF(AE35&lt;&gt;"",AE35,IF(Z35="NR","NR","")))</f>
        <v/>
      </c>
      <c r="AX35" s="9">
        <f>IF(ISNUMBER(AW35),IF(AW35&gt;450,"Yes","No"),IF(AW35="NR","NR",""))</f>
        <v/>
      </c>
      <c r="BJ35" s="9">
        <f>IF(BB35="","",IF(BB35="Non-viable","Non-viable",IF(BB35="Viable","Viable",IF(BB35="Partially non-viable",IF(OR(BD35="Total splenectomy",BD35="Partial splenectomy +/- splenopexy"),"Non-viable","Review"),IF(BB35="NR",IF(OR(BD35="Total splenectomy",BD35="Partial splenectomy +/- splenopexy"),"NR - removed, check reason","NR"),"Not applicable")))))</f>
        <v/>
      </c>
    </row>
    <row r="36">
      <c r="D36" s="8" t="n"/>
      <c r="E36" s="9">
        <f>IF(B36="","",IF(B36="OWN","Yes","No"))</f>
        <v/>
      </c>
      <c r="AF36" s="9">
        <f>IF(ISNUMBER(Z36),IF(Z36&lt;=2,"&lt;=2 d",IF(Z36&lt;=7,"3-7 d",IF(Z36&lt;=30,"8-30 d","&gt;30 d"))),IF(AE36&lt;&gt;"",AE36,IF(Z36="NR","NR","")))</f>
        <v/>
      </c>
      <c r="AX36" s="9">
        <f>IF(ISNUMBER(AW36),IF(AW36&gt;450,"Yes","No"),IF(AW36="NR","NR",""))</f>
        <v/>
      </c>
      <c r="BJ36" s="9">
        <f>IF(BB36="","",IF(BB36="Non-viable","Non-viable",IF(BB36="Viable","Viable",IF(BB36="Partially non-viable",IF(OR(BD36="Total splenectomy",BD36="Partial splenectomy +/- splenopexy"),"Non-viable","Review"),IF(BB36="NR",IF(OR(BD36="Total splenectomy",BD36="Partial splenectomy +/- splenopexy"),"NR - removed, check reason","NR"),"Not applicable")))))</f>
        <v/>
      </c>
    </row>
    <row r="37">
      <c r="D37" s="8" t="n"/>
      <c r="E37" s="9">
        <f>IF(B37="","",IF(B37="OWN","Yes","No"))</f>
        <v/>
      </c>
      <c r="AF37" s="9">
        <f>IF(ISNUMBER(Z37),IF(Z37&lt;=2,"&lt;=2 d",IF(Z37&lt;=7,"3-7 d",IF(Z37&lt;=30,"8-30 d","&gt;30 d"))),IF(AE37&lt;&gt;"",AE37,IF(Z37="NR","NR","")))</f>
        <v/>
      </c>
      <c r="AX37" s="9">
        <f>IF(ISNUMBER(AW37),IF(AW37&gt;450,"Yes","No"),IF(AW37="NR","NR",""))</f>
        <v/>
      </c>
      <c r="BJ37" s="9">
        <f>IF(BB37="","",IF(BB37="Non-viable","Non-viable",IF(BB37="Viable","Viable",IF(BB37="Partially non-viable",IF(OR(BD37="Total splenectomy",BD37="Partial splenectomy +/- splenopexy"),"Non-viable","Review"),IF(BB37="NR",IF(OR(BD37="Total splenectomy",BD37="Partial splenectomy +/- splenopexy"),"NR - removed, check reason","NR"),"Not applicable")))))</f>
        <v/>
      </c>
    </row>
    <row r="38">
      <c r="D38" s="8" t="n"/>
      <c r="E38" s="9">
        <f>IF(B38="","",IF(B38="OWN","Yes","No"))</f>
        <v/>
      </c>
      <c r="AF38" s="9">
        <f>IF(ISNUMBER(Z38),IF(Z38&lt;=2,"&lt;=2 d",IF(Z38&lt;=7,"3-7 d",IF(Z38&lt;=30,"8-30 d","&gt;30 d"))),IF(AE38&lt;&gt;"",AE38,IF(Z38="NR","NR","")))</f>
        <v/>
      </c>
      <c r="AX38" s="9">
        <f>IF(ISNUMBER(AW38),IF(AW38&gt;450,"Yes","No"),IF(AW38="NR","NR",""))</f>
        <v/>
      </c>
      <c r="BJ38" s="9">
        <f>IF(BB38="","",IF(BB38="Non-viable","Non-viable",IF(BB38="Viable","Viable",IF(BB38="Partially non-viable",IF(OR(BD38="Total splenectomy",BD38="Partial splenectomy +/- splenopexy"),"Non-viable","Review"),IF(BB38="NR",IF(OR(BD38="Total splenectomy",BD38="Partial splenectomy +/- splenopexy"),"NR - removed, check reason","NR"),"Not applicable")))))</f>
        <v/>
      </c>
    </row>
    <row r="39">
      <c r="D39" s="8" t="n"/>
      <c r="E39" s="9">
        <f>IF(B39="","",IF(B39="OWN","Yes","No"))</f>
        <v/>
      </c>
      <c r="AF39" s="9">
        <f>IF(ISNUMBER(Z39),IF(Z39&lt;=2,"&lt;=2 d",IF(Z39&lt;=7,"3-7 d",IF(Z39&lt;=30,"8-30 d","&gt;30 d"))),IF(AE39&lt;&gt;"",AE39,IF(Z39="NR","NR","")))</f>
        <v/>
      </c>
      <c r="AX39" s="9">
        <f>IF(ISNUMBER(AW39),IF(AW39&gt;450,"Yes","No"),IF(AW39="NR","NR",""))</f>
        <v/>
      </c>
      <c r="BJ39" s="9">
        <f>IF(BB39="","",IF(BB39="Non-viable","Non-viable",IF(BB39="Viable","Viable",IF(BB39="Partially non-viable",IF(OR(BD39="Total splenectomy",BD39="Partial splenectomy +/- splenopexy"),"Non-viable","Review"),IF(BB39="NR",IF(OR(BD39="Total splenectomy",BD39="Partial splenectomy +/- splenopexy"),"NR - removed, check reason","NR"),"Not applicable")))))</f>
        <v/>
      </c>
    </row>
    <row r="40">
      <c r="D40" s="8" t="n"/>
      <c r="E40" s="9">
        <f>IF(B40="","",IF(B40="OWN","Yes","No"))</f>
        <v/>
      </c>
      <c r="AF40" s="9">
        <f>IF(ISNUMBER(Z40),IF(Z40&lt;=2,"&lt;=2 d",IF(Z40&lt;=7,"3-7 d",IF(Z40&lt;=30,"8-30 d","&gt;30 d"))),IF(AE40&lt;&gt;"",AE40,IF(Z40="NR","NR","")))</f>
        <v/>
      </c>
      <c r="AX40" s="9">
        <f>IF(ISNUMBER(AW40),IF(AW40&gt;450,"Yes","No"),IF(AW40="NR","NR",""))</f>
        <v/>
      </c>
      <c r="BJ40" s="9">
        <f>IF(BB40="","",IF(BB40="Non-viable","Non-viable",IF(BB40="Viable","Viable",IF(BB40="Partially non-viable",IF(OR(BD40="Total splenectomy",BD40="Partial splenectomy +/- splenopexy"),"Non-viable","Review"),IF(BB40="NR",IF(OR(BD40="Total splenectomy",BD40="Partial splenectomy +/- splenopexy"),"NR - removed, check reason","NR"),"Not applicable")))))</f>
        <v/>
      </c>
    </row>
    <row r="41">
      <c r="D41" s="8" t="n"/>
      <c r="E41" s="9">
        <f>IF(B41="","",IF(B41="OWN","Yes","No"))</f>
        <v/>
      </c>
      <c r="AF41" s="9">
        <f>IF(ISNUMBER(Z41),IF(Z41&lt;=2,"&lt;=2 d",IF(Z41&lt;=7,"3-7 d",IF(Z41&lt;=30,"8-30 d","&gt;30 d"))),IF(AE41&lt;&gt;"",AE41,IF(Z41="NR","NR","")))</f>
        <v/>
      </c>
      <c r="AX41" s="9">
        <f>IF(ISNUMBER(AW41),IF(AW41&gt;450,"Yes","No"),IF(AW41="NR","NR",""))</f>
        <v/>
      </c>
      <c r="BJ41" s="9">
        <f>IF(BB41="","",IF(BB41="Non-viable","Non-viable",IF(BB41="Viable","Viable",IF(BB41="Partially non-viable",IF(OR(BD41="Total splenectomy",BD41="Partial splenectomy +/- splenopexy"),"Non-viable","Review"),IF(BB41="NR",IF(OR(BD41="Total splenectomy",BD41="Partial splenectomy +/- splenopexy"),"NR - removed, check reason","NR"),"Not applicable")))))</f>
        <v/>
      </c>
    </row>
    <row r="42">
      <c r="D42" s="8" t="n"/>
      <c r="E42" s="9">
        <f>IF(B42="","",IF(B42="OWN","Yes","No"))</f>
        <v/>
      </c>
      <c r="AF42" s="9">
        <f>IF(ISNUMBER(Z42),IF(Z42&lt;=2,"&lt;=2 d",IF(Z42&lt;=7,"3-7 d",IF(Z42&lt;=30,"8-30 d","&gt;30 d"))),IF(AE42&lt;&gt;"",AE42,IF(Z42="NR","NR","")))</f>
        <v/>
      </c>
      <c r="AX42" s="9">
        <f>IF(ISNUMBER(AW42),IF(AW42&gt;450,"Yes","No"),IF(AW42="NR","NR",""))</f>
        <v/>
      </c>
      <c r="BJ42" s="9">
        <f>IF(BB42="","",IF(BB42="Non-viable","Non-viable",IF(BB42="Viable","Viable",IF(BB42="Partially non-viable",IF(OR(BD42="Total splenectomy",BD42="Partial splenectomy +/- splenopexy"),"Non-viable","Review"),IF(BB42="NR",IF(OR(BD42="Total splenectomy",BD42="Partial splenectomy +/- splenopexy"),"NR - removed, check reason","NR"),"Not applicable")))))</f>
        <v/>
      </c>
    </row>
    <row r="43">
      <c r="D43" s="8" t="n"/>
      <c r="E43" s="9">
        <f>IF(B43="","",IF(B43="OWN","Yes","No"))</f>
        <v/>
      </c>
      <c r="AF43" s="9">
        <f>IF(ISNUMBER(Z43),IF(Z43&lt;=2,"&lt;=2 d",IF(Z43&lt;=7,"3-7 d",IF(Z43&lt;=30,"8-30 d","&gt;30 d"))),IF(AE43&lt;&gt;"",AE43,IF(Z43="NR","NR","")))</f>
        <v/>
      </c>
      <c r="AX43" s="9">
        <f>IF(ISNUMBER(AW43),IF(AW43&gt;450,"Yes","No"),IF(AW43="NR","NR",""))</f>
        <v/>
      </c>
      <c r="BJ43" s="9">
        <f>IF(BB43="","",IF(BB43="Non-viable","Non-viable",IF(BB43="Viable","Viable",IF(BB43="Partially non-viable",IF(OR(BD43="Total splenectomy",BD43="Partial splenectomy +/- splenopexy"),"Non-viable","Review"),IF(BB43="NR",IF(OR(BD43="Total splenectomy",BD43="Partial splenectomy +/- splenopexy"),"NR - removed, check reason","NR"),"Not applicable")))))</f>
        <v/>
      </c>
    </row>
    <row r="44">
      <c r="D44" s="8" t="n"/>
      <c r="E44" s="9">
        <f>IF(B44="","",IF(B44="OWN","Yes","No"))</f>
        <v/>
      </c>
      <c r="AF44" s="9">
        <f>IF(ISNUMBER(Z44),IF(Z44&lt;=2,"&lt;=2 d",IF(Z44&lt;=7,"3-7 d",IF(Z44&lt;=30,"8-30 d","&gt;30 d"))),IF(AE44&lt;&gt;"",AE44,IF(Z44="NR","NR","")))</f>
        <v/>
      </c>
      <c r="AX44" s="9">
        <f>IF(ISNUMBER(AW44),IF(AW44&gt;450,"Yes","No"),IF(AW44="NR","NR",""))</f>
        <v/>
      </c>
      <c r="BJ44" s="9">
        <f>IF(BB44="","",IF(BB44="Non-viable","Non-viable",IF(BB44="Viable","Viable",IF(BB44="Partially non-viable",IF(OR(BD44="Total splenectomy",BD44="Partial splenectomy +/- splenopexy"),"Non-viable","Review"),IF(BB44="NR",IF(OR(BD44="Total splenectomy",BD44="Partial splenectomy +/- splenopexy"),"NR - removed, check reason","NR"),"Not applicable")))))</f>
        <v/>
      </c>
    </row>
    <row r="45">
      <c r="D45" s="8" t="n"/>
      <c r="E45" s="9">
        <f>IF(B45="","",IF(B45="OWN","Yes","No"))</f>
        <v/>
      </c>
      <c r="AF45" s="9">
        <f>IF(ISNUMBER(Z45),IF(Z45&lt;=2,"&lt;=2 d",IF(Z45&lt;=7,"3-7 d",IF(Z45&lt;=30,"8-30 d","&gt;30 d"))),IF(AE45&lt;&gt;"",AE45,IF(Z45="NR","NR","")))</f>
        <v/>
      </c>
      <c r="AX45" s="9">
        <f>IF(ISNUMBER(AW45),IF(AW45&gt;450,"Yes","No"),IF(AW45="NR","NR",""))</f>
        <v/>
      </c>
      <c r="BJ45" s="9">
        <f>IF(BB45="","",IF(BB45="Non-viable","Non-viable",IF(BB45="Viable","Viable",IF(BB45="Partially non-viable",IF(OR(BD45="Total splenectomy",BD45="Partial splenectomy +/- splenopexy"),"Non-viable","Review"),IF(BB45="NR",IF(OR(BD45="Total splenectomy",BD45="Partial splenectomy +/- splenopexy"),"NR - removed, check reason","NR"),"Not applicable")))))</f>
        <v/>
      </c>
    </row>
    <row r="46">
      <c r="D46" s="8" t="n"/>
      <c r="E46" s="9">
        <f>IF(B46="","",IF(B46="OWN","Yes","No"))</f>
        <v/>
      </c>
      <c r="AF46" s="9">
        <f>IF(ISNUMBER(Z46),IF(Z46&lt;=2,"&lt;=2 d",IF(Z46&lt;=7,"3-7 d",IF(Z46&lt;=30,"8-30 d","&gt;30 d"))),IF(AE46&lt;&gt;"",AE46,IF(Z46="NR","NR","")))</f>
        <v/>
      </c>
      <c r="AX46" s="9">
        <f>IF(ISNUMBER(AW46),IF(AW46&gt;450,"Yes","No"),IF(AW46="NR","NR",""))</f>
        <v/>
      </c>
      <c r="BJ46" s="9">
        <f>IF(BB46="","",IF(BB46="Non-viable","Non-viable",IF(BB46="Viable","Viable",IF(BB46="Partially non-viable",IF(OR(BD46="Total splenectomy",BD46="Partial splenectomy +/- splenopexy"),"Non-viable","Review"),IF(BB46="NR",IF(OR(BD46="Total splenectomy",BD46="Partial splenectomy +/- splenopexy"),"NR - removed, check reason","NR"),"Not applicable")))))</f>
        <v/>
      </c>
    </row>
    <row r="47">
      <c r="D47" s="8" t="n"/>
      <c r="E47" s="9">
        <f>IF(B47="","",IF(B47="OWN","Yes","No"))</f>
        <v/>
      </c>
      <c r="AF47" s="9">
        <f>IF(ISNUMBER(Z47),IF(Z47&lt;=2,"&lt;=2 d",IF(Z47&lt;=7,"3-7 d",IF(Z47&lt;=30,"8-30 d","&gt;30 d"))),IF(AE47&lt;&gt;"",AE47,IF(Z47="NR","NR","")))</f>
        <v/>
      </c>
      <c r="AX47" s="9">
        <f>IF(ISNUMBER(AW47),IF(AW47&gt;450,"Yes","No"),IF(AW47="NR","NR",""))</f>
        <v/>
      </c>
      <c r="BJ47" s="9">
        <f>IF(BB47="","",IF(BB47="Non-viable","Non-viable",IF(BB47="Viable","Viable",IF(BB47="Partially non-viable",IF(OR(BD47="Total splenectomy",BD47="Partial splenectomy +/- splenopexy"),"Non-viable","Review"),IF(BB47="NR",IF(OR(BD47="Total splenectomy",BD47="Partial splenectomy +/- splenopexy"),"NR - removed, check reason","NR"),"Not applicable")))))</f>
        <v/>
      </c>
    </row>
    <row r="48">
      <c r="D48" s="8" t="n"/>
      <c r="E48" s="9">
        <f>IF(B48="","",IF(B48="OWN","Yes","No"))</f>
        <v/>
      </c>
      <c r="AF48" s="9">
        <f>IF(ISNUMBER(Z48),IF(Z48&lt;=2,"&lt;=2 d",IF(Z48&lt;=7,"3-7 d",IF(Z48&lt;=30,"8-30 d","&gt;30 d"))),IF(AE48&lt;&gt;"",AE48,IF(Z48="NR","NR","")))</f>
        <v/>
      </c>
      <c r="AX48" s="9">
        <f>IF(ISNUMBER(AW48),IF(AW48&gt;450,"Yes","No"),IF(AW48="NR","NR",""))</f>
        <v/>
      </c>
      <c r="BJ48" s="9">
        <f>IF(BB48="","",IF(BB48="Non-viable","Non-viable",IF(BB48="Viable","Viable",IF(BB48="Partially non-viable",IF(OR(BD48="Total splenectomy",BD48="Partial splenectomy +/- splenopexy"),"Non-viable","Review"),IF(BB48="NR",IF(OR(BD48="Total splenectomy",BD48="Partial splenectomy +/- splenopexy"),"NR - removed, check reason","NR"),"Not applicable")))))</f>
        <v/>
      </c>
    </row>
    <row r="49">
      <c r="D49" s="8" t="n"/>
      <c r="E49" s="9">
        <f>IF(B49="","",IF(B49="OWN","Yes","No"))</f>
        <v/>
      </c>
      <c r="AF49" s="9">
        <f>IF(ISNUMBER(Z49),IF(Z49&lt;=2,"&lt;=2 d",IF(Z49&lt;=7,"3-7 d",IF(Z49&lt;=30,"8-30 d","&gt;30 d"))),IF(AE49&lt;&gt;"",AE49,IF(Z49="NR","NR","")))</f>
        <v/>
      </c>
      <c r="AX49" s="9">
        <f>IF(ISNUMBER(AW49),IF(AW49&gt;450,"Yes","No"),IF(AW49="NR","NR",""))</f>
        <v/>
      </c>
      <c r="BJ49" s="9">
        <f>IF(BB49="","",IF(BB49="Non-viable","Non-viable",IF(BB49="Viable","Viable",IF(BB49="Partially non-viable",IF(OR(BD49="Total splenectomy",BD49="Partial splenectomy +/- splenopexy"),"Non-viable","Review"),IF(BB49="NR",IF(OR(BD49="Total splenectomy",BD49="Partial splenectomy +/- splenopexy"),"NR - removed, check reason","NR"),"Not applicable")))))</f>
        <v/>
      </c>
    </row>
    <row r="50">
      <c r="D50" s="8" t="n"/>
      <c r="E50" s="9">
        <f>IF(B50="","",IF(B50="OWN","Yes","No"))</f>
        <v/>
      </c>
      <c r="AF50" s="9">
        <f>IF(ISNUMBER(Z50),IF(Z50&lt;=2,"&lt;=2 d",IF(Z50&lt;=7,"3-7 d",IF(Z50&lt;=30,"8-30 d","&gt;30 d"))),IF(AE50&lt;&gt;"",AE50,IF(Z50="NR","NR","")))</f>
        <v/>
      </c>
      <c r="AX50" s="9">
        <f>IF(ISNUMBER(AW50),IF(AW50&gt;450,"Yes","No"),IF(AW50="NR","NR",""))</f>
        <v/>
      </c>
      <c r="BJ50" s="9">
        <f>IF(BB50="","",IF(BB50="Non-viable","Non-viable",IF(BB50="Viable","Viable",IF(BB50="Partially non-viable",IF(OR(BD50="Total splenectomy",BD50="Partial splenectomy +/- splenopexy"),"Non-viable","Review"),IF(BB50="NR",IF(OR(BD50="Total splenectomy",BD50="Partial splenectomy +/- splenopexy"),"NR - removed, check reason","NR"),"Not applicable")))))</f>
        <v/>
      </c>
    </row>
    <row r="51">
      <c r="D51" s="8" t="n"/>
      <c r="E51" s="9">
        <f>IF(B51="","",IF(B51="OWN","Yes","No"))</f>
        <v/>
      </c>
      <c r="AF51" s="9">
        <f>IF(ISNUMBER(Z51),IF(Z51&lt;=2,"&lt;=2 d",IF(Z51&lt;=7,"3-7 d",IF(Z51&lt;=30,"8-30 d","&gt;30 d"))),IF(AE51&lt;&gt;"",AE51,IF(Z51="NR","NR","")))</f>
        <v/>
      </c>
      <c r="AX51" s="9">
        <f>IF(ISNUMBER(AW51),IF(AW51&gt;450,"Yes","No"),IF(AW51="NR","NR",""))</f>
        <v/>
      </c>
      <c r="BJ51" s="9">
        <f>IF(BB51="","",IF(BB51="Non-viable","Non-viable",IF(BB51="Viable","Viable",IF(BB51="Partially non-viable",IF(OR(BD51="Total splenectomy",BD51="Partial splenectomy +/- splenopexy"),"Non-viable","Review"),IF(BB51="NR",IF(OR(BD51="Total splenectomy",BD51="Partial splenectomy +/- splenopexy"),"NR - removed, check reason","NR"),"Not applicable")))))</f>
        <v/>
      </c>
    </row>
    <row r="52">
      <c r="D52" s="8" t="n"/>
      <c r="E52" s="9">
        <f>IF(B52="","",IF(B52="OWN","Yes","No"))</f>
        <v/>
      </c>
      <c r="AF52" s="9">
        <f>IF(ISNUMBER(Z52),IF(Z52&lt;=2,"&lt;=2 d",IF(Z52&lt;=7,"3-7 d",IF(Z52&lt;=30,"8-30 d","&gt;30 d"))),IF(AE52&lt;&gt;"",AE52,IF(Z52="NR","NR","")))</f>
        <v/>
      </c>
      <c r="AX52" s="9">
        <f>IF(ISNUMBER(AW52),IF(AW52&gt;450,"Yes","No"),IF(AW52="NR","NR",""))</f>
        <v/>
      </c>
      <c r="BJ52" s="9">
        <f>IF(BB52="","",IF(BB52="Non-viable","Non-viable",IF(BB52="Viable","Viable",IF(BB52="Partially non-viable",IF(OR(BD52="Total splenectomy",BD52="Partial splenectomy +/- splenopexy"),"Non-viable","Review"),IF(BB52="NR",IF(OR(BD52="Total splenectomy",BD52="Partial splenectomy +/- splenopexy"),"NR - removed, check reason","NR"),"Not applicable")))))</f>
        <v/>
      </c>
    </row>
    <row r="53">
      <c r="D53" s="8" t="n"/>
      <c r="E53" s="9">
        <f>IF(B53="","",IF(B53="OWN","Yes","No"))</f>
        <v/>
      </c>
      <c r="AF53" s="9">
        <f>IF(ISNUMBER(Z53),IF(Z53&lt;=2,"&lt;=2 d",IF(Z53&lt;=7,"3-7 d",IF(Z53&lt;=30,"8-30 d","&gt;30 d"))),IF(AE53&lt;&gt;"",AE53,IF(Z53="NR","NR","")))</f>
        <v/>
      </c>
      <c r="AX53" s="9">
        <f>IF(ISNUMBER(AW53),IF(AW53&gt;450,"Yes","No"),IF(AW53="NR","NR",""))</f>
        <v/>
      </c>
      <c r="BJ53" s="9">
        <f>IF(BB53="","",IF(BB53="Non-viable","Non-viable",IF(BB53="Viable","Viable",IF(BB53="Partially non-viable",IF(OR(BD53="Total splenectomy",BD53="Partial splenectomy +/- splenopexy"),"Non-viable","Review"),IF(BB53="NR",IF(OR(BD53="Total splenectomy",BD53="Partial splenectomy +/- splenopexy"),"NR - removed, check reason","NR"),"Not applicable")))))</f>
        <v/>
      </c>
    </row>
    <row r="54">
      <c r="D54" s="8" t="n"/>
      <c r="E54" s="9">
        <f>IF(B54="","",IF(B54="OWN","Yes","No"))</f>
        <v/>
      </c>
      <c r="AF54" s="9">
        <f>IF(ISNUMBER(Z54),IF(Z54&lt;=2,"&lt;=2 d",IF(Z54&lt;=7,"3-7 d",IF(Z54&lt;=30,"8-30 d","&gt;30 d"))),IF(AE54&lt;&gt;"",AE54,IF(Z54="NR","NR","")))</f>
        <v/>
      </c>
      <c r="AX54" s="9">
        <f>IF(ISNUMBER(AW54),IF(AW54&gt;450,"Yes","No"),IF(AW54="NR","NR",""))</f>
        <v/>
      </c>
      <c r="BJ54" s="9">
        <f>IF(BB54="","",IF(BB54="Non-viable","Non-viable",IF(BB54="Viable","Viable",IF(BB54="Partially non-viable",IF(OR(BD54="Total splenectomy",BD54="Partial splenectomy +/- splenopexy"),"Non-viable","Review"),IF(BB54="NR",IF(OR(BD54="Total splenectomy",BD54="Partial splenectomy +/- splenopexy"),"NR - removed, check reason","NR"),"Not applicable")))))</f>
        <v/>
      </c>
    </row>
    <row r="55">
      <c r="D55" s="8" t="n"/>
      <c r="E55" s="9">
        <f>IF(B55="","",IF(B55="OWN","Yes","No"))</f>
        <v/>
      </c>
      <c r="AF55" s="9">
        <f>IF(ISNUMBER(Z55),IF(Z55&lt;=2,"&lt;=2 d",IF(Z55&lt;=7,"3-7 d",IF(Z55&lt;=30,"8-30 d","&gt;30 d"))),IF(AE55&lt;&gt;"",AE55,IF(Z55="NR","NR","")))</f>
        <v/>
      </c>
      <c r="AX55" s="9">
        <f>IF(ISNUMBER(AW55),IF(AW55&gt;450,"Yes","No"),IF(AW55="NR","NR",""))</f>
        <v/>
      </c>
      <c r="BJ55" s="9">
        <f>IF(BB55="","",IF(BB55="Non-viable","Non-viable",IF(BB55="Viable","Viable",IF(BB55="Partially non-viable",IF(OR(BD55="Total splenectomy",BD55="Partial splenectomy +/- splenopexy"),"Non-viable","Review"),IF(BB55="NR",IF(OR(BD55="Total splenectomy",BD55="Partial splenectomy +/- splenopexy"),"NR - removed, check reason","NR"),"Not applicable")))))</f>
        <v/>
      </c>
    </row>
    <row r="56">
      <c r="D56" s="8" t="n"/>
      <c r="E56" s="9">
        <f>IF(B56="","",IF(B56="OWN","Yes","No"))</f>
        <v/>
      </c>
      <c r="AF56" s="9">
        <f>IF(ISNUMBER(Z56),IF(Z56&lt;=2,"&lt;=2 d",IF(Z56&lt;=7,"3-7 d",IF(Z56&lt;=30,"8-30 d","&gt;30 d"))),IF(AE56&lt;&gt;"",AE56,IF(Z56="NR","NR","")))</f>
        <v/>
      </c>
      <c r="AX56" s="9">
        <f>IF(ISNUMBER(AW56),IF(AW56&gt;450,"Yes","No"),IF(AW56="NR","NR",""))</f>
        <v/>
      </c>
      <c r="BJ56" s="9">
        <f>IF(BB56="","",IF(BB56="Non-viable","Non-viable",IF(BB56="Viable","Viable",IF(BB56="Partially non-viable",IF(OR(BD56="Total splenectomy",BD56="Partial splenectomy +/- splenopexy"),"Non-viable","Review"),IF(BB56="NR",IF(OR(BD56="Total splenectomy",BD56="Partial splenectomy +/- splenopexy"),"NR - removed, check reason","NR"),"Not applicable")))))</f>
        <v/>
      </c>
    </row>
    <row r="57">
      <c r="D57" s="8" t="n"/>
      <c r="E57" s="9">
        <f>IF(B57="","",IF(B57="OWN","Yes","No"))</f>
        <v/>
      </c>
      <c r="AF57" s="9">
        <f>IF(ISNUMBER(Z57),IF(Z57&lt;=2,"&lt;=2 d",IF(Z57&lt;=7,"3-7 d",IF(Z57&lt;=30,"8-30 d","&gt;30 d"))),IF(AE57&lt;&gt;"",AE57,IF(Z57="NR","NR","")))</f>
        <v/>
      </c>
      <c r="AX57" s="9">
        <f>IF(ISNUMBER(AW57),IF(AW57&gt;450,"Yes","No"),IF(AW57="NR","NR",""))</f>
        <v/>
      </c>
      <c r="BJ57" s="9">
        <f>IF(BB57="","",IF(BB57="Non-viable","Non-viable",IF(BB57="Viable","Viable",IF(BB57="Partially non-viable",IF(OR(BD57="Total splenectomy",BD57="Partial splenectomy +/- splenopexy"),"Non-viable","Review"),IF(BB57="NR",IF(OR(BD57="Total splenectomy",BD57="Partial splenectomy +/- splenopexy"),"NR - removed, check reason","NR"),"Not applicable")))))</f>
        <v/>
      </c>
    </row>
    <row r="58">
      <c r="D58" s="8" t="n"/>
      <c r="E58" s="9">
        <f>IF(B58="","",IF(B58="OWN","Yes","No"))</f>
        <v/>
      </c>
      <c r="AF58" s="9">
        <f>IF(ISNUMBER(Z58),IF(Z58&lt;=2,"&lt;=2 d",IF(Z58&lt;=7,"3-7 d",IF(Z58&lt;=30,"8-30 d","&gt;30 d"))),IF(AE58&lt;&gt;"",AE58,IF(Z58="NR","NR","")))</f>
        <v/>
      </c>
      <c r="AX58" s="9">
        <f>IF(ISNUMBER(AW58),IF(AW58&gt;450,"Yes","No"),IF(AW58="NR","NR",""))</f>
        <v/>
      </c>
      <c r="BJ58" s="9">
        <f>IF(BB58="","",IF(BB58="Non-viable","Non-viable",IF(BB58="Viable","Viable",IF(BB58="Partially non-viable",IF(OR(BD58="Total splenectomy",BD58="Partial splenectomy +/- splenopexy"),"Non-viable","Review"),IF(BB58="NR",IF(OR(BD58="Total splenectomy",BD58="Partial splenectomy +/- splenopexy"),"NR - removed, check reason","NR"),"Not applicable")))))</f>
        <v/>
      </c>
    </row>
    <row r="59">
      <c r="D59" s="8" t="n"/>
      <c r="E59" s="9">
        <f>IF(B59="","",IF(B59="OWN","Yes","No"))</f>
        <v/>
      </c>
      <c r="AF59" s="9">
        <f>IF(ISNUMBER(Z59),IF(Z59&lt;=2,"&lt;=2 d",IF(Z59&lt;=7,"3-7 d",IF(Z59&lt;=30,"8-30 d","&gt;30 d"))),IF(AE59&lt;&gt;"",AE59,IF(Z59="NR","NR","")))</f>
        <v/>
      </c>
      <c r="AX59" s="9">
        <f>IF(ISNUMBER(AW59),IF(AW59&gt;450,"Yes","No"),IF(AW59="NR","NR",""))</f>
        <v/>
      </c>
      <c r="BJ59" s="9">
        <f>IF(BB59="","",IF(BB59="Non-viable","Non-viable",IF(BB59="Viable","Viable",IF(BB59="Partially non-viable",IF(OR(BD59="Total splenectomy",BD59="Partial splenectomy +/- splenopexy"),"Non-viable","Review"),IF(BB59="NR",IF(OR(BD59="Total splenectomy",BD59="Partial splenectomy +/- splenopexy"),"NR - removed, check reason","NR"),"Not applicable")))))</f>
        <v/>
      </c>
    </row>
    <row r="60">
      <c r="D60" s="8" t="n"/>
      <c r="E60" s="9">
        <f>IF(B60="","",IF(B60="OWN","Yes","No"))</f>
        <v/>
      </c>
      <c r="AF60" s="9">
        <f>IF(ISNUMBER(Z60),IF(Z60&lt;=2,"&lt;=2 d",IF(Z60&lt;=7,"3-7 d",IF(Z60&lt;=30,"8-30 d","&gt;30 d"))),IF(AE60&lt;&gt;"",AE60,IF(Z60="NR","NR","")))</f>
        <v/>
      </c>
      <c r="AX60" s="9">
        <f>IF(ISNUMBER(AW60),IF(AW60&gt;450,"Yes","No"),IF(AW60="NR","NR",""))</f>
        <v/>
      </c>
      <c r="BJ60" s="9">
        <f>IF(BB60="","",IF(BB60="Non-viable","Non-viable",IF(BB60="Viable","Viable",IF(BB60="Partially non-viable",IF(OR(BD60="Total splenectomy",BD60="Partial splenectomy +/- splenopexy"),"Non-viable","Review"),IF(BB60="NR",IF(OR(BD60="Total splenectomy",BD60="Partial splenectomy +/- splenopexy"),"NR - removed, check reason","NR"),"Not applicable")))))</f>
        <v/>
      </c>
    </row>
    <row r="61">
      <c r="D61" s="8" t="n"/>
      <c r="E61" s="9">
        <f>IF(B61="","",IF(B61="OWN","Yes","No"))</f>
        <v/>
      </c>
      <c r="AF61" s="9">
        <f>IF(ISNUMBER(Z61),IF(Z61&lt;=2,"&lt;=2 d",IF(Z61&lt;=7,"3-7 d",IF(Z61&lt;=30,"8-30 d","&gt;30 d"))),IF(AE61&lt;&gt;"",AE61,IF(Z61="NR","NR","")))</f>
        <v/>
      </c>
      <c r="AX61" s="9">
        <f>IF(ISNUMBER(AW61),IF(AW61&gt;450,"Yes","No"),IF(AW61="NR","NR",""))</f>
        <v/>
      </c>
      <c r="BJ61" s="9">
        <f>IF(BB61="","",IF(BB61="Non-viable","Non-viable",IF(BB61="Viable","Viable",IF(BB61="Partially non-viable",IF(OR(BD61="Total splenectomy",BD61="Partial splenectomy +/- splenopexy"),"Non-viable","Review"),IF(BB61="NR",IF(OR(BD61="Total splenectomy",BD61="Partial splenectomy +/- splenopexy"),"NR - removed, check reason","NR"),"Not applicable")))))</f>
        <v/>
      </c>
    </row>
    <row r="62">
      <c r="D62" s="8" t="n"/>
      <c r="E62" s="9">
        <f>IF(B62="","",IF(B62="OWN","Yes","No"))</f>
        <v/>
      </c>
      <c r="AF62" s="9">
        <f>IF(ISNUMBER(Z62),IF(Z62&lt;=2,"&lt;=2 d",IF(Z62&lt;=7,"3-7 d",IF(Z62&lt;=30,"8-30 d","&gt;30 d"))),IF(AE62&lt;&gt;"",AE62,IF(Z62="NR","NR","")))</f>
        <v/>
      </c>
      <c r="AX62" s="9">
        <f>IF(ISNUMBER(AW62),IF(AW62&gt;450,"Yes","No"),IF(AW62="NR","NR",""))</f>
        <v/>
      </c>
      <c r="BJ62" s="9">
        <f>IF(BB62="","",IF(BB62="Non-viable","Non-viable",IF(BB62="Viable","Viable",IF(BB62="Partially non-viable",IF(OR(BD62="Total splenectomy",BD62="Partial splenectomy +/- splenopexy"),"Non-viable","Review"),IF(BB62="NR",IF(OR(BD62="Total splenectomy",BD62="Partial splenectomy +/- splenopexy"),"NR - removed, check reason","NR"),"Not applicable")))))</f>
        <v/>
      </c>
    </row>
    <row r="63">
      <c r="D63" s="8" t="n"/>
      <c r="E63" s="9">
        <f>IF(B63="","",IF(B63="OWN","Yes","No"))</f>
        <v/>
      </c>
      <c r="AF63" s="9">
        <f>IF(ISNUMBER(Z63),IF(Z63&lt;=2,"&lt;=2 d",IF(Z63&lt;=7,"3-7 d",IF(Z63&lt;=30,"8-30 d","&gt;30 d"))),IF(AE63&lt;&gt;"",AE63,IF(Z63="NR","NR","")))</f>
        <v/>
      </c>
      <c r="AX63" s="9">
        <f>IF(ISNUMBER(AW63),IF(AW63&gt;450,"Yes","No"),IF(AW63="NR","NR",""))</f>
        <v/>
      </c>
      <c r="BJ63" s="9">
        <f>IF(BB63="","",IF(BB63="Non-viable","Non-viable",IF(BB63="Viable","Viable",IF(BB63="Partially non-viable",IF(OR(BD63="Total splenectomy",BD63="Partial splenectomy +/- splenopexy"),"Non-viable","Review"),IF(BB63="NR",IF(OR(BD63="Total splenectomy",BD63="Partial splenectomy +/- splenopexy"),"NR - removed, check reason","NR"),"Not applicable")))))</f>
        <v/>
      </c>
    </row>
    <row r="64">
      <c r="D64" s="8" t="n"/>
      <c r="E64" s="9">
        <f>IF(B64="","",IF(B64="OWN","Yes","No"))</f>
        <v/>
      </c>
      <c r="AF64" s="9">
        <f>IF(ISNUMBER(Z64),IF(Z64&lt;=2,"&lt;=2 d",IF(Z64&lt;=7,"3-7 d",IF(Z64&lt;=30,"8-30 d","&gt;30 d"))),IF(AE64&lt;&gt;"",AE64,IF(Z64="NR","NR","")))</f>
        <v/>
      </c>
      <c r="AX64" s="9">
        <f>IF(ISNUMBER(AW64),IF(AW64&gt;450,"Yes","No"),IF(AW64="NR","NR",""))</f>
        <v/>
      </c>
      <c r="BJ64" s="9">
        <f>IF(BB64="","",IF(BB64="Non-viable","Non-viable",IF(BB64="Viable","Viable",IF(BB64="Partially non-viable",IF(OR(BD64="Total splenectomy",BD64="Partial splenectomy +/- splenopexy"),"Non-viable","Review"),IF(BB64="NR",IF(OR(BD64="Total splenectomy",BD64="Partial splenectomy +/- splenopexy"),"NR - removed, check reason","NR"),"Not applicable")))))</f>
        <v/>
      </c>
    </row>
    <row r="65">
      <c r="D65" s="8" t="n"/>
      <c r="E65" s="9">
        <f>IF(B65="","",IF(B65="OWN","Yes","No"))</f>
        <v/>
      </c>
      <c r="AF65" s="9">
        <f>IF(ISNUMBER(Z65),IF(Z65&lt;=2,"&lt;=2 d",IF(Z65&lt;=7,"3-7 d",IF(Z65&lt;=30,"8-30 d","&gt;30 d"))),IF(AE65&lt;&gt;"",AE65,IF(Z65="NR","NR","")))</f>
        <v/>
      </c>
      <c r="AX65" s="9">
        <f>IF(ISNUMBER(AW65),IF(AW65&gt;450,"Yes","No"),IF(AW65="NR","NR",""))</f>
        <v/>
      </c>
      <c r="BJ65" s="9">
        <f>IF(BB65="","",IF(BB65="Non-viable","Non-viable",IF(BB65="Viable","Viable",IF(BB65="Partially non-viable",IF(OR(BD65="Total splenectomy",BD65="Partial splenectomy +/- splenopexy"),"Non-viable","Review"),IF(BB65="NR",IF(OR(BD65="Total splenectomy",BD65="Partial splenectomy +/- splenopexy"),"NR - removed, check reason","NR"),"Not applicable")))))</f>
        <v/>
      </c>
    </row>
    <row r="66">
      <c r="D66" s="8" t="n"/>
      <c r="E66" s="9">
        <f>IF(B66="","",IF(B66="OWN","Yes","No"))</f>
        <v/>
      </c>
      <c r="AF66" s="9">
        <f>IF(ISNUMBER(Z66),IF(Z66&lt;=2,"&lt;=2 d",IF(Z66&lt;=7,"3-7 d",IF(Z66&lt;=30,"8-30 d","&gt;30 d"))),IF(AE66&lt;&gt;"",AE66,IF(Z66="NR","NR","")))</f>
        <v/>
      </c>
      <c r="AX66" s="9">
        <f>IF(ISNUMBER(AW66),IF(AW66&gt;450,"Yes","No"),IF(AW66="NR","NR",""))</f>
        <v/>
      </c>
      <c r="BJ66" s="9">
        <f>IF(BB66="","",IF(BB66="Non-viable","Non-viable",IF(BB66="Viable","Viable",IF(BB66="Partially non-viable",IF(OR(BD66="Total splenectomy",BD66="Partial splenectomy +/- splenopexy"),"Non-viable","Review"),IF(BB66="NR",IF(OR(BD66="Total splenectomy",BD66="Partial splenectomy +/- splenopexy"),"NR - removed, check reason","NR"),"Not applicable")))))</f>
        <v/>
      </c>
    </row>
    <row r="67">
      <c r="D67" s="8" t="n"/>
      <c r="E67" s="9">
        <f>IF(B67="","",IF(B67="OWN","Yes","No"))</f>
        <v/>
      </c>
      <c r="AF67" s="9">
        <f>IF(ISNUMBER(Z67),IF(Z67&lt;=2,"&lt;=2 d",IF(Z67&lt;=7,"3-7 d",IF(Z67&lt;=30,"8-30 d","&gt;30 d"))),IF(AE67&lt;&gt;"",AE67,IF(Z67="NR","NR","")))</f>
        <v/>
      </c>
      <c r="AX67" s="9">
        <f>IF(ISNUMBER(AW67),IF(AW67&gt;450,"Yes","No"),IF(AW67="NR","NR",""))</f>
        <v/>
      </c>
      <c r="BJ67" s="9">
        <f>IF(BB67="","",IF(BB67="Non-viable","Non-viable",IF(BB67="Viable","Viable",IF(BB67="Partially non-viable",IF(OR(BD67="Total splenectomy",BD67="Partial splenectomy +/- splenopexy"),"Non-viable","Review"),IF(BB67="NR",IF(OR(BD67="Total splenectomy",BD67="Partial splenectomy +/- splenopexy"),"NR - removed, check reason","NR"),"Not applicable")))))</f>
        <v/>
      </c>
    </row>
    <row r="68">
      <c r="D68" s="8" t="n"/>
      <c r="E68" s="9">
        <f>IF(B68="","",IF(B68="OWN","Yes","No"))</f>
        <v/>
      </c>
      <c r="AF68" s="9">
        <f>IF(ISNUMBER(Z68),IF(Z68&lt;=2,"&lt;=2 d",IF(Z68&lt;=7,"3-7 d",IF(Z68&lt;=30,"8-30 d","&gt;30 d"))),IF(AE68&lt;&gt;"",AE68,IF(Z68="NR","NR","")))</f>
        <v/>
      </c>
      <c r="AX68" s="9">
        <f>IF(ISNUMBER(AW68),IF(AW68&gt;450,"Yes","No"),IF(AW68="NR","NR",""))</f>
        <v/>
      </c>
      <c r="BJ68" s="9">
        <f>IF(BB68="","",IF(BB68="Non-viable","Non-viable",IF(BB68="Viable","Viable",IF(BB68="Partially non-viable",IF(OR(BD68="Total splenectomy",BD68="Partial splenectomy +/- splenopexy"),"Non-viable","Review"),IF(BB68="NR",IF(OR(BD68="Total splenectomy",BD68="Partial splenectomy +/- splenopexy"),"NR - removed, check reason","NR"),"Not applicable")))))</f>
        <v/>
      </c>
    </row>
    <row r="69">
      <c r="D69" s="8" t="n"/>
      <c r="E69" s="9">
        <f>IF(B69="","",IF(B69="OWN","Yes","No"))</f>
        <v/>
      </c>
      <c r="AF69" s="9">
        <f>IF(ISNUMBER(Z69),IF(Z69&lt;=2,"&lt;=2 d",IF(Z69&lt;=7,"3-7 d",IF(Z69&lt;=30,"8-30 d","&gt;30 d"))),IF(AE69&lt;&gt;"",AE69,IF(Z69="NR","NR","")))</f>
        <v/>
      </c>
      <c r="AX69" s="9">
        <f>IF(ISNUMBER(AW69),IF(AW69&gt;450,"Yes","No"),IF(AW69="NR","NR",""))</f>
        <v/>
      </c>
      <c r="BJ69" s="9">
        <f>IF(BB69="","",IF(BB69="Non-viable","Non-viable",IF(BB69="Viable","Viable",IF(BB69="Partially non-viable",IF(OR(BD69="Total splenectomy",BD69="Partial splenectomy +/- splenopexy"),"Non-viable","Review"),IF(BB69="NR",IF(OR(BD69="Total splenectomy",BD69="Partial splenectomy +/- splenopexy"),"NR - removed, check reason","NR"),"Not applicable")))))</f>
        <v/>
      </c>
    </row>
    <row r="70">
      <c r="D70" s="8" t="n"/>
      <c r="E70" s="9">
        <f>IF(B70="","",IF(B70="OWN","Yes","No"))</f>
        <v/>
      </c>
      <c r="AF70" s="9">
        <f>IF(ISNUMBER(Z70),IF(Z70&lt;=2,"&lt;=2 d",IF(Z70&lt;=7,"3-7 d",IF(Z70&lt;=30,"8-30 d","&gt;30 d"))),IF(AE70&lt;&gt;"",AE70,IF(Z70="NR","NR","")))</f>
        <v/>
      </c>
      <c r="AX70" s="9">
        <f>IF(ISNUMBER(AW70),IF(AW70&gt;450,"Yes","No"),IF(AW70="NR","NR",""))</f>
        <v/>
      </c>
      <c r="BJ70" s="9">
        <f>IF(BB70="","",IF(BB70="Non-viable","Non-viable",IF(BB70="Viable","Viable",IF(BB70="Partially non-viable",IF(OR(BD70="Total splenectomy",BD70="Partial splenectomy +/- splenopexy"),"Non-viable","Review"),IF(BB70="NR",IF(OR(BD70="Total splenectomy",BD70="Partial splenectomy +/- splenopexy"),"NR - removed, check reason","NR"),"Not applicable")))))</f>
        <v/>
      </c>
    </row>
    <row r="71">
      <c r="D71" s="8" t="n"/>
      <c r="E71" s="9">
        <f>IF(B71="","",IF(B71="OWN","Yes","No"))</f>
        <v/>
      </c>
      <c r="AF71" s="9">
        <f>IF(ISNUMBER(Z71),IF(Z71&lt;=2,"&lt;=2 d",IF(Z71&lt;=7,"3-7 d",IF(Z71&lt;=30,"8-30 d","&gt;30 d"))),IF(AE71&lt;&gt;"",AE71,IF(Z71="NR","NR","")))</f>
        <v/>
      </c>
      <c r="AX71" s="9">
        <f>IF(ISNUMBER(AW71),IF(AW71&gt;450,"Yes","No"),IF(AW71="NR","NR",""))</f>
        <v/>
      </c>
      <c r="BJ71" s="9">
        <f>IF(BB71="","",IF(BB71="Non-viable","Non-viable",IF(BB71="Viable","Viable",IF(BB71="Partially non-viable",IF(OR(BD71="Total splenectomy",BD71="Partial splenectomy +/- splenopexy"),"Non-viable","Review"),IF(BB71="NR",IF(OR(BD71="Total splenectomy",BD71="Partial splenectomy +/- splenopexy"),"NR - removed, check reason","NR"),"Not applicable")))))</f>
        <v/>
      </c>
    </row>
    <row r="72">
      <c r="D72" s="8" t="n"/>
      <c r="E72" s="9">
        <f>IF(B72="","",IF(B72="OWN","Yes","No"))</f>
        <v/>
      </c>
      <c r="AF72" s="9">
        <f>IF(ISNUMBER(Z72),IF(Z72&lt;=2,"&lt;=2 d",IF(Z72&lt;=7,"3-7 d",IF(Z72&lt;=30,"8-30 d","&gt;30 d"))),IF(AE72&lt;&gt;"",AE72,IF(Z72="NR","NR","")))</f>
        <v/>
      </c>
      <c r="AX72" s="9">
        <f>IF(ISNUMBER(AW72),IF(AW72&gt;450,"Yes","No"),IF(AW72="NR","NR",""))</f>
        <v/>
      </c>
      <c r="BJ72" s="9">
        <f>IF(BB72="","",IF(BB72="Non-viable","Non-viable",IF(BB72="Viable","Viable",IF(BB72="Partially non-viable",IF(OR(BD72="Total splenectomy",BD72="Partial splenectomy +/- splenopexy"),"Non-viable","Review"),IF(BB72="NR",IF(OR(BD72="Total splenectomy",BD72="Partial splenectomy +/- splenopexy"),"NR - removed, check reason","NR"),"Not applicable")))))</f>
        <v/>
      </c>
    </row>
    <row r="73">
      <c r="D73" s="8" t="n"/>
      <c r="E73" s="9">
        <f>IF(B73="","",IF(B73="OWN","Yes","No"))</f>
        <v/>
      </c>
      <c r="AF73" s="9">
        <f>IF(ISNUMBER(Z73),IF(Z73&lt;=2,"&lt;=2 d",IF(Z73&lt;=7,"3-7 d",IF(Z73&lt;=30,"8-30 d","&gt;30 d"))),IF(AE73&lt;&gt;"",AE73,IF(Z73="NR","NR","")))</f>
        <v/>
      </c>
      <c r="AX73" s="9">
        <f>IF(ISNUMBER(AW73),IF(AW73&gt;450,"Yes","No"),IF(AW73="NR","NR",""))</f>
        <v/>
      </c>
      <c r="BJ73" s="9">
        <f>IF(BB73="","",IF(BB73="Non-viable","Non-viable",IF(BB73="Viable","Viable",IF(BB73="Partially non-viable",IF(OR(BD73="Total splenectomy",BD73="Partial splenectomy +/- splenopexy"),"Non-viable","Review"),IF(BB73="NR",IF(OR(BD73="Total splenectomy",BD73="Partial splenectomy +/- splenopexy"),"NR - removed, check reason","NR"),"Not applicable")))))</f>
        <v/>
      </c>
    </row>
    <row r="74">
      <c r="D74" s="8" t="n"/>
      <c r="E74" s="9">
        <f>IF(B74="","",IF(B74="OWN","Yes","No"))</f>
        <v/>
      </c>
      <c r="AF74" s="9">
        <f>IF(ISNUMBER(Z74),IF(Z74&lt;=2,"&lt;=2 d",IF(Z74&lt;=7,"3-7 d",IF(Z74&lt;=30,"8-30 d","&gt;30 d"))),IF(AE74&lt;&gt;"",AE74,IF(Z74="NR","NR","")))</f>
        <v/>
      </c>
      <c r="AX74" s="9">
        <f>IF(ISNUMBER(AW74),IF(AW74&gt;450,"Yes","No"),IF(AW74="NR","NR",""))</f>
        <v/>
      </c>
      <c r="BJ74" s="9">
        <f>IF(BB74="","",IF(BB74="Non-viable","Non-viable",IF(BB74="Viable","Viable",IF(BB74="Partially non-viable",IF(OR(BD74="Total splenectomy",BD74="Partial splenectomy +/- splenopexy"),"Non-viable","Review"),IF(BB74="NR",IF(OR(BD74="Total splenectomy",BD74="Partial splenectomy +/- splenopexy"),"NR - removed, check reason","NR"),"Not applicable")))))</f>
        <v/>
      </c>
    </row>
    <row r="75">
      <c r="D75" s="8" t="n"/>
      <c r="E75" s="9">
        <f>IF(B75="","",IF(B75="OWN","Yes","No"))</f>
        <v/>
      </c>
      <c r="AF75" s="9">
        <f>IF(ISNUMBER(Z75),IF(Z75&lt;=2,"&lt;=2 d",IF(Z75&lt;=7,"3-7 d",IF(Z75&lt;=30,"8-30 d","&gt;30 d"))),IF(AE75&lt;&gt;"",AE75,IF(Z75="NR","NR","")))</f>
        <v/>
      </c>
      <c r="AX75" s="9">
        <f>IF(ISNUMBER(AW75),IF(AW75&gt;450,"Yes","No"),IF(AW75="NR","NR",""))</f>
        <v/>
      </c>
      <c r="BJ75" s="9">
        <f>IF(BB75="","",IF(BB75="Non-viable","Non-viable",IF(BB75="Viable","Viable",IF(BB75="Partially non-viable",IF(OR(BD75="Total splenectomy",BD75="Partial splenectomy +/- splenopexy"),"Non-viable","Review"),IF(BB75="NR",IF(OR(BD75="Total splenectomy",BD75="Partial splenectomy +/- splenopexy"),"NR - removed, check reason","NR"),"Not applicable")))))</f>
        <v/>
      </c>
    </row>
    <row r="76">
      <c r="D76" s="8" t="n"/>
      <c r="E76" s="9">
        <f>IF(B76="","",IF(B76="OWN","Yes","No"))</f>
        <v/>
      </c>
      <c r="AF76" s="9">
        <f>IF(ISNUMBER(Z76),IF(Z76&lt;=2,"&lt;=2 d",IF(Z76&lt;=7,"3-7 d",IF(Z76&lt;=30,"8-30 d","&gt;30 d"))),IF(AE76&lt;&gt;"",AE76,IF(Z76="NR","NR","")))</f>
        <v/>
      </c>
      <c r="AX76" s="9">
        <f>IF(ISNUMBER(AW76),IF(AW76&gt;450,"Yes","No"),IF(AW76="NR","NR",""))</f>
        <v/>
      </c>
      <c r="BJ76" s="9">
        <f>IF(BB76="","",IF(BB76="Non-viable","Non-viable",IF(BB76="Viable","Viable",IF(BB76="Partially non-viable",IF(OR(BD76="Total splenectomy",BD76="Partial splenectomy +/- splenopexy"),"Non-viable","Review"),IF(BB76="NR",IF(OR(BD76="Total splenectomy",BD76="Partial splenectomy +/- splenopexy"),"NR - removed, check reason","NR"),"Not applicable")))))</f>
        <v/>
      </c>
    </row>
    <row r="77">
      <c r="D77" s="8" t="n"/>
      <c r="E77" s="9">
        <f>IF(B77="","",IF(B77="OWN","Yes","No"))</f>
        <v/>
      </c>
      <c r="AF77" s="9">
        <f>IF(ISNUMBER(Z77),IF(Z77&lt;=2,"&lt;=2 d",IF(Z77&lt;=7,"3-7 d",IF(Z77&lt;=30,"8-30 d","&gt;30 d"))),IF(AE77&lt;&gt;"",AE77,IF(Z77="NR","NR","")))</f>
        <v/>
      </c>
      <c r="AX77" s="9">
        <f>IF(ISNUMBER(AW77),IF(AW77&gt;450,"Yes","No"),IF(AW77="NR","NR",""))</f>
        <v/>
      </c>
      <c r="BJ77" s="9">
        <f>IF(BB77="","",IF(BB77="Non-viable","Non-viable",IF(BB77="Viable","Viable",IF(BB77="Partially non-viable",IF(OR(BD77="Total splenectomy",BD77="Partial splenectomy +/- splenopexy"),"Non-viable","Review"),IF(BB77="NR",IF(OR(BD77="Total splenectomy",BD77="Partial splenectomy +/- splenopexy"),"NR - removed, check reason","NR"),"Not applicable")))))</f>
        <v/>
      </c>
    </row>
    <row r="78">
      <c r="D78" s="8" t="n"/>
      <c r="E78" s="9">
        <f>IF(B78="","",IF(B78="OWN","Yes","No"))</f>
        <v/>
      </c>
      <c r="AF78" s="9">
        <f>IF(ISNUMBER(Z78),IF(Z78&lt;=2,"&lt;=2 d",IF(Z78&lt;=7,"3-7 d",IF(Z78&lt;=30,"8-30 d","&gt;30 d"))),IF(AE78&lt;&gt;"",AE78,IF(Z78="NR","NR","")))</f>
        <v/>
      </c>
      <c r="AX78" s="9">
        <f>IF(ISNUMBER(AW78),IF(AW78&gt;450,"Yes","No"),IF(AW78="NR","NR",""))</f>
        <v/>
      </c>
      <c r="BJ78" s="9">
        <f>IF(BB78="","",IF(BB78="Non-viable","Non-viable",IF(BB78="Viable","Viable",IF(BB78="Partially non-viable",IF(OR(BD78="Total splenectomy",BD78="Partial splenectomy +/- splenopexy"),"Non-viable","Review"),IF(BB78="NR",IF(OR(BD78="Total splenectomy",BD78="Partial splenectomy +/- splenopexy"),"NR - removed, check reason","NR"),"Not applicable")))))</f>
        <v/>
      </c>
    </row>
    <row r="79">
      <c r="D79" s="8" t="n"/>
      <c r="E79" s="9">
        <f>IF(B79="","",IF(B79="OWN","Yes","No"))</f>
        <v/>
      </c>
      <c r="AF79" s="9">
        <f>IF(ISNUMBER(Z79),IF(Z79&lt;=2,"&lt;=2 d",IF(Z79&lt;=7,"3-7 d",IF(Z79&lt;=30,"8-30 d","&gt;30 d"))),IF(AE79&lt;&gt;"",AE79,IF(Z79="NR","NR","")))</f>
        <v/>
      </c>
      <c r="AX79" s="9">
        <f>IF(ISNUMBER(AW79),IF(AW79&gt;450,"Yes","No"),IF(AW79="NR","NR",""))</f>
        <v/>
      </c>
      <c r="BJ79" s="9">
        <f>IF(BB79="","",IF(BB79="Non-viable","Non-viable",IF(BB79="Viable","Viable",IF(BB79="Partially non-viable",IF(OR(BD79="Total splenectomy",BD79="Partial splenectomy +/- splenopexy"),"Non-viable","Review"),IF(BB79="NR",IF(OR(BD79="Total splenectomy",BD79="Partial splenectomy +/- splenopexy"),"NR - removed, check reason","NR"),"Not applicable")))))</f>
        <v/>
      </c>
    </row>
    <row r="80">
      <c r="D80" s="8" t="n"/>
      <c r="E80" s="9">
        <f>IF(B80="","",IF(B80="OWN","Yes","No"))</f>
        <v/>
      </c>
      <c r="AF80" s="9">
        <f>IF(ISNUMBER(Z80),IF(Z80&lt;=2,"&lt;=2 d",IF(Z80&lt;=7,"3-7 d",IF(Z80&lt;=30,"8-30 d","&gt;30 d"))),IF(AE80&lt;&gt;"",AE80,IF(Z80="NR","NR","")))</f>
        <v/>
      </c>
      <c r="AX80" s="9">
        <f>IF(ISNUMBER(AW80),IF(AW80&gt;450,"Yes","No"),IF(AW80="NR","NR",""))</f>
        <v/>
      </c>
      <c r="BJ80" s="9">
        <f>IF(BB80="","",IF(BB80="Non-viable","Non-viable",IF(BB80="Viable","Viable",IF(BB80="Partially non-viable",IF(OR(BD80="Total splenectomy",BD80="Partial splenectomy +/- splenopexy"),"Non-viable","Review"),IF(BB80="NR",IF(OR(BD80="Total splenectomy",BD80="Partial splenectomy +/- splenopexy"),"NR - removed, check reason","NR"),"Not applicable")))))</f>
        <v/>
      </c>
    </row>
    <row r="81">
      <c r="D81" s="8" t="n"/>
      <c r="E81" s="9">
        <f>IF(B81="","",IF(B81="OWN","Yes","No"))</f>
        <v/>
      </c>
      <c r="AF81" s="9">
        <f>IF(ISNUMBER(Z81),IF(Z81&lt;=2,"&lt;=2 d",IF(Z81&lt;=7,"3-7 d",IF(Z81&lt;=30,"8-30 d","&gt;30 d"))),IF(AE81&lt;&gt;"",AE81,IF(Z81="NR","NR","")))</f>
        <v/>
      </c>
      <c r="AX81" s="9">
        <f>IF(ISNUMBER(AW81),IF(AW81&gt;450,"Yes","No"),IF(AW81="NR","NR",""))</f>
        <v/>
      </c>
      <c r="BJ81" s="9">
        <f>IF(BB81="","",IF(BB81="Non-viable","Non-viable",IF(BB81="Viable","Viable",IF(BB81="Partially non-viable",IF(OR(BD81="Total splenectomy",BD81="Partial splenectomy +/- splenopexy"),"Non-viable","Review"),IF(BB81="NR",IF(OR(BD81="Total splenectomy",BD81="Partial splenectomy +/- splenopexy"),"NR - removed, check reason","NR"),"Not applicable")))))</f>
        <v/>
      </c>
    </row>
    <row r="82">
      <c r="D82" s="8" t="n"/>
      <c r="E82" s="9">
        <f>IF(B82="","",IF(B82="OWN","Yes","No"))</f>
        <v/>
      </c>
      <c r="AF82" s="9">
        <f>IF(ISNUMBER(Z82),IF(Z82&lt;=2,"&lt;=2 d",IF(Z82&lt;=7,"3-7 d",IF(Z82&lt;=30,"8-30 d","&gt;30 d"))),IF(AE82&lt;&gt;"",AE82,IF(Z82="NR","NR","")))</f>
        <v/>
      </c>
      <c r="AX82" s="9">
        <f>IF(ISNUMBER(AW82),IF(AW82&gt;450,"Yes","No"),IF(AW82="NR","NR",""))</f>
        <v/>
      </c>
      <c r="BJ82" s="9">
        <f>IF(BB82="","",IF(BB82="Non-viable","Non-viable",IF(BB82="Viable","Viable",IF(BB82="Partially non-viable",IF(OR(BD82="Total splenectomy",BD82="Partial splenectomy +/- splenopexy"),"Non-viable","Review"),IF(BB82="NR",IF(OR(BD82="Total splenectomy",BD82="Partial splenectomy +/- splenopexy"),"NR - removed, check reason","NR"),"Not applicable")))))</f>
        <v/>
      </c>
    </row>
    <row r="83">
      <c r="D83" s="8" t="n"/>
      <c r="E83" s="9">
        <f>IF(B83="","",IF(B83="OWN","Yes","No"))</f>
        <v/>
      </c>
      <c r="AF83" s="9">
        <f>IF(ISNUMBER(Z83),IF(Z83&lt;=2,"&lt;=2 d",IF(Z83&lt;=7,"3-7 d",IF(Z83&lt;=30,"8-30 d","&gt;30 d"))),IF(AE83&lt;&gt;"",AE83,IF(Z83="NR","NR","")))</f>
        <v/>
      </c>
      <c r="AX83" s="9">
        <f>IF(ISNUMBER(AW83),IF(AW83&gt;450,"Yes","No"),IF(AW83="NR","NR",""))</f>
        <v/>
      </c>
      <c r="BJ83" s="9">
        <f>IF(BB83="","",IF(BB83="Non-viable","Non-viable",IF(BB83="Viable","Viable",IF(BB83="Partially non-viable",IF(OR(BD83="Total splenectomy",BD83="Partial splenectomy +/- splenopexy"),"Non-viable","Review"),IF(BB83="NR",IF(OR(BD83="Total splenectomy",BD83="Partial splenectomy +/- splenopexy"),"NR - removed, check reason","NR"),"Not applicable")))))</f>
        <v/>
      </c>
    </row>
    <row r="84">
      <c r="D84" s="8" t="n"/>
      <c r="E84" s="9">
        <f>IF(B84="","",IF(B84="OWN","Yes","No"))</f>
        <v/>
      </c>
      <c r="AF84" s="9">
        <f>IF(ISNUMBER(Z84),IF(Z84&lt;=2,"&lt;=2 d",IF(Z84&lt;=7,"3-7 d",IF(Z84&lt;=30,"8-30 d","&gt;30 d"))),IF(AE84&lt;&gt;"",AE84,IF(Z84="NR","NR","")))</f>
        <v/>
      </c>
      <c r="AX84" s="9">
        <f>IF(ISNUMBER(AW84),IF(AW84&gt;450,"Yes","No"),IF(AW84="NR","NR",""))</f>
        <v/>
      </c>
      <c r="BJ84" s="9">
        <f>IF(BB84="","",IF(BB84="Non-viable","Non-viable",IF(BB84="Viable","Viable",IF(BB84="Partially non-viable",IF(OR(BD84="Total splenectomy",BD84="Partial splenectomy +/- splenopexy"),"Non-viable","Review"),IF(BB84="NR",IF(OR(BD84="Total splenectomy",BD84="Partial splenectomy +/- splenopexy"),"NR - removed, check reason","NR"),"Not applicable")))))</f>
        <v/>
      </c>
    </row>
    <row r="85">
      <c r="D85" s="8" t="n"/>
      <c r="E85" s="9">
        <f>IF(B85="","",IF(B85="OWN","Yes","No"))</f>
        <v/>
      </c>
      <c r="AF85" s="9">
        <f>IF(ISNUMBER(Z85),IF(Z85&lt;=2,"&lt;=2 d",IF(Z85&lt;=7,"3-7 d",IF(Z85&lt;=30,"8-30 d","&gt;30 d"))),IF(AE85&lt;&gt;"",AE85,IF(Z85="NR","NR","")))</f>
        <v/>
      </c>
      <c r="AX85" s="9">
        <f>IF(ISNUMBER(AW85),IF(AW85&gt;450,"Yes","No"),IF(AW85="NR","NR",""))</f>
        <v/>
      </c>
      <c r="BJ85" s="9">
        <f>IF(BB85="","",IF(BB85="Non-viable","Non-viable",IF(BB85="Viable","Viable",IF(BB85="Partially non-viable",IF(OR(BD85="Total splenectomy",BD85="Partial splenectomy +/- splenopexy"),"Non-viable","Review"),IF(BB85="NR",IF(OR(BD85="Total splenectomy",BD85="Partial splenectomy +/- splenopexy"),"NR - removed, check reason","NR"),"Not applicable")))))</f>
        <v/>
      </c>
    </row>
    <row r="86">
      <c r="D86" s="8" t="n"/>
      <c r="E86" s="9">
        <f>IF(B86="","",IF(B86="OWN","Yes","No"))</f>
        <v/>
      </c>
      <c r="AF86" s="9">
        <f>IF(ISNUMBER(Z86),IF(Z86&lt;=2,"&lt;=2 d",IF(Z86&lt;=7,"3-7 d",IF(Z86&lt;=30,"8-30 d","&gt;30 d"))),IF(AE86&lt;&gt;"",AE86,IF(Z86="NR","NR","")))</f>
        <v/>
      </c>
      <c r="AX86" s="9">
        <f>IF(ISNUMBER(AW86),IF(AW86&gt;450,"Yes","No"),IF(AW86="NR","NR",""))</f>
        <v/>
      </c>
      <c r="BJ86" s="9">
        <f>IF(BB86="","",IF(BB86="Non-viable","Non-viable",IF(BB86="Viable","Viable",IF(BB86="Partially non-viable",IF(OR(BD86="Total splenectomy",BD86="Partial splenectomy +/- splenopexy"),"Non-viable","Review"),IF(BB86="NR",IF(OR(BD86="Total splenectomy",BD86="Partial splenectomy +/- splenopexy"),"NR - removed, check reason","NR"),"Not applicable")))))</f>
        <v/>
      </c>
    </row>
    <row r="87">
      <c r="D87" s="8" t="n"/>
      <c r="E87" s="9">
        <f>IF(B87="","",IF(B87="OWN","Yes","No"))</f>
        <v/>
      </c>
      <c r="AF87" s="9">
        <f>IF(ISNUMBER(Z87),IF(Z87&lt;=2,"&lt;=2 d",IF(Z87&lt;=7,"3-7 d",IF(Z87&lt;=30,"8-30 d","&gt;30 d"))),IF(AE87&lt;&gt;"",AE87,IF(Z87="NR","NR","")))</f>
        <v/>
      </c>
      <c r="AX87" s="9">
        <f>IF(ISNUMBER(AW87),IF(AW87&gt;450,"Yes","No"),IF(AW87="NR","NR",""))</f>
        <v/>
      </c>
      <c r="BJ87" s="9">
        <f>IF(BB87="","",IF(BB87="Non-viable","Non-viable",IF(BB87="Viable","Viable",IF(BB87="Partially non-viable",IF(OR(BD87="Total splenectomy",BD87="Partial splenectomy +/- splenopexy"),"Non-viable","Review"),IF(BB87="NR",IF(OR(BD87="Total splenectomy",BD87="Partial splenectomy +/- splenopexy"),"NR - removed, check reason","NR"),"Not applicable")))))</f>
        <v/>
      </c>
    </row>
    <row r="88">
      <c r="D88" s="8" t="n"/>
      <c r="E88" s="9">
        <f>IF(B88="","",IF(B88="OWN","Yes","No"))</f>
        <v/>
      </c>
      <c r="AF88" s="9">
        <f>IF(ISNUMBER(Z88),IF(Z88&lt;=2,"&lt;=2 d",IF(Z88&lt;=7,"3-7 d",IF(Z88&lt;=30,"8-30 d","&gt;30 d"))),IF(AE88&lt;&gt;"",AE88,IF(Z88="NR","NR","")))</f>
        <v/>
      </c>
      <c r="AX88" s="9">
        <f>IF(ISNUMBER(AW88),IF(AW88&gt;450,"Yes","No"),IF(AW88="NR","NR",""))</f>
        <v/>
      </c>
      <c r="BJ88" s="9">
        <f>IF(BB88="","",IF(BB88="Non-viable","Non-viable",IF(BB88="Viable","Viable",IF(BB88="Partially non-viable",IF(OR(BD88="Total splenectomy",BD88="Partial splenectomy +/- splenopexy"),"Non-viable","Review"),IF(BB88="NR",IF(OR(BD88="Total splenectomy",BD88="Partial splenectomy +/- splenopexy"),"NR - removed, check reason","NR"),"Not applicable")))))</f>
        <v/>
      </c>
    </row>
    <row r="89">
      <c r="D89" s="8" t="n"/>
      <c r="E89" s="9">
        <f>IF(B89="","",IF(B89="OWN","Yes","No"))</f>
        <v/>
      </c>
      <c r="AF89" s="9">
        <f>IF(ISNUMBER(Z89),IF(Z89&lt;=2,"&lt;=2 d",IF(Z89&lt;=7,"3-7 d",IF(Z89&lt;=30,"8-30 d","&gt;30 d"))),IF(AE89&lt;&gt;"",AE89,IF(Z89="NR","NR","")))</f>
        <v/>
      </c>
      <c r="AX89" s="9">
        <f>IF(ISNUMBER(AW89),IF(AW89&gt;450,"Yes","No"),IF(AW89="NR","NR",""))</f>
        <v/>
      </c>
      <c r="BJ89" s="9">
        <f>IF(BB89="","",IF(BB89="Non-viable","Non-viable",IF(BB89="Viable","Viable",IF(BB89="Partially non-viable",IF(OR(BD89="Total splenectomy",BD89="Partial splenectomy +/- splenopexy"),"Non-viable","Review"),IF(BB89="NR",IF(OR(BD89="Total splenectomy",BD89="Partial splenectomy +/- splenopexy"),"NR - removed, check reason","NR"),"Not applicable")))))</f>
        <v/>
      </c>
    </row>
    <row r="90">
      <c r="D90" s="8" t="n"/>
      <c r="E90" s="9">
        <f>IF(B90="","",IF(B90="OWN","Yes","No"))</f>
        <v/>
      </c>
      <c r="AF90" s="9">
        <f>IF(ISNUMBER(Z90),IF(Z90&lt;=2,"&lt;=2 d",IF(Z90&lt;=7,"3-7 d",IF(Z90&lt;=30,"8-30 d","&gt;30 d"))),IF(AE90&lt;&gt;"",AE90,IF(Z90="NR","NR","")))</f>
        <v/>
      </c>
      <c r="AX90" s="9">
        <f>IF(ISNUMBER(AW90),IF(AW90&gt;450,"Yes","No"),IF(AW90="NR","NR",""))</f>
        <v/>
      </c>
      <c r="BJ90" s="9">
        <f>IF(BB90="","",IF(BB90="Non-viable","Non-viable",IF(BB90="Viable","Viable",IF(BB90="Partially non-viable",IF(OR(BD90="Total splenectomy",BD90="Partial splenectomy +/- splenopexy"),"Non-viable","Review"),IF(BB90="NR",IF(OR(BD90="Total splenectomy",BD90="Partial splenectomy +/- splenopexy"),"NR - removed, check reason","NR"),"Not applicable")))))</f>
        <v/>
      </c>
    </row>
    <row r="91">
      <c r="D91" s="8" t="n"/>
      <c r="E91" s="9">
        <f>IF(B91="","",IF(B91="OWN","Yes","No"))</f>
        <v/>
      </c>
      <c r="AF91" s="9">
        <f>IF(ISNUMBER(Z91),IF(Z91&lt;=2,"&lt;=2 d",IF(Z91&lt;=7,"3-7 d",IF(Z91&lt;=30,"8-30 d","&gt;30 d"))),IF(AE91&lt;&gt;"",AE91,IF(Z91="NR","NR","")))</f>
        <v/>
      </c>
      <c r="AX91" s="9">
        <f>IF(ISNUMBER(AW91),IF(AW91&gt;450,"Yes","No"),IF(AW91="NR","NR",""))</f>
        <v/>
      </c>
      <c r="BJ91" s="9">
        <f>IF(BB91="","",IF(BB91="Non-viable","Non-viable",IF(BB91="Viable","Viable",IF(BB91="Partially non-viable",IF(OR(BD91="Total splenectomy",BD91="Partial splenectomy +/- splenopexy"),"Non-viable","Review"),IF(BB91="NR",IF(OR(BD91="Total splenectomy",BD91="Partial splenectomy +/- splenopexy"),"NR - removed, check reason","NR"),"Not applicable")))))</f>
        <v/>
      </c>
    </row>
    <row r="92">
      <c r="D92" s="8" t="n"/>
      <c r="E92" s="9">
        <f>IF(B92="","",IF(B92="OWN","Yes","No"))</f>
        <v/>
      </c>
      <c r="AF92" s="9">
        <f>IF(ISNUMBER(Z92),IF(Z92&lt;=2,"&lt;=2 d",IF(Z92&lt;=7,"3-7 d",IF(Z92&lt;=30,"8-30 d","&gt;30 d"))),IF(AE92&lt;&gt;"",AE92,IF(Z92="NR","NR","")))</f>
        <v/>
      </c>
      <c r="AX92" s="9">
        <f>IF(ISNUMBER(AW92),IF(AW92&gt;450,"Yes","No"),IF(AW92="NR","NR",""))</f>
        <v/>
      </c>
      <c r="BJ92" s="9">
        <f>IF(BB92="","",IF(BB92="Non-viable","Non-viable",IF(BB92="Viable","Viable",IF(BB92="Partially non-viable",IF(OR(BD92="Total splenectomy",BD92="Partial splenectomy +/- splenopexy"),"Non-viable","Review"),IF(BB92="NR",IF(OR(BD92="Total splenectomy",BD92="Partial splenectomy +/- splenopexy"),"NR - removed, check reason","NR"),"Not applicable")))))</f>
        <v/>
      </c>
    </row>
    <row r="93">
      <c r="D93" s="8" t="n"/>
      <c r="E93" s="9">
        <f>IF(B93="","",IF(B93="OWN","Yes","No"))</f>
        <v/>
      </c>
      <c r="AF93" s="9">
        <f>IF(ISNUMBER(Z93),IF(Z93&lt;=2,"&lt;=2 d",IF(Z93&lt;=7,"3-7 d",IF(Z93&lt;=30,"8-30 d","&gt;30 d"))),IF(AE93&lt;&gt;"",AE93,IF(Z93="NR","NR","")))</f>
        <v/>
      </c>
      <c r="AX93" s="9">
        <f>IF(ISNUMBER(AW93),IF(AW93&gt;450,"Yes","No"),IF(AW93="NR","NR",""))</f>
        <v/>
      </c>
      <c r="BJ93" s="9">
        <f>IF(BB93="","",IF(BB93="Non-viable","Non-viable",IF(BB93="Viable","Viable",IF(BB93="Partially non-viable",IF(OR(BD93="Total splenectomy",BD93="Partial splenectomy +/- splenopexy"),"Non-viable","Review"),IF(BB93="NR",IF(OR(BD93="Total splenectomy",BD93="Partial splenectomy +/- splenopexy"),"NR - removed, check reason","NR"),"Not applicable")))))</f>
        <v/>
      </c>
    </row>
    <row r="94">
      <c r="D94" s="8" t="n"/>
      <c r="E94" s="9">
        <f>IF(B94="","",IF(B94="OWN","Yes","No"))</f>
        <v/>
      </c>
      <c r="AF94" s="9">
        <f>IF(ISNUMBER(Z94),IF(Z94&lt;=2,"&lt;=2 d",IF(Z94&lt;=7,"3-7 d",IF(Z94&lt;=30,"8-30 d","&gt;30 d"))),IF(AE94&lt;&gt;"",AE94,IF(Z94="NR","NR","")))</f>
        <v/>
      </c>
      <c r="AX94" s="9">
        <f>IF(ISNUMBER(AW94),IF(AW94&gt;450,"Yes","No"),IF(AW94="NR","NR",""))</f>
        <v/>
      </c>
      <c r="BJ94" s="9">
        <f>IF(BB94="","",IF(BB94="Non-viable","Non-viable",IF(BB94="Viable","Viable",IF(BB94="Partially non-viable",IF(OR(BD94="Total splenectomy",BD94="Partial splenectomy +/- splenopexy"),"Non-viable","Review"),IF(BB94="NR",IF(OR(BD94="Total splenectomy",BD94="Partial splenectomy +/- splenopexy"),"NR - removed, check reason","NR"),"Not applicable")))))</f>
        <v/>
      </c>
    </row>
    <row r="95">
      <c r="D95" s="8" t="n"/>
      <c r="E95" s="9">
        <f>IF(B95="","",IF(B95="OWN","Yes","No"))</f>
        <v/>
      </c>
      <c r="AF95" s="9">
        <f>IF(ISNUMBER(Z95),IF(Z95&lt;=2,"&lt;=2 d",IF(Z95&lt;=7,"3-7 d",IF(Z95&lt;=30,"8-30 d","&gt;30 d"))),IF(AE95&lt;&gt;"",AE95,IF(Z95="NR","NR","")))</f>
        <v/>
      </c>
      <c r="AX95" s="9">
        <f>IF(ISNUMBER(AW95),IF(AW95&gt;450,"Yes","No"),IF(AW95="NR","NR",""))</f>
        <v/>
      </c>
      <c r="BJ95" s="9">
        <f>IF(BB95="","",IF(BB95="Non-viable","Non-viable",IF(BB95="Viable","Viable",IF(BB95="Partially non-viable",IF(OR(BD95="Total splenectomy",BD95="Partial splenectomy +/- splenopexy"),"Non-viable","Review"),IF(BB95="NR",IF(OR(BD95="Total splenectomy",BD95="Partial splenectomy +/- splenopexy"),"NR - removed, check reason","NR"),"Not applicable")))))</f>
        <v/>
      </c>
    </row>
    <row r="96">
      <c r="D96" s="8" t="n"/>
      <c r="E96" s="9">
        <f>IF(B96="","",IF(B96="OWN","Yes","No"))</f>
        <v/>
      </c>
      <c r="AF96" s="9">
        <f>IF(ISNUMBER(Z96),IF(Z96&lt;=2,"&lt;=2 d",IF(Z96&lt;=7,"3-7 d",IF(Z96&lt;=30,"8-30 d","&gt;30 d"))),IF(AE96&lt;&gt;"",AE96,IF(Z96="NR","NR","")))</f>
        <v/>
      </c>
      <c r="AX96" s="9">
        <f>IF(ISNUMBER(AW96),IF(AW96&gt;450,"Yes","No"),IF(AW96="NR","NR",""))</f>
        <v/>
      </c>
      <c r="BJ96" s="9">
        <f>IF(BB96="","",IF(BB96="Non-viable","Non-viable",IF(BB96="Viable","Viable",IF(BB96="Partially non-viable",IF(OR(BD96="Total splenectomy",BD96="Partial splenectomy +/- splenopexy"),"Non-viable","Review"),IF(BB96="NR",IF(OR(BD96="Total splenectomy",BD96="Partial splenectomy +/- splenopexy"),"NR - removed, check reason","NR"),"Not applicable")))))</f>
        <v/>
      </c>
    </row>
    <row r="97">
      <c r="D97" s="8" t="n"/>
      <c r="E97" s="9">
        <f>IF(B97="","",IF(B97="OWN","Yes","No"))</f>
        <v/>
      </c>
      <c r="AF97" s="9">
        <f>IF(ISNUMBER(Z97),IF(Z97&lt;=2,"&lt;=2 d",IF(Z97&lt;=7,"3-7 d",IF(Z97&lt;=30,"8-30 d","&gt;30 d"))),IF(AE97&lt;&gt;"",AE97,IF(Z97="NR","NR","")))</f>
        <v/>
      </c>
      <c r="AX97" s="9">
        <f>IF(ISNUMBER(AW97),IF(AW97&gt;450,"Yes","No"),IF(AW97="NR","NR",""))</f>
        <v/>
      </c>
      <c r="BJ97" s="9">
        <f>IF(BB97="","",IF(BB97="Non-viable","Non-viable",IF(BB97="Viable","Viable",IF(BB97="Partially non-viable",IF(OR(BD97="Total splenectomy",BD97="Partial splenectomy +/- splenopexy"),"Non-viable","Review"),IF(BB97="NR",IF(OR(BD97="Total splenectomy",BD97="Partial splenectomy +/- splenopexy"),"NR - removed, check reason","NR"),"Not applicable")))))</f>
        <v/>
      </c>
    </row>
    <row r="98">
      <c r="D98" s="8" t="n"/>
      <c r="E98" s="9">
        <f>IF(B98="","",IF(B98="OWN","Yes","No"))</f>
        <v/>
      </c>
      <c r="AF98" s="9">
        <f>IF(ISNUMBER(Z98),IF(Z98&lt;=2,"&lt;=2 d",IF(Z98&lt;=7,"3-7 d",IF(Z98&lt;=30,"8-30 d","&gt;30 d"))),IF(AE98&lt;&gt;"",AE98,IF(Z98="NR","NR","")))</f>
        <v/>
      </c>
      <c r="AX98" s="9">
        <f>IF(ISNUMBER(AW98),IF(AW98&gt;450,"Yes","No"),IF(AW98="NR","NR",""))</f>
        <v/>
      </c>
      <c r="BJ98" s="9">
        <f>IF(BB98="","",IF(BB98="Non-viable","Non-viable",IF(BB98="Viable","Viable",IF(BB98="Partially non-viable",IF(OR(BD98="Total splenectomy",BD98="Partial splenectomy +/- splenopexy"),"Non-viable","Review"),IF(BB98="NR",IF(OR(BD98="Total splenectomy",BD98="Partial splenectomy +/- splenopexy"),"NR - removed, check reason","NR"),"Not applicable")))))</f>
        <v/>
      </c>
    </row>
    <row r="99">
      <c r="D99" s="8" t="n"/>
      <c r="E99" s="9">
        <f>IF(B99="","",IF(B99="OWN","Yes","No"))</f>
        <v/>
      </c>
      <c r="AF99" s="9">
        <f>IF(ISNUMBER(Z99),IF(Z99&lt;=2,"&lt;=2 d",IF(Z99&lt;=7,"3-7 d",IF(Z99&lt;=30,"8-30 d","&gt;30 d"))),IF(AE99&lt;&gt;"",AE99,IF(Z99="NR","NR","")))</f>
        <v/>
      </c>
      <c r="AX99" s="9">
        <f>IF(ISNUMBER(AW99),IF(AW99&gt;450,"Yes","No"),IF(AW99="NR","NR",""))</f>
        <v/>
      </c>
      <c r="BJ99" s="9">
        <f>IF(BB99="","",IF(BB99="Non-viable","Non-viable",IF(BB99="Viable","Viable",IF(BB99="Partially non-viable",IF(OR(BD99="Total splenectomy",BD99="Partial splenectomy +/- splenopexy"),"Non-viable","Review"),IF(BB99="NR",IF(OR(BD99="Total splenectomy",BD99="Partial splenectomy +/- splenopexy"),"NR - removed, check reason","NR"),"Not applicable")))))</f>
        <v/>
      </c>
    </row>
    <row r="100">
      <c r="D100" s="8" t="n"/>
      <c r="E100" s="9">
        <f>IF(B100="","",IF(B100="OWN","Yes","No"))</f>
        <v/>
      </c>
      <c r="AF100" s="9">
        <f>IF(ISNUMBER(Z100),IF(Z100&lt;=2,"&lt;=2 d",IF(Z100&lt;=7,"3-7 d",IF(Z100&lt;=30,"8-30 d","&gt;30 d"))),IF(AE100&lt;&gt;"",AE100,IF(Z100="NR","NR","")))</f>
        <v/>
      </c>
      <c r="AX100" s="9">
        <f>IF(ISNUMBER(AW100),IF(AW100&gt;450,"Yes","No"),IF(AW100="NR","NR",""))</f>
        <v/>
      </c>
      <c r="BJ100" s="9">
        <f>IF(BB100="","",IF(BB100="Non-viable","Non-viable",IF(BB100="Viable","Viable",IF(BB100="Partially non-viable",IF(OR(BD100="Total splenectomy",BD100="Partial splenectomy +/- splenopexy"),"Non-viable","Review"),IF(BB100="NR",IF(OR(BD100="Total splenectomy",BD100="Partial splenectomy +/- splenopexy"),"NR - removed, check reason","NR"),"Not applicable")))))</f>
        <v/>
      </c>
    </row>
    <row r="101">
      <c r="D101" s="8" t="n"/>
      <c r="E101" s="9">
        <f>IF(B101="","",IF(B101="OWN","Yes","No"))</f>
        <v/>
      </c>
      <c r="AF101" s="9">
        <f>IF(ISNUMBER(Z101),IF(Z101&lt;=2,"&lt;=2 d",IF(Z101&lt;=7,"3-7 d",IF(Z101&lt;=30,"8-30 d","&gt;30 d"))),IF(AE101&lt;&gt;"",AE101,IF(Z101="NR","NR","")))</f>
        <v/>
      </c>
      <c r="AX101" s="9">
        <f>IF(ISNUMBER(AW101),IF(AW101&gt;450,"Yes","No"),IF(AW101="NR","NR",""))</f>
        <v/>
      </c>
      <c r="BJ101" s="9">
        <f>IF(BB101="","",IF(BB101="Non-viable","Non-viable",IF(BB101="Viable","Viable",IF(BB101="Partially non-viable",IF(OR(BD101="Total splenectomy",BD101="Partial splenectomy +/- splenopexy"),"Non-viable","Review"),IF(BB101="NR",IF(OR(BD101="Total splenectomy",BD101="Partial splenectomy +/- splenopexy"),"NR - removed, check reason","NR"),"Not applicable")))))</f>
        <v/>
      </c>
    </row>
    <row r="102">
      <c r="D102" s="8" t="n"/>
      <c r="E102" s="9">
        <f>IF(B102="","",IF(B102="OWN","Yes","No"))</f>
        <v/>
      </c>
      <c r="AF102" s="9">
        <f>IF(ISNUMBER(Z102),IF(Z102&lt;=2,"&lt;=2 d",IF(Z102&lt;=7,"3-7 d",IF(Z102&lt;=30,"8-30 d","&gt;30 d"))),IF(AE102&lt;&gt;"",AE102,IF(Z102="NR","NR","")))</f>
        <v/>
      </c>
      <c r="AX102" s="9">
        <f>IF(ISNUMBER(AW102),IF(AW102&gt;450,"Yes","No"),IF(AW102="NR","NR",""))</f>
        <v/>
      </c>
      <c r="BJ102" s="9">
        <f>IF(BB102="","",IF(BB102="Non-viable","Non-viable",IF(BB102="Viable","Viable",IF(BB102="Partially non-viable",IF(OR(BD102="Total splenectomy",BD102="Partial splenectomy +/- splenopexy"),"Non-viable","Review"),IF(BB102="NR",IF(OR(BD102="Total splenectomy",BD102="Partial splenectomy +/- splenopexy"),"NR - removed, check reason","NR"),"Not applicable")))))</f>
        <v/>
      </c>
    </row>
    <row r="103">
      <c r="D103" s="8" t="n"/>
      <c r="E103" s="9">
        <f>IF(B103="","",IF(B103="OWN","Yes","No"))</f>
        <v/>
      </c>
      <c r="AF103" s="9">
        <f>IF(ISNUMBER(Z103),IF(Z103&lt;=2,"&lt;=2 d",IF(Z103&lt;=7,"3-7 d",IF(Z103&lt;=30,"8-30 d","&gt;30 d"))),IF(AE103&lt;&gt;"",AE103,IF(Z103="NR","NR","")))</f>
        <v/>
      </c>
      <c r="AX103" s="9">
        <f>IF(ISNUMBER(AW103),IF(AW103&gt;450,"Yes","No"),IF(AW103="NR","NR",""))</f>
        <v/>
      </c>
      <c r="BJ103" s="9">
        <f>IF(BB103="","",IF(BB103="Non-viable","Non-viable",IF(BB103="Viable","Viable",IF(BB103="Partially non-viable",IF(OR(BD103="Total splenectomy",BD103="Partial splenectomy +/- splenopexy"),"Non-viable","Review"),IF(BB103="NR",IF(OR(BD103="Total splenectomy",BD103="Partial splenectomy +/- splenopexy"),"NR - removed, check reason","NR"),"Not applicable")))))</f>
        <v/>
      </c>
    </row>
    <row r="104">
      <c r="D104" s="8" t="n"/>
      <c r="E104" s="9">
        <f>IF(B104="","",IF(B104="OWN","Yes","No"))</f>
        <v/>
      </c>
      <c r="AF104" s="9">
        <f>IF(ISNUMBER(Z104),IF(Z104&lt;=2,"&lt;=2 d",IF(Z104&lt;=7,"3-7 d",IF(Z104&lt;=30,"8-30 d","&gt;30 d"))),IF(AE104&lt;&gt;"",AE104,IF(Z104="NR","NR","")))</f>
        <v/>
      </c>
      <c r="AX104" s="9">
        <f>IF(ISNUMBER(AW104),IF(AW104&gt;450,"Yes","No"),IF(AW104="NR","NR",""))</f>
        <v/>
      </c>
      <c r="BJ104" s="9">
        <f>IF(BB104="","",IF(BB104="Non-viable","Non-viable",IF(BB104="Viable","Viable",IF(BB104="Partially non-viable",IF(OR(BD104="Total splenectomy",BD104="Partial splenectomy +/- splenopexy"),"Non-viable","Review"),IF(BB104="NR",IF(OR(BD104="Total splenectomy",BD104="Partial splenectomy +/- splenopexy"),"NR - removed, check reason","NR"),"Not applicable")))))</f>
        <v/>
      </c>
    </row>
    <row r="105">
      <c r="D105" s="8" t="n"/>
      <c r="E105" s="9">
        <f>IF(B105="","",IF(B105="OWN","Yes","No"))</f>
        <v/>
      </c>
      <c r="AF105" s="9">
        <f>IF(ISNUMBER(Z105),IF(Z105&lt;=2,"&lt;=2 d",IF(Z105&lt;=7,"3-7 d",IF(Z105&lt;=30,"8-30 d","&gt;30 d"))),IF(AE105&lt;&gt;"",AE105,IF(Z105="NR","NR","")))</f>
        <v/>
      </c>
      <c r="AX105" s="9">
        <f>IF(ISNUMBER(AW105),IF(AW105&gt;450,"Yes","No"),IF(AW105="NR","NR",""))</f>
        <v/>
      </c>
      <c r="BJ105" s="9">
        <f>IF(BB105="","",IF(BB105="Non-viable","Non-viable",IF(BB105="Viable","Viable",IF(BB105="Partially non-viable",IF(OR(BD105="Total splenectomy",BD105="Partial splenectomy +/- splenopexy"),"Non-viable","Review"),IF(BB105="NR",IF(OR(BD105="Total splenectomy",BD105="Partial splenectomy +/- splenopexy"),"NR - removed, check reason","NR"),"Not applicable")))))</f>
        <v/>
      </c>
    </row>
    <row r="106">
      <c r="D106" s="8" t="n"/>
      <c r="E106" s="9">
        <f>IF(B106="","",IF(B106="OWN","Yes","No"))</f>
        <v/>
      </c>
      <c r="AF106" s="9">
        <f>IF(ISNUMBER(Z106),IF(Z106&lt;=2,"&lt;=2 d",IF(Z106&lt;=7,"3-7 d",IF(Z106&lt;=30,"8-30 d","&gt;30 d"))),IF(AE106&lt;&gt;"",AE106,IF(Z106="NR","NR","")))</f>
        <v/>
      </c>
      <c r="AX106" s="9">
        <f>IF(ISNUMBER(AW106),IF(AW106&gt;450,"Yes","No"),IF(AW106="NR","NR",""))</f>
        <v/>
      </c>
      <c r="BJ106" s="9">
        <f>IF(BB106="","",IF(BB106="Non-viable","Non-viable",IF(BB106="Viable","Viable",IF(BB106="Partially non-viable",IF(OR(BD106="Total splenectomy",BD106="Partial splenectomy +/- splenopexy"),"Non-viable","Review"),IF(BB106="NR",IF(OR(BD106="Total splenectomy",BD106="Partial splenectomy +/- splenopexy"),"NR - removed, check reason","NR"),"Not applicable")))))</f>
        <v/>
      </c>
    </row>
    <row r="107">
      <c r="D107" s="8" t="n"/>
      <c r="E107" s="9">
        <f>IF(B107="","",IF(B107="OWN","Yes","No"))</f>
        <v/>
      </c>
      <c r="AF107" s="9">
        <f>IF(ISNUMBER(Z107),IF(Z107&lt;=2,"&lt;=2 d",IF(Z107&lt;=7,"3-7 d",IF(Z107&lt;=30,"8-30 d","&gt;30 d"))),IF(AE107&lt;&gt;"",AE107,IF(Z107="NR","NR","")))</f>
        <v/>
      </c>
      <c r="AX107" s="9">
        <f>IF(ISNUMBER(AW107),IF(AW107&gt;450,"Yes","No"),IF(AW107="NR","NR",""))</f>
        <v/>
      </c>
      <c r="BJ107" s="9">
        <f>IF(BB107="","",IF(BB107="Non-viable","Non-viable",IF(BB107="Viable","Viable",IF(BB107="Partially non-viable",IF(OR(BD107="Total splenectomy",BD107="Partial splenectomy +/- splenopexy"),"Non-viable","Review"),IF(BB107="NR",IF(OR(BD107="Total splenectomy",BD107="Partial splenectomy +/- splenopexy"),"NR - removed, check reason","NR"),"Not applicable")))))</f>
        <v/>
      </c>
    </row>
    <row r="108">
      <c r="D108" s="8" t="n"/>
      <c r="E108" s="9">
        <f>IF(B108="","",IF(B108="OWN","Yes","No"))</f>
        <v/>
      </c>
      <c r="AF108" s="9">
        <f>IF(ISNUMBER(Z108),IF(Z108&lt;=2,"&lt;=2 d",IF(Z108&lt;=7,"3-7 d",IF(Z108&lt;=30,"8-30 d","&gt;30 d"))),IF(AE108&lt;&gt;"",AE108,IF(Z108="NR","NR","")))</f>
        <v/>
      </c>
      <c r="AX108" s="9">
        <f>IF(ISNUMBER(AW108),IF(AW108&gt;450,"Yes","No"),IF(AW108="NR","NR",""))</f>
        <v/>
      </c>
      <c r="BJ108" s="9">
        <f>IF(BB108="","",IF(BB108="Non-viable","Non-viable",IF(BB108="Viable","Viable",IF(BB108="Partially non-viable",IF(OR(BD108="Total splenectomy",BD108="Partial splenectomy +/- splenopexy"),"Non-viable","Review"),IF(BB108="NR",IF(OR(BD108="Total splenectomy",BD108="Partial splenectomy +/- splenopexy"),"NR - removed, check reason","NR"),"Not applicable")))))</f>
        <v/>
      </c>
    </row>
    <row r="109">
      <c r="D109" s="8" t="n"/>
      <c r="E109" s="9">
        <f>IF(B109="","",IF(B109="OWN","Yes","No"))</f>
        <v/>
      </c>
      <c r="AF109" s="9">
        <f>IF(ISNUMBER(Z109),IF(Z109&lt;=2,"&lt;=2 d",IF(Z109&lt;=7,"3-7 d",IF(Z109&lt;=30,"8-30 d","&gt;30 d"))),IF(AE109&lt;&gt;"",AE109,IF(Z109="NR","NR","")))</f>
        <v/>
      </c>
      <c r="AX109" s="9">
        <f>IF(ISNUMBER(AW109),IF(AW109&gt;450,"Yes","No"),IF(AW109="NR","NR",""))</f>
        <v/>
      </c>
      <c r="BJ109" s="9">
        <f>IF(BB109="","",IF(BB109="Non-viable","Non-viable",IF(BB109="Viable","Viable",IF(BB109="Partially non-viable",IF(OR(BD109="Total splenectomy",BD109="Partial splenectomy +/- splenopexy"),"Non-viable","Review"),IF(BB109="NR",IF(OR(BD109="Total splenectomy",BD109="Partial splenectomy +/- splenopexy"),"NR - removed, check reason","NR"),"Not applicable")))))</f>
        <v/>
      </c>
    </row>
    <row r="110">
      <c r="D110" s="8" t="n"/>
      <c r="E110" s="9">
        <f>IF(B110="","",IF(B110="OWN","Yes","No"))</f>
        <v/>
      </c>
      <c r="AF110" s="9">
        <f>IF(ISNUMBER(Z110),IF(Z110&lt;=2,"&lt;=2 d",IF(Z110&lt;=7,"3-7 d",IF(Z110&lt;=30,"8-30 d","&gt;30 d"))),IF(AE110&lt;&gt;"",AE110,IF(Z110="NR","NR","")))</f>
        <v/>
      </c>
      <c r="AX110" s="9">
        <f>IF(ISNUMBER(AW110),IF(AW110&gt;450,"Yes","No"),IF(AW110="NR","NR",""))</f>
        <v/>
      </c>
      <c r="BJ110" s="9">
        <f>IF(BB110="","",IF(BB110="Non-viable","Non-viable",IF(BB110="Viable","Viable",IF(BB110="Partially non-viable",IF(OR(BD110="Total splenectomy",BD110="Partial splenectomy +/- splenopexy"),"Non-viable","Review"),IF(BB110="NR",IF(OR(BD110="Total splenectomy",BD110="Partial splenectomy +/- splenopexy"),"NR - removed, check reason","NR"),"Not applicable")))))</f>
        <v/>
      </c>
    </row>
    <row r="111">
      <c r="D111" s="8" t="n"/>
      <c r="E111" s="9">
        <f>IF(B111="","",IF(B111="OWN","Yes","No"))</f>
        <v/>
      </c>
      <c r="AF111" s="9">
        <f>IF(ISNUMBER(Z111),IF(Z111&lt;=2,"&lt;=2 d",IF(Z111&lt;=7,"3-7 d",IF(Z111&lt;=30,"8-30 d","&gt;30 d"))),IF(AE111&lt;&gt;"",AE111,IF(Z111="NR","NR","")))</f>
        <v/>
      </c>
      <c r="AX111" s="9">
        <f>IF(ISNUMBER(AW111),IF(AW111&gt;450,"Yes","No"),IF(AW111="NR","NR",""))</f>
        <v/>
      </c>
      <c r="BJ111" s="9">
        <f>IF(BB111="","",IF(BB111="Non-viable","Non-viable",IF(BB111="Viable","Viable",IF(BB111="Partially non-viable",IF(OR(BD111="Total splenectomy",BD111="Partial splenectomy +/- splenopexy"),"Non-viable","Review"),IF(BB111="NR",IF(OR(BD111="Total splenectomy",BD111="Partial splenectomy +/- splenopexy"),"NR - removed, check reason","NR"),"Not applicable")))))</f>
        <v/>
      </c>
    </row>
    <row r="112">
      <c r="D112" s="8" t="n"/>
      <c r="E112" s="9">
        <f>IF(B112="","",IF(B112="OWN","Yes","No"))</f>
        <v/>
      </c>
      <c r="AF112" s="9">
        <f>IF(ISNUMBER(Z112),IF(Z112&lt;=2,"&lt;=2 d",IF(Z112&lt;=7,"3-7 d",IF(Z112&lt;=30,"8-30 d","&gt;30 d"))),IF(AE112&lt;&gt;"",AE112,IF(Z112="NR","NR","")))</f>
        <v/>
      </c>
      <c r="AX112" s="9">
        <f>IF(ISNUMBER(AW112),IF(AW112&gt;450,"Yes","No"),IF(AW112="NR","NR",""))</f>
        <v/>
      </c>
      <c r="BJ112" s="9">
        <f>IF(BB112="","",IF(BB112="Non-viable","Non-viable",IF(BB112="Viable","Viable",IF(BB112="Partially non-viable",IF(OR(BD112="Total splenectomy",BD112="Partial splenectomy +/- splenopexy"),"Non-viable","Review"),IF(BB112="NR",IF(OR(BD112="Total splenectomy",BD112="Partial splenectomy +/- splenopexy"),"NR - removed, check reason","NR"),"Not applicable")))))</f>
        <v/>
      </c>
    </row>
    <row r="113">
      <c r="D113" s="8" t="n"/>
      <c r="E113" s="9">
        <f>IF(B113="","",IF(B113="OWN","Yes","No"))</f>
        <v/>
      </c>
      <c r="AF113" s="9">
        <f>IF(ISNUMBER(Z113),IF(Z113&lt;=2,"&lt;=2 d",IF(Z113&lt;=7,"3-7 d",IF(Z113&lt;=30,"8-30 d","&gt;30 d"))),IF(AE113&lt;&gt;"",AE113,IF(Z113="NR","NR","")))</f>
        <v/>
      </c>
      <c r="AX113" s="9">
        <f>IF(ISNUMBER(AW113),IF(AW113&gt;450,"Yes","No"),IF(AW113="NR","NR",""))</f>
        <v/>
      </c>
      <c r="BJ113" s="9">
        <f>IF(BB113="","",IF(BB113="Non-viable","Non-viable",IF(BB113="Viable","Viable",IF(BB113="Partially non-viable",IF(OR(BD113="Total splenectomy",BD113="Partial splenectomy +/- splenopexy"),"Non-viable","Review"),IF(BB113="NR",IF(OR(BD113="Total splenectomy",BD113="Partial splenectomy +/- splenopexy"),"NR - removed, check reason","NR"),"Not applicable")))))</f>
        <v/>
      </c>
    </row>
    <row r="114">
      <c r="D114" s="8" t="n"/>
      <c r="E114" s="9">
        <f>IF(B114="","",IF(B114="OWN","Yes","No"))</f>
        <v/>
      </c>
      <c r="AF114" s="9">
        <f>IF(ISNUMBER(Z114),IF(Z114&lt;=2,"&lt;=2 d",IF(Z114&lt;=7,"3-7 d",IF(Z114&lt;=30,"8-30 d","&gt;30 d"))),IF(AE114&lt;&gt;"",AE114,IF(Z114="NR","NR","")))</f>
        <v/>
      </c>
      <c r="AX114" s="9">
        <f>IF(ISNUMBER(AW114),IF(AW114&gt;450,"Yes","No"),IF(AW114="NR","NR",""))</f>
        <v/>
      </c>
      <c r="BJ114" s="9">
        <f>IF(BB114="","",IF(BB114="Non-viable","Non-viable",IF(BB114="Viable","Viable",IF(BB114="Partially non-viable",IF(OR(BD114="Total splenectomy",BD114="Partial splenectomy +/- splenopexy"),"Non-viable","Review"),IF(BB114="NR",IF(OR(BD114="Total splenectomy",BD114="Partial splenectomy +/- splenopexy"),"NR - removed, check reason","NR"),"Not applicable")))))</f>
        <v/>
      </c>
    </row>
    <row r="115">
      <c r="D115" s="8" t="n"/>
      <c r="E115" s="9">
        <f>IF(B115="","",IF(B115="OWN","Yes","No"))</f>
        <v/>
      </c>
      <c r="AF115" s="9">
        <f>IF(ISNUMBER(Z115),IF(Z115&lt;=2,"&lt;=2 d",IF(Z115&lt;=7,"3-7 d",IF(Z115&lt;=30,"8-30 d","&gt;30 d"))),IF(AE115&lt;&gt;"",AE115,IF(Z115="NR","NR","")))</f>
        <v/>
      </c>
      <c r="AX115" s="9">
        <f>IF(ISNUMBER(AW115),IF(AW115&gt;450,"Yes","No"),IF(AW115="NR","NR",""))</f>
        <v/>
      </c>
      <c r="BJ115" s="9">
        <f>IF(BB115="","",IF(BB115="Non-viable","Non-viable",IF(BB115="Viable","Viable",IF(BB115="Partially non-viable",IF(OR(BD115="Total splenectomy",BD115="Partial splenectomy +/- splenopexy"),"Non-viable","Review"),IF(BB115="NR",IF(OR(BD115="Total splenectomy",BD115="Partial splenectomy +/- splenopexy"),"NR - removed, check reason","NR"),"Not applicable")))))</f>
        <v/>
      </c>
    </row>
    <row r="116">
      <c r="D116" s="8" t="n"/>
      <c r="E116" s="9">
        <f>IF(B116="","",IF(B116="OWN","Yes","No"))</f>
        <v/>
      </c>
      <c r="AF116" s="9">
        <f>IF(ISNUMBER(Z116),IF(Z116&lt;=2,"&lt;=2 d",IF(Z116&lt;=7,"3-7 d",IF(Z116&lt;=30,"8-30 d","&gt;30 d"))),IF(AE116&lt;&gt;"",AE116,IF(Z116="NR","NR","")))</f>
        <v/>
      </c>
      <c r="AX116" s="9">
        <f>IF(ISNUMBER(AW116),IF(AW116&gt;450,"Yes","No"),IF(AW116="NR","NR",""))</f>
        <v/>
      </c>
      <c r="BJ116" s="9">
        <f>IF(BB116="","",IF(BB116="Non-viable","Non-viable",IF(BB116="Viable","Viable",IF(BB116="Partially non-viable",IF(OR(BD116="Total splenectomy",BD116="Partial splenectomy +/- splenopexy"),"Non-viable","Review"),IF(BB116="NR",IF(OR(BD116="Total splenectomy",BD116="Partial splenectomy +/- splenopexy"),"NR - removed, check reason","NR"),"Not applicable")))))</f>
        <v/>
      </c>
    </row>
    <row r="117">
      <c r="D117" s="8" t="n"/>
      <c r="E117" s="9">
        <f>IF(B117="","",IF(B117="OWN","Yes","No"))</f>
        <v/>
      </c>
      <c r="AF117" s="9">
        <f>IF(ISNUMBER(Z117),IF(Z117&lt;=2,"&lt;=2 d",IF(Z117&lt;=7,"3-7 d",IF(Z117&lt;=30,"8-30 d","&gt;30 d"))),IF(AE117&lt;&gt;"",AE117,IF(Z117="NR","NR","")))</f>
        <v/>
      </c>
      <c r="AX117" s="9">
        <f>IF(ISNUMBER(AW117),IF(AW117&gt;450,"Yes","No"),IF(AW117="NR","NR",""))</f>
        <v/>
      </c>
      <c r="BJ117" s="9">
        <f>IF(BB117="","",IF(BB117="Non-viable","Non-viable",IF(BB117="Viable","Viable",IF(BB117="Partially non-viable",IF(OR(BD117="Total splenectomy",BD117="Partial splenectomy +/- splenopexy"),"Non-viable","Review"),IF(BB117="NR",IF(OR(BD117="Total splenectomy",BD117="Partial splenectomy +/- splenopexy"),"NR - removed, check reason","NR"),"Not applicable")))))</f>
        <v/>
      </c>
    </row>
    <row r="118">
      <c r="D118" s="8" t="n"/>
      <c r="E118" s="9">
        <f>IF(B118="","",IF(B118="OWN","Yes","No"))</f>
        <v/>
      </c>
      <c r="AF118" s="9">
        <f>IF(ISNUMBER(Z118),IF(Z118&lt;=2,"&lt;=2 d",IF(Z118&lt;=7,"3-7 d",IF(Z118&lt;=30,"8-30 d","&gt;30 d"))),IF(AE118&lt;&gt;"",AE118,IF(Z118="NR","NR","")))</f>
        <v/>
      </c>
      <c r="AX118" s="9">
        <f>IF(ISNUMBER(AW118),IF(AW118&gt;450,"Yes","No"),IF(AW118="NR","NR",""))</f>
        <v/>
      </c>
      <c r="BJ118" s="9">
        <f>IF(BB118="","",IF(BB118="Non-viable","Non-viable",IF(BB118="Viable","Viable",IF(BB118="Partially non-viable",IF(OR(BD118="Total splenectomy",BD118="Partial splenectomy +/- splenopexy"),"Non-viable","Review"),IF(BB118="NR",IF(OR(BD118="Total splenectomy",BD118="Partial splenectomy +/- splenopexy"),"NR - removed, check reason","NR"),"Not applicable")))))</f>
        <v/>
      </c>
    </row>
    <row r="119">
      <c r="D119" s="8" t="n"/>
      <c r="E119" s="9">
        <f>IF(B119="","",IF(B119="OWN","Yes","No"))</f>
        <v/>
      </c>
      <c r="AF119" s="9">
        <f>IF(ISNUMBER(Z119),IF(Z119&lt;=2,"&lt;=2 d",IF(Z119&lt;=7,"3-7 d",IF(Z119&lt;=30,"8-30 d","&gt;30 d"))),IF(AE119&lt;&gt;"",AE119,IF(Z119="NR","NR","")))</f>
        <v/>
      </c>
      <c r="AX119" s="9">
        <f>IF(ISNUMBER(AW119),IF(AW119&gt;450,"Yes","No"),IF(AW119="NR","NR",""))</f>
        <v/>
      </c>
      <c r="BJ119" s="9">
        <f>IF(BB119="","",IF(BB119="Non-viable","Non-viable",IF(BB119="Viable","Viable",IF(BB119="Partially non-viable",IF(OR(BD119="Total splenectomy",BD119="Partial splenectomy +/- splenopexy"),"Non-viable","Review"),IF(BB119="NR",IF(OR(BD119="Total splenectomy",BD119="Partial splenectomy +/- splenopexy"),"NR - removed, check reason","NR"),"Not applicable")))))</f>
        <v/>
      </c>
    </row>
    <row r="120">
      <c r="D120" s="8" t="n"/>
      <c r="E120" s="9">
        <f>IF(B120="","",IF(B120="OWN","Yes","No"))</f>
        <v/>
      </c>
      <c r="AF120" s="9">
        <f>IF(ISNUMBER(Z120),IF(Z120&lt;=2,"&lt;=2 d",IF(Z120&lt;=7,"3-7 d",IF(Z120&lt;=30,"8-30 d","&gt;30 d"))),IF(AE120&lt;&gt;"",AE120,IF(Z120="NR","NR","")))</f>
        <v/>
      </c>
      <c r="AX120" s="9">
        <f>IF(ISNUMBER(AW120),IF(AW120&gt;450,"Yes","No"),IF(AW120="NR","NR",""))</f>
        <v/>
      </c>
      <c r="BJ120" s="9">
        <f>IF(BB120="","",IF(BB120="Non-viable","Non-viable",IF(BB120="Viable","Viable",IF(BB120="Partially non-viable",IF(OR(BD120="Total splenectomy",BD120="Partial splenectomy +/- splenopexy"),"Non-viable","Review"),IF(BB120="NR",IF(OR(BD120="Total splenectomy",BD120="Partial splenectomy +/- splenopexy"),"NR - removed, check reason","NR"),"Not applicable")))))</f>
        <v/>
      </c>
    </row>
    <row r="121">
      <c r="D121" s="8" t="n"/>
      <c r="E121" s="9">
        <f>IF(B121="","",IF(B121="OWN","Yes","No"))</f>
        <v/>
      </c>
      <c r="AF121" s="9">
        <f>IF(ISNUMBER(Z121),IF(Z121&lt;=2,"&lt;=2 d",IF(Z121&lt;=7,"3-7 d",IF(Z121&lt;=30,"8-30 d","&gt;30 d"))),IF(AE121&lt;&gt;"",AE121,IF(Z121="NR","NR","")))</f>
        <v/>
      </c>
      <c r="AX121" s="9">
        <f>IF(ISNUMBER(AW121),IF(AW121&gt;450,"Yes","No"),IF(AW121="NR","NR",""))</f>
        <v/>
      </c>
      <c r="BJ121" s="9">
        <f>IF(BB121="","",IF(BB121="Non-viable","Non-viable",IF(BB121="Viable","Viable",IF(BB121="Partially non-viable",IF(OR(BD121="Total splenectomy",BD121="Partial splenectomy +/- splenopexy"),"Non-viable","Review"),IF(BB121="NR",IF(OR(BD121="Total splenectomy",BD121="Partial splenectomy +/- splenopexy"),"NR - removed, check reason","NR"),"Not applicable")))))</f>
        <v/>
      </c>
    </row>
    <row r="122">
      <c r="D122" s="8" t="n"/>
      <c r="E122" s="9">
        <f>IF(B122="","",IF(B122="OWN","Yes","No"))</f>
        <v/>
      </c>
      <c r="AF122" s="9">
        <f>IF(ISNUMBER(Z122),IF(Z122&lt;=2,"&lt;=2 d",IF(Z122&lt;=7,"3-7 d",IF(Z122&lt;=30,"8-30 d","&gt;30 d"))),IF(AE122&lt;&gt;"",AE122,IF(Z122="NR","NR","")))</f>
        <v/>
      </c>
      <c r="AX122" s="9">
        <f>IF(ISNUMBER(AW122),IF(AW122&gt;450,"Yes","No"),IF(AW122="NR","NR",""))</f>
        <v/>
      </c>
      <c r="BJ122" s="9">
        <f>IF(BB122="","",IF(BB122="Non-viable","Non-viable",IF(BB122="Viable","Viable",IF(BB122="Partially non-viable",IF(OR(BD122="Total splenectomy",BD122="Partial splenectomy +/- splenopexy"),"Non-viable","Review"),IF(BB122="NR",IF(OR(BD122="Total splenectomy",BD122="Partial splenectomy +/- splenopexy"),"NR - removed, check reason","NR"),"Not applicable")))))</f>
        <v/>
      </c>
    </row>
    <row r="123">
      <c r="D123" s="8" t="n"/>
      <c r="E123" s="9">
        <f>IF(B123="","",IF(B123="OWN","Yes","No"))</f>
        <v/>
      </c>
      <c r="AF123" s="9">
        <f>IF(ISNUMBER(Z123),IF(Z123&lt;=2,"&lt;=2 d",IF(Z123&lt;=7,"3-7 d",IF(Z123&lt;=30,"8-30 d","&gt;30 d"))),IF(AE123&lt;&gt;"",AE123,IF(Z123="NR","NR","")))</f>
        <v/>
      </c>
      <c r="AX123" s="9">
        <f>IF(ISNUMBER(AW123),IF(AW123&gt;450,"Yes","No"),IF(AW123="NR","NR",""))</f>
        <v/>
      </c>
      <c r="BJ123" s="9">
        <f>IF(BB123="","",IF(BB123="Non-viable","Non-viable",IF(BB123="Viable","Viable",IF(BB123="Partially non-viable",IF(OR(BD123="Total splenectomy",BD123="Partial splenectomy +/- splenopexy"),"Non-viable","Review"),IF(BB123="NR",IF(OR(BD123="Total splenectomy",BD123="Partial splenectomy +/- splenopexy"),"NR - removed, check reason","NR"),"Not applicable")))))</f>
        <v/>
      </c>
    </row>
    <row r="124">
      <c r="D124" s="8" t="n"/>
      <c r="E124" s="9">
        <f>IF(B124="","",IF(B124="OWN","Yes","No"))</f>
        <v/>
      </c>
      <c r="AF124" s="9">
        <f>IF(ISNUMBER(Z124),IF(Z124&lt;=2,"&lt;=2 d",IF(Z124&lt;=7,"3-7 d",IF(Z124&lt;=30,"8-30 d","&gt;30 d"))),IF(AE124&lt;&gt;"",AE124,IF(Z124="NR","NR","")))</f>
        <v/>
      </c>
      <c r="AX124" s="9">
        <f>IF(ISNUMBER(AW124),IF(AW124&gt;450,"Yes","No"),IF(AW124="NR","NR",""))</f>
        <v/>
      </c>
      <c r="BJ124" s="9">
        <f>IF(BB124="","",IF(BB124="Non-viable","Non-viable",IF(BB124="Viable","Viable",IF(BB124="Partially non-viable",IF(OR(BD124="Total splenectomy",BD124="Partial splenectomy +/- splenopexy"),"Non-viable","Review"),IF(BB124="NR",IF(OR(BD124="Total splenectomy",BD124="Partial splenectomy +/- splenopexy"),"NR - removed, check reason","NR"),"Not applicable")))))</f>
        <v/>
      </c>
    </row>
    <row r="125">
      <c r="D125" s="8" t="n"/>
      <c r="E125" s="9">
        <f>IF(B125="","",IF(B125="OWN","Yes","No"))</f>
        <v/>
      </c>
      <c r="AF125" s="9">
        <f>IF(ISNUMBER(Z125),IF(Z125&lt;=2,"&lt;=2 d",IF(Z125&lt;=7,"3-7 d",IF(Z125&lt;=30,"8-30 d","&gt;30 d"))),IF(AE125&lt;&gt;"",AE125,IF(Z125="NR","NR","")))</f>
        <v/>
      </c>
      <c r="AX125" s="9">
        <f>IF(ISNUMBER(AW125),IF(AW125&gt;450,"Yes","No"),IF(AW125="NR","NR",""))</f>
        <v/>
      </c>
      <c r="BJ125" s="9">
        <f>IF(BB125="","",IF(BB125="Non-viable","Non-viable",IF(BB125="Viable","Viable",IF(BB125="Partially non-viable",IF(OR(BD125="Total splenectomy",BD125="Partial splenectomy +/- splenopexy"),"Non-viable","Review"),IF(BB125="NR",IF(OR(BD125="Total splenectomy",BD125="Partial splenectomy +/- splenopexy"),"NR - removed, check reason","NR"),"Not applicable")))))</f>
        <v/>
      </c>
    </row>
    <row r="126">
      <c r="D126" s="8" t="n"/>
      <c r="E126" s="9">
        <f>IF(B126="","",IF(B126="OWN","Yes","No"))</f>
        <v/>
      </c>
      <c r="AF126" s="9">
        <f>IF(ISNUMBER(Z126),IF(Z126&lt;=2,"&lt;=2 d",IF(Z126&lt;=7,"3-7 d",IF(Z126&lt;=30,"8-30 d","&gt;30 d"))),IF(AE126&lt;&gt;"",AE126,IF(Z126="NR","NR","")))</f>
        <v/>
      </c>
      <c r="AX126" s="9">
        <f>IF(ISNUMBER(AW126),IF(AW126&gt;450,"Yes","No"),IF(AW126="NR","NR",""))</f>
        <v/>
      </c>
      <c r="BJ126" s="9">
        <f>IF(BB126="","",IF(BB126="Non-viable","Non-viable",IF(BB126="Viable","Viable",IF(BB126="Partially non-viable",IF(OR(BD126="Total splenectomy",BD126="Partial splenectomy +/- splenopexy"),"Non-viable","Review"),IF(BB126="NR",IF(OR(BD126="Total splenectomy",BD126="Partial splenectomy +/- splenopexy"),"NR - removed, check reason","NR"),"Not applicable")))))</f>
        <v/>
      </c>
    </row>
    <row r="127">
      <c r="D127" s="8" t="n"/>
      <c r="E127" s="9">
        <f>IF(B127="","",IF(B127="OWN","Yes","No"))</f>
        <v/>
      </c>
      <c r="AF127" s="9">
        <f>IF(ISNUMBER(Z127),IF(Z127&lt;=2,"&lt;=2 d",IF(Z127&lt;=7,"3-7 d",IF(Z127&lt;=30,"8-30 d","&gt;30 d"))),IF(AE127&lt;&gt;"",AE127,IF(Z127="NR","NR","")))</f>
        <v/>
      </c>
      <c r="AX127" s="9">
        <f>IF(ISNUMBER(AW127),IF(AW127&gt;450,"Yes","No"),IF(AW127="NR","NR",""))</f>
        <v/>
      </c>
      <c r="BJ127" s="9">
        <f>IF(BB127="","",IF(BB127="Non-viable","Non-viable",IF(BB127="Viable","Viable",IF(BB127="Partially non-viable",IF(OR(BD127="Total splenectomy",BD127="Partial splenectomy +/- splenopexy"),"Non-viable","Review"),IF(BB127="NR",IF(OR(BD127="Total splenectomy",BD127="Partial splenectomy +/- splenopexy"),"NR - removed, check reason","NR"),"Not applicable")))))</f>
        <v/>
      </c>
    </row>
    <row r="128">
      <c r="D128" s="8" t="n"/>
      <c r="E128" s="9">
        <f>IF(B128="","",IF(B128="OWN","Yes","No"))</f>
        <v/>
      </c>
      <c r="AF128" s="9">
        <f>IF(ISNUMBER(Z128),IF(Z128&lt;=2,"&lt;=2 d",IF(Z128&lt;=7,"3-7 d",IF(Z128&lt;=30,"8-30 d","&gt;30 d"))),IF(AE128&lt;&gt;"",AE128,IF(Z128="NR","NR","")))</f>
        <v/>
      </c>
      <c r="AX128" s="9">
        <f>IF(ISNUMBER(AW128),IF(AW128&gt;450,"Yes","No"),IF(AW128="NR","NR",""))</f>
        <v/>
      </c>
      <c r="BJ128" s="9">
        <f>IF(BB128="","",IF(BB128="Non-viable","Non-viable",IF(BB128="Viable","Viable",IF(BB128="Partially non-viable",IF(OR(BD128="Total splenectomy",BD128="Partial splenectomy +/- splenopexy"),"Non-viable","Review"),IF(BB128="NR",IF(OR(BD128="Total splenectomy",BD128="Partial splenectomy +/- splenopexy"),"NR - removed, check reason","NR"),"Not applicable")))))</f>
        <v/>
      </c>
    </row>
    <row r="129">
      <c r="D129" s="8" t="n"/>
      <c r="E129" s="9">
        <f>IF(B129="","",IF(B129="OWN","Yes","No"))</f>
        <v/>
      </c>
      <c r="AF129" s="9">
        <f>IF(ISNUMBER(Z129),IF(Z129&lt;=2,"&lt;=2 d",IF(Z129&lt;=7,"3-7 d",IF(Z129&lt;=30,"8-30 d","&gt;30 d"))),IF(AE129&lt;&gt;"",AE129,IF(Z129="NR","NR","")))</f>
        <v/>
      </c>
      <c r="AX129" s="9">
        <f>IF(ISNUMBER(AW129),IF(AW129&gt;450,"Yes","No"),IF(AW129="NR","NR",""))</f>
        <v/>
      </c>
      <c r="BJ129" s="9">
        <f>IF(BB129="","",IF(BB129="Non-viable","Non-viable",IF(BB129="Viable","Viable",IF(BB129="Partially non-viable",IF(OR(BD129="Total splenectomy",BD129="Partial splenectomy +/- splenopexy"),"Non-viable","Review"),IF(BB129="NR",IF(OR(BD129="Total splenectomy",BD129="Partial splenectomy +/- splenopexy"),"NR - removed, check reason","NR"),"Not applicable")))))</f>
        <v/>
      </c>
    </row>
    <row r="130">
      <c r="D130" s="8" t="n"/>
      <c r="E130" s="9">
        <f>IF(B130="","",IF(B130="OWN","Yes","No"))</f>
        <v/>
      </c>
      <c r="AF130" s="9">
        <f>IF(ISNUMBER(Z130),IF(Z130&lt;=2,"&lt;=2 d",IF(Z130&lt;=7,"3-7 d",IF(Z130&lt;=30,"8-30 d","&gt;30 d"))),IF(AE130&lt;&gt;"",AE130,IF(Z130="NR","NR","")))</f>
        <v/>
      </c>
      <c r="AX130" s="9">
        <f>IF(ISNUMBER(AW130),IF(AW130&gt;450,"Yes","No"),IF(AW130="NR","NR",""))</f>
        <v/>
      </c>
      <c r="BJ130" s="9">
        <f>IF(BB130="","",IF(BB130="Non-viable","Non-viable",IF(BB130="Viable","Viable",IF(BB130="Partially non-viable",IF(OR(BD130="Total splenectomy",BD130="Partial splenectomy +/- splenopexy"),"Non-viable","Review"),IF(BB130="NR",IF(OR(BD130="Total splenectomy",BD130="Partial splenectomy +/- splenopexy"),"NR - removed, check reason","NR"),"Not applicable")))))</f>
        <v/>
      </c>
    </row>
    <row r="131">
      <c r="D131" s="8" t="n"/>
      <c r="E131" s="9">
        <f>IF(B131="","",IF(B131="OWN","Yes","No"))</f>
        <v/>
      </c>
      <c r="AF131" s="9">
        <f>IF(ISNUMBER(Z131),IF(Z131&lt;=2,"&lt;=2 d",IF(Z131&lt;=7,"3-7 d",IF(Z131&lt;=30,"8-30 d","&gt;30 d"))),IF(AE131&lt;&gt;"",AE131,IF(Z131="NR","NR","")))</f>
        <v/>
      </c>
      <c r="AX131" s="9">
        <f>IF(ISNUMBER(AW131),IF(AW131&gt;450,"Yes","No"),IF(AW131="NR","NR",""))</f>
        <v/>
      </c>
      <c r="BJ131" s="9">
        <f>IF(BB131="","",IF(BB131="Non-viable","Non-viable",IF(BB131="Viable","Viable",IF(BB131="Partially non-viable",IF(OR(BD131="Total splenectomy",BD131="Partial splenectomy +/- splenopexy"),"Non-viable","Review"),IF(BB131="NR",IF(OR(BD131="Total splenectomy",BD131="Partial splenectomy +/- splenopexy"),"NR - removed, check reason","NR"),"Not applicable")))))</f>
        <v/>
      </c>
    </row>
    <row r="132">
      <c r="D132" s="8" t="n"/>
      <c r="E132" s="9">
        <f>IF(B132="","",IF(B132="OWN","Yes","No"))</f>
        <v/>
      </c>
      <c r="AF132" s="9">
        <f>IF(ISNUMBER(Z132),IF(Z132&lt;=2,"&lt;=2 d",IF(Z132&lt;=7,"3-7 d",IF(Z132&lt;=30,"8-30 d","&gt;30 d"))),IF(AE132&lt;&gt;"",AE132,IF(Z132="NR","NR","")))</f>
        <v/>
      </c>
      <c r="AX132" s="9">
        <f>IF(ISNUMBER(AW132),IF(AW132&gt;450,"Yes","No"),IF(AW132="NR","NR",""))</f>
        <v/>
      </c>
      <c r="BJ132" s="9">
        <f>IF(BB132="","",IF(BB132="Non-viable","Non-viable",IF(BB132="Viable","Viable",IF(BB132="Partially non-viable",IF(OR(BD132="Total splenectomy",BD132="Partial splenectomy +/- splenopexy"),"Non-viable","Review"),IF(BB132="NR",IF(OR(BD132="Total splenectomy",BD132="Partial splenectomy +/- splenopexy"),"NR - removed, check reason","NR"),"Not applicable")))))</f>
        <v/>
      </c>
    </row>
    <row r="133">
      <c r="D133" s="8" t="n"/>
      <c r="E133" s="9">
        <f>IF(B133="","",IF(B133="OWN","Yes","No"))</f>
        <v/>
      </c>
      <c r="AF133" s="9">
        <f>IF(ISNUMBER(Z133),IF(Z133&lt;=2,"&lt;=2 d",IF(Z133&lt;=7,"3-7 d",IF(Z133&lt;=30,"8-30 d","&gt;30 d"))),IF(AE133&lt;&gt;"",AE133,IF(Z133="NR","NR","")))</f>
        <v/>
      </c>
      <c r="AX133" s="9">
        <f>IF(ISNUMBER(AW133),IF(AW133&gt;450,"Yes","No"),IF(AW133="NR","NR",""))</f>
        <v/>
      </c>
      <c r="BJ133" s="9">
        <f>IF(BB133="","",IF(BB133="Non-viable","Non-viable",IF(BB133="Viable","Viable",IF(BB133="Partially non-viable",IF(OR(BD133="Total splenectomy",BD133="Partial splenectomy +/- splenopexy"),"Non-viable","Review"),IF(BB133="NR",IF(OR(BD133="Total splenectomy",BD133="Partial splenectomy +/- splenopexy"),"NR - removed, check reason","NR"),"Not applicable")))))</f>
        <v/>
      </c>
    </row>
    <row r="134">
      <c r="D134" s="8" t="n"/>
      <c r="E134" s="9">
        <f>IF(B134="","",IF(B134="OWN","Yes","No"))</f>
        <v/>
      </c>
      <c r="AF134" s="9">
        <f>IF(ISNUMBER(Z134),IF(Z134&lt;=2,"&lt;=2 d",IF(Z134&lt;=7,"3-7 d",IF(Z134&lt;=30,"8-30 d","&gt;30 d"))),IF(AE134&lt;&gt;"",AE134,IF(Z134="NR","NR","")))</f>
        <v/>
      </c>
      <c r="AX134" s="9">
        <f>IF(ISNUMBER(AW134),IF(AW134&gt;450,"Yes","No"),IF(AW134="NR","NR",""))</f>
        <v/>
      </c>
      <c r="BJ134" s="9">
        <f>IF(BB134="","",IF(BB134="Non-viable","Non-viable",IF(BB134="Viable","Viable",IF(BB134="Partially non-viable",IF(OR(BD134="Total splenectomy",BD134="Partial splenectomy +/- splenopexy"),"Non-viable","Review"),IF(BB134="NR",IF(OR(BD134="Total splenectomy",BD134="Partial splenectomy +/- splenopexy"),"NR - removed, check reason","NR"),"Not applicable")))))</f>
        <v/>
      </c>
    </row>
    <row r="135">
      <c r="D135" s="8" t="n"/>
      <c r="E135" s="9">
        <f>IF(B135="","",IF(B135="OWN","Yes","No"))</f>
        <v/>
      </c>
      <c r="AF135" s="9">
        <f>IF(ISNUMBER(Z135),IF(Z135&lt;=2,"&lt;=2 d",IF(Z135&lt;=7,"3-7 d",IF(Z135&lt;=30,"8-30 d","&gt;30 d"))),IF(AE135&lt;&gt;"",AE135,IF(Z135="NR","NR","")))</f>
        <v/>
      </c>
      <c r="AX135" s="9">
        <f>IF(ISNUMBER(AW135),IF(AW135&gt;450,"Yes","No"),IF(AW135="NR","NR",""))</f>
        <v/>
      </c>
      <c r="BJ135" s="9">
        <f>IF(BB135="","",IF(BB135="Non-viable","Non-viable",IF(BB135="Viable","Viable",IF(BB135="Partially non-viable",IF(OR(BD135="Total splenectomy",BD135="Partial splenectomy +/- splenopexy"),"Non-viable","Review"),IF(BB135="NR",IF(OR(BD135="Total splenectomy",BD135="Partial splenectomy +/- splenopexy"),"NR - removed, check reason","NR"),"Not applicable")))))</f>
        <v/>
      </c>
    </row>
    <row r="136">
      <c r="D136" s="8" t="n"/>
      <c r="E136" s="9">
        <f>IF(B136="","",IF(B136="OWN","Yes","No"))</f>
        <v/>
      </c>
      <c r="AF136" s="9">
        <f>IF(ISNUMBER(Z136),IF(Z136&lt;=2,"&lt;=2 d",IF(Z136&lt;=7,"3-7 d",IF(Z136&lt;=30,"8-30 d","&gt;30 d"))),IF(AE136&lt;&gt;"",AE136,IF(Z136="NR","NR","")))</f>
        <v/>
      </c>
      <c r="AX136" s="9">
        <f>IF(ISNUMBER(AW136),IF(AW136&gt;450,"Yes","No"),IF(AW136="NR","NR",""))</f>
        <v/>
      </c>
      <c r="BJ136" s="9">
        <f>IF(BB136="","",IF(BB136="Non-viable","Non-viable",IF(BB136="Viable","Viable",IF(BB136="Partially non-viable",IF(OR(BD136="Total splenectomy",BD136="Partial splenectomy +/- splenopexy"),"Non-viable","Review"),IF(BB136="NR",IF(OR(BD136="Total splenectomy",BD136="Partial splenectomy +/- splenopexy"),"NR - removed, check reason","NR"),"Not applicable")))))</f>
        <v/>
      </c>
    </row>
    <row r="137">
      <c r="D137" s="8" t="n"/>
      <c r="E137" s="9">
        <f>IF(B137="","",IF(B137="OWN","Yes","No"))</f>
        <v/>
      </c>
      <c r="AF137" s="9">
        <f>IF(ISNUMBER(Z137),IF(Z137&lt;=2,"&lt;=2 d",IF(Z137&lt;=7,"3-7 d",IF(Z137&lt;=30,"8-30 d","&gt;30 d"))),IF(AE137&lt;&gt;"",AE137,IF(Z137="NR","NR","")))</f>
        <v/>
      </c>
      <c r="AX137" s="9">
        <f>IF(ISNUMBER(AW137),IF(AW137&gt;450,"Yes","No"),IF(AW137="NR","NR",""))</f>
        <v/>
      </c>
      <c r="BJ137" s="9">
        <f>IF(BB137="","",IF(BB137="Non-viable","Non-viable",IF(BB137="Viable","Viable",IF(BB137="Partially non-viable",IF(OR(BD137="Total splenectomy",BD137="Partial splenectomy +/- splenopexy"),"Non-viable","Review"),IF(BB137="NR",IF(OR(BD137="Total splenectomy",BD137="Partial splenectomy +/- splenopexy"),"NR - removed, check reason","NR"),"Not applicable")))))</f>
        <v/>
      </c>
    </row>
    <row r="138">
      <c r="D138" s="8" t="n"/>
      <c r="E138" s="9">
        <f>IF(B138="","",IF(B138="OWN","Yes","No"))</f>
        <v/>
      </c>
      <c r="AF138" s="9">
        <f>IF(ISNUMBER(Z138),IF(Z138&lt;=2,"&lt;=2 d",IF(Z138&lt;=7,"3-7 d",IF(Z138&lt;=30,"8-30 d","&gt;30 d"))),IF(AE138&lt;&gt;"",AE138,IF(Z138="NR","NR","")))</f>
        <v/>
      </c>
      <c r="AX138" s="9">
        <f>IF(ISNUMBER(AW138),IF(AW138&gt;450,"Yes","No"),IF(AW138="NR","NR",""))</f>
        <v/>
      </c>
      <c r="BJ138" s="9">
        <f>IF(BB138="","",IF(BB138="Non-viable","Non-viable",IF(BB138="Viable","Viable",IF(BB138="Partially non-viable",IF(OR(BD138="Total splenectomy",BD138="Partial splenectomy +/- splenopexy"),"Non-viable","Review"),IF(BB138="NR",IF(OR(BD138="Total splenectomy",BD138="Partial splenectomy +/- splenopexy"),"NR - removed, check reason","NR"),"Not applicable")))))</f>
        <v/>
      </c>
    </row>
    <row r="139">
      <c r="D139" s="8" t="n"/>
      <c r="E139" s="9">
        <f>IF(B139="","",IF(B139="OWN","Yes","No"))</f>
        <v/>
      </c>
      <c r="AF139" s="9">
        <f>IF(ISNUMBER(Z139),IF(Z139&lt;=2,"&lt;=2 d",IF(Z139&lt;=7,"3-7 d",IF(Z139&lt;=30,"8-30 d","&gt;30 d"))),IF(AE139&lt;&gt;"",AE139,IF(Z139="NR","NR","")))</f>
        <v/>
      </c>
      <c r="AX139" s="9">
        <f>IF(ISNUMBER(AW139),IF(AW139&gt;450,"Yes","No"),IF(AW139="NR","NR",""))</f>
        <v/>
      </c>
      <c r="BJ139" s="9">
        <f>IF(BB139="","",IF(BB139="Non-viable","Non-viable",IF(BB139="Viable","Viable",IF(BB139="Partially non-viable",IF(OR(BD139="Total splenectomy",BD139="Partial splenectomy +/- splenopexy"),"Non-viable","Review"),IF(BB139="NR",IF(OR(BD139="Total splenectomy",BD139="Partial splenectomy +/- splenopexy"),"NR - removed, check reason","NR"),"Not applicable")))))</f>
        <v/>
      </c>
    </row>
    <row r="140">
      <c r="D140" s="8" t="n"/>
      <c r="E140" s="9">
        <f>IF(B140="","",IF(B140="OWN","Yes","No"))</f>
        <v/>
      </c>
      <c r="AF140" s="9">
        <f>IF(ISNUMBER(Z140),IF(Z140&lt;=2,"&lt;=2 d",IF(Z140&lt;=7,"3-7 d",IF(Z140&lt;=30,"8-30 d","&gt;30 d"))),IF(AE140&lt;&gt;"",AE140,IF(Z140="NR","NR","")))</f>
        <v/>
      </c>
      <c r="AX140" s="9">
        <f>IF(ISNUMBER(AW140),IF(AW140&gt;450,"Yes","No"),IF(AW140="NR","NR",""))</f>
        <v/>
      </c>
      <c r="BJ140" s="9">
        <f>IF(BB140="","",IF(BB140="Non-viable","Non-viable",IF(BB140="Viable","Viable",IF(BB140="Partially non-viable",IF(OR(BD140="Total splenectomy",BD140="Partial splenectomy +/- splenopexy"),"Non-viable","Review"),IF(BB140="NR",IF(OR(BD140="Total splenectomy",BD140="Partial splenectomy +/- splenopexy"),"NR - removed, check reason","NR"),"Not applicable")))))</f>
        <v/>
      </c>
    </row>
    <row r="141">
      <c r="D141" s="8" t="n"/>
      <c r="E141" s="9">
        <f>IF(B141="","",IF(B141="OWN","Yes","No"))</f>
        <v/>
      </c>
      <c r="AF141" s="9">
        <f>IF(ISNUMBER(Z141),IF(Z141&lt;=2,"&lt;=2 d",IF(Z141&lt;=7,"3-7 d",IF(Z141&lt;=30,"8-30 d","&gt;30 d"))),IF(AE141&lt;&gt;"",AE141,IF(Z141="NR","NR","")))</f>
        <v/>
      </c>
      <c r="AX141" s="9">
        <f>IF(ISNUMBER(AW141),IF(AW141&gt;450,"Yes","No"),IF(AW141="NR","NR",""))</f>
        <v/>
      </c>
      <c r="BJ141" s="9">
        <f>IF(BB141="","",IF(BB141="Non-viable","Non-viable",IF(BB141="Viable","Viable",IF(BB141="Partially non-viable",IF(OR(BD141="Total splenectomy",BD141="Partial splenectomy +/- splenopexy"),"Non-viable","Review"),IF(BB141="NR",IF(OR(BD141="Total splenectomy",BD141="Partial splenectomy +/- splenopexy"),"NR - removed, check reason","NR"),"Not applicable")))))</f>
        <v/>
      </c>
    </row>
    <row r="142">
      <c r="D142" s="8" t="n"/>
      <c r="E142" s="9">
        <f>IF(B142="","",IF(B142="OWN","Yes","No"))</f>
        <v/>
      </c>
      <c r="AF142" s="9">
        <f>IF(ISNUMBER(Z142),IF(Z142&lt;=2,"&lt;=2 d",IF(Z142&lt;=7,"3-7 d",IF(Z142&lt;=30,"8-30 d","&gt;30 d"))),IF(AE142&lt;&gt;"",AE142,IF(Z142="NR","NR","")))</f>
        <v/>
      </c>
      <c r="AX142" s="9">
        <f>IF(ISNUMBER(AW142),IF(AW142&gt;450,"Yes","No"),IF(AW142="NR","NR",""))</f>
        <v/>
      </c>
      <c r="BJ142" s="9">
        <f>IF(BB142="","",IF(BB142="Non-viable","Non-viable",IF(BB142="Viable","Viable",IF(BB142="Partially non-viable",IF(OR(BD142="Total splenectomy",BD142="Partial splenectomy +/- splenopexy"),"Non-viable","Review"),IF(BB142="NR",IF(OR(BD142="Total splenectomy",BD142="Partial splenectomy +/- splenopexy"),"NR - removed, check reason","NR"),"Not applicable")))))</f>
        <v/>
      </c>
    </row>
    <row r="143">
      <c r="D143" s="8" t="n"/>
      <c r="E143" s="9">
        <f>IF(B143="","",IF(B143="OWN","Yes","No"))</f>
        <v/>
      </c>
      <c r="AF143" s="9">
        <f>IF(ISNUMBER(Z143),IF(Z143&lt;=2,"&lt;=2 d",IF(Z143&lt;=7,"3-7 d",IF(Z143&lt;=30,"8-30 d","&gt;30 d"))),IF(AE143&lt;&gt;"",AE143,IF(Z143="NR","NR","")))</f>
        <v/>
      </c>
      <c r="AX143" s="9">
        <f>IF(ISNUMBER(AW143),IF(AW143&gt;450,"Yes","No"),IF(AW143="NR","NR",""))</f>
        <v/>
      </c>
      <c r="BJ143" s="9">
        <f>IF(BB143="","",IF(BB143="Non-viable","Non-viable",IF(BB143="Viable","Viable",IF(BB143="Partially non-viable",IF(OR(BD143="Total splenectomy",BD143="Partial splenectomy +/- splenopexy"),"Non-viable","Review"),IF(BB143="NR",IF(OR(BD143="Total splenectomy",BD143="Partial splenectomy +/- splenopexy"),"NR - removed, check reason","NR"),"Not applicable")))))</f>
        <v/>
      </c>
    </row>
    <row r="144">
      <c r="D144" s="8" t="n"/>
      <c r="E144" s="9">
        <f>IF(B144="","",IF(B144="OWN","Yes","No"))</f>
        <v/>
      </c>
      <c r="AF144" s="9">
        <f>IF(ISNUMBER(Z144),IF(Z144&lt;=2,"&lt;=2 d",IF(Z144&lt;=7,"3-7 d",IF(Z144&lt;=30,"8-30 d","&gt;30 d"))),IF(AE144&lt;&gt;"",AE144,IF(Z144="NR","NR","")))</f>
        <v/>
      </c>
      <c r="AX144" s="9">
        <f>IF(ISNUMBER(AW144),IF(AW144&gt;450,"Yes","No"),IF(AW144="NR","NR",""))</f>
        <v/>
      </c>
      <c r="BJ144" s="9">
        <f>IF(BB144="","",IF(BB144="Non-viable","Non-viable",IF(BB144="Viable","Viable",IF(BB144="Partially non-viable",IF(OR(BD144="Total splenectomy",BD144="Partial splenectomy +/- splenopexy"),"Non-viable","Review"),IF(BB144="NR",IF(OR(BD144="Total splenectomy",BD144="Partial splenectomy +/- splenopexy"),"NR - removed, check reason","NR"),"Not applicable")))))</f>
        <v/>
      </c>
    </row>
    <row r="145">
      <c r="D145" s="8" t="n"/>
      <c r="E145" s="9">
        <f>IF(B145="","",IF(B145="OWN","Yes","No"))</f>
        <v/>
      </c>
      <c r="AF145" s="9">
        <f>IF(ISNUMBER(Z145),IF(Z145&lt;=2,"&lt;=2 d",IF(Z145&lt;=7,"3-7 d",IF(Z145&lt;=30,"8-30 d","&gt;30 d"))),IF(AE145&lt;&gt;"",AE145,IF(Z145="NR","NR","")))</f>
        <v/>
      </c>
      <c r="AX145" s="9">
        <f>IF(ISNUMBER(AW145),IF(AW145&gt;450,"Yes","No"),IF(AW145="NR","NR",""))</f>
        <v/>
      </c>
      <c r="BJ145" s="9">
        <f>IF(BB145="","",IF(BB145="Non-viable","Non-viable",IF(BB145="Viable","Viable",IF(BB145="Partially non-viable",IF(OR(BD145="Total splenectomy",BD145="Partial splenectomy +/- splenopexy"),"Non-viable","Review"),IF(BB145="NR",IF(OR(BD145="Total splenectomy",BD145="Partial splenectomy +/- splenopexy"),"NR - removed, check reason","NR"),"Not applicable")))))</f>
        <v/>
      </c>
    </row>
    <row r="146">
      <c r="D146" s="8" t="n"/>
      <c r="E146" s="9">
        <f>IF(B146="","",IF(B146="OWN","Yes","No"))</f>
        <v/>
      </c>
      <c r="AF146" s="9">
        <f>IF(ISNUMBER(Z146),IF(Z146&lt;=2,"&lt;=2 d",IF(Z146&lt;=7,"3-7 d",IF(Z146&lt;=30,"8-30 d","&gt;30 d"))),IF(AE146&lt;&gt;"",AE146,IF(Z146="NR","NR","")))</f>
        <v/>
      </c>
      <c r="AX146" s="9">
        <f>IF(ISNUMBER(AW146),IF(AW146&gt;450,"Yes","No"),IF(AW146="NR","NR",""))</f>
        <v/>
      </c>
      <c r="BJ146" s="9">
        <f>IF(BB146="","",IF(BB146="Non-viable","Non-viable",IF(BB146="Viable","Viable",IF(BB146="Partially non-viable",IF(OR(BD146="Total splenectomy",BD146="Partial splenectomy +/- splenopexy"),"Non-viable","Review"),IF(BB146="NR",IF(OR(BD146="Total splenectomy",BD146="Partial splenectomy +/- splenopexy"),"NR - removed, check reason","NR"),"Not applicable")))))</f>
        <v/>
      </c>
    </row>
    <row r="147">
      <c r="D147" s="8" t="n"/>
      <c r="E147" s="9">
        <f>IF(B147="","",IF(B147="OWN","Yes","No"))</f>
        <v/>
      </c>
      <c r="AF147" s="9">
        <f>IF(ISNUMBER(Z147),IF(Z147&lt;=2,"&lt;=2 d",IF(Z147&lt;=7,"3-7 d",IF(Z147&lt;=30,"8-30 d","&gt;30 d"))),IF(AE147&lt;&gt;"",AE147,IF(Z147="NR","NR","")))</f>
        <v/>
      </c>
      <c r="AX147" s="9">
        <f>IF(ISNUMBER(AW147),IF(AW147&gt;450,"Yes","No"),IF(AW147="NR","NR",""))</f>
        <v/>
      </c>
      <c r="BJ147" s="9">
        <f>IF(BB147="","",IF(BB147="Non-viable","Non-viable",IF(BB147="Viable","Viable",IF(BB147="Partially non-viable",IF(OR(BD147="Total splenectomy",BD147="Partial splenectomy +/- splenopexy"),"Non-viable","Review"),IF(BB147="NR",IF(OR(BD147="Total splenectomy",BD147="Partial splenectomy +/- splenopexy"),"NR - removed, check reason","NR"),"Not applicable")))))</f>
        <v/>
      </c>
    </row>
    <row r="148">
      <c r="D148" s="8" t="n"/>
      <c r="E148" s="9">
        <f>IF(B148="","",IF(B148="OWN","Yes","No"))</f>
        <v/>
      </c>
      <c r="AF148" s="9">
        <f>IF(ISNUMBER(Z148),IF(Z148&lt;=2,"&lt;=2 d",IF(Z148&lt;=7,"3-7 d",IF(Z148&lt;=30,"8-30 d","&gt;30 d"))),IF(AE148&lt;&gt;"",AE148,IF(Z148="NR","NR","")))</f>
        <v/>
      </c>
      <c r="AX148" s="9">
        <f>IF(ISNUMBER(AW148),IF(AW148&gt;450,"Yes","No"),IF(AW148="NR","NR",""))</f>
        <v/>
      </c>
      <c r="BJ148" s="9">
        <f>IF(BB148="","",IF(BB148="Non-viable","Non-viable",IF(BB148="Viable","Viable",IF(BB148="Partially non-viable",IF(OR(BD148="Total splenectomy",BD148="Partial splenectomy +/- splenopexy"),"Non-viable","Review"),IF(BB148="NR",IF(OR(BD148="Total splenectomy",BD148="Partial splenectomy +/- splenopexy"),"NR - removed, check reason","NR"),"Not applicable")))))</f>
        <v/>
      </c>
    </row>
    <row r="149">
      <c r="D149" s="8" t="n"/>
      <c r="E149" s="9">
        <f>IF(B149="","",IF(B149="OWN","Yes","No"))</f>
        <v/>
      </c>
      <c r="AF149" s="9">
        <f>IF(ISNUMBER(Z149),IF(Z149&lt;=2,"&lt;=2 d",IF(Z149&lt;=7,"3-7 d",IF(Z149&lt;=30,"8-30 d","&gt;30 d"))),IF(AE149&lt;&gt;"",AE149,IF(Z149="NR","NR","")))</f>
        <v/>
      </c>
      <c r="AX149" s="9">
        <f>IF(ISNUMBER(AW149),IF(AW149&gt;450,"Yes","No"),IF(AW149="NR","NR",""))</f>
        <v/>
      </c>
      <c r="BJ149" s="9">
        <f>IF(BB149="","",IF(BB149="Non-viable","Non-viable",IF(BB149="Viable","Viable",IF(BB149="Partially non-viable",IF(OR(BD149="Total splenectomy",BD149="Partial splenectomy +/- splenopexy"),"Non-viable","Review"),IF(BB149="NR",IF(OR(BD149="Total splenectomy",BD149="Partial splenectomy +/- splenopexy"),"NR - removed, check reason","NR"),"Not applicable")))))</f>
        <v/>
      </c>
    </row>
    <row r="150">
      <c r="D150" s="8" t="n"/>
      <c r="E150" s="9">
        <f>IF(B150="","",IF(B150="OWN","Yes","No"))</f>
        <v/>
      </c>
      <c r="AF150" s="9">
        <f>IF(ISNUMBER(Z150),IF(Z150&lt;=2,"&lt;=2 d",IF(Z150&lt;=7,"3-7 d",IF(Z150&lt;=30,"8-30 d","&gt;30 d"))),IF(AE150&lt;&gt;"",AE150,IF(Z150="NR","NR","")))</f>
        <v/>
      </c>
      <c r="AX150" s="9">
        <f>IF(ISNUMBER(AW150),IF(AW150&gt;450,"Yes","No"),IF(AW150="NR","NR",""))</f>
        <v/>
      </c>
      <c r="BJ150" s="9">
        <f>IF(BB150="","",IF(BB150="Non-viable","Non-viable",IF(BB150="Viable","Viable",IF(BB150="Partially non-viable",IF(OR(BD150="Total splenectomy",BD150="Partial splenectomy +/- splenopexy"),"Non-viable","Review"),IF(BB150="NR",IF(OR(BD150="Total splenectomy",BD150="Partial splenectomy +/- splenopexy"),"NR - removed, check reason","NR"),"Not applicable")))))</f>
        <v/>
      </c>
    </row>
    <row r="151">
      <c r="D151" s="8" t="n"/>
      <c r="E151" s="9">
        <f>IF(B151="","",IF(B151="OWN","Yes","No"))</f>
        <v/>
      </c>
      <c r="AF151" s="9">
        <f>IF(ISNUMBER(Z151),IF(Z151&lt;=2,"&lt;=2 d",IF(Z151&lt;=7,"3-7 d",IF(Z151&lt;=30,"8-30 d","&gt;30 d"))),IF(AE151&lt;&gt;"",AE151,IF(Z151="NR","NR","")))</f>
        <v/>
      </c>
      <c r="AX151" s="9">
        <f>IF(ISNUMBER(AW151),IF(AW151&gt;450,"Yes","No"),IF(AW151="NR","NR",""))</f>
        <v/>
      </c>
      <c r="BJ151" s="9">
        <f>IF(BB151="","",IF(BB151="Non-viable","Non-viable",IF(BB151="Viable","Viable",IF(BB151="Partially non-viable",IF(OR(BD151="Total splenectomy",BD151="Partial splenectomy +/- splenopexy"),"Non-viable","Review"),IF(BB151="NR",IF(OR(BD151="Total splenectomy",BD151="Partial splenectomy +/- splenopexy"),"NR - removed, check reason","NR"),"Not applicable")))))</f>
        <v/>
      </c>
    </row>
    <row r="152">
      <c r="D152" s="8" t="n"/>
      <c r="E152" s="9">
        <f>IF(B152="","",IF(B152="OWN","Yes","No"))</f>
        <v/>
      </c>
      <c r="AF152" s="9">
        <f>IF(ISNUMBER(Z152),IF(Z152&lt;=2,"&lt;=2 d",IF(Z152&lt;=7,"3-7 d",IF(Z152&lt;=30,"8-30 d","&gt;30 d"))),IF(AE152&lt;&gt;"",AE152,IF(Z152="NR","NR","")))</f>
        <v/>
      </c>
      <c r="AX152" s="9">
        <f>IF(ISNUMBER(AW152),IF(AW152&gt;450,"Yes","No"),IF(AW152="NR","NR",""))</f>
        <v/>
      </c>
      <c r="BJ152" s="9">
        <f>IF(BB152="","",IF(BB152="Non-viable","Non-viable",IF(BB152="Viable","Viable",IF(BB152="Partially non-viable",IF(OR(BD152="Total splenectomy",BD152="Partial splenectomy +/- splenopexy"),"Non-viable","Review"),IF(BB152="NR",IF(OR(BD152="Total splenectomy",BD152="Partial splenectomy +/- splenopexy"),"NR - removed, check reason","NR"),"Not applicable")))))</f>
        <v/>
      </c>
    </row>
    <row r="153">
      <c r="D153" s="8" t="n"/>
      <c r="E153" s="9">
        <f>IF(B153="","",IF(B153="OWN","Yes","No"))</f>
        <v/>
      </c>
      <c r="AF153" s="9">
        <f>IF(ISNUMBER(Z153),IF(Z153&lt;=2,"&lt;=2 d",IF(Z153&lt;=7,"3-7 d",IF(Z153&lt;=30,"8-30 d","&gt;30 d"))),IF(AE153&lt;&gt;"",AE153,IF(Z153="NR","NR","")))</f>
        <v/>
      </c>
      <c r="AX153" s="9">
        <f>IF(ISNUMBER(AW153),IF(AW153&gt;450,"Yes","No"),IF(AW153="NR","NR",""))</f>
        <v/>
      </c>
      <c r="BJ153" s="9">
        <f>IF(BB153="","",IF(BB153="Non-viable","Non-viable",IF(BB153="Viable","Viable",IF(BB153="Partially non-viable",IF(OR(BD153="Total splenectomy",BD153="Partial splenectomy +/- splenopexy"),"Non-viable","Review"),IF(BB153="NR",IF(OR(BD153="Total splenectomy",BD153="Partial splenectomy +/- splenopexy"),"NR - removed, check reason","NR"),"Not applicable")))))</f>
        <v/>
      </c>
    </row>
    <row r="154">
      <c r="D154" s="8" t="n"/>
      <c r="E154" s="9">
        <f>IF(B154="","",IF(B154="OWN","Yes","No"))</f>
        <v/>
      </c>
      <c r="AF154" s="9">
        <f>IF(ISNUMBER(Z154),IF(Z154&lt;=2,"&lt;=2 d",IF(Z154&lt;=7,"3-7 d",IF(Z154&lt;=30,"8-30 d","&gt;30 d"))),IF(AE154&lt;&gt;"",AE154,IF(Z154="NR","NR","")))</f>
        <v/>
      </c>
      <c r="AX154" s="9">
        <f>IF(ISNUMBER(AW154),IF(AW154&gt;450,"Yes","No"),IF(AW154="NR","NR",""))</f>
        <v/>
      </c>
      <c r="BJ154" s="9">
        <f>IF(BB154="","",IF(BB154="Non-viable","Non-viable",IF(BB154="Viable","Viable",IF(BB154="Partially non-viable",IF(OR(BD154="Total splenectomy",BD154="Partial splenectomy +/- splenopexy"),"Non-viable","Review"),IF(BB154="NR",IF(OR(BD154="Total splenectomy",BD154="Partial splenectomy +/- splenopexy"),"NR - removed, check reason","NR"),"Not applicable")))))</f>
        <v/>
      </c>
    </row>
    <row r="155">
      <c r="D155" s="8" t="n"/>
      <c r="E155" s="9">
        <f>IF(B155="","",IF(B155="OWN","Yes","No"))</f>
        <v/>
      </c>
      <c r="AF155" s="9">
        <f>IF(ISNUMBER(Z155),IF(Z155&lt;=2,"&lt;=2 d",IF(Z155&lt;=7,"3-7 d",IF(Z155&lt;=30,"8-30 d","&gt;30 d"))),IF(AE155&lt;&gt;"",AE155,IF(Z155="NR","NR","")))</f>
        <v/>
      </c>
      <c r="AX155" s="9">
        <f>IF(ISNUMBER(AW155),IF(AW155&gt;450,"Yes","No"),IF(AW155="NR","NR",""))</f>
        <v/>
      </c>
      <c r="BJ155" s="9">
        <f>IF(BB155="","",IF(BB155="Non-viable","Non-viable",IF(BB155="Viable","Viable",IF(BB155="Partially non-viable",IF(OR(BD155="Total splenectomy",BD155="Partial splenectomy +/- splenopexy"),"Non-viable","Review"),IF(BB155="NR",IF(OR(BD155="Total splenectomy",BD155="Partial splenectomy +/- splenopexy"),"NR - removed, check reason","NR"),"Not applicable")))))</f>
        <v/>
      </c>
    </row>
    <row r="156">
      <c r="D156" s="8" t="n"/>
      <c r="E156" s="9">
        <f>IF(B156="","",IF(B156="OWN","Yes","No"))</f>
        <v/>
      </c>
      <c r="AF156" s="9">
        <f>IF(ISNUMBER(Z156),IF(Z156&lt;=2,"&lt;=2 d",IF(Z156&lt;=7,"3-7 d",IF(Z156&lt;=30,"8-30 d","&gt;30 d"))),IF(AE156&lt;&gt;"",AE156,IF(Z156="NR","NR","")))</f>
        <v/>
      </c>
      <c r="AX156" s="9">
        <f>IF(ISNUMBER(AW156),IF(AW156&gt;450,"Yes","No"),IF(AW156="NR","NR",""))</f>
        <v/>
      </c>
      <c r="BJ156" s="9">
        <f>IF(BB156="","",IF(BB156="Non-viable","Non-viable",IF(BB156="Viable","Viable",IF(BB156="Partially non-viable",IF(OR(BD156="Total splenectomy",BD156="Partial splenectomy +/- splenopexy"),"Non-viable","Review"),IF(BB156="NR",IF(OR(BD156="Total splenectomy",BD156="Partial splenectomy +/- splenopexy"),"NR - removed, check reason","NR"),"Not applicable")))))</f>
        <v/>
      </c>
    </row>
    <row r="157">
      <c r="D157" s="8" t="n"/>
      <c r="E157" s="9">
        <f>IF(B157="","",IF(B157="OWN","Yes","No"))</f>
        <v/>
      </c>
      <c r="AF157" s="9">
        <f>IF(ISNUMBER(Z157),IF(Z157&lt;=2,"&lt;=2 d",IF(Z157&lt;=7,"3-7 d",IF(Z157&lt;=30,"8-30 d","&gt;30 d"))),IF(AE157&lt;&gt;"",AE157,IF(Z157="NR","NR","")))</f>
        <v/>
      </c>
      <c r="AX157" s="9">
        <f>IF(ISNUMBER(AW157),IF(AW157&gt;450,"Yes","No"),IF(AW157="NR","NR",""))</f>
        <v/>
      </c>
      <c r="BJ157" s="9">
        <f>IF(BB157="","",IF(BB157="Non-viable","Non-viable",IF(BB157="Viable","Viable",IF(BB157="Partially non-viable",IF(OR(BD157="Total splenectomy",BD157="Partial splenectomy +/- splenopexy"),"Non-viable","Review"),IF(BB157="NR",IF(OR(BD157="Total splenectomy",BD157="Partial splenectomy +/- splenopexy"),"NR - removed, check reason","NR"),"Not applicable")))))</f>
        <v/>
      </c>
    </row>
    <row r="158">
      <c r="D158" s="8" t="n"/>
      <c r="E158" s="9">
        <f>IF(B158="","",IF(B158="OWN","Yes","No"))</f>
        <v/>
      </c>
      <c r="AF158" s="9">
        <f>IF(ISNUMBER(Z158),IF(Z158&lt;=2,"&lt;=2 d",IF(Z158&lt;=7,"3-7 d",IF(Z158&lt;=30,"8-30 d","&gt;30 d"))),IF(AE158&lt;&gt;"",AE158,IF(Z158="NR","NR","")))</f>
        <v/>
      </c>
      <c r="AX158" s="9">
        <f>IF(ISNUMBER(AW158),IF(AW158&gt;450,"Yes","No"),IF(AW158="NR","NR",""))</f>
        <v/>
      </c>
      <c r="BJ158" s="9">
        <f>IF(BB158="","",IF(BB158="Non-viable","Non-viable",IF(BB158="Viable","Viable",IF(BB158="Partially non-viable",IF(OR(BD158="Total splenectomy",BD158="Partial splenectomy +/- splenopexy"),"Non-viable","Review"),IF(BB158="NR",IF(OR(BD158="Total splenectomy",BD158="Partial splenectomy +/- splenopexy"),"NR - removed, check reason","NR"),"Not applicable")))))</f>
        <v/>
      </c>
    </row>
    <row r="159">
      <c r="D159" s="8" t="n"/>
      <c r="E159" s="9">
        <f>IF(B159="","",IF(B159="OWN","Yes","No"))</f>
        <v/>
      </c>
      <c r="AF159" s="9">
        <f>IF(ISNUMBER(Z159),IF(Z159&lt;=2,"&lt;=2 d",IF(Z159&lt;=7,"3-7 d",IF(Z159&lt;=30,"8-30 d","&gt;30 d"))),IF(AE159&lt;&gt;"",AE159,IF(Z159="NR","NR","")))</f>
        <v/>
      </c>
      <c r="AX159" s="9">
        <f>IF(ISNUMBER(AW159),IF(AW159&gt;450,"Yes","No"),IF(AW159="NR","NR",""))</f>
        <v/>
      </c>
      <c r="BJ159" s="9">
        <f>IF(BB159="","",IF(BB159="Non-viable","Non-viable",IF(BB159="Viable","Viable",IF(BB159="Partially non-viable",IF(OR(BD159="Total splenectomy",BD159="Partial splenectomy +/- splenopexy"),"Non-viable","Review"),IF(BB159="NR",IF(OR(BD159="Total splenectomy",BD159="Partial splenectomy +/- splenopexy"),"NR - removed, check reason","NR"),"Not applicable")))))</f>
        <v/>
      </c>
    </row>
    <row r="160">
      <c r="D160" s="8" t="n"/>
      <c r="E160" s="9">
        <f>IF(B160="","",IF(B160="OWN","Yes","No"))</f>
        <v/>
      </c>
      <c r="AF160" s="9">
        <f>IF(ISNUMBER(Z160),IF(Z160&lt;=2,"&lt;=2 d",IF(Z160&lt;=7,"3-7 d",IF(Z160&lt;=30,"8-30 d","&gt;30 d"))),IF(AE160&lt;&gt;"",AE160,IF(Z160="NR","NR","")))</f>
        <v/>
      </c>
      <c r="AX160" s="9">
        <f>IF(ISNUMBER(AW160),IF(AW160&gt;450,"Yes","No"),IF(AW160="NR","NR",""))</f>
        <v/>
      </c>
      <c r="BJ160" s="9">
        <f>IF(BB160="","",IF(BB160="Non-viable","Non-viable",IF(BB160="Viable","Viable",IF(BB160="Partially non-viable",IF(OR(BD160="Total splenectomy",BD160="Partial splenectomy +/- splenopexy"),"Non-viable","Review"),IF(BB160="NR",IF(OR(BD160="Total splenectomy",BD160="Partial splenectomy +/- splenopexy"),"NR - removed, check reason","NR"),"Not applicable")))))</f>
        <v/>
      </c>
    </row>
    <row r="161">
      <c r="D161" s="8" t="n"/>
      <c r="E161" s="9">
        <f>IF(B161="","",IF(B161="OWN","Yes","No"))</f>
        <v/>
      </c>
      <c r="AF161" s="9">
        <f>IF(ISNUMBER(Z161),IF(Z161&lt;=2,"&lt;=2 d",IF(Z161&lt;=7,"3-7 d",IF(Z161&lt;=30,"8-30 d","&gt;30 d"))),IF(AE161&lt;&gt;"",AE161,IF(Z161="NR","NR","")))</f>
        <v/>
      </c>
      <c r="AX161" s="9">
        <f>IF(ISNUMBER(AW161),IF(AW161&gt;450,"Yes","No"),IF(AW161="NR","NR",""))</f>
        <v/>
      </c>
      <c r="BJ161" s="9">
        <f>IF(BB161="","",IF(BB161="Non-viable","Non-viable",IF(BB161="Viable","Viable",IF(BB161="Partially non-viable",IF(OR(BD161="Total splenectomy",BD161="Partial splenectomy +/- splenopexy"),"Non-viable","Review"),IF(BB161="NR",IF(OR(BD161="Total splenectomy",BD161="Partial splenectomy +/- splenopexy"),"NR - removed, check reason","NR"),"Not applicable")))))</f>
        <v/>
      </c>
    </row>
    <row r="162">
      <c r="D162" s="8" t="n"/>
      <c r="E162" s="9">
        <f>IF(B162="","",IF(B162="OWN","Yes","No"))</f>
        <v/>
      </c>
      <c r="AF162" s="9">
        <f>IF(ISNUMBER(Z162),IF(Z162&lt;=2,"&lt;=2 d",IF(Z162&lt;=7,"3-7 d",IF(Z162&lt;=30,"8-30 d","&gt;30 d"))),IF(AE162&lt;&gt;"",AE162,IF(Z162="NR","NR","")))</f>
        <v/>
      </c>
      <c r="AX162" s="9">
        <f>IF(ISNUMBER(AW162),IF(AW162&gt;450,"Yes","No"),IF(AW162="NR","NR",""))</f>
        <v/>
      </c>
      <c r="BJ162" s="9">
        <f>IF(BB162="","",IF(BB162="Non-viable","Non-viable",IF(BB162="Viable","Viable",IF(BB162="Partially non-viable",IF(OR(BD162="Total splenectomy",BD162="Partial splenectomy +/- splenopexy"),"Non-viable","Review"),IF(BB162="NR",IF(OR(BD162="Total splenectomy",BD162="Partial splenectomy +/- splenopexy"),"NR - removed, check reason","NR"),"Not applicable")))))</f>
        <v/>
      </c>
    </row>
    <row r="163">
      <c r="D163" s="8" t="n"/>
      <c r="E163" s="9">
        <f>IF(B163="","",IF(B163="OWN","Yes","No"))</f>
        <v/>
      </c>
      <c r="AF163" s="9">
        <f>IF(ISNUMBER(Z163),IF(Z163&lt;=2,"&lt;=2 d",IF(Z163&lt;=7,"3-7 d",IF(Z163&lt;=30,"8-30 d","&gt;30 d"))),IF(AE163&lt;&gt;"",AE163,IF(Z163="NR","NR","")))</f>
        <v/>
      </c>
      <c r="AX163" s="9">
        <f>IF(ISNUMBER(AW163),IF(AW163&gt;450,"Yes","No"),IF(AW163="NR","NR",""))</f>
        <v/>
      </c>
      <c r="BJ163" s="9">
        <f>IF(BB163="","",IF(BB163="Non-viable","Non-viable",IF(BB163="Viable","Viable",IF(BB163="Partially non-viable",IF(OR(BD163="Total splenectomy",BD163="Partial splenectomy +/- splenopexy"),"Non-viable","Review"),IF(BB163="NR",IF(OR(BD163="Total splenectomy",BD163="Partial splenectomy +/- splenopexy"),"NR - removed, check reason","NR"),"Not applicable")))))</f>
        <v/>
      </c>
    </row>
    <row r="164">
      <c r="D164" s="8" t="n"/>
      <c r="E164" s="9">
        <f>IF(B164="","",IF(B164="OWN","Yes","No"))</f>
        <v/>
      </c>
      <c r="AF164" s="9">
        <f>IF(ISNUMBER(Z164),IF(Z164&lt;=2,"&lt;=2 d",IF(Z164&lt;=7,"3-7 d",IF(Z164&lt;=30,"8-30 d","&gt;30 d"))),IF(AE164&lt;&gt;"",AE164,IF(Z164="NR","NR","")))</f>
        <v/>
      </c>
      <c r="AX164" s="9">
        <f>IF(ISNUMBER(AW164),IF(AW164&gt;450,"Yes","No"),IF(AW164="NR","NR",""))</f>
        <v/>
      </c>
      <c r="BJ164" s="9">
        <f>IF(BB164="","",IF(BB164="Non-viable","Non-viable",IF(BB164="Viable","Viable",IF(BB164="Partially non-viable",IF(OR(BD164="Total splenectomy",BD164="Partial splenectomy +/- splenopexy"),"Non-viable","Review"),IF(BB164="NR",IF(OR(BD164="Total splenectomy",BD164="Partial splenectomy +/- splenopexy"),"NR - removed, check reason","NR"),"Not applicable")))))</f>
        <v/>
      </c>
    </row>
    <row r="165">
      <c r="D165" s="8" t="n"/>
      <c r="E165" s="9">
        <f>IF(B165="","",IF(B165="OWN","Yes","No"))</f>
        <v/>
      </c>
      <c r="AF165" s="9">
        <f>IF(ISNUMBER(Z165),IF(Z165&lt;=2,"&lt;=2 d",IF(Z165&lt;=7,"3-7 d",IF(Z165&lt;=30,"8-30 d","&gt;30 d"))),IF(AE165&lt;&gt;"",AE165,IF(Z165="NR","NR","")))</f>
        <v/>
      </c>
      <c r="AX165" s="9">
        <f>IF(ISNUMBER(AW165),IF(AW165&gt;450,"Yes","No"),IF(AW165="NR","NR",""))</f>
        <v/>
      </c>
      <c r="BJ165" s="9">
        <f>IF(BB165="","",IF(BB165="Non-viable","Non-viable",IF(BB165="Viable","Viable",IF(BB165="Partially non-viable",IF(OR(BD165="Total splenectomy",BD165="Partial splenectomy +/- splenopexy"),"Non-viable","Review"),IF(BB165="NR",IF(OR(BD165="Total splenectomy",BD165="Partial splenectomy +/- splenopexy"),"NR - removed, check reason","NR"),"Not applicable")))))</f>
        <v/>
      </c>
    </row>
    <row r="166">
      <c r="D166" s="8" t="n"/>
      <c r="E166" s="9">
        <f>IF(B166="","",IF(B166="OWN","Yes","No"))</f>
        <v/>
      </c>
      <c r="AF166" s="9">
        <f>IF(ISNUMBER(Z166),IF(Z166&lt;=2,"&lt;=2 d",IF(Z166&lt;=7,"3-7 d",IF(Z166&lt;=30,"8-30 d","&gt;30 d"))),IF(AE166&lt;&gt;"",AE166,IF(Z166="NR","NR","")))</f>
        <v/>
      </c>
      <c r="AX166" s="9">
        <f>IF(ISNUMBER(AW166),IF(AW166&gt;450,"Yes","No"),IF(AW166="NR","NR",""))</f>
        <v/>
      </c>
      <c r="BJ166" s="9">
        <f>IF(BB166="","",IF(BB166="Non-viable","Non-viable",IF(BB166="Viable","Viable",IF(BB166="Partially non-viable",IF(OR(BD166="Total splenectomy",BD166="Partial splenectomy +/- splenopexy"),"Non-viable","Review"),IF(BB166="NR",IF(OR(BD166="Total splenectomy",BD166="Partial splenectomy +/- splenopexy"),"NR - removed, check reason","NR"),"Not applicable")))))</f>
        <v/>
      </c>
    </row>
    <row r="167">
      <c r="D167" s="8" t="n"/>
      <c r="E167" s="9">
        <f>IF(B167="","",IF(B167="OWN","Yes","No"))</f>
        <v/>
      </c>
      <c r="AF167" s="9">
        <f>IF(ISNUMBER(Z167),IF(Z167&lt;=2,"&lt;=2 d",IF(Z167&lt;=7,"3-7 d",IF(Z167&lt;=30,"8-30 d","&gt;30 d"))),IF(AE167&lt;&gt;"",AE167,IF(Z167="NR","NR","")))</f>
        <v/>
      </c>
      <c r="AX167" s="9">
        <f>IF(ISNUMBER(AW167),IF(AW167&gt;450,"Yes","No"),IF(AW167="NR","NR",""))</f>
        <v/>
      </c>
      <c r="BJ167" s="9">
        <f>IF(BB167="","",IF(BB167="Non-viable","Non-viable",IF(BB167="Viable","Viable",IF(BB167="Partially non-viable",IF(OR(BD167="Total splenectomy",BD167="Partial splenectomy +/- splenopexy"),"Non-viable","Review"),IF(BB167="NR",IF(OR(BD167="Total splenectomy",BD167="Partial splenectomy +/- splenopexy"),"NR - removed, check reason","NR"),"Not applicable")))))</f>
        <v/>
      </c>
    </row>
    <row r="168">
      <c r="D168" s="8" t="n"/>
      <c r="E168" s="9">
        <f>IF(B168="","",IF(B168="OWN","Yes","No"))</f>
        <v/>
      </c>
      <c r="AF168" s="9">
        <f>IF(ISNUMBER(Z168),IF(Z168&lt;=2,"&lt;=2 d",IF(Z168&lt;=7,"3-7 d",IF(Z168&lt;=30,"8-30 d","&gt;30 d"))),IF(AE168&lt;&gt;"",AE168,IF(Z168="NR","NR","")))</f>
        <v/>
      </c>
      <c r="AX168" s="9">
        <f>IF(ISNUMBER(AW168),IF(AW168&gt;450,"Yes","No"),IF(AW168="NR","NR",""))</f>
        <v/>
      </c>
      <c r="BJ168" s="9">
        <f>IF(BB168="","",IF(BB168="Non-viable","Non-viable",IF(BB168="Viable","Viable",IF(BB168="Partially non-viable",IF(OR(BD168="Total splenectomy",BD168="Partial splenectomy +/- splenopexy"),"Non-viable","Review"),IF(BB168="NR",IF(OR(BD168="Total splenectomy",BD168="Partial splenectomy +/- splenopexy"),"NR - removed, check reason","NR"),"Not applicable")))))</f>
        <v/>
      </c>
    </row>
    <row r="169">
      <c r="D169" s="8" t="n"/>
      <c r="E169" s="9">
        <f>IF(B169="","",IF(B169="OWN","Yes","No"))</f>
        <v/>
      </c>
      <c r="AF169" s="9">
        <f>IF(ISNUMBER(Z169),IF(Z169&lt;=2,"&lt;=2 d",IF(Z169&lt;=7,"3-7 d",IF(Z169&lt;=30,"8-30 d","&gt;30 d"))),IF(AE169&lt;&gt;"",AE169,IF(Z169="NR","NR","")))</f>
        <v/>
      </c>
      <c r="AX169" s="9">
        <f>IF(ISNUMBER(AW169),IF(AW169&gt;450,"Yes","No"),IF(AW169="NR","NR",""))</f>
        <v/>
      </c>
      <c r="BJ169" s="9">
        <f>IF(BB169="","",IF(BB169="Non-viable","Non-viable",IF(BB169="Viable","Viable",IF(BB169="Partially non-viable",IF(OR(BD169="Total splenectomy",BD169="Partial splenectomy +/- splenopexy"),"Non-viable","Review"),IF(BB169="NR",IF(OR(BD169="Total splenectomy",BD169="Partial splenectomy +/- splenopexy"),"NR - removed, check reason","NR"),"Not applicable")))))</f>
        <v/>
      </c>
    </row>
    <row r="170">
      <c r="D170" s="8" t="n"/>
      <c r="E170" s="9">
        <f>IF(B170="","",IF(B170="OWN","Yes","No"))</f>
        <v/>
      </c>
      <c r="AF170" s="9">
        <f>IF(ISNUMBER(Z170),IF(Z170&lt;=2,"&lt;=2 d",IF(Z170&lt;=7,"3-7 d",IF(Z170&lt;=30,"8-30 d","&gt;30 d"))),IF(AE170&lt;&gt;"",AE170,IF(Z170="NR","NR","")))</f>
        <v/>
      </c>
      <c r="AX170" s="9">
        <f>IF(ISNUMBER(AW170),IF(AW170&gt;450,"Yes","No"),IF(AW170="NR","NR",""))</f>
        <v/>
      </c>
      <c r="BJ170" s="9">
        <f>IF(BB170="","",IF(BB170="Non-viable","Non-viable",IF(BB170="Viable","Viable",IF(BB170="Partially non-viable",IF(OR(BD170="Total splenectomy",BD170="Partial splenectomy +/- splenopexy"),"Non-viable","Review"),IF(BB170="NR",IF(OR(BD170="Total splenectomy",BD170="Partial splenectomy +/- splenopexy"),"NR - removed, check reason","NR"),"Not applicable")))))</f>
        <v/>
      </c>
    </row>
    <row r="171">
      <c r="D171" s="8" t="n"/>
      <c r="E171" s="9">
        <f>IF(B171="","",IF(B171="OWN","Yes","No"))</f>
        <v/>
      </c>
      <c r="AF171" s="9">
        <f>IF(ISNUMBER(Z171),IF(Z171&lt;=2,"&lt;=2 d",IF(Z171&lt;=7,"3-7 d",IF(Z171&lt;=30,"8-30 d","&gt;30 d"))),IF(AE171&lt;&gt;"",AE171,IF(Z171="NR","NR","")))</f>
        <v/>
      </c>
      <c r="AX171" s="9">
        <f>IF(ISNUMBER(AW171),IF(AW171&gt;450,"Yes","No"),IF(AW171="NR","NR",""))</f>
        <v/>
      </c>
      <c r="BJ171" s="9">
        <f>IF(BB171="","",IF(BB171="Non-viable","Non-viable",IF(BB171="Viable","Viable",IF(BB171="Partially non-viable",IF(OR(BD171="Total splenectomy",BD171="Partial splenectomy +/- splenopexy"),"Non-viable","Review"),IF(BB171="NR",IF(OR(BD171="Total splenectomy",BD171="Partial splenectomy +/- splenopexy"),"NR - removed, check reason","NR"),"Not applicable")))))</f>
        <v/>
      </c>
    </row>
    <row r="172">
      <c r="D172" s="8" t="n"/>
      <c r="E172" s="9">
        <f>IF(B172="","",IF(B172="OWN","Yes","No"))</f>
        <v/>
      </c>
      <c r="AF172" s="9">
        <f>IF(ISNUMBER(Z172),IF(Z172&lt;=2,"&lt;=2 d",IF(Z172&lt;=7,"3-7 d",IF(Z172&lt;=30,"8-30 d","&gt;30 d"))),IF(AE172&lt;&gt;"",AE172,IF(Z172="NR","NR","")))</f>
        <v/>
      </c>
      <c r="AX172" s="9">
        <f>IF(ISNUMBER(AW172),IF(AW172&gt;450,"Yes","No"),IF(AW172="NR","NR",""))</f>
        <v/>
      </c>
      <c r="BJ172" s="9">
        <f>IF(BB172="","",IF(BB172="Non-viable","Non-viable",IF(BB172="Viable","Viable",IF(BB172="Partially non-viable",IF(OR(BD172="Total splenectomy",BD172="Partial splenectomy +/- splenopexy"),"Non-viable","Review"),IF(BB172="NR",IF(OR(BD172="Total splenectomy",BD172="Partial splenectomy +/- splenopexy"),"NR - removed, check reason","NR"),"Not applicable")))))</f>
        <v/>
      </c>
    </row>
    <row r="173">
      <c r="D173" s="8" t="n"/>
      <c r="E173" s="9">
        <f>IF(B173="","",IF(B173="OWN","Yes","No"))</f>
        <v/>
      </c>
      <c r="AF173" s="9">
        <f>IF(ISNUMBER(Z173),IF(Z173&lt;=2,"&lt;=2 d",IF(Z173&lt;=7,"3-7 d",IF(Z173&lt;=30,"8-30 d","&gt;30 d"))),IF(AE173&lt;&gt;"",AE173,IF(Z173="NR","NR","")))</f>
        <v/>
      </c>
      <c r="AX173" s="9">
        <f>IF(ISNUMBER(AW173),IF(AW173&gt;450,"Yes","No"),IF(AW173="NR","NR",""))</f>
        <v/>
      </c>
      <c r="BJ173" s="9">
        <f>IF(BB173="","",IF(BB173="Non-viable","Non-viable",IF(BB173="Viable","Viable",IF(BB173="Partially non-viable",IF(OR(BD173="Total splenectomy",BD173="Partial splenectomy +/- splenopexy"),"Non-viable","Review"),IF(BB173="NR",IF(OR(BD173="Total splenectomy",BD173="Partial splenectomy +/- splenopexy"),"NR - removed, check reason","NR"),"Not applicable")))))</f>
        <v/>
      </c>
    </row>
    <row r="174">
      <c r="D174" s="8" t="n"/>
      <c r="E174" s="9">
        <f>IF(B174="","",IF(B174="OWN","Yes","No"))</f>
        <v/>
      </c>
      <c r="AF174" s="9">
        <f>IF(ISNUMBER(Z174),IF(Z174&lt;=2,"&lt;=2 d",IF(Z174&lt;=7,"3-7 d",IF(Z174&lt;=30,"8-30 d","&gt;30 d"))),IF(AE174&lt;&gt;"",AE174,IF(Z174="NR","NR","")))</f>
        <v/>
      </c>
      <c r="AX174" s="9">
        <f>IF(ISNUMBER(AW174),IF(AW174&gt;450,"Yes","No"),IF(AW174="NR","NR",""))</f>
        <v/>
      </c>
      <c r="BJ174" s="9">
        <f>IF(BB174="","",IF(BB174="Non-viable","Non-viable",IF(BB174="Viable","Viable",IF(BB174="Partially non-viable",IF(OR(BD174="Total splenectomy",BD174="Partial splenectomy +/- splenopexy"),"Non-viable","Review"),IF(BB174="NR",IF(OR(BD174="Total splenectomy",BD174="Partial splenectomy +/- splenopexy"),"NR - removed, check reason","NR"),"Not applicable")))))</f>
        <v/>
      </c>
    </row>
    <row r="175">
      <c r="D175" s="8" t="n"/>
      <c r="E175" s="9">
        <f>IF(B175="","",IF(B175="OWN","Yes","No"))</f>
        <v/>
      </c>
      <c r="AF175" s="9">
        <f>IF(ISNUMBER(Z175),IF(Z175&lt;=2,"&lt;=2 d",IF(Z175&lt;=7,"3-7 d",IF(Z175&lt;=30,"8-30 d","&gt;30 d"))),IF(AE175&lt;&gt;"",AE175,IF(Z175="NR","NR","")))</f>
        <v/>
      </c>
      <c r="AX175" s="9">
        <f>IF(ISNUMBER(AW175),IF(AW175&gt;450,"Yes","No"),IF(AW175="NR","NR",""))</f>
        <v/>
      </c>
      <c r="BJ175" s="9">
        <f>IF(BB175="","",IF(BB175="Non-viable","Non-viable",IF(BB175="Viable","Viable",IF(BB175="Partially non-viable",IF(OR(BD175="Total splenectomy",BD175="Partial splenectomy +/- splenopexy"),"Non-viable","Review"),IF(BB175="NR",IF(OR(BD175="Total splenectomy",BD175="Partial splenectomy +/- splenopexy"),"NR - removed, check reason","NR"),"Not applicable")))))</f>
        <v/>
      </c>
    </row>
    <row r="176">
      <c r="D176" s="8" t="n"/>
      <c r="E176" s="9">
        <f>IF(B176="","",IF(B176="OWN","Yes","No"))</f>
        <v/>
      </c>
      <c r="AF176" s="9">
        <f>IF(ISNUMBER(Z176),IF(Z176&lt;=2,"&lt;=2 d",IF(Z176&lt;=7,"3-7 d",IF(Z176&lt;=30,"8-30 d","&gt;30 d"))),IF(AE176&lt;&gt;"",AE176,IF(Z176="NR","NR","")))</f>
        <v/>
      </c>
      <c r="AX176" s="9">
        <f>IF(ISNUMBER(AW176),IF(AW176&gt;450,"Yes","No"),IF(AW176="NR","NR",""))</f>
        <v/>
      </c>
      <c r="BJ176" s="9">
        <f>IF(BB176="","",IF(BB176="Non-viable","Non-viable",IF(BB176="Viable","Viable",IF(BB176="Partially non-viable",IF(OR(BD176="Total splenectomy",BD176="Partial splenectomy +/- splenopexy"),"Non-viable","Review"),IF(BB176="NR",IF(OR(BD176="Total splenectomy",BD176="Partial splenectomy +/- splenopexy"),"NR - removed, check reason","NR"),"Not applicable")))))</f>
        <v/>
      </c>
    </row>
    <row r="177">
      <c r="D177" s="8" t="n"/>
      <c r="E177" s="9">
        <f>IF(B177="","",IF(B177="OWN","Yes","No"))</f>
        <v/>
      </c>
      <c r="AF177" s="9">
        <f>IF(ISNUMBER(Z177),IF(Z177&lt;=2,"&lt;=2 d",IF(Z177&lt;=7,"3-7 d",IF(Z177&lt;=30,"8-30 d","&gt;30 d"))),IF(AE177&lt;&gt;"",AE177,IF(Z177="NR","NR","")))</f>
        <v/>
      </c>
      <c r="AX177" s="9">
        <f>IF(ISNUMBER(AW177),IF(AW177&gt;450,"Yes","No"),IF(AW177="NR","NR",""))</f>
        <v/>
      </c>
      <c r="BJ177" s="9">
        <f>IF(BB177="","",IF(BB177="Non-viable","Non-viable",IF(BB177="Viable","Viable",IF(BB177="Partially non-viable",IF(OR(BD177="Total splenectomy",BD177="Partial splenectomy +/- splenopexy"),"Non-viable","Review"),IF(BB177="NR",IF(OR(BD177="Total splenectomy",BD177="Partial splenectomy +/- splenopexy"),"NR - removed, check reason","NR"),"Not applicable")))))</f>
        <v/>
      </c>
    </row>
    <row r="178">
      <c r="D178" s="8" t="n"/>
      <c r="E178" s="9">
        <f>IF(B178="","",IF(B178="OWN","Yes","No"))</f>
        <v/>
      </c>
      <c r="AF178" s="9">
        <f>IF(ISNUMBER(Z178),IF(Z178&lt;=2,"&lt;=2 d",IF(Z178&lt;=7,"3-7 d",IF(Z178&lt;=30,"8-30 d","&gt;30 d"))),IF(AE178&lt;&gt;"",AE178,IF(Z178="NR","NR","")))</f>
        <v/>
      </c>
      <c r="AX178" s="9">
        <f>IF(ISNUMBER(AW178),IF(AW178&gt;450,"Yes","No"),IF(AW178="NR","NR",""))</f>
        <v/>
      </c>
      <c r="BJ178" s="9">
        <f>IF(BB178="","",IF(BB178="Non-viable","Non-viable",IF(BB178="Viable","Viable",IF(BB178="Partially non-viable",IF(OR(BD178="Total splenectomy",BD178="Partial splenectomy +/- splenopexy"),"Non-viable","Review"),IF(BB178="NR",IF(OR(BD178="Total splenectomy",BD178="Partial splenectomy +/- splenopexy"),"NR - removed, check reason","NR"),"Not applicable")))))</f>
        <v/>
      </c>
    </row>
    <row r="179">
      <c r="D179" s="8" t="n"/>
      <c r="E179" s="9">
        <f>IF(B179="","",IF(B179="OWN","Yes","No"))</f>
        <v/>
      </c>
      <c r="AF179" s="9">
        <f>IF(ISNUMBER(Z179),IF(Z179&lt;=2,"&lt;=2 d",IF(Z179&lt;=7,"3-7 d",IF(Z179&lt;=30,"8-30 d","&gt;30 d"))),IF(AE179&lt;&gt;"",AE179,IF(Z179="NR","NR","")))</f>
        <v/>
      </c>
      <c r="AX179" s="9">
        <f>IF(ISNUMBER(AW179),IF(AW179&gt;450,"Yes","No"),IF(AW179="NR","NR",""))</f>
        <v/>
      </c>
      <c r="BJ179" s="9">
        <f>IF(BB179="","",IF(BB179="Non-viable","Non-viable",IF(BB179="Viable","Viable",IF(BB179="Partially non-viable",IF(OR(BD179="Total splenectomy",BD179="Partial splenectomy +/- splenopexy"),"Non-viable","Review"),IF(BB179="NR",IF(OR(BD179="Total splenectomy",BD179="Partial splenectomy +/- splenopexy"),"NR - removed, check reason","NR"),"Not applicable")))))</f>
        <v/>
      </c>
    </row>
    <row r="180">
      <c r="D180" s="8" t="n"/>
      <c r="E180" s="9">
        <f>IF(B180="","",IF(B180="OWN","Yes","No"))</f>
        <v/>
      </c>
      <c r="AF180" s="9">
        <f>IF(ISNUMBER(Z180),IF(Z180&lt;=2,"&lt;=2 d",IF(Z180&lt;=7,"3-7 d",IF(Z180&lt;=30,"8-30 d","&gt;30 d"))),IF(AE180&lt;&gt;"",AE180,IF(Z180="NR","NR","")))</f>
        <v/>
      </c>
      <c r="AX180" s="9">
        <f>IF(ISNUMBER(AW180),IF(AW180&gt;450,"Yes","No"),IF(AW180="NR","NR",""))</f>
        <v/>
      </c>
      <c r="BJ180" s="9">
        <f>IF(BB180="","",IF(BB180="Non-viable","Non-viable",IF(BB180="Viable","Viable",IF(BB180="Partially non-viable",IF(OR(BD180="Total splenectomy",BD180="Partial splenectomy +/- splenopexy"),"Non-viable","Review"),IF(BB180="NR",IF(OR(BD180="Total splenectomy",BD180="Partial splenectomy +/- splenopexy"),"NR - removed, check reason","NR"),"Not applicable")))))</f>
        <v/>
      </c>
    </row>
    <row r="181">
      <c r="D181" s="8" t="n"/>
      <c r="E181" s="9">
        <f>IF(B181="","",IF(B181="OWN","Yes","No"))</f>
        <v/>
      </c>
      <c r="AF181" s="9">
        <f>IF(ISNUMBER(Z181),IF(Z181&lt;=2,"&lt;=2 d",IF(Z181&lt;=7,"3-7 d",IF(Z181&lt;=30,"8-30 d","&gt;30 d"))),IF(AE181&lt;&gt;"",AE181,IF(Z181="NR","NR","")))</f>
        <v/>
      </c>
      <c r="AX181" s="9">
        <f>IF(ISNUMBER(AW181),IF(AW181&gt;450,"Yes","No"),IF(AW181="NR","NR",""))</f>
        <v/>
      </c>
      <c r="BJ181" s="9">
        <f>IF(BB181="","",IF(BB181="Non-viable","Non-viable",IF(BB181="Viable","Viable",IF(BB181="Partially non-viable",IF(OR(BD181="Total splenectomy",BD181="Partial splenectomy +/- splenopexy"),"Non-viable","Review"),IF(BB181="NR",IF(OR(BD181="Total splenectomy",BD181="Partial splenectomy +/- splenopexy"),"NR - removed, check reason","NR"),"Not applicable")))))</f>
        <v/>
      </c>
    </row>
    <row r="182">
      <c r="D182" s="8" t="n"/>
      <c r="E182" s="9">
        <f>IF(B182="","",IF(B182="OWN","Yes","No"))</f>
        <v/>
      </c>
      <c r="AF182" s="9">
        <f>IF(ISNUMBER(Z182),IF(Z182&lt;=2,"&lt;=2 d",IF(Z182&lt;=7,"3-7 d",IF(Z182&lt;=30,"8-30 d","&gt;30 d"))),IF(AE182&lt;&gt;"",AE182,IF(Z182="NR","NR","")))</f>
        <v/>
      </c>
      <c r="AX182" s="9">
        <f>IF(ISNUMBER(AW182),IF(AW182&gt;450,"Yes","No"),IF(AW182="NR","NR",""))</f>
        <v/>
      </c>
      <c r="BJ182" s="9">
        <f>IF(BB182="","",IF(BB182="Non-viable","Non-viable",IF(BB182="Viable","Viable",IF(BB182="Partially non-viable",IF(OR(BD182="Total splenectomy",BD182="Partial splenectomy +/- splenopexy"),"Non-viable","Review"),IF(BB182="NR",IF(OR(BD182="Total splenectomy",BD182="Partial splenectomy +/- splenopexy"),"NR - removed, check reason","NR"),"Not applicable")))))</f>
        <v/>
      </c>
    </row>
    <row r="183">
      <c r="D183" s="8" t="n"/>
      <c r="E183" s="9">
        <f>IF(B183="","",IF(B183="OWN","Yes","No"))</f>
        <v/>
      </c>
      <c r="AF183" s="9">
        <f>IF(ISNUMBER(Z183),IF(Z183&lt;=2,"&lt;=2 d",IF(Z183&lt;=7,"3-7 d",IF(Z183&lt;=30,"8-30 d","&gt;30 d"))),IF(AE183&lt;&gt;"",AE183,IF(Z183="NR","NR","")))</f>
        <v/>
      </c>
      <c r="AX183" s="9">
        <f>IF(ISNUMBER(AW183),IF(AW183&gt;450,"Yes","No"),IF(AW183="NR","NR",""))</f>
        <v/>
      </c>
      <c r="BJ183" s="9">
        <f>IF(BB183="","",IF(BB183="Non-viable","Non-viable",IF(BB183="Viable","Viable",IF(BB183="Partially non-viable",IF(OR(BD183="Total splenectomy",BD183="Partial splenectomy +/- splenopexy"),"Non-viable","Review"),IF(BB183="NR",IF(OR(BD183="Total splenectomy",BD183="Partial splenectomy +/- splenopexy"),"NR - removed, check reason","NR"),"Not applicable")))))</f>
        <v/>
      </c>
    </row>
    <row r="184">
      <c r="D184" s="8" t="n"/>
      <c r="E184" s="9">
        <f>IF(B184="","",IF(B184="OWN","Yes","No"))</f>
        <v/>
      </c>
      <c r="AF184" s="9">
        <f>IF(ISNUMBER(Z184),IF(Z184&lt;=2,"&lt;=2 d",IF(Z184&lt;=7,"3-7 d",IF(Z184&lt;=30,"8-30 d","&gt;30 d"))),IF(AE184&lt;&gt;"",AE184,IF(Z184="NR","NR","")))</f>
        <v/>
      </c>
      <c r="AX184" s="9">
        <f>IF(ISNUMBER(AW184),IF(AW184&gt;450,"Yes","No"),IF(AW184="NR","NR",""))</f>
        <v/>
      </c>
      <c r="BJ184" s="9">
        <f>IF(BB184="","",IF(BB184="Non-viable","Non-viable",IF(BB184="Viable","Viable",IF(BB184="Partially non-viable",IF(OR(BD184="Total splenectomy",BD184="Partial splenectomy +/- splenopexy"),"Non-viable","Review"),IF(BB184="NR",IF(OR(BD184="Total splenectomy",BD184="Partial splenectomy +/- splenopexy"),"NR - removed, check reason","NR"),"Not applicable")))))</f>
        <v/>
      </c>
    </row>
    <row r="185">
      <c r="D185" s="8" t="n"/>
      <c r="E185" s="9">
        <f>IF(B185="","",IF(B185="OWN","Yes","No"))</f>
        <v/>
      </c>
      <c r="AF185" s="9">
        <f>IF(ISNUMBER(Z185),IF(Z185&lt;=2,"&lt;=2 d",IF(Z185&lt;=7,"3-7 d",IF(Z185&lt;=30,"8-30 d","&gt;30 d"))),IF(AE185&lt;&gt;"",AE185,IF(Z185="NR","NR","")))</f>
        <v/>
      </c>
      <c r="AX185" s="9">
        <f>IF(ISNUMBER(AW185),IF(AW185&gt;450,"Yes","No"),IF(AW185="NR","NR",""))</f>
        <v/>
      </c>
      <c r="BJ185" s="9">
        <f>IF(BB185="","",IF(BB185="Non-viable","Non-viable",IF(BB185="Viable","Viable",IF(BB185="Partially non-viable",IF(OR(BD185="Total splenectomy",BD185="Partial splenectomy +/- splenopexy"),"Non-viable","Review"),IF(BB185="NR",IF(OR(BD185="Total splenectomy",BD185="Partial splenectomy +/- splenopexy"),"NR - removed, check reason","NR"),"Not applicable")))))</f>
        <v/>
      </c>
    </row>
    <row r="186">
      <c r="D186" s="8" t="n"/>
      <c r="E186" s="9">
        <f>IF(B186="","",IF(B186="OWN","Yes","No"))</f>
        <v/>
      </c>
      <c r="AF186" s="9">
        <f>IF(ISNUMBER(Z186),IF(Z186&lt;=2,"&lt;=2 d",IF(Z186&lt;=7,"3-7 d",IF(Z186&lt;=30,"8-30 d","&gt;30 d"))),IF(AE186&lt;&gt;"",AE186,IF(Z186="NR","NR","")))</f>
        <v/>
      </c>
      <c r="AX186" s="9">
        <f>IF(ISNUMBER(AW186),IF(AW186&gt;450,"Yes","No"),IF(AW186="NR","NR",""))</f>
        <v/>
      </c>
      <c r="BJ186" s="9">
        <f>IF(BB186="","",IF(BB186="Non-viable","Non-viable",IF(BB186="Viable","Viable",IF(BB186="Partially non-viable",IF(OR(BD186="Total splenectomy",BD186="Partial splenectomy +/- splenopexy"),"Non-viable","Review"),IF(BB186="NR",IF(OR(BD186="Total splenectomy",BD186="Partial splenectomy +/- splenopexy"),"NR - removed, check reason","NR"),"Not applicable")))))</f>
        <v/>
      </c>
    </row>
    <row r="187">
      <c r="D187" s="8" t="n"/>
      <c r="E187" s="9">
        <f>IF(B187="","",IF(B187="OWN","Yes","No"))</f>
        <v/>
      </c>
      <c r="AF187" s="9">
        <f>IF(ISNUMBER(Z187),IF(Z187&lt;=2,"&lt;=2 d",IF(Z187&lt;=7,"3-7 d",IF(Z187&lt;=30,"8-30 d","&gt;30 d"))),IF(AE187&lt;&gt;"",AE187,IF(Z187="NR","NR","")))</f>
        <v/>
      </c>
      <c r="AX187" s="9">
        <f>IF(ISNUMBER(AW187),IF(AW187&gt;450,"Yes","No"),IF(AW187="NR","NR",""))</f>
        <v/>
      </c>
      <c r="BJ187" s="9">
        <f>IF(BB187="","",IF(BB187="Non-viable","Non-viable",IF(BB187="Viable","Viable",IF(BB187="Partially non-viable",IF(OR(BD187="Total splenectomy",BD187="Partial splenectomy +/- splenopexy"),"Non-viable","Review"),IF(BB187="NR",IF(OR(BD187="Total splenectomy",BD187="Partial splenectomy +/- splenopexy"),"NR - removed, check reason","NR"),"Not applicable")))))</f>
        <v/>
      </c>
    </row>
    <row r="188">
      <c r="D188" s="8" t="n"/>
      <c r="E188" s="9">
        <f>IF(B188="","",IF(B188="OWN","Yes","No"))</f>
        <v/>
      </c>
      <c r="AF188" s="9">
        <f>IF(ISNUMBER(Z188),IF(Z188&lt;=2,"&lt;=2 d",IF(Z188&lt;=7,"3-7 d",IF(Z188&lt;=30,"8-30 d","&gt;30 d"))),IF(AE188&lt;&gt;"",AE188,IF(Z188="NR","NR","")))</f>
        <v/>
      </c>
      <c r="AX188" s="9">
        <f>IF(ISNUMBER(AW188),IF(AW188&gt;450,"Yes","No"),IF(AW188="NR","NR",""))</f>
        <v/>
      </c>
      <c r="BJ188" s="9">
        <f>IF(BB188="","",IF(BB188="Non-viable","Non-viable",IF(BB188="Viable","Viable",IF(BB188="Partially non-viable",IF(OR(BD188="Total splenectomy",BD188="Partial splenectomy +/- splenopexy"),"Non-viable","Review"),IF(BB188="NR",IF(OR(BD188="Total splenectomy",BD188="Partial splenectomy +/- splenopexy"),"NR - removed, check reason","NR"),"Not applicable")))))</f>
        <v/>
      </c>
    </row>
    <row r="189">
      <c r="D189" s="8" t="n"/>
      <c r="E189" s="9">
        <f>IF(B189="","",IF(B189="OWN","Yes","No"))</f>
        <v/>
      </c>
      <c r="AF189" s="9">
        <f>IF(ISNUMBER(Z189),IF(Z189&lt;=2,"&lt;=2 d",IF(Z189&lt;=7,"3-7 d",IF(Z189&lt;=30,"8-30 d","&gt;30 d"))),IF(AE189&lt;&gt;"",AE189,IF(Z189="NR","NR","")))</f>
        <v/>
      </c>
      <c r="AX189" s="9">
        <f>IF(ISNUMBER(AW189),IF(AW189&gt;450,"Yes","No"),IF(AW189="NR","NR",""))</f>
        <v/>
      </c>
      <c r="BJ189" s="9">
        <f>IF(BB189="","",IF(BB189="Non-viable","Non-viable",IF(BB189="Viable","Viable",IF(BB189="Partially non-viable",IF(OR(BD189="Total splenectomy",BD189="Partial splenectomy +/- splenopexy"),"Non-viable","Review"),IF(BB189="NR",IF(OR(BD189="Total splenectomy",BD189="Partial splenectomy +/- splenopexy"),"NR - removed, check reason","NR"),"Not applicable")))))</f>
        <v/>
      </c>
    </row>
    <row r="190">
      <c r="D190" s="8" t="n"/>
      <c r="E190" s="9">
        <f>IF(B190="","",IF(B190="OWN","Yes","No"))</f>
        <v/>
      </c>
      <c r="AF190" s="9">
        <f>IF(ISNUMBER(Z190),IF(Z190&lt;=2,"&lt;=2 d",IF(Z190&lt;=7,"3-7 d",IF(Z190&lt;=30,"8-30 d","&gt;30 d"))),IF(AE190&lt;&gt;"",AE190,IF(Z190="NR","NR","")))</f>
        <v/>
      </c>
      <c r="AX190" s="9">
        <f>IF(ISNUMBER(AW190),IF(AW190&gt;450,"Yes","No"),IF(AW190="NR","NR",""))</f>
        <v/>
      </c>
      <c r="BJ190" s="9">
        <f>IF(BB190="","",IF(BB190="Non-viable","Non-viable",IF(BB190="Viable","Viable",IF(BB190="Partially non-viable",IF(OR(BD190="Total splenectomy",BD190="Partial splenectomy +/- splenopexy"),"Non-viable","Review"),IF(BB190="NR",IF(OR(BD190="Total splenectomy",BD190="Partial splenectomy +/- splenopexy"),"NR - removed, check reason","NR"),"Not applicable")))))</f>
        <v/>
      </c>
    </row>
    <row r="191">
      <c r="D191" s="8" t="n"/>
      <c r="E191" s="9">
        <f>IF(B191="","",IF(B191="OWN","Yes","No"))</f>
        <v/>
      </c>
      <c r="AF191" s="9">
        <f>IF(ISNUMBER(Z191),IF(Z191&lt;=2,"&lt;=2 d",IF(Z191&lt;=7,"3-7 d",IF(Z191&lt;=30,"8-30 d","&gt;30 d"))),IF(AE191&lt;&gt;"",AE191,IF(Z191="NR","NR","")))</f>
        <v/>
      </c>
      <c r="AX191" s="9">
        <f>IF(ISNUMBER(AW191),IF(AW191&gt;450,"Yes","No"),IF(AW191="NR","NR",""))</f>
        <v/>
      </c>
      <c r="BJ191" s="9">
        <f>IF(BB191="","",IF(BB191="Non-viable","Non-viable",IF(BB191="Viable","Viable",IF(BB191="Partially non-viable",IF(OR(BD191="Total splenectomy",BD191="Partial splenectomy +/- splenopexy"),"Non-viable","Review"),IF(BB191="NR",IF(OR(BD191="Total splenectomy",BD191="Partial splenectomy +/- splenopexy"),"NR - removed, check reason","NR"),"Not applicable")))))</f>
        <v/>
      </c>
    </row>
    <row r="192">
      <c r="D192" s="8" t="n"/>
      <c r="E192" s="9">
        <f>IF(B192="","",IF(B192="OWN","Yes","No"))</f>
        <v/>
      </c>
      <c r="AF192" s="9">
        <f>IF(ISNUMBER(Z192),IF(Z192&lt;=2,"&lt;=2 d",IF(Z192&lt;=7,"3-7 d",IF(Z192&lt;=30,"8-30 d","&gt;30 d"))),IF(AE192&lt;&gt;"",AE192,IF(Z192="NR","NR","")))</f>
        <v/>
      </c>
      <c r="AX192" s="9">
        <f>IF(ISNUMBER(AW192),IF(AW192&gt;450,"Yes","No"),IF(AW192="NR","NR",""))</f>
        <v/>
      </c>
      <c r="BJ192" s="9">
        <f>IF(BB192="","",IF(BB192="Non-viable","Non-viable",IF(BB192="Viable","Viable",IF(BB192="Partially non-viable",IF(OR(BD192="Total splenectomy",BD192="Partial splenectomy +/- splenopexy"),"Non-viable","Review"),IF(BB192="NR",IF(OR(BD192="Total splenectomy",BD192="Partial splenectomy +/- splenopexy"),"NR - removed, check reason","NR"),"Not applicable")))))</f>
        <v/>
      </c>
    </row>
    <row r="193">
      <c r="D193" s="8" t="n"/>
      <c r="E193" s="9">
        <f>IF(B193="","",IF(B193="OWN","Yes","No"))</f>
        <v/>
      </c>
      <c r="AF193" s="9">
        <f>IF(ISNUMBER(Z193),IF(Z193&lt;=2,"&lt;=2 d",IF(Z193&lt;=7,"3-7 d",IF(Z193&lt;=30,"8-30 d","&gt;30 d"))),IF(AE193&lt;&gt;"",AE193,IF(Z193="NR","NR","")))</f>
        <v/>
      </c>
      <c r="AX193" s="9">
        <f>IF(ISNUMBER(AW193),IF(AW193&gt;450,"Yes","No"),IF(AW193="NR","NR",""))</f>
        <v/>
      </c>
      <c r="BJ193" s="9">
        <f>IF(BB193="","",IF(BB193="Non-viable","Non-viable",IF(BB193="Viable","Viable",IF(BB193="Partially non-viable",IF(OR(BD193="Total splenectomy",BD193="Partial splenectomy +/- splenopexy"),"Non-viable","Review"),IF(BB193="NR",IF(OR(BD193="Total splenectomy",BD193="Partial splenectomy +/- splenopexy"),"NR - removed, check reason","NR"),"Not applicable")))))</f>
        <v/>
      </c>
    </row>
    <row r="194">
      <c r="D194" s="8" t="n"/>
      <c r="E194" s="9">
        <f>IF(B194="","",IF(B194="OWN","Yes","No"))</f>
        <v/>
      </c>
      <c r="AF194" s="9">
        <f>IF(ISNUMBER(Z194),IF(Z194&lt;=2,"&lt;=2 d",IF(Z194&lt;=7,"3-7 d",IF(Z194&lt;=30,"8-30 d","&gt;30 d"))),IF(AE194&lt;&gt;"",AE194,IF(Z194="NR","NR","")))</f>
        <v/>
      </c>
      <c r="AX194" s="9">
        <f>IF(ISNUMBER(AW194),IF(AW194&gt;450,"Yes","No"),IF(AW194="NR","NR",""))</f>
        <v/>
      </c>
      <c r="BJ194" s="9">
        <f>IF(BB194="","",IF(BB194="Non-viable","Non-viable",IF(BB194="Viable","Viable",IF(BB194="Partially non-viable",IF(OR(BD194="Total splenectomy",BD194="Partial splenectomy +/- splenopexy"),"Non-viable","Review"),IF(BB194="NR",IF(OR(BD194="Total splenectomy",BD194="Partial splenectomy +/- splenopexy"),"NR - removed, check reason","NR"),"Not applicable")))))</f>
        <v/>
      </c>
    </row>
    <row r="195">
      <c r="D195" s="8" t="n"/>
      <c r="E195" s="9">
        <f>IF(B195="","",IF(B195="OWN","Yes","No"))</f>
        <v/>
      </c>
      <c r="AF195" s="9">
        <f>IF(ISNUMBER(Z195),IF(Z195&lt;=2,"&lt;=2 d",IF(Z195&lt;=7,"3-7 d",IF(Z195&lt;=30,"8-30 d","&gt;30 d"))),IF(AE195&lt;&gt;"",AE195,IF(Z195="NR","NR","")))</f>
        <v/>
      </c>
      <c r="AX195" s="9">
        <f>IF(ISNUMBER(AW195),IF(AW195&gt;450,"Yes","No"),IF(AW195="NR","NR",""))</f>
        <v/>
      </c>
      <c r="BJ195" s="9">
        <f>IF(BB195="","",IF(BB195="Non-viable","Non-viable",IF(BB195="Viable","Viable",IF(BB195="Partially non-viable",IF(OR(BD195="Total splenectomy",BD195="Partial splenectomy +/- splenopexy"),"Non-viable","Review"),IF(BB195="NR",IF(OR(BD195="Total splenectomy",BD195="Partial splenectomy +/- splenopexy"),"NR - removed, check reason","NR"),"Not applicable")))))</f>
        <v/>
      </c>
    </row>
    <row r="196">
      <c r="D196" s="8" t="n"/>
      <c r="E196" s="9">
        <f>IF(B196="","",IF(B196="OWN","Yes","No"))</f>
        <v/>
      </c>
      <c r="AF196" s="9">
        <f>IF(ISNUMBER(Z196),IF(Z196&lt;=2,"&lt;=2 d",IF(Z196&lt;=7,"3-7 d",IF(Z196&lt;=30,"8-30 d","&gt;30 d"))),IF(AE196&lt;&gt;"",AE196,IF(Z196="NR","NR","")))</f>
        <v/>
      </c>
      <c r="AX196" s="9">
        <f>IF(ISNUMBER(AW196),IF(AW196&gt;450,"Yes","No"),IF(AW196="NR","NR",""))</f>
        <v/>
      </c>
      <c r="BJ196" s="9">
        <f>IF(BB196="","",IF(BB196="Non-viable","Non-viable",IF(BB196="Viable","Viable",IF(BB196="Partially non-viable",IF(OR(BD196="Total splenectomy",BD196="Partial splenectomy +/- splenopexy"),"Non-viable","Review"),IF(BB196="NR",IF(OR(BD196="Total splenectomy",BD196="Partial splenectomy +/- splenopexy"),"NR - removed, check reason","NR"),"Not applicable")))))</f>
        <v/>
      </c>
    </row>
    <row r="197">
      <c r="D197" s="8" t="n"/>
      <c r="E197" s="9">
        <f>IF(B197="","",IF(B197="OWN","Yes","No"))</f>
        <v/>
      </c>
      <c r="AF197" s="9">
        <f>IF(ISNUMBER(Z197),IF(Z197&lt;=2,"&lt;=2 d",IF(Z197&lt;=7,"3-7 d",IF(Z197&lt;=30,"8-30 d","&gt;30 d"))),IF(AE197&lt;&gt;"",AE197,IF(Z197="NR","NR","")))</f>
        <v/>
      </c>
      <c r="AX197" s="9">
        <f>IF(ISNUMBER(AW197),IF(AW197&gt;450,"Yes","No"),IF(AW197="NR","NR",""))</f>
        <v/>
      </c>
      <c r="BJ197" s="9">
        <f>IF(BB197="","",IF(BB197="Non-viable","Non-viable",IF(BB197="Viable","Viable",IF(BB197="Partially non-viable",IF(OR(BD197="Total splenectomy",BD197="Partial splenectomy +/- splenopexy"),"Non-viable","Review"),IF(BB197="NR",IF(OR(BD197="Total splenectomy",BD197="Partial splenectomy +/- splenopexy"),"NR - removed, check reason","NR"),"Not applicable")))))</f>
        <v/>
      </c>
    </row>
    <row r="198">
      <c r="D198" s="8" t="n"/>
      <c r="E198" s="9">
        <f>IF(B198="","",IF(B198="OWN","Yes","No"))</f>
        <v/>
      </c>
      <c r="AF198" s="9">
        <f>IF(ISNUMBER(Z198),IF(Z198&lt;=2,"&lt;=2 d",IF(Z198&lt;=7,"3-7 d",IF(Z198&lt;=30,"8-30 d","&gt;30 d"))),IF(AE198&lt;&gt;"",AE198,IF(Z198="NR","NR","")))</f>
        <v/>
      </c>
      <c r="AX198" s="9">
        <f>IF(ISNUMBER(AW198),IF(AW198&gt;450,"Yes","No"),IF(AW198="NR","NR",""))</f>
        <v/>
      </c>
      <c r="BJ198" s="9">
        <f>IF(BB198="","",IF(BB198="Non-viable","Non-viable",IF(BB198="Viable","Viable",IF(BB198="Partially non-viable",IF(OR(BD198="Total splenectomy",BD198="Partial splenectomy +/- splenopexy"),"Non-viable","Review"),IF(BB198="NR",IF(OR(BD198="Total splenectomy",BD198="Partial splenectomy +/- splenopexy"),"NR - removed, check reason","NR"),"Not applicable")))))</f>
        <v/>
      </c>
    </row>
    <row r="199">
      <c r="D199" s="8" t="n"/>
      <c r="E199" s="9">
        <f>IF(B199="","",IF(B199="OWN","Yes","No"))</f>
        <v/>
      </c>
      <c r="AF199" s="9">
        <f>IF(ISNUMBER(Z199),IF(Z199&lt;=2,"&lt;=2 d",IF(Z199&lt;=7,"3-7 d",IF(Z199&lt;=30,"8-30 d","&gt;30 d"))),IF(AE199&lt;&gt;"",AE199,IF(Z199="NR","NR","")))</f>
        <v/>
      </c>
      <c r="AX199" s="9">
        <f>IF(ISNUMBER(AW199),IF(AW199&gt;450,"Yes","No"),IF(AW199="NR","NR",""))</f>
        <v/>
      </c>
      <c r="BJ199" s="9">
        <f>IF(BB199="","",IF(BB199="Non-viable","Non-viable",IF(BB199="Viable","Viable",IF(BB199="Partially non-viable",IF(OR(BD199="Total splenectomy",BD199="Partial splenectomy +/- splenopexy"),"Non-viable","Review"),IF(BB199="NR",IF(OR(BD199="Total splenectomy",BD199="Partial splenectomy +/- splenopexy"),"NR - removed, check reason","NR"),"Not applicable")))))</f>
        <v/>
      </c>
    </row>
    <row r="200">
      <c r="D200" s="8" t="n"/>
      <c r="E200" s="9">
        <f>IF(B200="","",IF(B200="OWN","Yes","No"))</f>
        <v/>
      </c>
      <c r="AF200" s="9">
        <f>IF(ISNUMBER(Z200),IF(Z200&lt;=2,"&lt;=2 d",IF(Z200&lt;=7,"3-7 d",IF(Z200&lt;=30,"8-30 d","&gt;30 d"))),IF(AE200&lt;&gt;"",AE200,IF(Z200="NR","NR","")))</f>
        <v/>
      </c>
      <c r="AX200" s="9">
        <f>IF(ISNUMBER(AW200),IF(AW200&gt;450,"Yes","No"),IF(AW200="NR","NR",""))</f>
        <v/>
      </c>
      <c r="BJ200" s="9">
        <f>IF(BB200="","",IF(BB200="Non-viable","Non-viable",IF(BB200="Viable","Viable",IF(BB200="Partially non-viable",IF(OR(BD200="Total splenectomy",BD200="Partial splenectomy +/- splenopexy"),"Non-viable","Review"),IF(BB200="NR",IF(OR(BD200="Total splenectomy",BD200="Partial splenectomy +/- splenopexy"),"NR - removed, check reason","NR"),"Not applicable")))))</f>
        <v/>
      </c>
    </row>
    <row r="201">
      <c r="D201" s="8" t="n"/>
      <c r="E201" s="9">
        <f>IF(B201="","",IF(B201="OWN","Yes","No"))</f>
        <v/>
      </c>
      <c r="AF201" s="9">
        <f>IF(ISNUMBER(Z201),IF(Z201&lt;=2,"&lt;=2 d",IF(Z201&lt;=7,"3-7 d",IF(Z201&lt;=30,"8-30 d","&gt;30 d"))),IF(AE201&lt;&gt;"",AE201,IF(Z201="NR","NR","")))</f>
        <v/>
      </c>
      <c r="AX201" s="9">
        <f>IF(ISNUMBER(AW201),IF(AW201&gt;450,"Yes","No"),IF(AW201="NR","NR",""))</f>
        <v/>
      </c>
      <c r="BJ201" s="9">
        <f>IF(BB201="","",IF(BB201="Non-viable","Non-viable",IF(BB201="Viable","Viable",IF(BB201="Partially non-viable",IF(OR(BD201="Total splenectomy",BD201="Partial splenectomy +/- splenopexy"),"Non-viable","Review"),IF(BB201="NR",IF(OR(BD201="Total splenectomy",BD201="Partial splenectomy +/- splenopexy"),"NR - removed, check reason","NR"),"Not applicable")))))</f>
        <v/>
      </c>
    </row>
    <row r="202">
      <c r="D202" s="8" t="n"/>
      <c r="E202" s="9">
        <f>IF(B202="","",IF(B202="OWN","Yes","No"))</f>
        <v/>
      </c>
      <c r="AF202" s="9">
        <f>IF(ISNUMBER(Z202),IF(Z202&lt;=2,"&lt;=2 d",IF(Z202&lt;=7,"3-7 d",IF(Z202&lt;=30,"8-30 d","&gt;30 d"))),IF(AE202&lt;&gt;"",AE202,IF(Z202="NR","NR","")))</f>
        <v/>
      </c>
      <c r="AX202" s="9">
        <f>IF(ISNUMBER(AW202),IF(AW202&gt;450,"Yes","No"),IF(AW202="NR","NR",""))</f>
        <v/>
      </c>
      <c r="BJ202" s="9">
        <f>IF(BB202="","",IF(BB202="Non-viable","Non-viable",IF(BB202="Viable","Viable",IF(BB202="Partially non-viable",IF(OR(BD202="Total splenectomy",BD202="Partial splenectomy +/- splenopexy"),"Non-viable","Review"),IF(BB202="NR",IF(OR(BD202="Total splenectomy",BD202="Partial splenectomy +/- splenopexy"),"NR - removed, check reason","NR"),"Not applicable")))))</f>
        <v/>
      </c>
    </row>
    <row r="203">
      <c r="D203" s="8" t="n"/>
      <c r="E203" s="9">
        <f>IF(B203="","",IF(B203="OWN","Yes","No"))</f>
        <v/>
      </c>
      <c r="AF203" s="9">
        <f>IF(ISNUMBER(Z203),IF(Z203&lt;=2,"&lt;=2 d",IF(Z203&lt;=7,"3-7 d",IF(Z203&lt;=30,"8-30 d","&gt;30 d"))),IF(AE203&lt;&gt;"",AE203,IF(Z203="NR","NR","")))</f>
        <v/>
      </c>
      <c r="AX203" s="9">
        <f>IF(ISNUMBER(AW203),IF(AW203&gt;450,"Yes","No"),IF(AW203="NR","NR",""))</f>
        <v/>
      </c>
      <c r="BJ203" s="9">
        <f>IF(BB203="","",IF(BB203="Non-viable","Non-viable",IF(BB203="Viable","Viable",IF(BB203="Partially non-viable",IF(OR(BD203="Total splenectomy",BD203="Partial splenectomy +/- splenopexy"),"Non-viable","Review"),IF(BB203="NR",IF(OR(BD203="Total splenectomy",BD203="Partial splenectomy +/- splenopexy"),"NR - removed, check reason","NR"),"Not applicable")))))</f>
        <v/>
      </c>
    </row>
    <row r="204">
      <c r="D204" s="8" t="n"/>
      <c r="E204" s="9">
        <f>IF(B204="","",IF(B204="OWN","Yes","No"))</f>
        <v/>
      </c>
      <c r="AF204" s="9">
        <f>IF(ISNUMBER(Z204),IF(Z204&lt;=2,"&lt;=2 d",IF(Z204&lt;=7,"3-7 d",IF(Z204&lt;=30,"8-30 d","&gt;30 d"))),IF(AE204&lt;&gt;"",AE204,IF(Z204="NR","NR","")))</f>
        <v/>
      </c>
      <c r="AX204" s="9">
        <f>IF(ISNUMBER(AW204),IF(AW204&gt;450,"Yes","No"),IF(AW204="NR","NR",""))</f>
        <v/>
      </c>
      <c r="BJ204" s="9">
        <f>IF(BB204="","",IF(BB204="Non-viable","Non-viable",IF(BB204="Viable","Viable",IF(BB204="Partially non-viable",IF(OR(BD204="Total splenectomy",BD204="Partial splenectomy +/- splenopexy"),"Non-viable","Review"),IF(BB204="NR",IF(OR(BD204="Total splenectomy",BD204="Partial splenectomy +/- splenopexy"),"NR - removed, check reason","NR"),"Not applicable")))))</f>
        <v/>
      </c>
    </row>
    <row r="205">
      <c r="D205" s="8" t="n"/>
      <c r="E205" s="9">
        <f>IF(B205="","",IF(B205="OWN","Yes","No"))</f>
        <v/>
      </c>
      <c r="AF205" s="9">
        <f>IF(ISNUMBER(Z205),IF(Z205&lt;=2,"&lt;=2 d",IF(Z205&lt;=7,"3-7 d",IF(Z205&lt;=30,"8-30 d","&gt;30 d"))),IF(AE205&lt;&gt;"",AE205,IF(Z205="NR","NR","")))</f>
        <v/>
      </c>
      <c r="AX205" s="9">
        <f>IF(ISNUMBER(AW205),IF(AW205&gt;450,"Yes","No"),IF(AW205="NR","NR",""))</f>
        <v/>
      </c>
      <c r="BJ205" s="9">
        <f>IF(BB205="","",IF(BB205="Non-viable","Non-viable",IF(BB205="Viable","Viable",IF(BB205="Partially non-viable",IF(OR(BD205="Total splenectomy",BD205="Partial splenectomy +/- splenopexy"),"Non-viable","Review"),IF(BB205="NR",IF(OR(BD205="Total splenectomy",BD205="Partial splenectomy +/- splenopexy"),"NR - removed, check reason","NR"),"Not applicable")))))</f>
        <v/>
      </c>
    </row>
    <row r="206">
      <c r="D206" s="8" t="n"/>
      <c r="E206" s="9">
        <f>IF(B206="","",IF(B206="OWN","Yes","No"))</f>
        <v/>
      </c>
      <c r="AF206" s="9">
        <f>IF(ISNUMBER(Z206),IF(Z206&lt;=2,"&lt;=2 d",IF(Z206&lt;=7,"3-7 d",IF(Z206&lt;=30,"8-30 d","&gt;30 d"))),IF(AE206&lt;&gt;"",AE206,IF(Z206="NR","NR","")))</f>
        <v/>
      </c>
      <c r="AX206" s="9">
        <f>IF(ISNUMBER(AW206),IF(AW206&gt;450,"Yes","No"),IF(AW206="NR","NR",""))</f>
        <v/>
      </c>
      <c r="BJ206" s="9">
        <f>IF(BB206="","",IF(BB206="Non-viable","Non-viable",IF(BB206="Viable","Viable",IF(BB206="Partially non-viable",IF(OR(BD206="Total splenectomy",BD206="Partial splenectomy +/- splenopexy"),"Non-viable","Review"),IF(BB206="NR",IF(OR(BD206="Total splenectomy",BD206="Partial splenectomy +/- splenopexy"),"NR - removed, check reason","NR"),"Not applicable")))))</f>
        <v/>
      </c>
    </row>
    <row r="207">
      <c r="D207" s="8" t="n"/>
      <c r="E207" s="9">
        <f>IF(B207="","",IF(B207="OWN","Yes","No"))</f>
        <v/>
      </c>
      <c r="AF207" s="9">
        <f>IF(ISNUMBER(Z207),IF(Z207&lt;=2,"&lt;=2 d",IF(Z207&lt;=7,"3-7 d",IF(Z207&lt;=30,"8-30 d","&gt;30 d"))),IF(AE207&lt;&gt;"",AE207,IF(Z207="NR","NR","")))</f>
        <v/>
      </c>
      <c r="AX207" s="9">
        <f>IF(ISNUMBER(AW207),IF(AW207&gt;450,"Yes","No"),IF(AW207="NR","NR",""))</f>
        <v/>
      </c>
      <c r="BJ207" s="9">
        <f>IF(BB207="","",IF(BB207="Non-viable","Non-viable",IF(BB207="Viable","Viable",IF(BB207="Partially non-viable",IF(OR(BD207="Total splenectomy",BD207="Partial splenectomy +/- splenopexy"),"Non-viable","Review"),IF(BB207="NR",IF(OR(BD207="Total splenectomy",BD207="Partial splenectomy +/- splenopexy"),"NR - removed, check reason","NR"),"Not applicable")))))</f>
        <v/>
      </c>
    </row>
    <row r="208">
      <c r="D208" s="8" t="n"/>
      <c r="E208" s="9">
        <f>IF(B208="","",IF(B208="OWN","Yes","No"))</f>
        <v/>
      </c>
      <c r="AF208" s="9">
        <f>IF(ISNUMBER(Z208),IF(Z208&lt;=2,"&lt;=2 d",IF(Z208&lt;=7,"3-7 d",IF(Z208&lt;=30,"8-30 d","&gt;30 d"))),IF(AE208&lt;&gt;"",AE208,IF(Z208="NR","NR","")))</f>
        <v/>
      </c>
      <c r="AX208" s="9">
        <f>IF(ISNUMBER(AW208),IF(AW208&gt;450,"Yes","No"),IF(AW208="NR","NR",""))</f>
        <v/>
      </c>
      <c r="BJ208" s="9">
        <f>IF(BB208="","",IF(BB208="Non-viable","Non-viable",IF(BB208="Viable","Viable",IF(BB208="Partially non-viable",IF(OR(BD208="Total splenectomy",BD208="Partial splenectomy +/- splenopexy"),"Non-viable","Review"),IF(BB208="NR",IF(OR(BD208="Total splenectomy",BD208="Partial splenectomy +/- splenopexy"),"NR - removed, check reason","NR"),"Not applicable")))))</f>
        <v/>
      </c>
    </row>
    <row r="209">
      <c r="D209" s="8" t="n"/>
      <c r="E209" s="9">
        <f>IF(B209="","",IF(B209="OWN","Yes","No"))</f>
        <v/>
      </c>
      <c r="AF209" s="9">
        <f>IF(ISNUMBER(Z209),IF(Z209&lt;=2,"&lt;=2 d",IF(Z209&lt;=7,"3-7 d",IF(Z209&lt;=30,"8-30 d","&gt;30 d"))),IF(AE209&lt;&gt;"",AE209,IF(Z209="NR","NR","")))</f>
        <v/>
      </c>
      <c r="AX209" s="9">
        <f>IF(ISNUMBER(AW209),IF(AW209&gt;450,"Yes","No"),IF(AW209="NR","NR",""))</f>
        <v/>
      </c>
      <c r="BJ209" s="9">
        <f>IF(BB209="","",IF(BB209="Non-viable","Non-viable",IF(BB209="Viable","Viable",IF(BB209="Partially non-viable",IF(OR(BD209="Total splenectomy",BD209="Partial splenectomy +/- splenopexy"),"Non-viable","Review"),IF(BB209="NR",IF(OR(BD209="Total splenectomy",BD209="Partial splenectomy +/- splenopexy"),"NR - removed, check reason","NR"),"Not applicable")))))</f>
        <v/>
      </c>
    </row>
    <row r="210">
      <c r="D210" s="8" t="n"/>
      <c r="E210" s="9">
        <f>IF(B210="","",IF(B210="OWN","Yes","No"))</f>
        <v/>
      </c>
      <c r="AF210" s="9">
        <f>IF(ISNUMBER(Z210),IF(Z210&lt;=2,"&lt;=2 d",IF(Z210&lt;=7,"3-7 d",IF(Z210&lt;=30,"8-30 d","&gt;30 d"))),IF(AE210&lt;&gt;"",AE210,IF(Z210="NR","NR","")))</f>
        <v/>
      </c>
      <c r="AX210" s="9">
        <f>IF(ISNUMBER(AW210),IF(AW210&gt;450,"Yes","No"),IF(AW210="NR","NR",""))</f>
        <v/>
      </c>
      <c r="BJ210" s="9">
        <f>IF(BB210="","",IF(BB210="Non-viable","Non-viable",IF(BB210="Viable","Viable",IF(BB210="Partially non-viable",IF(OR(BD210="Total splenectomy",BD210="Partial splenectomy +/- splenopexy"),"Non-viable","Review"),IF(BB210="NR",IF(OR(BD210="Total splenectomy",BD210="Partial splenectomy +/- splenopexy"),"NR - removed, check reason","NR"),"Not applicable")))))</f>
        <v/>
      </c>
    </row>
    <row r="211">
      <c r="D211" s="8" t="n"/>
      <c r="E211" s="9">
        <f>IF(B211="","",IF(B211="OWN","Yes","No"))</f>
        <v/>
      </c>
      <c r="AF211" s="9">
        <f>IF(ISNUMBER(Z211),IF(Z211&lt;=2,"&lt;=2 d",IF(Z211&lt;=7,"3-7 d",IF(Z211&lt;=30,"8-30 d","&gt;30 d"))),IF(AE211&lt;&gt;"",AE211,IF(Z211="NR","NR","")))</f>
        <v/>
      </c>
      <c r="AX211" s="9">
        <f>IF(ISNUMBER(AW211),IF(AW211&gt;450,"Yes","No"),IF(AW211="NR","NR",""))</f>
        <v/>
      </c>
      <c r="BJ211" s="9">
        <f>IF(BB211="","",IF(BB211="Non-viable","Non-viable",IF(BB211="Viable","Viable",IF(BB211="Partially non-viable",IF(OR(BD211="Total splenectomy",BD211="Partial splenectomy +/- splenopexy"),"Non-viable","Review"),IF(BB211="NR",IF(OR(BD211="Total splenectomy",BD211="Partial splenectomy +/- splenopexy"),"NR - removed, check reason","NR"),"Not applicable")))))</f>
        <v/>
      </c>
    </row>
    <row r="212">
      <c r="D212" s="8" t="n"/>
      <c r="E212" s="9">
        <f>IF(B212="","",IF(B212="OWN","Yes","No"))</f>
        <v/>
      </c>
      <c r="AF212" s="9">
        <f>IF(ISNUMBER(Z212),IF(Z212&lt;=2,"&lt;=2 d",IF(Z212&lt;=7,"3-7 d",IF(Z212&lt;=30,"8-30 d","&gt;30 d"))),IF(AE212&lt;&gt;"",AE212,IF(Z212="NR","NR","")))</f>
        <v/>
      </c>
      <c r="AX212" s="9">
        <f>IF(ISNUMBER(AW212),IF(AW212&gt;450,"Yes","No"),IF(AW212="NR","NR",""))</f>
        <v/>
      </c>
      <c r="BJ212" s="9">
        <f>IF(BB212="","",IF(BB212="Non-viable","Non-viable",IF(BB212="Viable","Viable",IF(BB212="Partially non-viable",IF(OR(BD212="Total splenectomy",BD212="Partial splenectomy +/- splenopexy"),"Non-viable","Review"),IF(BB212="NR",IF(OR(BD212="Total splenectomy",BD212="Partial splenectomy +/- splenopexy"),"NR - removed, check reason","NR"),"Not applicable")))))</f>
        <v/>
      </c>
    </row>
    <row r="213">
      <c r="D213" s="8" t="n"/>
      <c r="E213" s="9">
        <f>IF(B213="","",IF(B213="OWN","Yes","No"))</f>
        <v/>
      </c>
      <c r="AF213" s="9">
        <f>IF(ISNUMBER(Z213),IF(Z213&lt;=2,"&lt;=2 d",IF(Z213&lt;=7,"3-7 d",IF(Z213&lt;=30,"8-30 d","&gt;30 d"))),IF(AE213&lt;&gt;"",AE213,IF(Z213="NR","NR","")))</f>
        <v/>
      </c>
      <c r="AX213" s="9">
        <f>IF(ISNUMBER(AW213),IF(AW213&gt;450,"Yes","No"),IF(AW213="NR","NR",""))</f>
        <v/>
      </c>
      <c r="BJ213" s="9">
        <f>IF(BB213="","",IF(BB213="Non-viable","Non-viable",IF(BB213="Viable","Viable",IF(BB213="Partially non-viable",IF(OR(BD213="Total splenectomy",BD213="Partial splenectomy +/- splenopexy"),"Non-viable","Review"),IF(BB213="NR",IF(OR(BD213="Total splenectomy",BD213="Partial splenectomy +/- splenopexy"),"NR - removed, check reason","NR"),"Not applicable")))))</f>
        <v/>
      </c>
    </row>
    <row r="214">
      <c r="D214" s="8" t="n"/>
      <c r="E214" s="9">
        <f>IF(B214="","",IF(B214="OWN","Yes","No"))</f>
        <v/>
      </c>
      <c r="AF214" s="9">
        <f>IF(ISNUMBER(Z214),IF(Z214&lt;=2,"&lt;=2 d",IF(Z214&lt;=7,"3-7 d",IF(Z214&lt;=30,"8-30 d","&gt;30 d"))),IF(AE214&lt;&gt;"",AE214,IF(Z214="NR","NR","")))</f>
        <v/>
      </c>
      <c r="AX214" s="9">
        <f>IF(ISNUMBER(AW214),IF(AW214&gt;450,"Yes","No"),IF(AW214="NR","NR",""))</f>
        <v/>
      </c>
      <c r="BJ214" s="9">
        <f>IF(BB214="","",IF(BB214="Non-viable","Non-viable",IF(BB214="Viable","Viable",IF(BB214="Partially non-viable",IF(OR(BD214="Total splenectomy",BD214="Partial splenectomy +/- splenopexy"),"Non-viable","Review"),IF(BB214="NR",IF(OR(BD214="Total splenectomy",BD214="Partial splenectomy +/- splenopexy"),"NR - removed, check reason","NR"),"Not applicable")))))</f>
        <v/>
      </c>
    </row>
    <row r="215">
      <c r="D215" s="8" t="n"/>
      <c r="E215" s="9">
        <f>IF(B215="","",IF(B215="OWN","Yes","No"))</f>
        <v/>
      </c>
      <c r="AF215" s="9">
        <f>IF(ISNUMBER(Z215),IF(Z215&lt;=2,"&lt;=2 d",IF(Z215&lt;=7,"3-7 d",IF(Z215&lt;=30,"8-30 d","&gt;30 d"))),IF(AE215&lt;&gt;"",AE215,IF(Z215="NR","NR","")))</f>
        <v/>
      </c>
      <c r="AX215" s="9">
        <f>IF(ISNUMBER(AW215),IF(AW215&gt;450,"Yes","No"),IF(AW215="NR","NR",""))</f>
        <v/>
      </c>
      <c r="BJ215" s="9">
        <f>IF(BB215="","",IF(BB215="Non-viable","Non-viable",IF(BB215="Viable","Viable",IF(BB215="Partially non-viable",IF(OR(BD215="Total splenectomy",BD215="Partial splenectomy +/- splenopexy"),"Non-viable","Review"),IF(BB215="NR",IF(OR(BD215="Total splenectomy",BD215="Partial splenectomy +/- splenopexy"),"NR - removed, check reason","NR"),"Not applicable")))))</f>
        <v/>
      </c>
    </row>
    <row r="216">
      <c r="D216" s="8" t="n"/>
      <c r="E216" s="9">
        <f>IF(B216="","",IF(B216="OWN","Yes","No"))</f>
        <v/>
      </c>
      <c r="AF216" s="9">
        <f>IF(ISNUMBER(Z216),IF(Z216&lt;=2,"&lt;=2 d",IF(Z216&lt;=7,"3-7 d",IF(Z216&lt;=30,"8-30 d","&gt;30 d"))),IF(AE216&lt;&gt;"",AE216,IF(Z216="NR","NR","")))</f>
        <v/>
      </c>
      <c r="AX216" s="9">
        <f>IF(ISNUMBER(AW216),IF(AW216&gt;450,"Yes","No"),IF(AW216="NR","NR",""))</f>
        <v/>
      </c>
      <c r="BJ216" s="9">
        <f>IF(BB216="","",IF(BB216="Non-viable","Non-viable",IF(BB216="Viable","Viable",IF(BB216="Partially non-viable",IF(OR(BD216="Total splenectomy",BD216="Partial splenectomy +/- splenopexy"),"Non-viable","Review"),IF(BB216="NR",IF(OR(BD216="Total splenectomy",BD216="Partial splenectomy +/- splenopexy"),"NR - removed, check reason","NR"),"Not applicable")))))</f>
        <v/>
      </c>
    </row>
    <row r="217">
      <c r="D217" s="8" t="n"/>
      <c r="E217" s="9">
        <f>IF(B217="","",IF(B217="OWN","Yes","No"))</f>
        <v/>
      </c>
      <c r="AF217" s="9">
        <f>IF(ISNUMBER(Z217),IF(Z217&lt;=2,"&lt;=2 d",IF(Z217&lt;=7,"3-7 d",IF(Z217&lt;=30,"8-30 d","&gt;30 d"))),IF(AE217&lt;&gt;"",AE217,IF(Z217="NR","NR","")))</f>
        <v/>
      </c>
      <c r="AX217" s="9">
        <f>IF(ISNUMBER(AW217),IF(AW217&gt;450,"Yes","No"),IF(AW217="NR","NR",""))</f>
        <v/>
      </c>
      <c r="BJ217" s="9">
        <f>IF(BB217="","",IF(BB217="Non-viable","Non-viable",IF(BB217="Viable","Viable",IF(BB217="Partially non-viable",IF(OR(BD217="Total splenectomy",BD217="Partial splenectomy +/- splenopexy"),"Non-viable","Review"),IF(BB217="NR",IF(OR(BD217="Total splenectomy",BD217="Partial splenectomy +/- splenopexy"),"NR - removed, check reason","NR"),"Not applicable")))))</f>
        <v/>
      </c>
    </row>
    <row r="218">
      <c r="D218" s="8" t="n"/>
      <c r="E218" s="9">
        <f>IF(B218="","",IF(B218="OWN","Yes","No"))</f>
        <v/>
      </c>
      <c r="AF218" s="9">
        <f>IF(ISNUMBER(Z218),IF(Z218&lt;=2,"&lt;=2 d",IF(Z218&lt;=7,"3-7 d",IF(Z218&lt;=30,"8-30 d","&gt;30 d"))),IF(AE218&lt;&gt;"",AE218,IF(Z218="NR","NR","")))</f>
        <v/>
      </c>
      <c r="AX218" s="9">
        <f>IF(ISNUMBER(AW218),IF(AW218&gt;450,"Yes","No"),IF(AW218="NR","NR",""))</f>
        <v/>
      </c>
      <c r="BJ218" s="9">
        <f>IF(BB218="","",IF(BB218="Non-viable","Non-viable",IF(BB218="Viable","Viable",IF(BB218="Partially non-viable",IF(OR(BD218="Total splenectomy",BD218="Partial splenectomy +/- splenopexy"),"Non-viable","Review"),IF(BB218="NR",IF(OR(BD218="Total splenectomy",BD218="Partial splenectomy +/- splenopexy"),"NR - removed, check reason","NR"),"Not applicable")))))</f>
        <v/>
      </c>
    </row>
    <row r="219">
      <c r="D219" s="8" t="n"/>
      <c r="E219" s="9">
        <f>IF(B219="","",IF(B219="OWN","Yes","No"))</f>
        <v/>
      </c>
      <c r="AF219" s="9">
        <f>IF(ISNUMBER(Z219),IF(Z219&lt;=2,"&lt;=2 d",IF(Z219&lt;=7,"3-7 d",IF(Z219&lt;=30,"8-30 d","&gt;30 d"))),IF(AE219&lt;&gt;"",AE219,IF(Z219="NR","NR","")))</f>
        <v/>
      </c>
      <c r="AX219" s="9">
        <f>IF(ISNUMBER(AW219),IF(AW219&gt;450,"Yes","No"),IF(AW219="NR","NR",""))</f>
        <v/>
      </c>
      <c r="BJ219" s="9">
        <f>IF(BB219="","",IF(BB219="Non-viable","Non-viable",IF(BB219="Viable","Viable",IF(BB219="Partially non-viable",IF(OR(BD219="Total splenectomy",BD219="Partial splenectomy +/- splenopexy"),"Non-viable","Review"),IF(BB219="NR",IF(OR(BD219="Total splenectomy",BD219="Partial splenectomy +/- splenopexy"),"NR - removed, check reason","NR"),"Not applicable")))))</f>
        <v/>
      </c>
    </row>
    <row r="220">
      <c r="D220" s="8" t="n"/>
      <c r="E220" s="9">
        <f>IF(B220="","",IF(B220="OWN","Yes","No"))</f>
        <v/>
      </c>
      <c r="AF220" s="9">
        <f>IF(ISNUMBER(Z220),IF(Z220&lt;=2,"&lt;=2 d",IF(Z220&lt;=7,"3-7 d",IF(Z220&lt;=30,"8-30 d","&gt;30 d"))),IF(AE220&lt;&gt;"",AE220,IF(Z220="NR","NR","")))</f>
        <v/>
      </c>
      <c r="AX220" s="9">
        <f>IF(ISNUMBER(AW220),IF(AW220&gt;450,"Yes","No"),IF(AW220="NR","NR",""))</f>
        <v/>
      </c>
      <c r="BJ220" s="9">
        <f>IF(BB220="","",IF(BB220="Non-viable","Non-viable",IF(BB220="Viable","Viable",IF(BB220="Partially non-viable",IF(OR(BD220="Total splenectomy",BD220="Partial splenectomy +/- splenopexy"),"Non-viable","Review"),IF(BB220="NR",IF(OR(BD220="Total splenectomy",BD220="Partial splenectomy +/- splenopexy"),"NR - removed, check reason","NR"),"Not applicable")))))</f>
        <v/>
      </c>
    </row>
    <row r="221">
      <c r="D221" s="8" t="n"/>
      <c r="E221" s="9">
        <f>IF(B221="","",IF(B221="OWN","Yes","No"))</f>
        <v/>
      </c>
      <c r="AF221" s="9">
        <f>IF(ISNUMBER(Z221),IF(Z221&lt;=2,"&lt;=2 d",IF(Z221&lt;=7,"3-7 d",IF(Z221&lt;=30,"8-30 d","&gt;30 d"))),IF(AE221&lt;&gt;"",AE221,IF(Z221="NR","NR","")))</f>
        <v/>
      </c>
      <c r="AX221" s="9">
        <f>IF(ISNUMBER(AW221),IF(AW221&gt;450,"Yes","No"),IF(AW221="NR","NR",""))</f>
        <v/>
      </c>
      <c r="BJ221" s="9">
        <f>IF(BB221="","",IF(BB221="Non-viable","Non-viable",IF(BB221="Viable","Viable",IF(BB221="Partially non-viable",IF(OR(BD221="Total splenectomy",BD221="Partial splenectomy +/- splenopexy"),"Non-viable","Review"),IF(BB221="NR",IF(OR(BD221="Total splenectomy",BD221="Partial splenectomy +/- splenopexy"),"NR - removed, check reason","NR"),"Not applicable")))))</f>
        <v/>
      </c>
    </row>
    <row r="222">
      <c r="D222" s="8" t="n"/>
      <c r="E222" s="9">
        <f>IF(B222="","",IF(B222="OWN","Yes","No"))</f>
        <v/>
      </c>
      <c r="AF222" s="9">
        <f>IF(ISNUMBER(Z222),IF(Z222&lt;=2,"&lt;=2 d",IF(Z222&lt;=7,"3-7 d",IF(Z222&lt;=30,"8-30 d","&gt;30 d"))),IF(AE222&lt;&gt;"",AE222,IF(Z222="NR","NR","")))</f>
        <v/>
      </c>
      <c r="AX222" s="9">
        <f>IF(ISNUMBER(AW222),IF(AW222&gt;450,"Yes","No"),IF(AW222="NR","NR",""))</f>
        <v/>
      </c>
      <c r="BJ222" s="9">
        <f>IF(BB222="","",IF(BB222="Non-viable","Non-viable",IF(BB222="Viable","Viable",IF(BB222="Partially non-viable",IF(OR(BD222="Total splenectomy",BD222="Partial splenectomy +/- splenopexy"),"Non-viable","Review"),IF(BB222="NR",IF(OR(BD222="Total splenectomy",BD222="Partial splenectomy +/- splenopexy"),"NR - removed, check reason","NR"),"Not applicable")))))</f>
        <v/>
      </c>
    </row>
    <row r="223">
      <c r="D223" s="8" t="n"/>
      <c r="E223" s="9">
        <f>IF(B223="","",IF(B223="OWN","Yes","No"))</f>
        <v/>
      </c>
      <c r="AF223" s="9">
        <f>IF(ISNUMBER(Z223),IF(Z223&lt;=2,"&lt;=2 d",IF(Z223&lt;=7,"3-7 d",IF(Z223&lt;=30,"8-30 d","&gt;30 d"))),IF(AE223&lt;&gt;"",AE223,IF(Z223="NR","NR","")))</f>
        <v/>
      </c>
      <c r="AX223" s="9">
        <f>IF(ISNUMBER(AW223),IF(AW223&gt;450,"Yes","No"),IF(AW223="NR","NR",""))</f>
        <v/>
      </c>
      <c r="BJ223" s="9">
        <f>IF(BB223="","",IF(BB223="Non-viable","Non-viable",IF(BB223="Viable","Viable",IF(BB223="Partially non-viable",IF(OR(BD223="Total splenectomy",BD223="Partial splenectomy +/- splenopexy"),"Non-viable","Review"),IF(BB223="NR",IF(OR(BD223="Total splenectomy",BD223="Partial splenectomy +/- splenopexy"),"NR - removed, check reason","NR"),"Not applicable")))))</f>
        <v/>
      </c>
    </row>
    <row r="224">
      <c r="D224" s="8" t="n"/>
      <c r="E224" s="9">
        <f>IF(B224="","",IF(B224="OWN","Yes","No"))</f>
        <v/>
      </c>
      <c r="AF224" s="9">
        <f>IF(ISNUMBER(Z224),IF(Z224&lt;=2,"&lt;=2 d",IF(Z224&lt;=7,"3-7 d",IF(Z224&lt;=30,"8-30 d","&gt;30 d"))),IF(AE224&lt;&gt;"",AE224,IF(Z224="NR","NR","")))</f>
        <v/>
      </c>
      <c r="AX224" s="9">
        <f>IF(ISNUMBER(AW224),IF(AW224&gt;450,"Yes","No"),IF(AW224="NR","NR",""))</f>
        <v/>
      </c>
      <c r="BJ224" s="9">
        <f>IF(BB224="","",IF(BB224="Non-viable","Non-viable",IF(BB224="Viable","Viable",IF(BB224="Partially non-viable",IF(OR(BD224="Total splenectomy",BD224="Partial splenectomy +/- splenopexy"),"Non-viable","Review"),IF(BB224="NR",IF(OR(BD224="Total splenectomy",BD224="Partial splenectomy +/- splenopexy"),"NR - removed, check reason","NR"),"Not applicable")))))</f>
        <v/>
      </c>
    </row>
    <row r="225">
      <c r="D225" s="8" t="n"/>
      <c r="E225" s="9">
        <f>IF(B225="","",IF(B225="OWN","Yes","No"))</f>
        <v/>
      </c>
      <c r="AF225" s="9">
        <f>IF(ISNUMBER(Z225),IF(Z225&lt;=2,"&lt;=2 d",IF(Z225&lt;=7,"3-7 d",IF(Z225&lt;=30,"8-30 d","&gt;30 d"))),IF(AE225&lt;&gt;"",AE225,IF(Z225="NR","NR","")))</f>
        <v/>
      </c>
      <c r="AX225" s="9">
        <f>IF(ISNUMBER(AW225),IF(AW225&gt;450,"Yes","No"),IF(AW225="NR","NR",""))</f>
        <v/>
      </c>
      <c r="BJ225" s="9">
        <f>IF(BB225="","",IF(BB225="Non-viable","Non-viable",IF(BB225="Viable","Viable",IF(BB225="Partially non-viable",IF(OR(BD225="Total splenectomy",BD225="Partial splenectomy +/- splenopexy"),"Non-viable","Review"),IF(BB225="NR",IF(OR(BD225="Total splenectomy",BD225="Partial splenectomy +/- splenopexy"),"NR - removed, check reason","NR"),"Not applicable")))))</f>
        <v/>
      </c>
    </row>
    <row r="226">
      <c r="D226" s="8" t="n"/>
      <c r="E226" s="9">
        <f>IF(B226="","",IF(B226="OWN","Yes","No"))</f>
        <v/>
      </c>
      <c r="AF226" s="9">
        <f>IF(ISNUMBER(Z226),IF(Z226&lt;=2,"&lt;=2 d",IF(Z226&lt;=7,"3-7 d",IF(Z226&lt;=30,"8-30 d","&gt;30 d"))),IF(AE226&lt;&gt;"",AE226,IF(Z226="NR","NR","")))</f>
        <v/>
      </c>
      <c r="AX226" s="9">
        <f>IF(ISNUMBER(AW226),IF(AW226&gt;450,"Yes","No"),IF(AW226="NR","NR",""))</f>
        <v/>
      </c>
      <c r="BJ226" s="9">
        <f>IF(BB226="","",IF(BB226="Non-viable","Non-viable",IF(BB226="Viable","Viable",IF(BB226="Partially non-viable",IF(OR(BD226="Total splenectomy",BD226="Partial splenectomy +/- splenopexy"),"Non-viable","Review"),IF(BB226="NR",IF(OR(BD226="Total splenectomy",BD226="Partial splenectomy +/- splenopexy"),"NR - removed, check reason","NR"),"Not applicable")))))</f>
        <v/>
      </c>
    </row>
    <row r="227">
      <c r="D227" s="8" t="n"/>
      <c r="E227" s="9">
        <f>IF(B227="","",IF(B227="OWN","Yes","No"))</f>
        <v/>
      </c>
      <c r="AF227" s="9">
        <f>IF(ISNUMBER(Z227),IF(Z227&lt;=2,"&lt;=2 d",IF(Z227&lt;=7,"3-7 d",IF(Z227&lt;=30,"8-30 d","&gt;30 d"))),IF(AE227&lt;&gt;"",AE227,IF(Z227="NR","NR","")))</f>
        <v/>
      </c>
      <c r="AX227" s="9">
        <f>IF(ISNUMBER(AW227),IF(AW227&gt;450,"Yes","No"),IF(AW227="NR","NR",""))</f>
        <v/>
      </c>
      <c r="BJ227" s="9">
        <f>IF(BB227="","",IF(BB227="Non-viable","Non-viable",IF(BB227="Viable","Viable",IF(BB227="Partially non-viable",IF(OR(BD227="Total splenectomy",BD227="Partial splenectomy +/- splenopexy"),"Non-viable","Review"),IF(BB227="NR",IF(OR(BD227="Total splenectomy",BD227="Partial splenectomy +/- splenopexy"),"NR - removed, check reason","NR"),"Not applicable")))))</f>
        <v/>
      </c>
    </row>
    <row r="228">
      <c r="D228" s="8" t="n"/>
      <c r="E228" s="9">
        <f>IF(B228="","",IF(B228="OWN","Yes","No"))</f>
        <v/>
      </c>
      <c r="AF228" s="9">
        <f>IF(ISNUMBER(Z228),IF(Z228&lt;=2,"&lt;=2 d",IF(Z228&lt;=7,"3-7 d",IF(Z228&lt;=30,"8-30 d","&gt;30 d"))),IF(AE228&lt;&gt;"",AE228,IF(Z228="NR","NR","")))</f>
        <v/>
      </c>
      <c r="AX228" s="9">
        <f>IF(ISNUMBER(AW228),IF(AW228&gt;450,"Yes","No"),IF(AW228="NR","NR",""))</f>
        <v/>
      </c>
      <c r="BJ228" s="9">
        <f>IF(BB228="","",IF(BB228="Non-viable","Non-viable",IF(BB228="Viable","Viable",IF(BB228="Partially non-viable",IF(OR(BD228="Total splenectomy",BD228="Partial splenectomy +/- splenopexy"),"Non-viable","Review"),IF(BB228="NR",IF(OR(BD228="Total splenectomy",BD228="Partial splenectomy +/- splenopexy"),"NR - removed, check reason","NR"),"Not applicable")))))</f>
        <v/>
      </c>
    </row>
    <row r="229">
      <c r="D229" s="8" t="n"/>
      <c r="E229" s="9">
        <f>IF(B229="","",IF(B229="OWN","Yes","No"))</f>
        <v/>
      </c>
      <c r="AF229" s="9">
        <f>IF(ISNUMBER(Z229),IF(Z229&lt;=2,"&lt;=2 d",IF(Z229&lt;=7,"3-7 d",IF(Z229&lt;=30,"8-30 d","&gt;30 d"))),IF(AE229&lt;&gt;"",AE229,IF(Z229="NR","NR","")))</f>
        <v/>
      </c>
      <c r="AX229" s="9">
        <f>IF(ISNUMBER(AW229),IF(AW229&gt;450,"Yes","No"),IF(AW229="NR","NR",""))</f>
        <v/>
      </c>
      <c r="BJ229" s="9">
        <f>IF(BB229="","",IF(BB229="Non-viable","Non-viable",IF(BB229="Viable","Viable",IF(BB229="Partially non-viable",IF(OR(BD229="Total splenectomy",BD229="Partial splenectomy +/- splenopexy"),"Non-viable","Review"),IF(BB229="NR",IF(OR(BD229="Total splenectomy",BD229="Partial splenectomy +/- splenopexy"),"NR - removed, check reason","NR"),"Not applicable")))))</f>
        <v/>
      </c>
    </row>
    <row r="230">
      <c r="D230" s="8" t="n"/>
      <c r="E230" s="9">
        <f>IF(B230="","",IF(B230="OWN","Yes","No"))</f>
        <v/>
      </c>
      <c r="AF230" s="9">
        <f>IF(ISNUMBER(Z230),IF(Z230&lt;=2,"&lt;=2 d",IF(Z230&lt;=7,"3-7 d",IF(Z230&lt;=30,"8-30 d","&gt;30 d"))),IF(AE230&lt;&gt;"",AE230,IF(Z230="NR","NR","")))</f>
        <v/>
      </c>
      <c r="AX230" s="9">
        <f>IF(ISNUMBER(AW230),IF(AW230&gt;450,"Yes","No"),IF(AW230="NR","NR",""))</f>
        <v/>
      </c>
      <c r="BJ230" s="9">
        <f>IF(BB230="","",IF(BB230="Non-viable","Non-viable",IF(BB230="Viable","Viable",IF(BB230="Partially non-viable",IF(OR(BD230="Total splenectomy",BD230="Partial splenectomy +/- splenopexy"),"Non-viable","Review"),IF(BB230="NR",IF(OR(BD230="Total splenectomy",BD230="Partial splenectomy +/- splenopexy"),"NR - removed, check reason","NR"),"Not applicable")))))</f>
        <v/>
      </c>
    </row>
    <row r="231">
      <c r="D231" s="8" t="n"/>
      <c r="E231" s="9">
        <f>IF(B231="","",IF(B231="OWN","Yes","No"))</f>
        <v/>
      </c>
      <c r="AF231" s="9">
        <f>IF(ISNUMBER(Z231),IF(Z231&lt;=2,"&lt;=2 d",IF(Z231&lt;=7,"3-7 d",IF(Z231&lt;=30,"8-30 d","&gt;30 d"))),IF(AE231&lt;&gt;"",AE231,IF(Z231="NR","NR","")))</f>
        <v/>
      </c>
      <c r="AX231" s="9">
        <f>IF(ISNUMBER(AW231),IF(AW231&gt;450,"Yes","No"),IF(AW231="NR","NR",""))</f>
        <v/>
      </c>
      <c r="BJ231" s="9">
        <f>IF(BB231="","",IF(BB231="Non-viable","Non-viable",IF(BB231="Viable","Viable",IF(BB231="Partially non-viable",IF(OR(BD231="Total splenectomy",BD231="Partial splenectomy +/- splenopexy"),"Non-viable","Review"),IF(BB231="NR",IF(OR(BD231="Total splenectomy",BD231="Partial splenectomy +/- splenopexy"),"NR - removed, check reason","NR"),"Not applicable")))))</f>
        <v/>
      </c>
    </row>
    <row r="232">
      <c r="D232" s="8" t="n"/>
      <c r="E232" s="9">
        <f>IF(B232="","",IF(B232="OWN","Yes","No"))</f>
        <v/>
      </c>
      <c r="AF232" s="9">
        <f>IF(ISNUMBER(Z232),IF(Z232&lt;=2,"&lt;=2 d",IF(Z232&lt;=7,"3-7 d",IF(Z232&lt;=30,"8-30 d","&gt;30 d"))),IF(AE232&lt;&gt;"",AE232,IF(Z232="NR","NR","")))</f>
        <v/>
      </c>
      <c r="AX232" s="9">
        <f>IF(ISNUMBER(AW232),IF(AW232&gt;450,"Yes","No"),IF(AW232="NR","NR",""))</f>
        <v/>
      </c>
      <c r="BJ232" s="9">
        <f>IF(BB232="","",IF(BB232="Non-viable","Non-viable",IF(BB232="Viable","Viable",IF(BB232="Partially non-viable",IF(OR(BD232="Total splenectomy",BD232="Partial splenectomy +/- splenopexy"),"Non-viable","Review"),IF(BB232="NR",IF(OR(BD232="Total splenectomy",BD232="Partial splenectomy +/- splenopexy"),"NR - removed, check reason","NR"),"Not applicable")))))</f>
        <v/>
      </c>
    </row>
    <row r="233">
      <c r="D233" s="8" t="n"/>
      <c r="E233" s="9">
        <f>IF(B233="","",IF(B233="OWN","Yes","No"))</f>
        <v/>
      </c>
      <c r="AF233" s="9">
        <f>IF(ISNUMBER(Z233),IF(Z233&lt;=2,"&lt;=2 d",IF(Z233&lt;=7,"3-7 d",IF(Z233&lt;=30,"8-30 d","&gt;30 d"))),IF(AE233&lt;&gt;"",AE233,IF(Z233="NR","NR","")))</f>
        <v/>
      </c>
      <c r="AX233" s="9">
        <f>IF(ISNUMBER(AW233),IF(AW233&gt;450,"Yes","No"),IF(AW233="NR","NR",""))</f>
        <v/>
      </c>
      <c r="BJ233" s="9">
        <f>IF(BB233="","",IF(BB233="Non-viable","Non-viable",IF(BB233="Viable","Viable",IF(BB233="Partially non-viable",IF(OR(BD233="Total splenectomy",BD233="Partial splenectomy +/- splenopexy"),"Non-viable","Review"),IF(BB233="NR",IF(OR(BD233="Total splenectomy",BD233="Partial splenectomy +/- splenopexy"),"NR - removed, check reason","NR"),"Not applicable")))))</f>
        <v/>
      </c>
    </row>
    <row r="234">
      <c r="D234" s="8" t="n"/>
      <c r="E234" s="9">
        <f>IF(B234="","",IF(B234="OWN","Yes","No"))</f>
        <v/>
      </c>
      <c r="AF234" s="9">
        <f>IF(ISNUMBER(Z234),IF(Z234&lt;=2,"&lt;=2 d",IF(Z234&lt;=7,"3-7 d",IF(Z234&lt;=30,"8-30 d","&gt;30 d"))),IF(AE234&lt;&gt;"",AE234,IF(Z234="NR","NR","")))</f>
        <v/>
      </c>
      <c r="AX234" s="9">
        <f>IF(ISNUMBER(AW234),IF(AW234&gt;450,"Yes","No"),IF(AW234="NR","NR",""))</f>
        <v/>
      </c>
      <c r="BJ234" s="9">
        <f>IF(BB234="","",IF(BB234="Non-viable","Non-viable",IF(BB234="Viable","Viable",IF(BB234="Partially non-viable",IF(OR(BD234="Total splenectomy",BD234="Partial splenectomy +/- splenopexy"),"Non-viable","Review"),IF(BB234="NR",IF(OR(BD234="Total splenectomy",BD234="Partial splenectomy +/- splenopexy"),"NR - removed, check reason","NR"),"Not applicable")))))</f>
        <v/>
      </c>
    </row>
    <row r="235">
      <c r="D235" s="8" t="n"/>
      <c r="E235" s="9">
        <f>IF(B235="","",IF(B235="OWN","Yes","No"))</f>
        <v/>
      </c>
      <c r="AF235" s="9">
        <f>IF(ISNUMBER(Z235),IF(Z235&lt;=2,"&lt;=2 d",IF(Z235&lt;=7,"3-7 d",IF(Z235&lt;=30,"8-30 d","&gt;30 d"))),IF(AE235&lt;&gt;"",AE235,IF(Z235="NR","NR","")))</f>
        <v/>
      </c>
      <c r="AX235" s="9">
        <f>IF(ISNUMBER(AW235),IF(AW235&gt;450,"Yes","No"),IF(AW235="NR","NR",""))</f>
        <v/>
      </c>
      <c r="BJ235" s="9">
        <f>IF(BB235="","",IF(BB235="Non-viable","Non-viable",IF(BB235="Viable","Viable",IF(BB235="Partially non-viable",IF(OR(BD235="Total splenectomy",BD235="Partial splenectomy +/- splenopexy"),"Non-viable","Review"),IF(BB235="NR",IF(OR(BD235="Total splenectomy",BD235="Partial splenectomy +/- splenopexy"),"NR - removed, check reason","NR"),"Not applicable")))))</f>
        <v/>
      </c>
    </row>
    <row r="236">
      <c r="D236" s="8" t="n"/>
      <c r="E236" s="9">
        <f>IF(B236="","",IF(B236="OWN","Yes","No"))</f>
        <v/>
      </c>
      <c r="AF236" s="9">
        <f>IF(ISNUMBER(Z236),IF(Z236&lt;=2,"&lt;=2 d",IF(Z236&lt;=7,"3-7 d",IF(Z236&lt;=30,"8-30 d","&gt;30 d"))),IF(AE236&lt;&gt;"",AE236,IF(Z236="NR","NR","")))</f>
        <v/>
      </c>
      <c r="AX236" s="9">
        <f>IF(ISNUMBER(AW236),IF(AW236&gt;450,"Yes","No"),IF(AW236="NR","NR",""))</f>
        <v/>
      </c>
      <c r="BJ236" s="9">
        <f>IF(BB236="","",IF(BB236="Non-viable","Non-viable",IF(BB236="Viable","Viable",IF(BB236="Partially non-viable",IF(OR(BD236="Total splenectomy",BD236="Partial splenectomy +/- splenopexy"),"Non-viable","Review"),IF(BB236="NR",IF(OR(BD236="Total splenectomy",BD236="Partial splenectomy +/- splenopexy"),"NR - removed, check reason","NR"),"Not applicable")))))</f>
        <v/>
      </c>
    </row>
    <row r="237">
      <c r="D237" s="8" t="n"/>
      <c r="E237" s="9">
        <f>IF(B237="","",IF(B237="OWN","Yes","No"))</f>
        <v/>
      </c>
      <c r="AF237" s="9">
        <f>IF(ISNUMBER(Z237),IF(Z237&lt;=2,"&lt;=2 d",IF(Z237&lt;=7,"3-7 d",IF(Z237&lt;=30,"8-30 d","&gt;30 d"))),IF(AE237&lt;&gt;"",AE237,IF(Z237="NR","NR","")))</f>
        <v/>
      </c>
      <c r="AX237" s="9">
        <f>IF(ISNUMBER(AW237),IF(AW237&gt;450,"Yes","No"),IF(AW237="NR","NR",""))</f>
        <v/>
      </c>
      <c r="BJ237" s="9">
        <f>IF(BB237="","",IF(BB237="Non-viable","Non-viable",IF(BB237="Viable","Viable",IF(BB237="Partially non-viable",IF(OR(BD237="Total splenectomy",BD237="Partial splenectomy +/- splenopexy"),"Non-viable","Review"),IF(BB237="NR",IF(OR(BD237="Total splenectomy",BD237="Partial splenectomy +/- splenopexy"),"NR - removed, check reason","NR"),"Not applicable")))))</f>
        <v/>
      </c>
    </row>
    <row r="238">
      <c r="D238" s="8" t="n"/>
      <c r="E238" s="9">
        <f>IF(B238="","",IF(B238="OWN","Yes","No"))</f>
        <v/>
      </c>
      <c r="AF238" s="9">
        <f>IF(ISNUMBER(Z238),IF(Z238&lt;=2,"&lt;=2 d",IF(Z238&lt;=7,"3-7 d",IF(Z238&lt;=30,"8-30 d","&gt;30 d"))),IF(AE238&lt;&gt;"",AE238,IF(Z238="NR","NR","")))</f>
        <v/>
      </c>
      <c r="AX238" s="9">
        <f>IF(ISNUMBER(AW238),IF(AW238&gt;450,"Yes","No"),IF(AW238="NR","NR",""))</f>
        <v/>
      </c>
      <c r="BJ238" s="9">
        <f>IF(BB238="","",IF(BB238="Non-viable","Non-viable",IF(BB238="Viable","Viable",IF(BB238="Partially non-viable",IF(OR(BD238="Total splenectomy",BD238="Partial splenectomy +/- splenopexy"),"Non-viable","Review"),IF(BB238="NR",IF(OR(BD238="Total splenectomy",BD238="Partial splenectomy +/- splenopexy"),"NR - removed, check reason","NR"),"Not applicable")))))</f>
        <v/>
      </c>
    </row>
    <row r="239">
      <c r="D239" s="8" t="n"/>
      <c r="E239" s="9">
        <f>IF(B239="","",IF(B239="OWN","Yes","No"))</f>
        <v/>
      </c>
      <c r="AF239" s="9">
        <f>IF(ISNUMBER(Z239),IF(Z239&lt;=2,"&lt;=2 d",IF(Z239&lt;=7,"3-7 d",IF(Z239&lt;=30,"8-30 d","&gt;30 d"))),IF(AE239&lt;&gt;"",AE239,IF(Z239="NR","NR","")))</f>
        <v/>
      </c>
      <c r="AX239" s="9">
        <f>IF(ISNUMBER(AW239),IF(AW239&gt;450,"Yes","No"),IF(AW239="NR","NR",""))</f>
        <v/>
      </c>
      <c r="BJ239" s="9">
        <f>IF(BB239="","",IF(BB239="Non-viable","Non-viable",IF(BB239="Viable","Viable",IF(BB239="Partially non-viable",IF(OR(BD239="Total splenectomy",BD239="Partial splenectomy +/- splenopexy"),"Non-viable","Review"),IF(BB239="NR",IF(OR(BD239="Total splenectomy",BD239="Partial splenectomy +/- splenopexy"),"NR - removed, check reason","NR"),"Not applicable")))))</f>
        <v/>
      </c>
    </row>
    <row r="240">
      <c r="D240" s="8" t="n"/>
      <c r="E240" s="9">
        <f>IF(B240="","",IF(B240="OWN","Yes","No"))</f>
        <v/>
      </c>
      <c r="AF240" s="9">
        <f>IF(ISNUMBER(Z240),IF(Z240&lt;=2,"&lt;=2 d",IF(Z240&lt;=7,"3-7 d",IF(Z240&lt;=30,"8-30 d","&gt;30 d"))),IF(AE240&lt;&gt;"",AE240,IF(Z240="NR","NR","")))</f>
        <v/>
      </c>
      <c r="AX240" s="9">
        <f>IF(ISNUMBER(AW240),IF(AW240&gt;450,"Yes","No"),IF(AW240="NR","NR",""))</f>
        <v/>
      </c>
      <c r="BJ240" s="9">
        <f>IF(BB240="","",IF(BB240="Non-viable","Non-viable",IF(BB240="Viable","Viable",IF(BB240="Partially non-viable",IF(OR(BD240="Total splenectomy",BD240="Partial splenectomy +/- splenopexy"),"Non-viable","Review"),IF(BB240="NR",IF(OR(BD240="Total splenectomy",BD240="Partial splenectomy +/- splenopexy"),"NR - removed, check reason","NR"),"Not applicable")))))</f>
        <v/>
      </c>
    </row>
    <row r="241">
      <c r="D241" s="8" t="n"/>
      <c r="E241" s="9">
        <f>IF(B241="","",IF(B241="OWN","Yes","No"))</f>
        <v/>
      </c>
      <c r="AF241" s="9">
        <f>IF(ISNUMBER(Z241),IF(Z241&lt;=2,"&lt;=2 d",IF(Z241&lt;=7,"3-7 d",IF(Z241&lt;=30,"8-30 d","&gt;30 d"))),IF(AE241&lt;&gt;"",AE241,IF(Z241="NR","NR","")))</f>
        <v/>
      </c>
      <c r="AX241" s="9">
        <f>IF(ISNUMBER(AW241),IF(AW241&gt;450,"Yes","No"),IF(AW241="NR","NR",""))</f>
        <v/>
      </c>
      <c r="BJ241" s="9">
        <f>IF(BB241="","",IF(BB241="Non-viable","Non-viable",IF(BB241="Viable","Viable",IF(BB241="Partially non-viable",IF(OR(BD241="Total splenectomy",BD241="Partial splenectomy +/- splenopexy"),"Non-viable","Review"),IF(BB241="NR",IF(OR(BD241="Total splenectomy",BD241="Partial splenectomy +/- splenopexy"),"NR - removed, check reason","NR"),"Not applicable")))))</f>
        <v/>
      </c>
    </row>
    <row r="242">
      <c r="D242" s="8" t="n"/>
      <c r="E242" s="9">
        <f>IF(B242="","",IF(B242="OWN","Yes","No"))</f>
        <v/>
      </c>
      <c r="AF242" s="9">
        <f>IF(ISNUMBER(Z242),IF(Z242&lt;=2,"&lt;=2 d",IF(Z242&lt;=7,"3-7 d",IF(Z242&lt;=30,"8-30 d","&gt;30 d"))),IF(AE242&lt;&gt;"",AE242,IF(Z242="NR","NR","")))</f>
        <v/>
      </c>
      <c r="AX242" s="9">
        <f>IF(ISNUMBER(AW242),IF(AW242&gt;450,"Yes","No"),IF(AW242="NR","NR",""))</f>
        <v/>
      </c>
      <c r="BJ242" s="9">
        <f>IF(BB242="","",IF(BB242="Non-viable","Non-viable",IF(BB242="Viable","Viable",IF(BB242="Partially non-viable",IF(OR(BD242="Total splenectomy",BD242="Partial splenectomy +/- splenopexy"),"Non-viable","Review"),IF(BB242="NR",IF(OR(BD242="Total splenectomy",BD242="Partial splenectomy +/- splenopexy"),"NR - removed, check reason","NR"),"Not applicable")))))</f>
        <v/>
      </c>
    </row>
    <row r="243">
      <c r="D243" s="8" t="n"/>
      <c r="E243" s="9">
        <f>IF(B243="","",IF(B243="OWN","Yes","No"))</f>
        <v/>
      </c>
      <c r="AF243" s="9">
        <f>IF(ISNUMBER(Z243),IF(Z243&lt;=2,"&lt;=2 d",IF(Z243&lt;=7,"3-7 d",IF(Z243&lt;=30,"8-30 d","&gt;30 d"))),IF(AE243&lt;&gt;"",AE243,IF(Z243="NR","NR","")))</f>
        <v/>
      </c>
      <c r="AX243" s="9">
        <f>IF(ISNUMBER(AW243),IF(AW243&gt;450,"Yes","No"),IF(AW243="NR","NR",""))</f>
        <v/>
      </c>
      <c r="BJ243" s="9">
        <f>IF(BB243="","",IF(BB243="Non-viable","Non-viable",IF(BB243="Viable","Viable",IF(BB243="Partially non-viable",IF(OR(BD243="Total splenectomy",BD243="Partial splenectomy +/- splenopexy"),"Non-viable","Review"),IF(BB243="NR",IF(OR(BD243="Total splenectomy",BD243="Partial splenectomy +/- splenopexy"),"NR - removed, check reason","NR"),"Not applicable")))))</f>
        <v/>
      </c>
    </row>
    <row r="244">
      <c r="D244" s="8" t="n"/>
      <c r="E244" s="9">
        <f>IF(B244="","",IF(B244="OWN","Yes","No"))</f>
        <v/>
      </c>
      <c r="AF244" s="9">
        <f>IF(ISNUMBER(Z244),IF(Z244&lt;=2,"&lt;=2 d",IF(Z244&lt;=7,"3-7 d",IF(Z244&lt;=30,"8-30 d","&gt;30 d"))),IF(AE244&lt;&gt;"",AE244,IF(Z244="NR","NR","")))</f>
        <v/>
      </c>
      <c r="AX244" s="9">
        <f>IF(ISNUMBER(AW244),IF(AW244&gt;450,"Yes","No"),IF(AW244="NR","NR",""))</f>
        <v/>
      </c>
      <c r="BJ244" s="9">
        <f>IF(BB244="","",IF(BB244="Non-viable","Non-viable",IF(BB244="Viable","Viable",IF(BB244="Partially non-viable",IF(OR(BD244="Total splenectomy",BD244="Partial splenectomy +/- splenopexy"),"Non-viable","Review"),IF(BB244="NR",IF(OR(BD244="Total splenectomy",BD244="Partial splenectomy +/- splenopexy"),"NR - removed, check reason","NR"),"Not applicable")))))</f>
        <v/>
      </c>
    </row>
    <row r="245">
      <c r="D245" s="8" t="n"/>
      <c r="E245" s="9">
        <f>IF(B245="","",IF(B245="OWN","Yes","No"))</f>
        <v/>
      </c>
      <c r="AF245" s="9">
        <f>IF(ISNUMBER(Z245),IF(Z245&lt;=2,"&lt;=2 d",IF(Z245&lt;=7,"3-7 d",IF(Z245&lt;=30,"8-30 d","&gt;30 d"))),IF(AE245&lt;&gt;"",AE245,IF(Z245="NR","NR","")))</f>
        <v/>
      </c>
      <c r="AX245" s="9">
        <f>IF(ISNUMBER(AW245),IF(AW245&gt;450,"Yes","No"),IF(AW245="NR","NR",""))</f>
        <v/>
      </c>
      <c r="BJ245" s="9">
        <f>IF(BB245="","",IF(BB245="Non-viable","Non-viable",IF(BB245="Viable","Viable",IF(BB245="Partially non-viable",IF(OR(BD245="Total splenectomy",BD245="Partial splenectomy +/- splenopexy"),"Non-viable","Review"),IF(BB245="NR",IF(OR(BD245="Total splenectomy",BD245="Partial splenectomy +/- splenopexy"),"NR - removed, check reason","NR"),"Not applicable")))))</f>
        <v/>
      </c>
    </row>
    <row r="246">
      <c r="D246" s="8" t="n"/>
      <c r="E246" s="9">
        <f>IF(B246="","",IF(B246="OWN","Yes","No"))</f>
        <v/>
      </c>
      <c r="AF246" s="9">
        <f>IF(ISNUMBER(Z246),IF(Z246&lt;=2,"&lt;=2 d",IF(Z246&lt;=7,"3-7 d",IF(Z246&lt;=30,"8-30 d","&gt;30 d"))),IF(AE246&lt;&gt;"",AE246,IF(Z246="NR","NR","")))</f>
        <v/>
      </c>
      <c r="AX246" s="9">
        <f>IF(ISNUMBER(AW246),IF(AW246&gt;450,"Yes","No"),IF(AW246="NR","NR",""))</f>
        <v/>
      </c>
      <c r="BJ246" s="9">
        <f>IF(BB246="","",IF(BB246="Non-viable","Non-viable",IF(BB246="Viable","Viable",IF(BB246="Partially non-viable",IF(OR(BD246="Total splenectomy",BD246="Partial splenectomy +/- splenopexy"),"Non-viable","Review"),IF(BB246="NR",IF(OR(BD246="Total splenectomy",BD246="Partial splenectomy +/- splenopexy"),"NR - removed, check reason","NR"),"Not applicable")))))</f>
        <v/>
      </c>
    </row>
    <row r="247">
      <c r="D247" s="8" t="n"/>
      <c r="E247" s="9">
        <f>IF(B247="","",IF(B247="OWN","Yes","No"))</f>
        <v/>
      </c>
      <c r="AF247" s="9">
        <f>IF(ISNUMBER(Z247),IF(Z247&lt;=2,"&lt;=2 d",IF(Z247&lt;=7,"3-7 d",IF(Z247&lt;=30,"8-30 d","&gt;30 d"))),IF(AE247&lt;&gt;"",AE247,IF(Z247="NR","NR","")))</f>
        <v/>
      </c>
      <c r="AX247" s="9">
        <f>IF(ISNUMBER(AW247),IF(AW247&gt;450,"Yes","No"),IF(AW247="NR","NR",""))</f>
        <v/>
      </c>
      <c r="BJ247" s="9">
        <f>IF(BB247="","",IF(BB247="Non-viable","Non-viable",IF(BB247="Viable","Viable",IF(BB247="Partially non-viable",IF(OR(BD247="Total splenectomy",BD247="Partial splenectomy +/- splenopexy"),"Non-viable","Review"),IF(BB247="NR",IF(OR(BD247="Total splenectomy",BD247="Partial splenectomy +/- splenopexy"),"NR - removed, check reason","NR"),"Not applicable")))))</f>
        <v/>
      </c>
    </row>
    <row r="248">
      <c r="D248" s="8" t="n"/>
      <c r="E248" s="9">
        <f>IF(B248="","",IF(B248="OWN","Yes","No"))</f>
        <v/>
      </c>
      <c r="AF248" s="9">
        <f>IF(ISNUMBER(Z248),IF(Z248&lt;=2,"&lt;=2 d",IF(Z248&lt;=7,"3-7 d",IF(Z248&lt;=30,"8-30 d","&gt;30 d"))),IF(AE248&lt;&gt;"",AE248,IF(Z248="NR","NR","")))</f>
        <v/>
      </c>
      <c r="AX248" s="9">
        <f>IF(ISNUMBER(AW248),IF(AW248&gt;450,"Yes","No"),IF(AW248="NR","NR",""))</f>
        <v/>
      </c>
      <c r="BJ248" s="9">
        <f>IF(BB248="","",IF(BB248="Non-viable","Non-viable",IF(BB248="Viable","Viable",IF(BB248="Partially non-viable",IF(OR(BD248="Total splenectomy",BD248="Partial splenectomy +/- splenopexy"),"Non-viable","Review"),IF(BB248="NR",IF(OR(BD248="Total splenectomy",BD248="Partial splenectomy +/- splenopexy"),"NR - removed, check reason","NR"),"Not applicable")))))</f>
        <v/>
      </c>
    </row>
    <row r="249">
      <c r="D249" s="8" t="n"/>
      <c r="E249" s="9">
        <f>IF(B249="","",IF(B249="OWN","Yes","No"))</f>
        <v/>
      </c>
      <c r="AF249" s="9">
        <f>IF(ISNUMBER(Z249),IF(Z249&lt;=2,"&lt;=2 d",IF(Z249&lt;=7,"3-7 d",IF(Z249&lt;=30,"8-30 d","&gt;30 d"))),IF(AE249&lt;&gt;"",AE249,IF(Z249="NR","NR","")))</f>
        <v/>
      </c>
      <c r="AX249" s="9">
        <f>IF(ISNUMBER(AW249),IF(AW249&gt;450,"Yes","No"),IF(AW249="NR","NR",""))</f>
        <v/>
      </c>
      <c r="BJ249" s="9">
        <f>IF(BB249="","",IF(BB249="Non-viable","Non-viable",IF(BB249="Viable","Viable",IF(BB249="Partially non-viable",IF(OR(BD249="Total splenectomy",BD249="Partial splenectomy +/- splenopexy"),"Non-viable","Review"),IF(BB249="NR",IF(OR(BD249="Total splenectomy",BD249="Partial splenectomy +/- splenopexy"),"NR - removed, check reason","NR"),"Not applicable")))))</f>
        <v/>
      </c>
    </row>
    <row r="250">
      <c r="D250" s="8" t="n"/>
      <c r="E250" s="9">
        <f>IF(B250="","",IF(B250="OWN","Yes","No"))</f>
        <v/>
      </c>
      <c r="AF250" s="9">
        <f>IF(ISNUMBER(Z250),IF(Z250&lt;=2,"&lt;=2 d",IF(Z250&lt;=7,"3-7 d",IF(Z250&lt;=30,"8-30 d","&gt;30 d"))),IF(AE250&lt;&gt;"",AE250,IF(Z250="NR","NR","")))</f>
        <v/>
      </c>
      <c r="AX250" s="9">
        <f>IF(ISNUMBER(AW250),IF(AW250&gt;450,"Yes","No"),IF(AW250="NR","NR",""))</f>
        <v/>
      </c>
      <c r="BJ250" s="9">
        <f>IF(BB250="","",IF(BB250="Non-viable","Non-viable",IF(BB250="Viable","Viable",IF(BB250="Partially non-viable",IF(OR(BD250="Total splenectomy",BD250="Partial splenectomy +/- splenopexy"),"Non-viable","Review"),IF(BB250="NR",IF(OR(BD250="Total splenectomy",BD250="Partial splenectomy +/- splenopexy"),"NR - removed, check reason","NR"),"Not applicable")))))</f>
        <v/>
      </c>
    </row>
    <row r="251">
      <c r="D251" s="8" t="n"/>
      <c r="E251" s="9">
        <f>IF(B251="","",IF(B251="OWN","Yes","No"))</f>
        <v/>
      </c>
      <c r="AF251" s="9">
        <f>IF(ISNUMBER(Z251),IF(Z251&lt;=2,"&lt;=2 d",IF(Z251&lt;=7,"3-7 d",IF(Z251&lt;=30,"8-30 d","&gt;30 d"))),IF(AE251&lt;&gt;"",AE251,IF(Z251="NR","NR","")))</f>
        <v/>
      </c>
      <c r="AX251" s="9">
        <f>IF(ISNUMBER(AW251),IF(AW251&gt;450,"Yes","No"),IF(AW251="NR","NR",""))</f>
        <v/>
      </c>
      <c r="BJ251" s="9">
        <f>IF(BB251="","",IF(BB251="Non-viable","Non-viable",IF(BB251="Viable","Viable",IF(BB251="Partially non-viable",IF(OR(BD251="Total splenectomy",BD251="Partial splenectomy +/- splenopexy"),"Non-viable","Review"),IF(BB251="NR",IF(OR(BD251="Total splenectomy",BD251="Partial splenectomy +/- splenopexy"),"NR - removed, check reason","NR"),"Not applicable")))))</f>
        <v/>
      </c>
    </row>
    <row r="252">
      <c r="D252" s="8" t="n"/>
      <c r="E252" s="9">
        <f>IF(B252="","",IF(B252="OWN","Yes","No"))</f>
        <v/>
      </c>
      <c r="AF252" s="9">
        <f>IF(ISNUMBER(Z252),IF(Z252&lt;=2,"&lt;=2 d",IF(Z252&lt;=7,"3-7 d",IF(Z252&lt;=30,"8-30 d","&gt;30 d"))),IF(AE252&lt;&gt;"",AE252,IF(Z252="NR","NR","")))</f>
        <v/>
      </c>
      <c r="AX252" s="9">
        <f>IF(ISNUMBER(AW252),IF(AW252&gt;450,"Yes","No"),IF(AW252="NR","NR",""))</f>
        <v/>
      </c>
      <c r="BJ252" s="9">
        <f>IF(BB252="","",IF(BB252="Non-viable","Non-viable",IF(BB252="Viable","Viable",IF(BB252="Partially non-viable",IF(OR(BD252="Total splenectomy",BD252="Partial splenectomy +/- splenopexy"),"Non-viable","Review"),IF(BB252="NR",IF(OR(BD252="Total splenectomy",BD252="Partial splenectomy +/- splenopexy"),"NR - removed, check reason","NR"),"Not applicable")))))</f>
        <v/>
      </c>
    </row>
    <row r="253">
      <c r="D253" s="8" t="n"/>
      <c r="E253" s="9">
        <f>IF(B253="","",IF(B253="OWN","Yes","No"))</f>
        <v/>
      </c>
      <c r="AF253" s="9">
        <f>IF(ISNUMBER(Z253),IF(Z253&lt;=2,"&lt;=2 d",IF(Z253&lt;=7,"3-7 d",IF(Z253&lt;=30,"8-30 d","&gt;30 d"))),IF(AE253&lt;&gt;"",AE253,IF(Z253="NR","NR","")))</f>
        <v/>
      </c>
      <c r="AX253" s="9">
        <f>IF(ISNUMBER(AW253),IF(AW253&gt;450,"Yes","No"),IF(AW253="NR","NR",""))</f>
        <v/>
      </c>
      <c r="BJ253" s="9">
        <f>IF(BB253="","",IF(BB253="Non-viable","Non-viable",IF(BB253="Viable","Viable",IF(BB253="Partially non-viable",IF(OR(BD253="Total splenectomy",BD253="Partial splenectomy +/- splenopexy"),"Non-viable","Review"),IF(BB253="NR",IF(OR(BD253="Total splenectomy",BD253="Partial splenectomy +/- splenopexy"),"NR - removed, check reason","NR"),"Not applicable")))))</f>
        <v/>
      </c>
    </row>
    <row r="254">
      <c r="D254" s="8" t="n"/>
      <c r="E254" s="9">
        <f>IF(B254="","",IF(B254="OWN","Yes","No"))</f>
        <v/>
      </c>
      <c r="AF254" s="9">
        <f>IF(ISNUMBER(Z254),IF(Z254&lt;=2,"&lt;=2 d",IF(Z254&lt;=7,"3-7 d",IF(Z254&lt;=30,"8-30 d","&gt;30 d"))),IF(AE254&lt;&gt;"",AE254,IF(Z254="NR","NR","")))</f>
        <v/>
      </c>
      <c r="AX254" s="9">
        <f>IF(ISNUMBER(AW254),IF(AW254&gt;450,"Yes","No"),IF(AW254="NR","NR",""))</f>
        <v/>
      </c>
      <c r="BJ254" s="9">
        <f>IF(BB254="","",IF(BB254="Non-viable","Non-viable",IF(BB254="Viable","Viable",IF(BB254="Partially non-viable",IF(OR(BD254="Total splenectomy",BD254="Partial splenectomy +/- splenopexy"),"Non-viable","Review"),IF(BB254="NR",IF(OR(BD254="Total splenectomy",BD254="Partial splenectomy +/- splenopexy"),"NR - removed, check reason","NR"),"Not applicable")))))</f>
        <v/>
      </c>
    </row>
    <row r="255">
      <c r="D255" s="8" t="n"/>
      <c r="E255" s="9">
        <f>IF(B255="","",IF(B255="OWN","Yes","No"))</f>
        <v/>
      </c>
      <c r="AF255" s="9">
        <f>IF(ISNUMBER(Z255),IF(Z255&lt;=2,"&lt;=2 d",IF(Z255&lt;=7,"3-7 d",IF(Z255&lt;=30,"8-30 d","&gt;30 d"))),IF(AE255&lt;&gt;"",AE255,IF(Z255="NR","NR","")))</f>
        <v/>
      </c>
      <c r="AX255" s="9">
        <f>IF(ISNUMBER(AW255),IF(AW255&gt;450,"Yes","No"),IF(AW255="NR","NR",""))</f>
        <v/>
      </c>
      <c r="BJ255" s="9">
        <f>IF(BB255="","",IF(BB255="Non-viable","Non-viable",IF(BB255="Viable","Viable",IF(BB255="Partially non-viable",IF(OR(BD255="Total splenectomy",BD255="Partial splenectomy +/- splenopexy"),"Non-viable","Review"),IF(BB255="NR",IF(OR(BD255="Total splenectomy",BD255="Partial splenectomy +/- splenopexy"),"NR - removed, check reason","NR"),"Not applicable")))))</f>
        <v/>
      </c>
    </row>
    <row r="256">
      <c r="D256" s="8" t="n"/>
      <c r="E256" s="9">
        <f>IF(B256="","",IF(B256="OWN","Yes","No"))</f>
        <v/>
      </c>
      <c r="AF256" s="9">
        <f>IF(ISNUMBER(Z256),IF(Z256&lt;=2,"&lt;=2 d",IF(Z256&lt;=7,"3-7 d",IF(Z256&lt;=30,"8-30 d","&gt;30 d"))),IF(AE256&lt;&gt;"",AE256,IF(Z256="NR","NR","")))</f>
        <v/>
      </c>
      <c r="AX256" s="9">
        <f>IF(ISNUMBER(AW256),IF(AW256&gt;450,"Yes","No"),IF(AW256="NR","NR",""))</f>
        <v/>
      </c>
      <c r="BJ256" s="9">
        <f>IF(BB256="","",IF(BB256="Non-viable","Non-viable",IF(BB256="Viable","Viable",IF(BB256="Partially non-viable",IF(OR(BD256="Total splenectomy",BD256="Partial splenectomy +/- splenopexy"),"Non-viable","Review"),IF(BB256="NR",IF(OR(BD256="Total splenectomy",BD256="Partial splenectomy +/- splenopexy"),"NR - removed, check reason","NR"),"Not applicable")))))</f>
        <v/>
      </c>
    </row>
    <row r="257">
      <c r="D257" s="8" t="n"/>
      <c r="E257" s="9">
        <f>IF(B257="","",IF(B257="OWN","Yes","No"))</f>
        <v/>
      </c>
      <c r="AF257" s="9">
        <f>IF(ISNUMBER(Z257),IF(Z257&lt;=2,"&lt;=2 d",IF(Z257&lt;=7,"3-7 d",IF(Z257&lt;=30,"8-30 d","&gt;30 d"))),IF(AE257&lt;&gt;"",AE257,IF(Z257="NR","NR","")))</f>
        <v/>
      </c>
      <c r="AX257" s="9">
        <f>IF(ISNUMBER(AW257),IF(AW257&gt;450,"Yes","No"),IF(AW257="NR","NR",""))</f>
        <v/>
      </c>
      <c r="BJ257" s="9">
        <f>IF(BB257="","",IF(BB257="Non-viable","Non-viable",IF(BB257="Viable","Viable",IF(BB257="Partially non-viable",IF(OR(BD257="Total splenectomy",BD257="Partial splenectomy +/- splenopexy"),"Non-viable","Review"),IF(BB257="NR",IF(OR(BD257="Total splenectomy",BD257="Partial splenectomy +/- splenopexy"),"NR - removed, check reason","NR"),"Not applicable")))))</f>
        <v/>
      </c>
    </row>
    <row r="258">
      <c r="D258" s="8" t="n"/>
      <c r="E258" s="9">
        <f>IF(B258="","",IF(B258="OWN","Yes","No"))</f>
        <v/>
      </c>
      <c r="AF258" s="9">
        <f>IF(ISNUMBER(Z258),IF(Z258&lt;=2,"&lt;=2 d",IF(Z258&lt;=7,"3-7 d",IF(Z258&lt;=30,"8-30 d","&gt;30 d"))),IF(AE258&lt;&gt;"",AE258,IF(Z258="NR","NR","")))</f>
        <v/>
      </c>
      <c r="AX258" s="9">
        <f>IF(ISNUMBER(AW258),IF(AW258&gt;450,"Yes","No"),IF(AW258="NR","NR",""))</f>
        <v/>
      </c>
      <c r="BJ258" s="9">
        <f>IF(BB258="","",IF(BB258="Non-viable","Non-viable",IF(BB258="Viable","Viable",IF(BB258="Partially non-viable",IF(OR(BD258="Total splenectomy",BD258="Partial splenectomy +/- splenopexy"),"Non-viable","Review"),IF(BB258="NR",IF(OR(BD258="Total splenectomy",BD258="Partial splenectomy +/- splenopexy"),"NR - removed, check reason","NR"),"Not applicable")))))</f>
        <v/>
      </c>
    </row>
    <row r="259">
      <c r="D259" s="8" t="n"/>
      <c r="E259" s="9">
        <f>IF(B259="","",IF(B259="OWN","Yes","No"))</f>
        <v/>
      </c>
      <c r="AF259" s="9">
        <f>IF(ISNUMBER(Z259),IF(Z259&lt;=2,"&lt;=2 d",IF(Z259&lt;=7,"3-7 d",IF(Z259&lt;=30,"8-30 d","&gt;30 d"))),IF(AE259&lt;&gt;"",AE259,IF(Z259="NR","NR","")))</f>
        <v/>
      </c>
      <c r="AX259" s="9">
        <f>IF(ISNUMBER(AW259),IF(AW259&gt;450,"Yes","No"),IF(AW259="NR","NR",""))</f>
        <v/>
      </c>
      <c r="BJ259" s="9">
        <f>IF(BB259="","",IF(BB259="Non-viable","Non-viable",IF(BB259="Viable","Viable",IF(BB259="Partially non-viable",IF(OR(BD259="Total splenectomy",BD259="Partial splenectomy +/- splenopexy"),"Non-viable","Review"),IF(BB259="NR",IF(OR(BD259="Total splenectomy",BD259="Partial splenectomy +/- splenopexy"),"NR - removed, check reason","NR"),"Not applicable")))))</f>
        <v/>
      </c>
    </row>
    <row r="260">
      <c r="D260" s="8" t="n"/>
      <c r="E260" s="9">
        <f>IF(B260="","",IF(B260="OWN","Yes","No"))</f>
        <v/>
      </c>
      <c r="AF260" s="9">
        <f>IF(ISNUMBER(Z260),IF(Z260&lt;=2,"&lt;=2 d",IF(Z260&lt;=7,"3-7 d",IF(Z260&lt;=30,"8-30 d","&gt;30 d"))),IF(AE260&lt;&gt;"",AE260,IF(Z260="NR","NR","")))</f>
        <v/>
      </c>
      <c r="AX260" s="9">
        <f>IF(ISNUMBER(AW260),IF(AW260&gt;450,"Yes","No"),IF(AW260="NR","NR",""))</f>
        <v/>
      </c>
      <c r="BJ260" s="9">
        <f>IF(BB260="","",IF(BB260="Non-viable","Non-viable",IF(BB260="Viable","Viable",IF(BB260="Partially non-viable",IF(OR(BD260="Total splenectomy",BD260="Partial splenectomy +/- splenopexy"),"Non-viable","Review"),IF(BB260="NR",IF(OR(BD260="Total splenectomy",BD260="Partial splenectomy +/- splenopexy"),"NR - removed, check reason","NR"),"Not applicable")))))</f>
        <v/>
      </c>
    </row>
    <row r="261">
      <c r="D261" s="8" t="n"/>
      <c r="E261" s="9">
        <f>IF(B261="","",IF(B261="OWN","Yes","No"))</f>
        <v/>
      </c>
      <c r="AF261" s="9">
        <f>IF(ISNUMBER(Z261),IF(Z261&lt;=2,"&lt;=2 d",IF(Z261&lt;=7,"3-7 d",IF(Z261&lt;=30,"8-30 d","&gt;30 d"))),IF(AE261&lt;&gt;"",AE261,IF(Z261="NR","NR","")))</f>
        <v/>
      </c>
      <c r="AX261" s="9">
        <f>IF(ISNUMBER(AW261),IF(AW261&gt;450,"Yes","No"),IF(AW261="NR","NR",""))</f>
        <v/>
      </c>
      <c r="BJ261" s="9">
        <f>IF(BB261="","",IF(BB261="Non-viable","Non-viable",IF(BB261="Viable","Viable",IF(BB261="Partially non-viable",IF(OR(BD261="Total splenectomy",BD261="Partial splenectomy +/- splenopexy"),"Non-viable","Review"),IF(BB261="NR",IF(OR(BD261="Total splenectomy",BD261="Partial splenectomy +/- splenopexy"),"NR - removed, check reason","NR"),"Not applicable")))))</f>
        <v/>
      </c>
    </row>
    <row r="262">
      <c r="D262" s="8" t="n"/>
      <c r="E262" s="9">
        <f>IF(B262="","",IF(B262="OWN","Yes","No"))</f>
        <v/>
      </c>
      <c r="AF262" s="9">
        <f>IF(ISNUMBER(Z262),IF(Z262&lt;=2,"&lt;=2 d",IF(Z262&lt;=7,"3-7 d",IF(Z262&lt;=30,"8-30 d","&gt;30 d"))),IF(AE262&lt;&gt;"",AE262,IF(Z262="NR","NR","")))</f>
        <v/>
      </c>
      <c r="AX262" s="9">
        <f>IF(ISNUMBER(AW262),IF(AW262&gt;450,"Yes","No"),IF(AW262="NR","NR",""))</f>
        <v/>
      </c>
      <c r="BJ262" s="9">
        <f>IF(BB262="","",IF(BB262="Non-viable","Non-viable",IF(BB262="Viable","Viable",IF(BB262="Partially non-viable",IF(OR(BD262="Total splenectomy",BD262="Partial splenectomy +/- splenopexy"),"Non-viable","Review"),IF(BB262="NR",IF(OR(BD262="Total splenectomy",BD262="Partial splenectomy +/- splenopexy"),"NR - removed, check reason","NR"),"Not applicable")))))</f>
        <v/>
      </c>
    </row>
    <row r="263">
      <c r="D263" s="8" t="n"/>
      <c r="E263" s="9">
        <f>IF(B263="","",IF(B263="OWN","Yes","No"))</f>
        <v/>
      </c>
      <c r="AF263" s="9">
        <f>IF(ISNUMBER(Z263),IF(Z263&lt;=2,"&lt;=2 d",IF(Z263&lt;=7,"3-7 d",IF(Z263&lt;=30,"8-30 d","&gt;30 d"))),IF(AE263&lt;&gt;"",AE263,IF(Z263="NR","NR","")))</f>
        <v/>
      </c>
      <c r="AX263" s="9">
        <f>IF(ISNUMBER(AW263),IF(AW263&gt;450,"Yes","No"),IF(AW263="NR","NR",""))</f>
        <v/>
      </c>
      <c r="BJ263" s="9">
        <f>IF(BB263="","",IF(BB263="Non-viable","Non-viable",IF(BB263="Viable","Viable",IF(BB263="Partially non-viable",IF(OR(BD263="Total splenectomy",BD263="Partial splenectomy +/- splenopexy"),"Non-viable","Review"),IF(BB263="NR",IF(OR(BD263="Total splenectomy",BD263="Partial splenectomy +/- splenopexy"),"NR - removed, check reason","NR"),"Not applicable")))))</f>
        <v/>
      </c>
    </row>
    <row r="264">
      <c r="D264" s="8" t="n"/>
      <c r="E264" s="9">
        <f>IF(B264="","",IF(B264="OWN","Yes","No"))</f>
        <v/>
      </c>
      <c r="AF264" s="9">
        <f>IF(ISNUMBER(Z264),IF(Z264&lt;=2,"&lt;=2 d",IF(Z264&lt;=7,"3-7 d",IF(Z264&lt;=30,"8-30 d","&gt;30 d"))),IF(AE264&lt;&gt;"",AE264,IF(Z264="NR","NR","")))</f>
        <v/>
      </c>
      <c r="AX264" s="9">
        <f>IF(ISNUMBER(AW264),IF(AW264&gt;450,"Yes","No"),IF(AW264="NR","NR",""))</f>
        <v/>
      </c>
      <c r="BJ264" s="9">
        <f>IF(BB264="","",IF(BB264="Non-viable","Non-viable",IF(BB264="Viable","Viable",IF(BB264="Partially non-viable",IF(OR(BD264="Total splenectomy",BD264="Partial splenectomy +/- splenopexy"),"Non-viable","Review"),IF(BB264="NR",IF(OR(BD264="Total splenectomy",BD264="Partial splenectomy +/- splenopexy"),"NR - removed, check reason","NR"),"Not applicable")))))</f>
        <v/>
      </c>
    </row>
    <row r="265">
      <c r="D265" s="8" t="n"/>
      <c r="E265" s="9">
        <f>IF(B265="","",IF(B265="OWN","Yes","No"))</f>
        <v/>
      </c>
      <c r="AF265" s="9">
        <f>IF(ISNUMBER(Z265),IF(Z265&lt;=2,"&lt;=2 d",IF(Z265&lt;=7,"3-7 d",IF(Z265&lt;=30,"8-30 d","&gt;30 d"))),IF(AE265&lt;&gt;"",AE265,IF(Z265="NR","NR","")))</f>
        <v/>
      </c>
      <c r="AX265" s="9">
        <f>IF(ISNUMBER(AW265),IF(AW265&gt;450,"Yes","No"),IF(AW265="NR","NR",""))</f>
        <v/>
      </c>
      <c r="BJ265" s="9">
        <f>IF(BB265="","",IF(BB265="Non-viable","Non-viable",IF(BB265="Viable","Viable",IF(BB265="Partially non-viable",IF(OR(BD265="Total splenectomy",BD265="Partial splenectomy +/- splenopexy"),"Non-viable","Review"),IF(BB265="NR",IF(OR(BD265="Total splenectomy",BD265="Partial splenectomy +/- splenopexy"),"NR - removed, check reason","NR"),"Not applicable")))))</f>
        <v/>
      </c>
    </row>
    <row r="266">
      <c r="D266" s="8" t="n"/>
      <c r="E266" s="9">
        <f>IF(B266="","",IF(B266="OWN","Yes","No"))</f>
        <v/>
      </c>
      <c r="AF266" s="9">
        <f>IF(ISNUMBER(Z266),IF(Z266&lt;=2,"&lt;=2 d",IF(Z266&lt;=7,"3-7 d",IF(Z266&lt;=30,"8-30 d","&gt;30 d"))),IF(AE266&lt;&gt;"",AE266,IF(Z266="NR","NR","")))</f>
        <v/>
      </c>
      <c r="AX266" s="9">
        <f>IF(ISNUMBER(AW266),IF(AW266&gt;450,"Yes","No"),IF(AW266="NR","NR",""))</f>
        <v/>
      </c>
      <c r="BJ266" s="9">
        <f>IF(BB266="","",IF(BB266="Non-viable","Non-viable",IF(BB266="Viable","Viable",IF(BB266="Partially non-viable",IF(OR(BD266="Total splenectomy",BD266="Partial splenectomy +/- splenopexy"),"Non-viable","Review"),IF(BB266="NR",IF(OR(BD266="Total splenectomy",BD266="Partial splenectomy +/- splenopexy"),"NR - removed, check reason","NR"),"Not applicable")))))</f>
        <v/>
      </c>
    </row>
    <row r="267">
      <c r="D267" s="8" t="n"/>
      <c r="E267" s="9">
        <f>IF(B267="","",IF(B267="OWN","Yes","No"))</f>
        <v/>
      </c>
      <c r="AF267" s="9">
        <f>IF(ISNUMBER(Z267),IF(Z267&lt;=2,"&lt;=2 d",IF(Z267&lt;=7,"3-7 d",IF(Z267&lt;=30,"8-30 d","&gt;30 d"))),IF(AE267&lt;&gt;"",AE267,IF(Z267="NR","NR","")))</f>
        <v/>
      </c>
      <c r="AX267" s="9">
        <f>IF(ISNUMBER(AW267),IF(AW267&gt;450,"Yes","No"),IF(AW267="NR","NR",""))</f>
        <v/>
      </c>
      <c r="BJ267" s="9">
        <f>IF(BB267="","",IF(BB267="Non-viable","Non-viable",IF(BB267="Viable","Viable",IF(BB267="Partially non-viable",IF(OR(BD267="Total splenectomy",BD267="Partial splenectomy +/- splenopexy"),"Non-viable","Review"),IF(BB267="NR",IF(OR(BD267="Total splenectomy",BD267="Partial splenectomy +/- splenopexy"),"NR - removed, check reason","NR"),"Not applicable")))))</f>
        <v/>
      </c>
    </row>
    <row r="268">
      <c r="D268" s="8" t="n"/>
      <c r="E268" s="9">
        <f>IF(B268="","",IF(B268="OWN","Yes","No"))</f>
        <v/>
      </c>
      <c r="AF268" s="9">
        <f>IF(ISNUMBER(Z268),IF(Z268&lt;=2,"&lt;=2 d",IF(Z268&lt;=7,"3-7 d",IF(Z268&lt;=30,"8-30 d","&gt;30 d"))),IF(AE268&lt;&gt;"",AE268,IF(Z268="NR","NR","")))</f>
        <v/>
      </c>
      <c r="AX268" s="9">
        <f>IF(ISNUMBER(AW268),IF(AW268&gt;450,"Yes","No"),IF(AW268="NR","NR",""))</f>
        <v/>
      </c>
      <c r="BJ268" s="9">
        <f>IF(BB268="","",IF(BB268="Non-viable","Non-viable",IF(BB268="Viable","Viable",IF(BB268="Partially non-viable",IF(OR(BD268="Total splenectomy",BD268="Partial splenectomy +/- splenopexy"),"Non-viable","Review"),IF(BB268="NR",IF(OR(BD268="Total splenectomy",BD268="Partial splenectomy +/- splenopexy"),"NR - removed, check reason","NR"),"Not applicable")))))</f>
        <v/>
      </c>
    </row>
    <row r="269">
      <c r="D269" s="8" t="n"/>
      <c r="E269" s="9">
        <f>IF(B269="","",IF(B269="OWN","Yes","No"))</f>
        <v/>
      </c>
      <c r="AF269" s="9">
        <f>IF(ISNUMBER(Z269),IF(Z269&lt;=2,"&lt;=2 d",IF(Z269&lt;=7,"3-7 d",IF(Z269&lt;=30,"8-30 d","&gt;30 d"))),IF(AE269&lt;&gt;"",AE269,IF(Z269="NR","NR","")))</f>
        <v/>
      </c>
      <c r="AX269" s="9">
        <f>IF(ISNUMBER(AW269),IF(AW269&gt;450,"Yes","No"),IF(AW269="NR","NR",""))</f>
        <v/>
      </c>
      <c r="BJ269" s="9">
        <f>IF(BB269="","",IF(BB269="Non-viable","Non-viable",IF(BB269="Viable","Viable",IF(BB269="Partially non-viable",IF(OR(BD269="Total splenectomy",BD269="Partial splenectomy +/- splenopexy"),"Non-viable","Review"),IF(BB269="NR",IF(OR(BD269="Total splenectomy",BD269="Partial splenectomy +/- splenopexy"),"NR - removed, check reason","NR"),"Not applicable")))))</f>
        <v/>
      </c>
    </row>
    <row r="270">
      <c r="D270" s="8" t="n"/>
      <c r="E270" s="9">
        <f>IF(B270="","",IF(B270="OWN","Yes","No"))</f>
        <v/>
      </c>
      <c r="AF270" s="9">
        <f>IF(ISNUMBER(Z270),IF(Z270&lt;=2,"&lt;=2 d",IF(Z270&lt;=7,"3-7 d",IF(Z270&lt;=30,"8-30 d","&gt;30 d"))),IF(AE270&lt;&gt;"",AE270,IF(Z270="NR","NR","")))</f>
        <v/>
      </c>
      <c r="AX270" s="9">
        <f>IF(ISNUMBER(AW270),IF(AW270&gt;450,"Yes","No"),IF(AW270="NR","NR",""))</f>
        <v/>
      </c>
      <c r="BJ270" s="9">
        <f>IF(BB270="","",IF(BB270="Non-viable","Non-viable",IF(BB270="Viable","Viable",IF(BB270="Partially non-viable",IF(OR(BD270="Total splenectomy",BD270="Partial splenectomy +/- splenopexy"),"Non-viable","Review"),IF(BB270="NR",IF(OR(BD270="Total splenectomy",BD270="Partial splenectomy +/- splenopexy"),"NR - removed, check reason","NR"),"Not applicable")))))</f>
        <v/>
      </c>
    </row>
    <row r="271">
      <c r="D271" s="8" t="n"/>
      <c r="E271" s="9">
        <f>IF(B271="","",IF(B271="OWN","Yes","No"))</f>
        <v/>
      </c>
      <c r="AF271" s="9">
        <f>IF(ISNUMBER(Z271),IF(Z271&lt;=2,"&lt;=2 d",IF(Z271&lt;=7,"3-7 d",IF(Z271&lt;=30,"8-30 d","&gt;30 d"))),IF(AE271&lt;&gt;"",AE271,IF(Z271="NR","NR","")))</f>
        <v/>
      </c>
      <c r="AX271" s="9">
        <f>IF(ISNUMBER(AW271),IF(AW271&gt;450,"Yes","No"),IF(AW271="NR","NR",""))</f>
        <v/>
      </c>
      <c r="BJ271" s="9">
        <f>IF(BB271="","",IF(BB271="Non-viable","Non-viable",IF(BB271="Viable","Viable",IF(BB271="Partially non-viable",IF(OR(BD271="Total splenectomy",BD271="Partial splenectomy +/- splenopexy"),"Non-viable","Review"),IF(BB271="NR",IF(OR(BD271="Total splenectomy",BD271="Partial splenectomy +/- splenopexy"),"NR - removed, check reason","NR"),"Not applicable")))))</f>
        <v/>
      </c>
    </row>
    <row r="272">
      <c r="D272" s="8" t="n"/>
      <c r="E272" s="9">
        <f>IF(B272="","",IF(B272="OWN","Yes","No"))</f>
        <v/>
      </c>
      <c r="AF272" s="9">
        <f>IF(ISNUMBER(Z272),IF(Z272&lt;=2,"&lt;=2 d",IF(Z272&lt;=7,"3-7 d",IF(Z272&lt;=30,"8-30 d","&gt;30 d"))),IF(AE272&lt;&gt;"",AE272,IF(Z272="NR","NR","")))</f>
        <v/>
      </c>
      <c r="AX272" s="9">
        <f>IF(ISNUMBER(AW272),IF(AW272&gt;450,"Yes","No"),IF(AW272="NR","NR",""))</f>
        <v/>
      </c>
      <c r="BJ272" s="9">
        <f>IF(BB272="","",IF(BB272="Non-viable","Non-viable",IF(BB272="Viable","Viable",IF(BB272="Partially non-viable",IF(OR(BD272="Total splenectomy",BD272="Partial splenectomy +/- splenopexy"),"Non-viable","Review"),IF(BB272="NR",IF(OR(BD272="Total splenectomy",BD272="Partial splenectomy +/- splenopexy"),"NR - removed, check reason","NR"),"Not applicable")))))</f>
        <v/>
      </c>
    </row>
    <row r="273">
      <c r="D273" s="8" t="n"/>
      <c r="E273" s="9">
        <f>IF(B273="","",IF(B273="OWN","Yes","No"))</f>
        <v/>
      </c>
      <c r="AF273" s="9">
        <f>IF(ISNUMBER(Z273),IF(Z273&lt;=2,"&lt;=2 d",IF(Z273&lt;=7,"3-7 d",IF(Z273&lt;=30,"8-30 d","&gt;30 d"))),IF(AE273&lt;&gt;"",AE273,IF(Z273="NR","NR","")))</f>
        <v/>
      </c>
      <c r="AX273" s="9">
        <f>IF(ISNUMBER(AW273),IF(AW273&gt;450,"Yes","No"),IF(AW273="NR","NR",""))</f>
        <v/>
      </c>
      <c r="BJ273" s="9">
        <f>IF(BB273="","",IF(BB273="Non-viable","Non-viable",IF(BB273="Viable","Viable",IF(BB273="Partially non-viable",IF(OR(BD273="Total splenectomy",BD273="Partial splenectomy +/- splenopexy"),"Non-viable","Review"),IF(BB273="NR",IF(OR(BD273="Total splenectomy",BD273="Partial splenectomy +/- splenopexy"),"NR - removed, check reason","NR"),"Not applicable")))))</f>
        <v/>
      </c>
    </row>
    <row r="274">
      <c r="D274" s="8" t="n"/>
      <c r="E274" s="9">
        <f>IF(B274="","",IF(B274="OWN","Yes","No"))</f>
        <v/>
      </c>
      <c r="AF274" s="9">
        <f>IF(ISNUMBER(Z274),IF(Z274&lt;=2,"&lt;=2 d",IF(Z274&lt;=7,"3-7 d",IF(Z274&lt;=30,"8-30 d","&gt;30 d"))),IF(AE274&lt;&gt;"",AE274,IF(Z274="NR","NR","")))</f>
        <v/>
      </c>
      <c r="AX274" s="9">
        <f>IF(ISNUMBER(AW274),IF(AW274&gt;450,"Yes","No"),IF(AW274="NR","NR",""))</f>
        <v/>
      </c>
      <c r="BJ274" s="9">
        <f>IF(BB274="","",IF(BB274="Non-viable","Non-viable",IF(BB274="Viable","Viable",IF(BB274="Partially non-viable",IF(OR(BD274="Total splenectomy",BD274="Partial splenectomy +/- splenopexy"),"Non-viable","Review"),IF(BB274="NR",IF(OR(BD274="Total splenectomy",BD274="Partial splenectomy +/- splenopexy"),"NR - removed, check reason","NR"),"Not applicable")))))</f>
        <v/>
      </c>
    </row>
    <row r="275">
      <c r="D275" s="8" t="n"/>
      <c r="E275" s="9">
        <f>IF(B275="","",IF(B275="OWN","Yes","No"))</f>
        <v/>
      </c>
      <c r="AF275" s="9">
        <f>IF(ISNUMBER(Z275),IF(Z275&lt;=2,"&lt;=2 d",IF(Z275&lt;=7,"3-7 d",IF(Z275&lt;=30,"8-30 d","&gt;30 d"))),IF(AE275&lt;&gt;"",AE275,IF(Z275="NR","NR","")))</f>
        <v/>
      </c>
      <c r="AX275" s="9">
        <f>IF(ISNUMBER(AW275),IF(AW275&gt;450,"Yes","No"),IF(AW275="NR","NR",""))</f>
        <v/>
      </c>
      <c r="BJ275" s="9">
        <f>IF(BB275="","",IF(BB275="Non-viable","Non-viable",IF(BB275="Viable","Viable",IF(BB275="Partially non-viable",IF(OR(BD275="Total splenectomy",BD275="Partial splenectomy +/- splenopexy"),"Non-viable","Review"),IF(BB275="NR",IF(OR(BD275="Total splenectomy",BD275="Partial splenectomy +/- splenopexy"),"NR - removed, check reason","NR"),"Not applicable")))))</f>
        <v/>
      </c>
    </row>
    <row r="276">
      <c r="D276" s="8" t="n"/>
      <c r="E276" s="9">
        <f>IF(B276="","",IF(B276="OWN","Yes","No"))</f>
        <v/>
      </c>
      <c r="AF276" s="9">
        <f>IF(ISNUMBER(Z276),IF(Z276&lt;=2,"&lt;=2 d",IF(Z276&lt;=7,"3-7 d",IF(Z276&lt;=30,"8-30 d","&gt;30 d"))),IF(AE276&lt;&gt;"",AE276,IF(Z276="NR","NR","")))</f>
        <v/>
      </c>
      <c r="AX276" s="9">
        <f>IF(ISNUMBER(AW276),IF(AW276&gt;450,"Yes","No"),IF(AW276="NR","NR",""))</f>
        <v/>
      </c>
      <c r="BJ276" s="9">
        <f>IF(BB276="","",IF(BB276="Non-viable","Non-viable",IF(BB276="Viable","Viable",IF(BB276="Partially non-viable",IF(OR(BD276="Total splenectomy",BD276="Partial splenectomy +/- splenopexy"),"Non-viable","Review"),IF(BB276="NR",IF(OR(BD276="Total splenectomy",BD276="Partial splenectomy +/- splenopexy"),"NR - removed, check reason","NR"),"Not applicable")))))</f>
        <v/>
      </c>
    </row>
    <row r="277">
      <c r="D277" s="8" t="n"/>
      <c r="E277" s="9">
        <f>IF(B277="","",IF(B277="OWN","Yes","No"))</f>
        <v/>
      </c>
      <c r="AF277" s="9">
        <f>IF(ISNUMBER(Z277),IF(Z277&lt;=2,"&lt;=2 d",IF(Z277&lt;=7,"3-7 d",IF(Z277&lt;=30,"8-30 d","&gt;30 d"))),IF(AE277&lt;&gt;"",AE277,IF(Z277="NR","NR","")))</f>
        <v/>
      </c>
      <c r="AX277" s="9">
        <f>IF(ISNUMBER(AW277),IF(AW277&gt;450,"Yes","No"),IF(AW277="NR","NR",""))</f>
        <v/>
      </c>
      <c r="BJ277" s="9">
        <f>IF(BB277="","",IF(BB277="Non-viable","Non-viable",IF(BB277="Viable","Viable",IF(BB277="Partially non-viable",IF(OR(BD277="Total splenectomy",BD277="Partial splenectomy +/- splenopexy"),"Non-viable","Review"),IF(BB277="NR",IF(OR(BD277="Total splenectomy",BD277="Partial splenectomy +/- splenopexy"),"NR - removed, check reason","NR"),"Not applicable")))))</f>
        <v/>
      </c>
    </row>
    <row r="278">
      <c r="D278" s="8" t="n"/>
      <c r="E278" s="9">
        <f>IF(B278="","",IF(B278="OWN","Yes","No"))</f>
        <v/>
      </c>
      <c r="AF278" s="9">
        <f>IF(ISNUMBER(Z278),IF(Z278&lt;=2,"&lt;=2 d",IF(Z278&lt;=7,"3-7 d",IF(Z278&lt;=30,"8-30 d","&gt;30 d"))),IF(AE278&lt;&gt;"",AE278,IF(Z278="NR","NR","")))</f>
        <v/>
      </c>
      <c r="AX278" s="9">
        <f>IF(ISNUMBER(AW278),IF(AW278&gt;450,"Yes","No"),IF(AW278="NR","NR",""))</f>
        <v/>
      </c>
      <c r="BJ278" s="9">
        <f>IF(BB278="","",IF(BB278="Non-viable","Non-viable",IF(BB278="Viable","Viable",IF(BB278="Partially non-viable",IF(OR(BD278="Total splenectomy",BD278="Partial splenectomy +/- splenopexy"),"Non-viable","Review"),IF(BB278="NR",IF(OR(BD278="Total splenectomy",BD278="Partial splenectomy +/- splenopexy"),"NR - removed, check reason","NR"),"Not applicable")))))</f>
        <v/>
      </c>
    </row>
    <row r="279">
      <c r="D279" s="8" t="n"/>
      <c r="E279" s="9">
        <f>IF(B279="","",IF(B279="OWN","Yes","No"))</f>
        <v/>
      </c>
      <c r="AF279" s="9">
        <f>IF(ISNUMBER(Z279),IF(Z279&lt;=2,"&lt;=2 d",IF(Z279&lt;=7,"3-7 d",IF(Z279&lt;=30,"8-30 d","&gt;30 d"))),IF(AE279&lt;&gt;"",AE279,IF(Z279="NR","NR","")))</f>
        <v/>
      </c>
      <c r="AX279" s="9">
        <f>IF(ISNUMBER(AW279),IF(AW279&gt;450,"Yes","No"),IF(AW279="NR","NR",""))</f>
        <v/>
      </c>
      <c r="BJ279" s="9">
        <f>IF(BB279="","",IF(BB279="Non-viable","Non-viable",IF(BB279="Viable","Viable",IF(BB279="Partially non-viable",IF(OR(BD279="Total splenectomy",BD279="Partial splenectomy +/- splenopexy"),"Non-viable","Review"),IF(BB279="NR",IF(OR(BD279="Total splenectomy",BD279="Partial splenectomy +/- splenopexy"),"NR - removed, check reason","NR"),"Not applicable")))))</f>
        <v/>
      </c>
    </row>
    <row r="280">
      <c r="D280" s="8" t="n"/>
      <c r="E280" s="9">
        <f>IF(B280="","",IF(B280="OWN","Yes","No"))</f>
        <v/>
      </c>
      <c r="AF280" s="9">
        <f>IF(ISNUMBER(Z280),IF(Z280&lt;=2,"&lt;=2 d",IF(Z280&lt;=7,"3-7 d",IF(Z280&lt;=30,"8-30 d","&gt;30 d"))),IF(AE280&lt;&gt;"",AE280,IF(Z280="NR","NR","")))</f>
        <v/>
      </c>
      <c r="AX280" s="9">
        <f>IF(ISNUMBER(AW280),IF(AW280&gt;450,"Yes","No"),IF(AW280="NR","NR",""))</f>
        <v/>
      </c>
      <c r="BJ280" s="9">
        <f>IF(BB280="","",IF(BB280="Non-viable","Non-viable",IF(BB280="Viable","Viable",IF(BB280="Partially non-viable",IF(OR(BD280="Total splenectomy",BD280="Partial splenectomy +/- splenopexy"),"Non-viable","Review"),IF(BB280="NR",IF(OR(BD280="Total splenectomy",BD280="Partial splenectomy +/- splenopexy"),"NR - removed, check reason","NR"),"Not applicable")))))</f>
        <v/>
      </c>
    </row>
    <row r="281">
      <c r="D281" s="8" t="n"/>
      <c r="E281" s="9">
        <f>IF(B281="","",IF(B281="OWN","Yes","No"))</f>
        <v/>
      </c>
      <c r="AF281" s="9">
        <f>IF(ISNUMBER(Z281),IF(Z281&lt;=2,"&lt;=2 d",IF(Z281&lt;=7,"3-7 d",IF(Z281&lt;=30,"8-30 d","&gt;30 d"))),IF(AE281&lt;&gt;"",AE281,IF(Z281="NR","NR","")))</f>
        <v/>
      </c>
      <c r="AX281" s="9">
        <f>IF(ISNUMBER(AW281),IF(AW281&gt;450,"Yes","No"),IF(AW281="NR","NR",""))</f>
        <v/>
      </c>
      <c r="BJ281" s="9">
        <f>IF(BB281="","",IF(BB281="Non-viable","Non-viable",IF(BB281="Viable","Viable",IF(BB281="Partially non-viable",IF(OR(BD281="Total splenectomy",BD281="Partial splenectomy +/- splenopexy"),"Non-viable","Review"),IF(BB281="NR",IF(OR(BD281="Total splenectomy",BD281="Partial splenectomy +/- splenopexy"),"NR - removed, check reason","NR"),"Not applicable")))))</f>
        <v/>
      </c>
    </row>
    <row r="282">
      <c r="D282" s="8" t="n"/>
      <c r="E282" s="9">
        <f>IF(B282="","",IF(B282="OWN","Yes","No"))</f>
        <v/>
      </c>
      <c r="AF282" s="9">
        <f>IF(ISNUMBER(Z282),IF(Z282&lt;=2,"&lt;=2 d",IF(Z282&lt;=7,"3-7 d",IF(Z282&lt;=30,"8-30 d","&gt;30 d"))),IF(AE282&lt;&gt;"",AE282,IF(Z282="NR","NR","")))</f>
        <v/>
      </c>
      <c r="AX282" s="9">
        <f>IF(ISNUMBER(AW282),IF(AW282&gt;450,"Yes","No"),IF(AW282="NR","NR",""))</f>
        <v/>
      </c>
      <c r="BJ282" s="9">
        <f>IF(BB282="","",IF(BB282="Non-viable","Non-viable",IF(BB282="Viable","Viable",IF(BB282="Partially non-viable",IF(OR(BD282="Total splenectomy",BD282="Partial splenectomy +/- splenopexy"),"Non-viable","Review"),IF(BB282="NR",IF(OR(BD282="Total splenectomy",BD282="Partial splenectomy +/- splenopexy"),"NR - removed, check reason","NR"),"Not applicable")))))</f>
        <v/>
      </c>
    </row>
    <row r="283">
      <c r="D283" s="8" t="n"/>
      <c r="E283" s="9">
        <f>IF(B283="","",IF(B283="OWN","Yes","No"))</f>
        <v/>
      </c>
      <c r="AF283" s="9">
        <f>IF(ISNUMBER(Z283),IF(Z283&lt;=2,"&lt;=2 d",IF(Z283&lt;=7,"3-7 d",IF(Z283&lt;=30,"8-30 d","&gt;30 d"))),IF(AE283&lt;&gt;"",AE283,IF(Z283="NR","NR","")))</f>
        <v/>
      </c>
      <c r="AX283" s="9">
        <f>IF(ISNUMBER(AW283),IF(AW283&gt;450,"Yes","No"),IF(AW283="NR","NR",""))</f>
        <v/>
      </c>
      <c r="BJ283" s="9">
        <f>IF(BB283="","",IF(BB283="Non-viable","Non-viable",IF(BB283="Viable","Viable",IF(BB283="Partially non-viable",IF(OR(BD283="Total splenectomy",BD283="Partial splenectomy +/- splenopexy"),"Non-viable","Review"),IF(BB283="NR",IF(OR(BD283="Total splenectomy",BD283="Partial splenectomy +/- splenopexy"),"NR - removed, check reason","NR"),"Not applicable")))))</f>
        <v/>
      </c>
    </row>
    <row r="284">
      <c r="D284" s="8" t="n"/>
      <c r="E284" s="9">
        <f>IF(B284="","",IF(B284="OWN","Yes","No"))</f>
        <v/>
      </c>
      <c r="AF284" s="9">
        <f>IF(ISNUMBER(Z284),IF(Z284&lt;=2,"&lt;=2 d",IF(Z284&lt;=7,"3-7 d",IF(Z284&lt;=30,"8-30 d","&gt;30 d"))),IF(AE284&lt;&gt;"",AE284,IF(Z284="NR","NR","")))</f>
        <v/>
      </c>
      <c r="AX284" s="9">
        <f>IF(ISNUMBER(AW284),IF(AW284&gt;450,"Yes","No"),IF(AW284="NR","NR",""))</f>
        <v/>
      </c>
      <c r="BJ284" s="9">
        <f>IF(BB284="","",IF(BB284="Non-viable","Non-viable",IF(BB284="Viable","Viable",IF(BB284="Partially non-viable",IF(OR(BD284="Total splenectomy",BD284="Partial splenectomy +/- splenopexy"),"Non-viable","Review"),IF(BB284="NR",IF(OR(BD284="Total splenectomy",BD284="Partial splenectomy +/- splenopexy"),"NR - removed, check reason","NR"),"Not applicable")))))</f>
        <v/>
      </c>
    </row>
    <row r="285">
      <c r="D285" s="8" t="n"/>
      <c r="E285" s="9">
        <f>IF(B285="","",IF(B285="OWN","Yes","No"))</f>
        <v/>
      </c>
      <c r="AF285" s="9">
        <f>IF(ISNUMBER(Z285),IF(Z285&lt;=2,"&lt;=2 d",IF(Z285&lt;=7,"3-7 d",IF(Z285&lt;=30,"8-30 d","&gt;30 d"))),IF(AE285&lt;&gt;"",AE285,IF(Z285="NR","NR","")))</f>
        <v/>
      </c>
      <c r="AX285" s="9">
        <f>IF(ISNUMBER(AW285),IF(AW285&gt;450,"Yes","No"),IF(AW285="NR","NR",""))</f>
        <v/>
      </c>
      <c r="BJ285" s="9">
        <f>IF(BB285="","",IF(BB285="Non-viable","Non-viable",IF(BB285="Viable","Viable",IF(BB285="Partially non-viable",IF(OR(BD285="Total splenectomy",BD285="Partial splenectomy +/- splenopexy"),"Non-viable","Review"),IF(BB285="NR",IF(OR(BD285="Total splenectomy",BD285="Partial splenectomy +/- splenopexy"),"NR - removed, check reason","NR"),"Not applicable")))))</f>
        <v/>
      </c>
    </row>
    <row r="286">
      <c r="D286" s="8" t="n"/>
      <c r="E286" s="9">
        <f>IF(B286="","",IF(B286="OWN","Yes","No"))</f>
        <v/>
      </c>
      <c r="AF286" s="9">
        <f>IF(ISNUMBER(Z286),IF(Z286&lt;=2,"&lt;=2 d",IF(Z286&lt;=7,"3-7 d",IF(Z286&lt;=30,"8-30 d","&gt;30 d"))),IF(AE286&lt;&gt;"",AE286,IF(Z286="NR","NR","")))</f>
        <v/>
      </c>
      <c r="AX286" s="9">
        <f>IF(ISNUMBER(AW286),IF(AW286&gt;450,"Yes","No"),IF(AW286="NR","NR",""))</f>
        <v/>
      </c>
      <c r="BJ286" s="9">
        <f>IF(BB286="","",IF(BB286="Non-viable","Non-viable",IF(BB286="Viable","Viable",IF(BB286="Partially non-viable",IF(OR(BD286="Total splenectomy",BD286="Partial splenectomy +/- splenopexy"),"Non-viable","Review"),IF(BB286="NR",IF(OR(BD286="Total splenectomy",BD286="Partial splenectomy +/- splenopexy"),"NR - removed, check reason","NR"),"Not applicable")))))</f>
        <v/>
      </c>
    </row>
    <row r="287">
      <c r="D287" s="8" t="n"/>
      <c r="E287" s="9">
        <f>IF(B287="","",IF(B287="OWN","Yes","No"))</f>
        <v/>
      </c>
      <c r="AF287" s="9">
        <f>IF(ISNUMBER(Z287),IF(Z287&lt;=2,"&lt;=2 d",IF(Z287&lt;=7,"3-7 d",IF(Z287&lt;=30,"8-30 d","&gt;30 d"))),IF(AE287&lt;&gt;"",AE287,IF(Z287="NR","NR","")))</f>
        <v/>
      </c>
      <c r="AX287" s="9">
        <f>IF(ISNUMBER(AW287),IF(AW287&gt;450,"Yes","No"),IF(AW287="NR","NR",""))</f>
        <v/>
      </c>
      <c r="BJ287" s="9">
        <f>IF(BB287="","",IF(BB287="Non-viable","Non-viable",IF(BB287="Viable","Viable",IF(BB287="Partially non-viable",IF(OR(BD287="Total splenectomy",BD287="Partial splenectomy +/- splenopexy"),"Non-viable","Review"),IF(BB287="NR",IF(OR(BD287="Total splenectomy",BD287="Partial splenectomy +/- splenopexy"),"NR - removed, check reason","NR"),"Not applicable")))))</f>
        <v/>
      </c>
    </row>
    <row r="288">
      <c r="D288" s="8" t="n"/>
      <c r="E288" s="9">
        <f>IF(B288="","",IF(B288="OWN","Yes","No"))</f>
        <v/>
      </c>
      <c r="AF288" s="9">
        <f>IF(ISNUMBER(Z288),IF(Z288&lt;=2,"&lt;=2 d",IF(Z288&lt;=7,"3-7 d",IF(Z288&lt;=30,"8-30 d","&gt;30 d"))),IF(AE288&lt;&gt;"",AE288,IF(Z288="NR","NR","")))</f>
        <v/>
      </c>
      <c r="AX288" s="9">
        <f>IF(ISNUMBER(AW288),IF(AW288&gt;450,"Yes","No"),IF(AW288="NR","NR",""))</f>
        <v/>
      </c>
      <c r="BJ288" s="9">
        <f>IF(BB288="","",IF(BB288="Non-viable","Non-viable",IF(BB288="Viable","Viable",IF(BB288="Partially non-viable",IF(OR(BD288="Total splenectomy",BD288="Partial splenectomy +/- splenopexy"),"Non-viable","Review"),IF(BB288="NR",IF(OR(BD288="Total splenectomy",BD288="Partial splenectomy +/- splenopexy"),"NR - removed, check reason","NR"),"Not applicable")))))</f>
        <v/>
      </c>
    </row>
    <row r="289">
      <c r="D289" s="8" t="n"/>
      <c r="E289" s="9">
        <f>IF(B289="","",IF(B289="OWN","Yes","No"))</f>
        <v/>
      </c>
      <c r="AF289" s="9">
        <f>IF(ISNUMBER(Z289),IF(Z289&lt;=2,"&lt;=2 d",IF(Z289&lt;=7,"3-7 d",IF(Z289&lt;=30,"8-30 d","&gt;30 d"))),IF(AE289&lt;&gt;"",AE289,IF(Z289="NR","NR","")))</f>
        <v/>
      </c>
      <c r="AX289" s="9">
        <f>IF(ISNUMBER(AW289),IF(AW289&gt;450,"Yes","No"),IF(AW289="NR","NR",""))</f>
        <v/>
      </c>
      <c r="BJ289" s="9">
        <f>IF(BB289="","",IF(BB289="Non-viable","Non-viable",IF(BB289="Viable","Viable",IF(BB289="Partially non-viable",IF(OR(BD289="Total splenectomy",BD289="Partial splenectomy +/- splenopexy"),"Non-viable","Review"),IF(BB289="NR",IF(OR(BD289="Total splenectomy",BD289="Partial splenectomy +/- splenopexy"),"NR - removed, check reason","NR"),"Not applicable")))))</f>
        <v/>
      </c>
    </row>
    <row r="290">
      <c r="D290" s="8" t="n"/>
      <c r="E290" s="9">
        <f>IF(B290="","",IF(B290="OWN","Yes","No"))</f>
        <v/>
      </c>
      <c r="AF290" s="9">
        <f>IF(ISNUMBER(Z290),IF(Z290&lt;=2,"&lt;=2 d",IF(Z290&lt;=7,"3-7 d",IF(Z290&lt;=30,"8-30 d","&gt;30 d"))),IF(AE290&lt;&gt;"",AE290,IF(Z290="NR","NR","")))</f>
        <v/>
      </c>
      <c r="AX290" s="9">
        <f>IF(ISNUMBER(AW290),IF(AW290&gt;450,"Yes","No"),IF(AW290="NR","NR",""))</f>
        <v/>
      </c>
      <c r="BJ290" s="9">
        <f>IF(BB290="","",IF(BB290="Non-viable","Non-viable",IF(BB290="Viable","Viable",IF(BB290="Partially non-viable",IF(OR(BD290="Total splenectomy",BD290="Partial splenectomy +/- splenopexy"),"Non-viable","Review"),IF(BB290="NR",IF(OR(BD290="Total splenectomy",BD290="Partial splenectomy +/- splenopexy"),"NR - removed, check reason","NR"),"Not applicable")))))</f>
        <v/>
      </c>
    </row>
    <row r="291">
      <c r="D291" s="8" t="n"/>
      <c r="E291" s="9">
        <f>IF(B291="","",IF(B291="OWN","Yes","No"))</f>
        <v/>
      </c>
      <c r="AF291" s="9">
        <f>IF(ISNUMBER(Z291),IF(Z291&lt;=2,"&lt;=2 d",IF(Z291&lt;=7,"3-7 d",IF(Z291&lt;=30,"8-30 d","&gt;30 d"))),IF(AE291&lt;&gt;"",AE291,IF(Z291="NR","NR","")))</f>
        <v/>
      </c>
      <c r="AX291" s="9">
        <f>IF(ISNUMBER(AW291),IF(AW291&gt;450,"Yes","No"),IF(AW291="NR","NR",""))</f>
        <v/>
      </c>
      <c r="BJ291" s="9">
        <f>IF(BB291="","",IF(BB291="Non-viable","Non-viable",IF(BB291="Viable","Viable",IF(BB291="Partially non-viable",IF(OR(BD291="Total splenectomy",BD291="Partial splenectomy +/- splenopexy"),"Non-viable","Review"),IF(BB291="NR",IF(OR(BD291="Total splenectomy",BD291="Partial splenectomy +/- splenopexy"),"NR - removed, check reason","NR"),"Not applicable")))))</f>
        <v/>
      </c>
    </row>
    <row r="292">
      <c r="D292" s="8" t="n"/>
      <c r="E292" s="9">
        <f>IF(B292="","",IF(B292="OWN","Yes","No"))</f>
        <v/>
      </c>
      <c r="AF292" s="9">
        <f>IF(ISNUMBER(Z292),IF(Z292&lt;=2,"&lt;=2 d",IF(Z292&lt;=7,"3-7 d",IF(Z292&lt;=30,"8-30 d","&gt;30 d"))),IF(AE292&lt;&gt;"",AE292,IF(Z292="NR","NR","")))</f>
        <v/>
      </c>
      <c r="AX292" s="9">
        <f>IF(ISNUMBER(AW292),IF(AW292&gt;450,"Yes","No"),IF(AW292="NR","NR",""))</f>
        <v/>
      </c>
      <c r="BJ292" s="9">
        <f>IF(BB292="","",IF(BB292="Non-viable","Non-viable",IF(BB292="Viable","Viable",IF(BB292="Partially non-viable",IF(OR(BD292="Total splenectomy",BD292="Partial splenectomy +/- splenopexy"),"Non-viable","Review"),IF(BB292="NR",IF(OR(BD292="Total splenectomy",BD292="Partial splenectomy +/- splenopexy"),"NR - removed, check reason","NR"),"Not applicable")))))</f>
        <v/>
      </c>
    </row>
    <row r="293">
      <c r="D293" s="8" t="n"/>
      <c r="E293" s="9">
        <f>IF(B293="","",IF(B293="OWN","Yes","No"))</f>
        <v/>
      </c>
      <c r="AF293" s="9">
        <f>IF(ISNUMBER(Z293),IF(Z293&lt;=2,"&lt;=2 d",IF(Z293&lt;=7,"3-7 d",IF(Z293&lt;=30,"8-30 d","&gt;30 d"))),IF(AE293&lt;&gt;"",AE293,IF(Z293="NR","NR","")))</f>
        <v/>
      </c>
      <c r="AX293" s="9">
        <f>IF(ISNUMBER(AW293),IF(AW293&gt;450,"Yes","No"),IF(AW293="NR","NR",""))</f>
        <v/>
      </c>
      <c r="BJ293" s="9">
        <f>IF(BB293="","",IF(BB293="Non-viable","Non-viable",IF(BB293="Viable","Viable",IF(BB293="Partially non-viable",IF(OR(BD293="Total splenectomy",BD293="Partial splenectomy +/- splenopexy"),"Non-viable","Review"),IF(BB293="NR",IF(OR(BD293="Total splenectomy",BD293="Partial splenectomy +/- splenopexy"),"NR - removed, check reason","NR"),"Not applicable")))))</f>
        <v/>
      </c>
    </row>
    <row r="294">
      <c r="D294" s="8" t="n"/>
      <c r="E294" s="9">
        <f>IF(B294="","",IF(B294="OWN","Yes","No"))</f>
        <v/>
      </c>
      <c r="AF294" s="9">
        <f>IF(ISNUMBER(Z294),IF(Z294&lt;=2,"&lt;=2 d",IF(Z294&lt;=7,"3-7 d",IF(Z294&lt;=30,"8-30 d","&gt;30 d"))),IF(AE294&lt;&gt;"",AE294,IF(Z294="NR","NR","")))</f>
        <v/>
      </c>
      <c r="AX294" s="9">
        <f>IF(ISNUMBER(AW294),IF(AW294&gt;450,"Yes","No"),IF(AW294="NR","NR",""))</f>
        <v/>
      </c>
      <c r="BJ294" s="9">
        <f>IF(BB294="","",IF(BB294="Non-viable","Non-viable",IF(BB294="Viable","Viable",IF(BB294="Partially non-viable",IF(OR(BD294="Total splenectomy",BD294="Partial splenectomy +/- splenopexy"),"Non-viable","Review"),IF(BB294="NR",IF(OR(BD294="Total splenectomy",BD294="Partial splenectomy +/- splenopexy"),"NR - removed, check reason","NR"),"Not applicable")))))</f>
        <v/>
      </c>
    </row>
    <row r="295">
      <c r="D295" s="8" t="n"/>
      <c r="E295" s="9">
        <f>IF(B295="","",IF(B295="OWN","Yes","No"))</f>
        <v/>
      </c>
      <c r="AF295" s="9">
        <f>IF(ISNUMBER(Z295),IF(Z295&lt;=2,"&lt;=2 d",IF(Z295&lt;=7,"3-7 d",IF(Z295&lt;=30,"8-30 d","&gt;30 d"))),IF(AE295&lt;&gt;"",AE295,IF(Z295="NR","NR","")))</f>
        <v/>
      </c>
      <c r="AX295" s="9">
        <f>IF(ISNUMBER(AW295),IF(AW295&gt;450,"Yes","No"),IF(AW295="NR","NR",""))</f>
        <v/>
      </c>
      <c r="BJ295" s="9">
        <f>IF(BB295="","",IF(BB295="Non-viable","Non-viable",IF(BB295="Viable","Viable",IF(BB295="Partially non-viable",IF(OR(BD295="Total splenectomy",BD295="Partial splenectomy +/- splenopexy"),"Non-viable","Review"),IF(BB295="NR",IF(OR(BD295="Total splenectomy",BD295="Partial splenectomy +/- splenopexy"),"NR - removed, check reason","NR"),"Not applicable")))))</f>
        <v/>
      </c>
    </row>
    <row r="296">
      <c r="D296" s="8" t="n"/>
      <c r="E296" s="9">
        <f>IF(B296="","",IF(B296="OWN","Yes","No"))</f>
        <v/>
      </c>
      <c r="AF296" s="9">
        <f>IF(ISNUMBER(Z296),IF(Z296&lt;=2,"&lt;=2 d",IF(Z296&lt;=7,"3-7 d",IF(Z296&lt;=30,"8-30 d","&gt;30 d"))),IF(AE296&lt;&gt;"",AE296,IF(Z296="NR","NR","")))</f>
        <v/>
      </c>
      <c r="AX296" s="9">
        <f>IF(ISNUMBER(AW296),IF(AW296&gt;450,"Yes","No"),IF(AW296="NR","NR",""))</f>
        <v/>
      </c>
      <c r="BJ296" s="9">
        <f>IF(BB296="","",IF(BB296="Non-viable","Non-viable",IF(BB296="Viable","Viable",IF(BB296="Partially non-viable",IF(OR(BD296="Total splenectomy",BD296="Partial splenectomy +/- splenopexy"),"Non-viable","Review"),IF(BB296="NR",IF(OR(BD296="Total splenectomy",BD296="Partial splenectomy +/- splenopexy"),"NR - removed, check reason","NR"),"Not applicable")))))</f>
        <v/>
      </c>
    </row>
    <row r="297">
      <c r="D297" s="8" t="n"/>
      <c r="E297" s="9">
        <f>IF(B297="","",IF(B297="OWN","Yes","No"))</f>
        <v/>
      </c>
      <c r="AF297" s="9">
        <f>IF(ISNUMBER(Z297),IF(Z297&lt;=2,"&lt;=2 d",IF(Z297&lt;=7,"3-7 d",IF(Z297&lt;=30,"8-30 d","&gt;30 d"))),IF(AE297&lt;&gt;"",AE297,IF(Z297="NR","NR","")))</f>
        <v/>
      </c>
      <c r="AX297" s="9">
        <f>IF(ISNUMBER(AW297),IF(AW297&gt;450,"Yes","No"),IF(AW297="NR","NR",""))</f>
        <v/>
      </c>
      <c r="BJ297" s="9">
        <f>IF(BB297="","",IF(BB297="Non-viable","Non-viable",IF(BB297="Viable","Viable",IF(BB297="Partially non-viable",IF(OR(BD297="Total splenectomy",BD297="Partial splenectomy +/- splenopexy"),"Non-viable","Review"),IF(BB297="NR",IF(OR(BD297="Total splenectomy",BD297="Partial splenectomy +/- splenopexy"),"NR - removed, check reason","NR"),"Not applicable")))))</f>
        <v/>
      </c>
    </row>
    <row r="298">
      <c r="D298" s="8" t="n"/>
      <c r="E298" s="9">
        <f>IF(B298="","",IF(B298="OWN","Yes","No"))</f>
        <v/>
      </c>
      <c r="AF298" s="9">
        <f>IF(ISNUMBER(Z298),IF(Z298&lt;=2,"&lt;=2 d",IF(Z298&lt;=7,"3-7 d",IF(Z298&lt;=30,"8-30 d","&gt;30 d"))),IF(AE298&lt;&gt;"",AE298,IF(Z298="NR","NR","")))</f>
        <v/>
      </c>
      <c r="AX298" s="9">
        <f>IF(ISNUMBER(AW298),IF(AW298&gt;450,"Yes","No"),IF(AW298="NR","NR",""))</f>
        <v/>
      </c>
      <c r="BJ298" s="9">
        <f>IF(BB298="","",IF(BB298="Non-viable","Non-viable",IF(BB298="Viable","Viable",IF(BB298="Partially non-viable",IF(OR(BD298="Total splenectomy",BD298="Partial splenectomy +/- splenopexy"),"Non-viable","Review"),IF(BB298="NR",IF(OR(BD298="Total splenectomy",BD298="Partial splenectomy +/- splenopexy"),"NR - removed, check reason","NR"),"Not applicable")))))</f>
        <v/>
      </c>
    </row>
    <row r="299">
      <c r="D299" s="8" t="n"/>
      <c r="E299" s="9">
        <f>IF(B299="","",IF(B299="OWN","Yes","No"))</f>
        <v/>
      </c>
      <c r="AF299" s="9">
        <f>IF(ISNUMBER(Z299),IF(Z299&lt;=2,"&lt;=2 d",IF(Z299&lt;=7,"3-7 d",IF(Z299&lt;=30,"8-30 d","&gt;30 d"))),IF(AE299&lt;&gt;"",AE299,IF(Z299="NR","NR","")))</f>
        <v/>
      </c>
      <c r="AX299" s="9">
        <f>IF(ISNUMBER(AW299),IF(AW299&gt;450,"Yes","No"),IF(AW299="NR","NR",""))</f>
        <v/>
      </c>
      <c r="BJ299" s="9">
        <f>IF(BB299="","",IF(BB299="Non-viable","Non-viable",IF(BB299="Viable","Viable",IF(BB299="Partially non-viable",IF(OR(BD299="Total splenectomy",BD299="Partial splenectomy +/- splenopexy"),"Non-viable","Review"),IF(BB299="NR",IF(OR(BD299="Total splenectomy",BD299="Partial splenectomy +/- splenopexy"),"NR - removed, check reason","NR"),"Not applicable")))))</f>
        <v/>
      </c>
    </row>
    <row r="300">
      <c r="D300" s="8" t="n"/>
      <c r="E300" s="9">
        <f>IF(B300="","",IF(B300="OWN","Yes","No"))</f>
        <v/>
      </c>
      <c r="AF300" s="9">
        <f>IF(ISNUMBER(Z300),IF(Z300&lt;=2,"&lt;=2 d",IF(Z300&lt;=7,"3-7 d",IF(Z300&lt;=30,"8-30 d","&gt;30 d"))),IF(AE300&lt;&gt;"",AE300,IF(Z300="NR","NR","")))</f>
        <v/>
      </c>
      <c r="AX300" s="9">
        <f>IF(ISNUMBER(AW300),IF(AW300&gt;450,"Yes","No"),IF(AW300="NR","NR",""))</f>
        <v/>
      </c>
      <c r="BJ300" s="9">
        <f>IF(BB300="","",IF(BB300="Non-viable","Non-viable",IF(BB300="Viable","Viable",IF(BB300="Partially non-viable",IF(OR(BD300="Total splenectomy",BD300="Partial splenectomy +/- splenopexy"),"Non-viable","Review"),IF(BB300="NR",IF(OR(BD300="Total splenectomy",BD300="Partial splenectomy +/- splenopexy"),"NR - removed, check reason","NR"),"Not applicable")))))</f>
        <v/>
      </c>
    </row>
    <row r="301">
      <c r="D301" s="8" t="n"/>
      <c r="E301" s="9">
        <f>IF(B301="","",IF(B301="OWN","Yes","No"))</f>
        <v/>
      </c>
      <c r="AF301" s="9">
        <f>IF(ISNUMBER(Z301),IF(Z301&lt;=2,"&lt;=2 d",IF(Z301&lt;=7,"3-7 d",IF(Z301&lt;=30,"8-30 d","&gt;30 d"))),IF(AE301&lt;&gt;"",AE301,IF(Z301="NR","NR","")))</f>
        <v/>
      </c>
      <c r="AX301" s="9">
        <f>IF(ISNUMBER(AW301),IF(AW301&gt;450,"Yes","No"),IF(AW301="NR","NR",""))</f>
        <v/>
      </c>
      <c r="BJ301" s="9">
        <f>IF(BB301="","",IF(BB301="Non-viable","Non-viable",IF(BB301="Viable","Viable",IF(BB301="Partially non-viable",IF(OR(BD301="Total splenectomy",BD301="Partial splenectomy +/- splenopexy"),"Non-viable","Review"),IF(BB301="NR",IF(OR(BD301="Total splenectomy",BD301="Partial splenectomy +/- splenopexy"),"NR - removed, check reason","NR"),"Not applicable")))))</f>
        <v/>
      </c>
    </row>
    <row r="302">
      <c r="D302" s="8" t="n"/>
      <c r="E302" s="9">
        <f>IF(B302="","",IF(B302="OWN","Yes","No"))</f>
        <v/>
      </c>
      <c r="AF302" s="9">
        <f>IF(ISNUMBER(Z302),IF(Z302&lt;=2,"&lt;=2 d",IF(Z302&lt;=7,"3-7 d",IF(Z302&lt;=30,"8-30 d","&gt;30 d"))),IF(AE302&lt;&gt;"",AE302,IF(Z302="NR","NR","")))</f>
        <v/>
      </c>
      <c r="AX302" s="9">
        <f>IF(ISNUMBER(AW302),IF(AW302&gt;450,"Yes","No"),IF(AW302="NR","NR",""))</f>
        <v/>
      </c>
      <c r="BJ302" s="9">
        <f>IF(BB302="","",IF(BB302="Non-viable","Non-viable",IF(BB302="Viable","Viable",IF(BB302="Partially non-viable",IF(OR(BD302="Total splenectomy",BD302="Partial splenectomy +/- splenopexy"),"Non-viable","Review"),IF(BB302="NR",IF(OR(BD302="Total splenectomy",BD302="Partial splenectomy +/- splenopexy"),"NR - removed, check reason","NR"),"Not applicable")))))</f>
        <v/>
      </c>
    </row>
    <row r="303">
      <c r="D303" s="8" t="n"/>
      <c r="E303" s="9">
        <f>IF(B303="","",IF(B303="OWN","Yes","No"))</f>
        <v/>
      </c>
      <c r="AF303" s="9">
        <f>IF(ISNUMBER(Z303),IF(Z303&lt;=2,"&lt;=2 d",IF(Z303&lt;=7,"3-7 d",IF(Z303&lt;=30,"8-30 d","&gt;30 d"))),IF(AE303&lt;&gt;"",AE303,IF(Z303="NR","NR","")))</f>
        <v/>
      </c>
      <c r="AX303" s="9">
        <f>IF(ISNUMBER(AW303),IF(AW303&gt;450,"Yes","No"),IF(AW303="NR","NR",""))</f>
        <v/>
      </c>
      <c r="BJ303" s="9">
        <f>IF(BB303="","",IF(BB303="Non-viable","Non-viable",IF(BB303="Viable","Viable",IF(BB303="Partially non-viable",IF(OR(BD303="Total splenectomy",BD303="Partial splenectomy +/- splenopexy"),"Non-viable","Review"),IF(BB303="NR",IF(OR(BD303="Total splenectomy",BD303="Partial splenectomy +/- splenopexy"),"NR - removed, check reason","NR"),"Not applicable")))))</f>
        <v/>
      </c>
    </row>
    <row r="304">
      <c r="D304" s="8" t="n"/>
      <c r="E304" s="9">
        <f>IF(B304="","",IF(B304="OWN","Yes","No"))</f>
        <v/>
      </c>
      <c r="AF304" s="9">
        <f>IF(ISNUMBER(Z304),IF(Z304&lt;=2,"&lt;=2 d",IF(Z304&lt;=7,"3-7 d",IF(Z304&lt;=30,"8-30 d","&gt;30 d"))),IF(AE304&lt;&gt;"",AE304,IF(Z304="NR","NR","")))</f>
        <v/>
      </c>
      <c r="AX304" s="9">
        <f>IF(ISNUMBER(AW304),IF(AW304&gt;450,"Yes","No"),IF(AW304="NR","NR",""))</f>
        <v/>
      </c>
      <c r="BJ304" s="9">
        <f>IF(BB304="","",IF(BB304="Non-viable","Non-viable",IF(BB304="Viable","Viable",IF(BB304="Partially non-viable",IF(OR(BD304="Total splenectomy",BD304="Partial splenectomy +/- splenopexy"),"Non-viable","Review"),IF(BB304="NR",IF(OR(BD304="Total splenectomy",BD304="Partial splenectomy +/- splenopexy"),"NR - removed, check reason","NR"),"Not applicable")))))</f>
        <v/>
      </c>
    </row>
    <row r="305">
      <c r="D305" s="8" t="n"/>
      <c r="E305" s="9">
        <f>IF(B305="","",IF(B305="OWN","Yes","No"))</f>
        <v/>
      </c>
      <c r="AF305" s="9">
        <f>IF(ISNUMBER(Z305),IF(Z305&lt;=2,"&lt;=2 d",IF(Z305&lt;=7,"3-7 d",IF(Z305&lt;=30,"8-30 d","&gt;30 d"))),IF(AE305&lt;&gt;"",AE305,IF(Z305="NR","NR","")))</f>
        <v/>
      </c>
      <c r="AX305" s="9">
        <f>IF(ISNUMBER(AW305),IF(AW305&gt;450,"Yes","No"),IF(AW305="NR","NR",""))</f>
        <v/>
      </c>
      <c r="BJ305" s="9">
        <f>IF(BB305="","",IF(BB305="Non-viable","Non-viable",IF(BB305="Viable","Viable",IF(BB305="Partially non-viable",IF(OR(BD305="Total splenectomy",BD305="Partial splenectomy +/- splenopexy"),"Non-viable","Review"),IF(BB305="NR",IF(OR(BD305="Total splenectomy",BD305="Partial splenectomy +/- splenopexy"),"NR - removed, check reason","NR"),"Not applicable")))))</f>
        <v/>
      </c>
    </row>
    <row r="306">
      <c r="D306" s="8" t="n"/>
      <c r="E306" s="9">
        <f>IF(B306="","",IF(B306="OWN","Yes","No"))</f>
        <v/>
      </c>
      <c r="AF306" s="9">
        <f>IF(ISNUMBER(Z306),IF(Z306&lt;=2,"&lt;=2 d",IF(Z306&lt;=7,"3-7 d",IF(Z306&lt;=30,"8-30 d","&gt;30 d"))),IF(AE306&lt;&gt;"",AE306,IF(Z306="NR","NR","")))</f>
        <v/>
      </c>
      <c r="AX306" s="9">
        <f>IF(ISNUMBER(AW306),IF(AW306&gt;450,"Yes","No"),IF(AW306="NR","NR",""))</f>
        <v/>
      </c>
      <c r="BJ306" s="9">
        <f>IF(BB306="","",IF(BB306="Non-viable","Non-viable",IF(BB306="Viable","Viable",IF(BB306="Partially non-viable",IF(OR(BD306="Total splenectomy",BD306="Partial splenectomy +/- splenopexy"),"Non-viable","Review"),IF(BB306="NR",IF(OR(BD306="Total splenectomy",BD306="Partial splenectomy +/- splenopexy"),"NR - removed, check reason","NR"),"Not applicable")))))</f>
        <v/>
      </c>
    </row>
    <row r="307">
      <c r="D307" s="8" t="n"/>
      <c r="E307" s="9">
        <f>IF(B307="","",IF(B307="OWN","Yes","No"))</f>
        <v/>
      </c>
      <c r="AF307" s="9">
        <f>IF(ISNUMBER(Z307),IF(Z307&lt;=2,"&lt;=2 d",IF(Z307&lt;=7,"3-7 d",IF(Z307&lt;=30,"8-30 d","&gt;30 d"))),IF(AE307&lt;&gt;"",AE307,IF(Z307="NR","NR","")))</f>
        <v/>
      </c>
      <c r="AX307" s="9">
        <f>IF(ISNUMBER(AW307),IF(AW307&gt;450,"Yes","No"),IF(AW307="NR","NR",""))</f>
        <v/>
      </c>
      <c r="BJ307" s="9">
        <f>IF(BB307="","",IF(BB307="Non-viable","Non-viable",IF(BB307="Viable","Viable",IF(BB307="Partially non-viable",IF(OR(BD307="Total splenectomy",BD307="Partial splenectomy +/- splenopexy"),"Non-viable","Review"),IF(BB307="NR",IF(OR(BD307="Total splenectomy",BD307="Partial splenectomy +/- splenopexy"),"NR - removed, check reason","NR"),"Not applicable")))))</f>
        <v/>
      </c>
    </row>
    <row r="308">
      <c r="D308" s="8" t="n"/>
      <c r="E308" s="9">
        <f>IF(B308="","",IF(B308="OWN","Yes","No"))</f>
        <v/>
      </c>
      <c r="AF308" s="9">
        <f>IF(ISNUMBER(Z308),IF(Z308&lt;=2,"&lt;=2 d",IF(Z308&lt;=7,"3-7 d",IF(Z308&lt;=30,"8-30 d","&gt;30 d"))),IF(AE308&lt;&gt;"",AE308,IF(Z308="NR","NR","")))</f>
        <v/>
      </c>
      <c r="AX308" s="9">
        <f>IF(ISNUMBER(AW308),IF(AW308&gt;450,"Yes","No"),IF(AW308="NR","NR",""))</f>
        <v/>
      </c>
      <c r="BJ308" s="9">
        <f>IF(BB308="","",IF(BB308="Non-viable","Non-viable",IF(BB308="Viable","Viable",IF(BB308="Partially non-viable",IF(OR(BD308="Total splenectomy",BD308="Partial splenectomy +/- splenopexy"),"Non-viable","Review"),IF(BB308="NR",IF(OR(BD308="Total splenectomy",BD308="Partial splenectomy +/- splenopexy"),"NR - removed, check reason","NR"),"Not applicable")))))</f>
        <v/>
      </c>
    </row>
    <row r="309">
      <c r="D309" s="8" t="n"/>
      <c r="E309" s="9">
        <f>IF(B309="","",IF(B309="OWN","Yes","No"))</f>
        <v/>
      </c>
      <c r="AF309" s="9">
        <f>IF(ISNUMBER(Z309),IF(Z309&lt;=2,"&lt;=2 d",IF(Z309&lt;=7,"3-7 d",IF(Z309&lt;=30,"8-30 d","&gt;30 d"))),IF(AE309&lt;&gt;"",AE309,IF(Z309="NR","NR","")))</f>
        <v/>
      </c>
      <c r="AX309" s="9">
        <f>IF(ISNUMBER(AW309),IF(AW309&gt;450,"Yes","No"),IF(AW309="NR","NR",""))</f>
        <v/>
      </c>
      <c r="BJ309" s="9">
        <f>IF(BB309="","",IF(BB309="Non-viable","Non-viable",IF(BB309="Viable","Viable",IF(BB309="Partially non-viable",IF(OR(BD309="Total splenectomy",BD309="Partial splenectomy +/- splenopexy"),"Non-viable","Review"),IF(BB309="NR",IF(OR(BD309="Total splenectomy",BD309="Partial splenectomy +/- splenopexy"),"NR - removed, check reason","NR"),"Not applicable")))))</f>
        <v/>
      </c>
    </row>
    <row r="310">
      <c r="D310" s="8" t="n"/>
      <c r="E310" s="9">
        <f>IF(B310="","",IF(B310="OWN","Yes","No"))</f>
        <v/>
      </c>
      <c r="AF310" s="9">
        <f>IF(ISNUMBER(Z310),IF(Z310&lt;=2,"&lt;=2 d",IF(Z310&lt;=7,"3-7 d",IF(Z310&lt;=30,"8-30 d","&gt;30 d"))),IF(AE310&lt;&gt;"",AE310,IF(Z310="NR","NR","")))</f>
        <v/>
      </c>
      <c r="AX310" s="9">
        <f>IF(ISNUMBER(AW310),IF(AW310&gt;450,"Yes","No"),IF(AW310="NR","NR",""))</f>
        <v/>
      </c>
      <c r="BJ310" s="9">
        <f>IF(BB310="","",IF(BB310="Non-viable","Non-viable",IF(BB310="Viable","Viable",IF(BB310="Partially non-viable",IF(OR(BD310="Total splenectomy",BD310="Partial splenectomy +/- splenopexy"),"Non-viable","Review"),IF(BB310="NR",IF(OR(BD310="Total splenectomy",BD310="Partial splenectomy +/- splenopexy"),"NR - removed, check reason","NR"),"Not applicable")))))</f>
        <v/>
      </c>
    </row>
    <row r="311">
      <c r="D311" s="8" t="n"/>
      <c r="E311" s="9">
        <f>IF(B311="","",IF(B311="OWN","Yes","No"))</f>
        <v/>
      </c>
      <c r="AF311" s="9">
        <f>IF(ISNUMBER(Z311),IF(Z311&lt;=2,"&lt;=2 d",IF(Z311&lt;=7,"3-7 d",IF(Z311&lt;=30,"8-30 d","&gt;30 d"))),IF(AE311&lt;&gt;"",AE311,IF(Z311="NR","NR","")))</f>
        <v/>
      </c>
      <c r="AX311" s="9">
        <f>IF(ISNUMBER(AW311),IF(AW311&gt;450,"Yes","No"),IF(AW311="NR","NR",""))</f>
        <v/>
      </c>
      <c r="BJ311" s="9">
        <f>IF(BB311="","",IF(BB311="Non-viable","Non-viable",IF(BB311="Viable","Viable",IF(BB311="Partially non-viable",IF(OR(BD311="Total splenectomy",BD311="Partial splenectomy +/- splenopexy"),"Non-viable","Review"),IF(BB311="NR",IF(OR(BD311="Total splenectomy",BD311="Partial splenectomy +/- splenopexy"),"NR - removed, check reason","NR"),"Not applicable")))))</f>
        <v/>
      </c>
    </row>
    <row r="312">
      <c r="D312" s="8" t="n"/>
      <c r="E312" s="9">
        <f>IF(B312="","",IF(B312="OWN","Yes","No"))</f>
        <v/>
      </c>
      <c r="AF312" s="9">
        <f>IF(ISNUMBER(Z312),IF(Z312&lt;=2,"&lt;=2 d",IF(Z312&lt;=7,"3-7 d",IF(Z312&lt;=30,"8-30 d","&gt;30 d"))),IF(AE312&lt;&gt;"",AE312,IF(Z312="NR","NR","")))</f>
        <v/>
      </c>
      <c r="AX312" s="9">
        <f>IF(ISNUMBER(AW312),IF(AW312&gt;450,"Yes","No"),IF(AW312="NR","NR",""))</f>
        <v/>
      </c>
      <c r="BJ312" s="9">
        <f>IF(BB312="","",IF(BB312="Non-viable","Non-viable",IF(BB312="Viable","Viable",IF(BB312="Partially non-viable",IF(OR(BD312="Total splenectomy",BD312="Partial splenectomy +/- splenopexy"),"Non-viable","Review"),IF(BB312="NR",IF(OR(BD312="Total splenectomy",BD312="Partial splenectomy +/- splenopexy"),"NR - removed, check reason","NR"),"Not applicable")))))</f>
        <v/>
      </c>
    </row>
    <row r="313">
      <c r="D313" s="8" t="n"/>
      <c r="E313" s="9">
        <f>IF(B313="","",IF(B313="OWN","Yes","No"))</f>
        <v/>
      </c>
      <c r="AF313" s="9">
        <f>IF(ISNUMBER(Z313),IF(Z313&lt;=2,"&lt;=2 d",IF(Z313&lt;=7,"3-7 d",IF(Z313&lt;=30,"8-30 d","&gt;30 d"))),IF(AE313&lt;&gt;"",AE313,IF(Z313="NR","NR","")))</f>
        <v/>
      </c>
      <c r="AX313" s="9">
        <f>IF(ISNUMBER(AW313),IF(AW313&gt;450,"Yes","No"),IF(AW313="NR","NR",""))</f>
        <v/>
      </c>
      <c r="BJ313" s="9">
        <f>IF(BB313="","",IF(BB313="Non-viable","Non-viable",IF(BB313="Viable","Viable",IF(BB313="Partially non-viable",IF(OR(BD313="Total splenectomy",BD313="Partial splenectomy +/- splenopexy"),"Non-viable","Review"),IF(BB313="NR",IF(OR(BD313="Total splenectomy",BD313="Partial splenectomy +/- splenopexy"),"NR - removed, check reason","NR"),"Not applicable")))))</f>
        <v/>
      </c>
    </row>
    <row r="314">
      <c r="D314" s="8" t="n"/>
      <c r="E314" s="9">
        <f>IF(B314="","",IF(B314="OWN","Yes","No"))</f>
        <v/>
      </c>
      <c r="AF314" s="9">
        <f>IF(ISNUMBER(Z314),IF(Z314&lt;=2,"&lt;=2 d",IF(Z314&lt;=7,"3-7 d",IF(Z314&lt;=30,"8-30 d","&gt;30 d"))),IF(AE314&lt;&gt;"",AE314,IF(Z314="NR","NR","")))</f>
        <v/>
      </c>
      <c r="AX314" s="9">
        <f>IF(ISNUMBER(AW314),IF(AW314&gt;450,"Yes","No"),IF(AW314="NR","NR",""))</f>
        <v/>
      </c>
      <c r="BJ314" s="9">
        <f>IF(BB314="","",IF(BB314="Non-viable","Non-viable",IF(BB314="Viable","Viable",IF(BB314="Partially non-viable",IF(OR(BD314="Total splenectomy",BD314="Partial splenectomy +/- splenopexy"),"Non-viable","Review"),IF(BB314="NR",IF(OR(BD314="Total splenectomy",BD314="Partial splenectomy +/- splenopexy"),"NR - removed, check reason","NR"),"Not applicable")))))</f>
        <v/>
      </c>
    </row>
    <row r="315">
      <c r="D315" s="8" t="n"/>
      <c r="E315" s="9">
        <f>IF(B315="","",IF(B315="OWN","Yes","No"))</f>
        <v/>
      </c>
      <c r="AF315" s="9">
        <f>IF(ISNUMBER(Z315),IF(Z315&lt;=2,"&lt;=2 d",IF(Z315&lt;=7,"3-7 d",IF(Z315&lt;=30,"8-30 d","&gt;30 d"))),IF(AE315&lt;&gt;"",AE315,IF(Z315="NR","NR","")))</f>
        <v/>
      </c>
      <c r="AX315" s="9">
        <f>IF(ISNUMBER(AW315),IF(AW315&gt;450,"Yes","No"),IF(AW315="NR","NR",""))</f>
        <v/>
      </c>
      <c r="BJ315" s="9">
        <f>IF(BB315="","",IF(BB315="Non-viable","Non-viable",IF(BB315="Viable","Viable",IF(BB315="Partially non-viable",IF(OR(BD315="Total splenectomy",BD315="Partial splenectomy +/- splenopexy"),"Non-viable","Review"),IF(BB315="NR",IF(OR(BD315="Total splenectomy",BD315="Partial splenectomy +/- splenopexy"),"NR - removed, check reason","NR"),"Not applicable")))))</f>
        <v/>
      </c>
    </row>
    <row r="316">
      <c r="D316" s="8" t="n"/>
      <c r="E316" s="9">
        <f>IF(B316="","",IF(B316="OWN","Yes","No"))</f>
        <v/>
      </c>
      <c r="AF316" s="9">
        <f>IF(ISNUMBER(Z316),IF(Z316&lt;=2,"&lt;=2 d",IF(Z316&lt;=7,"3-7 d",IF(Z316&lt;=30,"8-30 d","&gt;30 d"))),IF(AE316&lt;&gt;"",AE316,IF(Z316="NR","NR","")))</f>
        <v/>
      </c>
      <c r="AX316" s="9">
        <f>IF(ISNUMBER(AW316),IF(AW316&gt;450,"Yes","No"),IF(AW316="NR","NR",""))</f>
        <v/>
      </c>
      <c r="BJ316" s="9">
        <f>IF(BB316="","",IF(BB316="Non-viable","Non-viable",IF(BB316="Viable","Viable",IF(BB316="Partially non-viable",IF(OR(BD316="Total splenectomy",BD316="Partial splenectomy +/- splenopexy"),"Non-viable","Review"),IF(BB316="NR",IF(OR(BD316="Total splenectomy",BD316="Partial splenectomy +/- splenopexy"),"NR - removed, check reason","NR"),"Not applicable")))))</f>
        <v/>
      </c>
    </row>
    <row r="317">
      <c r="D317" s="8" t="n"/>
      <c r="E317" s="9">
        <f>IF(B317="","",IF(B317="OWN","Yes","No"))</f>
        <v/>
      </c>
      <c r="AF317" s="9">
        <f>IF(ISNUMBER(Z317),IF(Z317&lt;=2,"&lt;=2 d",IF(Z317&lt;=7,"3-7 d",IF(Z317&lt;=30,"8-30 d","&gt;30 d"))),IF(AE317&lt;&gt;"",AE317,IF(Z317="NR","NR","")))</f>
        <v/>
      </c>
      <c r="AX317" s="9">
        <f>IF(ISNUMBER(AW317),IF(AW317&gt;450,"Yes","No"),IF(AW317="NR","NR",""))</f>
        <v/>
      </c>
      <c r="BJ317" s="9">
        <f>IF(BB317="","",IF(BB317="Non-viable","Non-viable",IF(BB317="Viable","Viable",IF(BB317="Partially non-viable",IF(OR(BD317="Total splenectomy",BD317="Partial splenectomy +/- splenopexy"),"Non-viable","Review"),IF(BB317="NR",IF(OR(BD317="Total splenectomy",BD317="Partial splenectomy +/- splenopexy"),"NR - removed, check reason","NR"),"Not applicable")))))</f>
        <v/>
      </c>
    </row>
    <row r="318">
      <c r="D318" s="8" t="n"/>
      <c r="E318" s="9">
        <f>IF(B318="","",IF(B318="OWN","Yes","No"))</f>
        <v/>
      </c>
      <c r="AF318" s="9">
        <f>IF(ISNUMBER(Z318),IF(Z318&lt;=2,"&lt;=2 d",IF(Z318&lt;=7,"3-7 d",IF(Z318&lt;=30,"8-30 d","&gt;30 d"))),IF(AE318&lt;&gt;"",AE318,IF(Z318="NR","NR","")))</f>
        <v/>
      </c>
      <c r="AX318" s="9">
        <f>IF(ISNUMBER(AW318),IF(AW318&gt;450,"Yes","No"),IF(AW318="NR","NR",""))</f>
        <v/>
      </c>
      <c r="BJ318" s="9">
        <f>IF(BB318="","",IF(BB318="Non-viable","Non-viable",IF(BB318="Viable","Viable",IF(BB318="Partially non-viable",IF(OR(BD318="Total splenectomy",BD318="Partial splenectomy +/- splenopexy"),"Non-viable","Review"),IF(BB318="NR",IF(OR(BD318="Total splenectomy",BD318="Partial splenectomy +/- splenopexy"),"NR - removed, check reason","NR"),"Not applicable")))))</f>
        <v/>
      </c>
    </row>
    <row r="319">
      <c r="D319" s="8" t="n"/>
      <c r="E319" s="9">
        <f>IF(B319="","",IF(B319="OWN","Yes","No"))</f>
        <v/>
      </c>
      <c r="AF319" s="9">
        <f>IF(ISNUMBER(Z319),IF(Z319&lt;=2,"&lt;=2 d",IF(Z319&lt;=7,"3-7 d",IF(Z319&lt;=30,"8-30 d","&gt;30 d"))),IF(AE319&lt;&gt;"",AE319,IF(Z319="NR","NR","")))</f>
        <v/>
      </c>
      <c r="AX319" s="9">
        <f>IF(ISNUMBER(AW319),IF(AW319&gt;450,"Yes","No"),IF(AW319="NR","NR",""))</f>
        <v/>
      </c>
      <c r="BJ319" s="9">
        <f>IF(BB319="","",IF(BB319="Non-viable","Non-viable",IF(BB319="Viable","Viable",IF(BB319="Partially non-viable",IF(OR(BD319="Total splenectomy",BD319="Partial splenectomy +/- splenopexy"),"Non-viable","Review"),IF(BB319="NR",IF(OR(BD319="Total splenectomy",BD319="Partial splenectomy +/- splenopexy"),"NR - removed, check reason","NR"),"Not applicable")))))</f>
        <v/>
      </c>
    </row>
    <row r="320">
      <c r="D320" s="8" t="n"/>
      <c r="E320" s="9">
        <f>IF(B320="","",IF(B320="OWN","Yes","No"))</f>
        <v/>
      </c>
      <c r="AF320" s="9">
        <f>IF(ISNUMBER(Z320),IF(Z320&lt;=2,"&lt;=2 d",IF(Z320&lt;=7,"3-7 d",IF(Z320&lt;=30,"8-30 d","&gt;30 d"))),IF(AE320&lt;&gt;"",AE320,IF(Z320="NR","NR","")))</f>
        <v/>
      </c>
      <c r="AX320" s="9">
        <f>IF(ISNUMBER(AW320),IF(AW320&gt;450,"Yes","No"),IF(AW320="NR","NR",""))</f>
        <v/>
      </c>
      <c r="BJ320" s="9">
        <f>IF(BB320="","",IF(BB320="Non-viable","Non-viable",IF(BB320="Viable","Viable",IF(BB320="Partially non-viable",IF(OR(BD320="Total splenectomy",BD320="Partial splenectomy +/- splenopexy"),"Non-viable","Review"),IF(BB320="NR",IF(OR(BD320="Total splenectomy",BD320="Partial splenectomy +/- splenopexy"),"NR - removed, check reason","NR"),"Not applicable")))))</f>
        <v/>
      </c>
    </row>
    <row r="321">
      <c r="D321" s="8" t="n"/>
      <c r="E321" s="9">
        <f>IF(B321="","",IF(B321="OWN","Yes","No"))</f>
        <v/>
      </c>
      <c r="AF321" s="9">
        <f>IF(ISNUMBER(Z321),IF(Z321&lt;=2,"&lt;=2 d",IF(Z321&lt;=7,"3-7 d",IF(Z321&lt;=30,"8-30 d","&gt;30 d"))),IF(AE321&lt;&gt;"",AE321,IF(Z321="NR","NR","")))</f>
        <v/>
      </c>
      <c r="AX321" s="9">
        <f>IF(ISNUMBER(AW321),IF(AW321&gt;450,"Yes","No"),IF(AW321="NR","NR",""))</f>
        <v/>
      </c>
      <c r="BJ321" s="9">
        <f>IF(BB321="","",IF(BB321="Non-viable","Non-viable",IF(BB321="Viable","Viable",IF(BB321="Partially non-viable",IF(OR(BD321="Total splenectomy",BD321="Partial splenectomy +/- splenopexy"),"Non-viable","Review"),IF(BB321="NR",IF(OR(BD321="Total splenectomy",BD321="Partial splenectomy +/- splenopexy"),"NR - removed, check reason","NR"),"Not applicable")))))</f>
        <v/>
      </c>
    </row>
    <row r="322">
      <c r="D322" s="8" t="n"/>
      <c r="E322" s="9">
        <f>IF(B322="","",IF(B322="OWN","Yes","No"))</f>
        <v/>
      </c>
      <c r="AF322" s="9">
        <f>IF(ISNUMBER(Z322),IF(Z322&lt;=2,"&lt;=2 d",IF(Z322&lt;=7,"3-7 d",IF(Z322&lt;=30,"8-30 d","&gt;30 d"))),IF(AE322&lt;&gt;"",AE322,IF(Z322="NR","NR","")))</f>
        <v/>
      </c>
      <c r="AX322" s="9">
        <f>IF(ISNUMBER(AW322),IF(AW322&gt;450,"Yes","No"),IF(AW322="NR","NR",""))</f>
        <v/>
      </c>
      <c r="BJ322" s="9">
        <f>IF(BB322="","",IF(BB322="Non-viable","Non-viable",IF(BB322="Viable","Viable",IF(BB322="Partially non-viable",IF(OR(BD322="Total splenectomy",BD322="Partial splenectomy +/- splenopexy"),"Non-viable","Review"),IF(BB322="NR",IF(OR(BD322="Total splenectomy",BD322="Partial splenectomy +/- splenopexy"),"NR - removed, check reason","NR"),"Not applicable")))))</f>
        <v/>
      </c>
    </row>
    <row r="323">
      <c r="D323" s="8" t="n"/>
      <c r="E323" s="9">
        <f>IF(B323="","",IF(B323="OWN","Yes","No"))</f>
        <v/>
      </c>
      <c r="AF323" s="9">
        <f>IF(ISNUMBER(Z323),IF(Z323&lt;=2,"&lt;=2 d",IF(Z323&lt;=7,"3-7 d",IF(Z323&lt;=30,"8-30 d","&gt;30 d"))),IF(AE323&lt;&gt;"",AE323,IF(Z323="NR","NR","")))</f>
        <v/>
      </c>
      <c r="AX323" s="9">
        <f>IF(ISNUMBER(AW323),IF(AW323&gt;450,"Yes","No"),IF(AW323="NR","NR",""))</f>
        <v/>
      </c>
      <c r="BJ323" s="9">
        <f>IF(BB323="","",IF(BB323="Non-viable","Non-viable",IF(BB323="Viable","Viable",IF(BB323="Partially non-viable",IF(OR(BD323="Total splenectomy",BD323="Partial splenectomy +/- splenopexy"),"Non-viable","Review"),IF(BB323="NR",IF(OR(BD323="Total splenectomy",BD323="Partial splenectomy +/- splenopexy"),"NR - removed, check reason","NR"),"Not applicable")))))</f>
        <v/>
      </c>
    </row>
    <row r="324">
      <c r="D324" s="8" t="n"/>
      <c r="E324" s="9">
        <f>IF(B324="","",IF(B324="OWN","Yes","No"))</f>
        <v/>
      </c>
      <c r="AF324" s="9">
        <f>IF(ISNUMBER(Z324),IF(Z324&lt;=2,"&lt;=2 d",IF(Z324&lt;=7,"3-7 d",IF(Z324&lt;=30,"8-30 d","&gt;30 d"))),IF(AE324&lt;&gt;"",AE324,IF(Z324="NR","NR","")))</f>
        <v/>
      </c>
      <c r="AX324" s="9">
        <f>IF(ISNUMBER(AW324),IF(AW324&gt;450,"Yes","No"),IF(AW324="NR","NR",""))</f>
        <v/>
      </c>
      <c r="BJ324" s="9">
        <f>IF(BB324="","",IF(BB324="Non-viable","Non-viable",IF(BB324="Viable","Viable",IF(BB324="Partially non-viable",IF(OR(BD324="Total splenectomy",BD324="Partial splenectomy +/- splenopexy"),"Non-viable","Review"),IF(BB324="NR",IF(OR(BD324="Total splenectomy",BD324="Partial splenectomy +/- splenopexy"),"NR - removed, check reason","NR"),"Not applicable")))))</f>
        <v/>
      </c>
    </row>
    <row r="325">
      <c r="D325" s="8" t="n"/>
      <c r="E325" s="9">
        <f>IF(B325="","",IF(B325="OWN","Yes","No"))</f>
        <v/>
      </c>
      <c r="AF325" s="9">
        <f>IF(ISNUMBER(Z325),IF(Z325&lt;=2,"&lt;=2 d",IF(Z325&lt;=7,"3-7 d",IF(Z325&lt;=30,"8-30 d","&gt;30 d"))),IF(AE325&lt;&gt;"",AE325,IF(Z325="NR","NR","")))</f>
        <v/>
      </c>
      <c r="AX325" s="9">
        <f>IF(ISNUMBER(AW325),IF(AW325&gt;450,"Yes","No"),IF(AW325="NR","NR",""))</f>
        <v/>
      </c>
      <c r="BJ325" s="9">
        <f>IF(BB325="","",IF(BB325="Non-viable","Non-viable",IF(BB325="Viable","Viable",IF(BB325="Partially non-viable",IF(OR(BD325="Total splenectomy",BD325="Partial splenectomy +/- splenopexy"),"Non-viable","Review"),IF(BB325="NR",IF(OR(BD325="Total splenectomy",BD325="Partial splenectomy +/- splenopexy"),"NR - removed, check reason","NR"),"Not applicable")))))</f>
        <v/>
      </c>
    </row>
    <row r="326">
      <c r="D326" s="8" t="n"/>
      <c r="E326" s="9">
        <f>IF(B326="","",IF(B326="OWN","Yes","No"))</f>
        <v/>
      </c>
      <c r="AF326" s="9">
        <f>IF(ISNUMBER(Z326),IF(Z326&lt;=2,"&lt;=2 d",IF(Z326&lt;=7,"3-7 d",IF(Z326&lt;=30,"8-30 d","&gt;30 d"))),IF(AE326&lt;&gt;"",AE326,IF(Z326="NR","NR","")))</f>
        <v/>
      </c>
      <c r="AX326" s="9">
        <f>IF(ISNUMBER(AW326),IF(AW326&gt;450,"Yes","No"),IF(AW326="NR","NR",""))</f>
        <v/>
      </c>
      <c r="BJ326" s="9">
        <f>IF(BB326="","",IF(BB326="Non-viable","Non-viable",IF(BB326="Viable","Viable",IF(BB326="Partially non-viable",IF(OR(BD326="Total splenectomy",BD326="Partial splenectomy +/- splenopexy"),"Non-viable","Review"),IF(BB326="NR",IF(OR(BD326="Total splenectomy",BD326="Partial splenectomy +/- splenopexy"),"NR - removed, check reason","NR"),"Not applicable")))))</f>
        <v/>
      </c>
    </row>
    <row r="327">
      <c r="D327" s="8" t="n"/>
      <c r="E327" s="9">
        <f>IF(B327="","",IF(B327="OWN","Yes","No"))</f>
        <v/>
      </c>
      <c r="AF327" s="9">
        <f>IF(ISNUMBER(Z327),IF(Z327&lt;=2,"&lt;=2 d",IF(Z327&lt;=7,"3-7 d",IF(Z327&lt;=30,"8-30 d","&gt;30 d"))),IF(AE327&lt;&gt;"",AE327,IF(Z327="NR","NR","")))</f>
        <v/>
      </c>
      <c r="AX327" s="9">
        <f>IF(ISNUMBER(AW327),IF(AW327&gt;450,"Yes","No"),IF(AW327="NR","NR",""))</f>
        <v/>
      </c>
      <c r="BJ327" s="9">
        <f>IF(BB327="","",IF(BB327="Non-viable","Non-viable",IF(BB327="Viable","Viable",IF(BB327="Partially non-viable",IF(OR(BD327="Total splenectomy",BD327="Partial splenectomy +/- splenopexy"),"Non-viable","Review"),IF(BB327="NR",IF(OR(BD327="Total splenectomy",BD327="Partial splenectomy +/- splenopexy"),"NR - removed, check reason","NR"),"Not applicable")))))</f>
        <v/>
      </c>
    </row>
    <row r="328">
      <c r="D328" s="8" t="n"/>
      <c r="E328" s="9">
        <f>IF(B328="","",IF(B328="OWN","Yes","No"))</f>
        <v/>
      </c>
      <c r="AF328" s="9">
        <f>IF(ISNUMBER(Z328),IF(Z328&lt;=2,"&lt;=2 d",IF(Z328&lt;=7,"3-7 d",IF(Z328&lt;=30,"8-30 d","&gt;30 d"))),IF(AE328&lt;&gt;"",AE328,IF(Z328="NR","NR","")))</f>
        <v/>
      </c>
      <c r="AX328" s="9">
        <f>IF(ISNUMBER(AW328),IF(AW328&gt;450,"Yes","No"),IF(AW328="NR","NR",""))</f>
        <v/>
      </c>
      <c r="BJ328" s="9">
        <f>IF(BB328="","",IF(BB328="Non-viable","Non-viable",IF(BB328="Viable","Viable",IF(BB328="Partially non-viable",IF(OR(BD328="Total splenectomy",BD328="Partial splenectomy +/- splenopexy"),"Non-viable","Review"),IF(BB328="NR",IF(OR(BD328="Total splenectomy",BD328="Partial splenectomy +/- splenopexy"),"NR - removed, check reason","NR"),"Not applicable")))))</f>
        <v/>
      </c>
    </row>
    <row r="329">
      <c r="D329" s="8" t="n"/>
      <c r="E329" s="9">
        <f>IF(B329="","",IF(B329="OWN","Yes","No"))</f>
        <v/>
      </c>
      <c r="AF329" s="9">
        <f>IF(ISNUMBER(Z329),IF(Z329&lt;=2,"&lt;=2 d",IF(Z329&lt;=7,"3-7 d",IF(Z329&lt;=30,"8-30 d","&gt;30 d"))),IF(AE329&lt;&gt;"",AE329,IF(Z329="NR","NR","")))</f>
        <v/>
      </c>
      <c r="AX329" s="9">
        <f>IF(ISNUMBER(AW329),IF(AW329&gt;450,"Yes","No"),IF(AW329="NR","NR",""))</f>
        <v/>
      </c>
      <c r="BJ329" s="9">
        <f>IF(BB329="","",IF(BB329="Non-viable","Non-viable",IF(BB329="Viable","Viable",IF(BB329="Partially non-viable",IF(OR(BD329="Total splenectomy",BD329="Partial splenectomy +/- splenopexy"),"Non-viable","Review"),IF(BB329="NR",IF(OR(BD329="Total splenectomy",BD329="Partial splenectomy +/- splenopexy"),"NR - removed, check reason","NR"),"Not applicable")))))</f>
        <v/>
      </c>
    </row>
    <row r="330">
      <c r="D330" s="8" t="n"/>
      <c r="E330" s="9">
        <f>IF(B330="","",IF(B330="OWN","Yes","No"))</f>
        <v/>
      </c>
      <c r="AF330" s="9">
        <f>IF(ISNUMBER(Z330),IF(Z330&lt;=2,"&lt;=2 d",IF(Z330&lt;=7,"3-7 d",IF(Z330&lt;=30,"8-30 d","&gt;30 d"))),IF(AE330&lt;&gt;"",AE330,IF(Z330="NR","NR","")))</f>
        <v/>
      </c>
      <c r="AX330" s="9">
        <f>IF(ISNUMBER(AW330),IF(AW330&gt;450,"Yes","No"),IF(AW330="NR","NR",""))</f>
        <v/>
      </c>
      <c r="BJ330" s="9">
        <f>IF(BB330="","",IF(BB330="Non-viable","Non-viable",IF(BB330="Viable","Viable",IF(BB330="Partially non-viable",IF(OR(BD330="Total splenectomy",BD330="Partial splenectomy +/- splenopexy"),"Non-viable","Review"),IF(BB330="NR",IF(OR(BD330="Total splenectomy",BD330="Partial splenectomy +/- splenopexy"),"NR - removed, check reason","NR"),"Not applicable")))))</f>
        <v/>
      </c>
    </row>
    <row r="331">
      <c r="D331" s="8" t="n"/>
      <c r="E331" s="9">
        <f>IF(B331="","",IF(B331="OWN","Yes","No"))</f>
        <v/>
      </c>
      <c r="AF331" s="9">
        <f>IF(ISNUMBER(Z331),IF(Z331&lt;=2,"&lt;=2 d",IF(Z331&lt;=7,"3-7 d",IF(Z331&lt;=30,"8-30 d","&gt;30 d"))),IF(AE331&lt;&gt;"",AE331,IF(Z331="NR","NR","")))</f>
        <v/>
      </c>
      <c r="AX331" s="9">
        <f>IF(ISNUMBER(AW331),IF(AW331&gt;450,"Yes","No"),IF(AW331="NR","NR",""))</f>
        <v/>
      </c>
      <c r="BJ331" s="9">
        <f>IF(BB331="","",IF(BB331="Non-viable","Non-viable",IF(BB331="Viable","Viable",IF(BB331="Partially non-viable",IF(OR(BD331="Total splenectomy",BD331="Partial splenectomy +/- splenopexy"),"Non-viable","Review"),IF(BB331="NR",IF(OR(BD331="Total splenectomy",BD331="Partial splenectomy +/- splenopexy"),"NR - removed, check reason","NR"),"Not applicable")))))</f>
        <v/>
      </c>
    </row>
    <row r="332">
      <c r="D332" s="8" t="n"/>
      <c r="E332" s="9">
        <f>IF(B332="","",IF(B332="OWN","Yes","No"))</f>
        <v/>
      </c>
      <c r="AF332" s="9">
        <f>IF(ISNUMBER(Z332),IF(Z332&lt;=2,"&lt;=2 d",IF(Z332&lt;=7,"3-7 d",IF(Z332&lt;=30,"8-30 d","&gt;30 d"))),IF(AE332&lt;&gt;"",AE332,IF(Z332="NR","NR","")))</f>
        <v/>
      </c>
      <c r="AX332" s="9">
        <f>IF(ISNUMBER(AW332),IF(AW332&gt;450,"Yes","No"),IF(AW332="NR","NR",""))</f>
        <v/>
      </c>
      <c r="BJ332" s="9">
        <f>IF(BB332="","",IF(BB332="Non-viable","Non-viable",IF(BB332="Viable","Viable",IF(BB332="Partially non-viable",IF(OR(BD332="Total splenectomy",BD332="Partial splenectomy +/- splenopexy"),"Non-viable","Review"),IF(BB332="NR",IF(OR(BD332="Total splenectomy",BD332="Partial splenectomy +/- splenopexy"),"NR - removed, check reason","NR"),"Not applicable")))))</f>
        <v/>
      </c>
    </row>
    <row r="333">
      <c r="D333" s="8" t="n"/>
      <c r="E333" s="9">
        <f>IF(B333="","",IF(B333="OWN","Yes","No"))</f>
        <v/>
      </c>
      <c r="AF333" s="9">
        <f>IF(ISNUMBER(Z333),IF(Z333&lt;=2,"&lt;=2 d",IF(Z333&lt;=7,"3-7 d",IF(Z333&lt;=30,"8-30 d","&gt;30 d"))),IF(AE333&lt;&gt;"",AE333,IF(Z333="NR","NR","")))</f>
        <v/>
      </c>
      <c r="AX333" s="9">
        <f>IF(ISNUMBER(AW333),IF(AW333&gt;450,"Yes","No"),IF(AW333="NR","NR",""))</f>
        <v/>
      </c>
      <c r="BJ333" s="9">
        <f>IF(BB333="","",IF(BB333="Non-viable","Non-viable",IF(BB333="Viable","Viable",IF(BB333="Partially non-viable",IF(OR(BD333="Total splenectomy",BD333="Partial splenectomy +/- splenopexy"),"Non-viable","Review"),IF(BB333="NR",IF(OR(BD333="Total splenectomy",BD333="Partial splenectomy +/- splenopexy"),"NR - removed, check reason","NR"),"Not applicable")))))</f>
        <v/>
      </c>
    </row>
    <row r="334">
      <c r="D334" s="8" t="n"/>
      <c r="E334" s="9">
        <f>IF(B334="","",IF(B334="OWN","Yes","No"))</f>
        <v/>
      </c>
      <c r="AF334" s="9">
        <f>IF(ISNUMBER(Z334),IF(Z334&lt;=2,"&lt;=2 d",IF(Z334&lt;=7,"3-7 d",IF(Z334&lt;=30,"8-30 d","&gt;30 d"))),IF(AE334&lt;&gt;"",AE334,IF(Z334="NR","NR","")))</f>
        <v/>
      </c>
      <c r="AX334" s="9">
        <f>IF(ISNUMBER(AW334),IF(AW334&gt;450,"Yes","No"),IF(AW334="NR","NR",""))</f>
        <v/>
      </c>
      <c r="BJ334" s="9">
        <f>IF(BB334="","",IF(BB334="Non-viable","Non-viable",IF(BB334="Viable","Viable",IF(BB334="Partially non-viable",IF(OR(BD334="Total splenectomy",BD334="Partial splenectomy +/- splenopexy"),"Non-viable","Review"),IF(BB334="NR",IF(OR(BD334="Total splenectomy",BD334="Partial splenectomy +/- splenopexy"),"NR - removed, check reason","NR"),"Not applicable")))))</f>
        <v/>
      </c>
    </row>
    <row r="335">
      <c r="D335" s="8" t="n"/>
      <c r="E335" s="9">
        <f>IF(B335="","",IF(B335="OWN","Yes","No"))</f>
        <v/>
      </c>
      <c r="AF335" s="9">
        <f>IF(ISNUMBER(Z335),IF(Z335&lt;=2,"&lt;=2 d",IF(Z335&lt;=7,"3-7 d",IF(Z335&lt;=30,"8-30 d","&gt;30 d"))),IF(AE335&lt;&gt;"",AE335,IF(Z335="NR","NR","")))</f>
        <v/>
      </c>
      <c r="AX335" s="9">
        <f>IF(ISNUMBER(AW335),IF(AW335&gt;450,"Yes","No"),IF(AW335="NR","NR",""))</f>
        <v/>
      </c>
      <c r="BJ335" s="9">
        <f>IF(BB335="","",IF(BB335="Non-viable","Non-viable",IF(BB335="Viable","Viable",IF(BB335="Partially non-viable",IF(OR(BD335="Total splenectomy",BD335="Partial splenectomy +/- splenopexy"),"Non-viable","Review"),IF(BB335="NR",IF(OR(BD335="Total splenectomy",BD335="Partial splenectomy +/- splenopexy"),"NR - removed, check reason","NR"),"Not applicable")))))</f>
        <v/>
      </c>
    </row>
    <row r="336">
      <c r="D336" s="8" t="n"/>
      <c r="E336" s="9">
        <f>IF(B336="","",IF(B336="OWN","Yes","No"))</f>
        <v/>
      </c>
      <c r="AF336" s="9">
        <f>IF(ISNUMBER(Z336),IF(Z336&lt;=2,"&lt;=2 d",IF(Z336&lt;=7,"3-7 d",IF(Z336&lt;=30,"8-30 d","&gt;30 d"))),IF(AE336&lt;&gt;"",AE336,IF(Z336="NR","NR","")))</f>
        <v/>
      </c>
      <c r="AX336" s="9">
        <f>IF(ISNUMBER(AW336),IF(AW336&gt;450,"Yes","No"),IF(AW336="NR","NR",""))</f>
        <v/>
      </c>
      <c r="BJ336" s="9">
        <f>IF(BB336="","",IF(BB336="Non-viable","Non-viable",IF(BB336="Viable","Viable",IF(BB336="Partially non-viable",IF(OR(BD336="Total splenectomy",BD336="Partial splenectomy +/- splenopexy"),"Non-viable","Review"),IF(BB336="NR",IF(OR(BD336="Total splenectomy",BD336="Partial splenectomy +/- splenopexy"),"NR - removed, check reason","NR"),"Not applicable")))))</f>
        <v/>
      </c>
    </row>
    <row r="337">
      <c r="D337" s="8" t="n"/>
      <c r="E337" s="9">
        <f>IF(B337="","",IF(B337="OWN","Yes","No"))</f>
        <v/>
      </c>
      <c r="AF337" s="9">
        <f>IF(ISNUMBER(Z337),IF(Z337&lt;=2,"&lt;=2 d",IF(Z337&lt;=7,"3-7 d",IF(Z337&lt;=30,"8-30 d","&gt;30 d"))),IF(AE337&lt;&gt;"",AE337,IF(Z337="NR","NR","")))</f>
        <v/>
      </c>
      <c r="AX337" s="9">
        <f>IF(ISNUMBER(AW337),IF(AW337&gt;450,"Yes","No"),IF(AW337="NR","NR",""))</f>
        <v/>
      </c>
      <c r="BJ337" s="9">
        <f>IF(BB337="","",IF(BB337="Non-viable","Non-viable",IF(BB337="Viable","Viable",IF(BB337="Partially non-viable",IF(OR(BD337="Total splenectomy",BD337="Partial splenectomy +/- splenopexy"),"Non-viable","Review"),IF(BB337="NR",IF(OR(BD337="Total splenectomy",BD337="Partial splenectomy +/- splenopexy"),"NR - removed, check reason","NR"),"Not applicable")))))</f>
        <v/>
      </c>
    </row>
    <row r="338">
      <c r="D338" s="8" t="n"/>
      <c r="E338" s="9">
        <f>IF(B338="","",IF(B338="OWN","Yes","No"))</f>
        <v/>
      </c>
      <c r="AF338" s="9">
        <f>IF(ISNUMBER(Z338),IF(Z338&lt;=2,"&lt;=2 d",IF(Z338&lt;=7,"3-7 d",IF(Z338&lt;=30,"8-30 d","&gt;30 d"))),IF(AE338&lt;&gt;"",AE338,IF(Z338="NR","NR","")))</f>
        <v/>
      </c>
      <c r="AX338" s="9">
        <f>IF(ISNUMBER(AW338),IF(AW338&gt;450,"Yes","No"),IF(AW338="NR","NR",""))</f>
        <v/>
      </c>
      <c r="BJ338" s="9">
        <f>IF(BB338="","",IF(BB338="Non-viable","Non-viable",IF(BB338="Viable","Viable",IF(BB338="Partially non-viable",IF(OR(BD338="Total splenectomy",BD338="Partial splenectomy +/- splenopexy"),"Non-viable","Review"),IF(BB338="NR",IF(OR(BD338="Total splenectomy",BD338="Partial splenectomy +/- splenopexy"),"NR - removed, check reason","NR"),"Not applicable")))))</f>
        <v/>
      </c>
    </row>
    <row r="339">
      <c r="D339" s="8" t="n"/>
      <c r="E339" s="9">
        <f>IF(B339="","",IF(B339="OWN","Yes","No"))</f>
        <v/>
      </c>
      <c r="AF339" s="9">
        <f>IF(ISNUMBER(Z339),IF(Z339&lt;=2,"&lt;=2 d",IF(Z339&lt;=7,"3-7 d",IF(Z339&lt;=30,"8-30 d","&gt;30 d"))),IF(AE339&lt;&gt;"",AE339,IF(Z339="NR","NR","")))</f>
        <v/>
      </c>
      <c r="AX339" s="9">
        <f>IF(ISNUMBER(AW339),IF(AW339&gt;450,"Yes","No"),IF(AW339="NR","NR",""))</f>
        <v/>
      </c>
      <c r="BJ339" s="9">
        <f>IF(BB339="","",IF(BB339="Non-viable","Non-viable",IF(BB339="Viable","Viable",IF(BB339="Partially non-viable",IF(OR(BD339="Total splenectomy",BD339="Partial splenectomy +/- splenopexy"),"Non-viable","Review"),IF(BB339="NR",IF(OR(BD339="Total splenectomy",BD339="Partial splenectomy +/- splenopexy"),"NR - removed, check reason","NR"),"Not applicable")))))</f>
        <v/>
      </c>
    </row>
    <row r="340">
      <c r="D340" s="8" t="n"/>
      <c r="E340" s="9">
        <f>IF(B340="","",IF(B340="OWN","Yes","No"))</f>
        <v/>
      </c>
      <c r="AF340" s="9">
        <f>IF(ISNUMBER(Z340),IF(Z340&lt;=2,"&lt;=2 d",IF(Z340&lt;=7,"3-7 d",IF(Z340&lt;=30,"8-30 d","&gt;30 d"))),IF(AE340&lt;&gt;"",AE340,IF(Z340="NR","NR","")))</f>
        <v/>
      </c>
      <c r="AX340" s="9">
        <f>IF(ISNUMBER(AW340),IF(AW340&gt;450,"Yes","No"),IF(AW340="NR","NR",""))</f>
        <v/>
      </c>
      <c r="BJ340" s="9">
        <f>IF(BB340="","",IF(BB340="Non-viable","Non-viable",IF(BB340="Viable","Viable",IF(BB340="Partially non-viable",IF(OR(BD340="Total splenectomy",BD340="Partial splenectomy +/- splenopexy"),"Non-viable","Review"),IF(BB340="NR",IF(OR(BD340="Total splenectomy",BD340="Partial splenectomy +/- splenopexy"),"NR - removed, check reason","NR"),"Not applicable")))))</f>
        <v/>
      </c>
    </row>
    <row r="341">
      <c r="D341" s="8" t="n"/>
      <c r="E341" s="9">
        <f>IF(B341="","",IF(B341="OWN","Yes","No"))</f>
        <v/>
      </c>
      <c r="AF341" s="9">
        <f>IF(ISNUMBER(Z341),IF(Z341&lt;=2,"&lt;=2 d",IF(Z341&lt;=7,"3-7 d",IF(Z341&lt;=30,"8-30 d","&gt;30 d"))),IF(AE341&lt;&gt;"",AE341,IF(Z341="NR","NR","")))</f>
        <v/>
      </c>
      <c r="AX341" s="9">
        <f>IF(ISNUMBER(AW341),IF(AW341&gt;450,"Yes","No"),IF(AW341="NR","NR",""))</f>
        <v/>
      </c>
      <c r="BJ341" s="9">
        <f>IF(BB341="","",IF(BB341="Non-viable","Non-viable",IF(BB341="Viable","Viable",IF(BB341="Partially non-viable",IF(OR(BD341="Total splenectomy",BD341="Partial splenectomy +/- splenopexy"),"Non-viable","Review"),IF(BB341="NR",IF(OR(BD341="Total splenectomy",BD341="Partial splenectomy +/- splenopexy"),"NR - removed, check reason","NR"),"Not applicable")))))</f>
        <v/>
      </c>
    </row>
    <row r="342">
      <c r="D342" s="8" t="n"/>
      <c r="E342" s="9">
        <f>IF(B342="","",IF(B342="OWN","Yes","No"))</f>
        <v/>
      </c>
      <c r="AF342" s="9">
        <f>IF(ISNUMBER(Z342),IF(Z342&lt;=2,"&lt;=2 d",IF(Z342&lt;=7,"3-7 d",IF(Z342&lt;=30,"8-30 d","&gt;30 d"))),IF(AE342&lt;&gt;"",AE342,IF(Z342="NR","NR","")))</f>
        <v/>
      </c>
      <c r="AX342" s="9">
        <f>IF(ISNUMBER(AW342),IF(AW342&gt;450,"Yes","No"),IF(AW342="NR","NR",""))</f>
        <v/>
      </c>
      <c r="BJ342" s="9">
        <f>IF(BB342="","",IF(BB342="Non-viable","Non-viable",IF(BB342="Viable","Viable",IF(BB342="Partially non-viable",IF(OR(BD342="Total splenectomy",BD342="Partial splenectomy +/- splenopexy"),"Non-viable","Review"),IF(BB342="NR",IF(OR(BD342="Total splenectomy",BD342="Partial splenectomy +/- splenopexy"),"NR - removed, check reason","NR"),"Not applicable")))))</f>
        <v/>
      </c>
    </row>
    <row r="343">
      <c r="D343" s="8" t="n"/>
      <c r="E343" s="9">
        <f>IF(B343="","",IF(B343="OWN","Yes","No"))</f>
        <v/>
      </c>
      <c r="AF343" s="9">
        <f>IF(ISNUMBER(Z343),IF(Z343&lt;=2,"&lt;=2 d",IF(Z343&lt;=7,"3-7 d",IF(Z343&lt;=30,"8-30 d","&gt;30 d"))),IF(AE343&lt;&gt;"",AE343,IF(Z343="NR","NR","")))</f>
        <v/>
      </c>
      <c r="AX343" s="9">
        <f>IF(ISNUMBER(AW343),IF(AW343&gt;450,"Yes","No"),IF(AW343="NR","NR",""))</f>
        <v/>
      </c>
      <c r="BJ343" s="9">
        <f>IF(BB343="","",IF(BB343="Non-viable","Non-viable",IF(BB343="Viable","Viable",IF(BB343="Partially non-viable",IF(OR(BD343="Total splenectomy",BD343="Partial splenectomy +/- splenopexy"),"Non-viable","Review"),IF(BB343="NR",IF(OR(BD343="Total splenectomy",BD343="Partial splenectomy +/- splenopexy"),"NR - removed, check reason","NR"),"Not applicable")))))</f>
        <v/>
      </c>
    </row>
    <row r="344">
      <c r="D344" s="8" t="n"/>
      <c r="E344" s="9">
        <f>IF(B344="","",IF(B344="OWN","Yes","No"))</f>
        <v/>
      </c>
      <c r="AF344" s="9">
        <f>IF(ISNUMBER(Z344),IF(Z344&lt;=2,"&lt;=2 d",IF(Z344&lt;=7,"3-7 d",IF(Z344&lt;=30,"8-30 d","&gt;30 d"))),IF(AE344&lt;&gt;"",AE344,IF(Z344="NR","NR","")))</f>
        <v/>
      </c>
      <c r="AX344" s="9">
        <f>IF(ISNUMBER(AW344),IF(AW344&gt;450,"Yes","No"),IF(AW344="NR","NR",""))</f>
        <v/>
      </c>
      <c r="BJ344" s="9">
        <f>IF(BB344="","",IF(BB344="Non-viable","Non-viable",IF(BB344="Viable","Viable",IF(BB344="Partially non-viable",IF(OR(BD344="Total splenectomy",BD344="Partial splenectomy +/- splenopexy"),"Non-viable","Review"),IF(BB344="NR",IF(OR(BD344="Total splenectomy",BD344="Partial splenectomy +/- splenopexy"),"NR - removed, check reason","NR"),"Not applicable")))))</f>
        <v/>
      </c>
    </row>
    <row r="345">
      <c r="D345" s="8" t="n"/>
      <c r="E345" s="9">
        <f>IF(B345="","",IF(B345="OWN","Yes","No"))</f>
        <v/>
      </c>
      <c r="AF345" s="9">
        <f>IF(ISNUMBER(Z345),IF(Z345&lt;=2,"&lt;=2 d",IF(Z345&lt;=7,"3-7 d",IF(Z345&lt;=30,"8-30 d","&gt;30 d"))),IF(AE345&lt;&gt;"",AE345,IF(Z345="NR","NR","")))</f>
        <v/>
      </c>
      <c r="AX345" s="9">
        <f>IF(ISNUMBER(AW345),IF(AW345&gt;450,"Yes","No"),IF(AW345="NR","NR",""))</f>
        <v/>
      </c>
      <c r="BJ345" s="9">
        <f>IF(BB345="","",IF(BB345="Non-viable","Non-viable",IF(BB345="Viable","Viable",IF(BB345="Partially non-viable",IF(OR(BD345="Total splenectomy",BD345="Partial splenectomy +/- splenopexy"),"Non-viable","Review"),IF(BB345="NR",IF(OR(BD345="Total splenectomy",BD345="Partial splenectomy +/- splenopexy"),"NR - removed, check reason","NR"),"Not applicable")))))</f>
        <v/>
      </c>
    </row>
    <row r="346">
      <c r="D346" s="8" t="n"/>
      <c r="E346" s="9">
        <f>IF(B346="","",IF(B346="OWN","Yes","No"))</f>
        <v/>
      </c>
      <c r="AF346" s="9">
        <f>IF(ISNUMBER(Z346),IF(Z346&lt;=2,"&lt;=2 d",IF(Z346&lt;=7,"3-7 d",IF(Z346&lt;=30,"8-30 d","&gt;30 d"))),IF(AE346&lt;&gt;"",AE346,IF(Z346="NR","NR","")))</f>
        <v/>
      </c>
      <c r="AX346" s="9">
        <f>IF(ISNUMBER(AW346),IF(AW346&gt;450,"Yes","No"),IF(AW346="NR","NR",""))</f>
        <v/>
      </c>
      <c r="BJ346" s="9">
        <f>IF(BB346="","",IF(BB346="Non-viable","Non-viable",IF(BB346="Viable","Viable",IF(BB346="Partially non-viable",IF(OR(BD346="Total splenectomy",BD346="Partial splenectomy +/- splenopexy"),"Non-viable","Review"),IF(BB346="NR",IF(OR(BD346="Total splenectomy",BD346="Partial splenectomy +/- splenopexy"),"NR - removed, check reason","NR"),"Not applicable")))))</f>
        <v/>
      </c>
    </row>
    <row r="347">
      <c r="D347" s="8" t="n"/>
      <c r="E347" s="9">
        <f>IF(B347="","",IF(B347="OWN","Yes","No"))</f>
        <v/>
      </c>
      <c r="AF347" s="9">
        <f>IF(ISNUMBER(Z347),IF(Z347&lt;=2,"&lt;=2 d",IF(Z347&lt;=7,"3-7 d",IF(Z347&lt;=30,"8-30 d","&gt;30 d"))),IF(AE347&lt;&gt;"",AE347,IF(Z347="NR","NR","")))</f>
        <v/>
      </c>
      <c r="AX347" s="9">
        <f>IF(ISNUMBER(AW347),IF(AW347&gt;450,"Yes","No"),IF(AW347="NR","NR",""))</f>
        <v/>
      </c>
      <c r="BJ347" s="9">
        <f>IF(BB347="","",IF(BB347="Non-viable","Non-viable",IF(BB347="Viable","Viable",IF(BB347="Partially non-viable",IF(OR(BD347="Total splenectomy",BD347="Partial splenectomy +/- splenopexy"),"Non-viable","Review"),IF(BB347="NR",IF(OR(BD347="Total splenectomy",BD347="Partial splenectomy +/- splenopexy"),"NR - removed, check reason","NR"),"Not applicable")))))</f>
        <v/>
      </c>
    </row>
    <row r="348">
      <c r="D348" s="8" t="n"/>
      <c r="E348" s="9">
        <f>IF(B348="","",IF(B348="OWN","Yes","No"))</f>
        <v/>
      </c>
      <c r="AF348" s="9">
        <f>IF(ISNUMBER(Z348),IF(Z348&lt;=2,"&lt;=2 d",IF(Z348&lt;=7,"3-7 d",IF(Z348&lt;=30,"8-30 d","&gt;30 d"))),IF(AE348&lt;&gt;"",AE348,IF(Z348="NR","NR","")))</f>
        <v/>
      </c>
      <c r="AX348" s="9">
        <f>IF(ISNUMBER(AW348),IF(AW348&gt;450,"Yes","No"),IF(AW348="NR","NR",""))</f>
        <v/>
      </c>
      <c r="BJ348" s="9">
        <f>IF(BB348="","",IF(BB348="Non-viable","Non-viable",IF(BB348="Viable","Viable",IF(BB348="Partially non-viable",IF(OR(BD348="Total splenectomy",BD348="Partial splenectomy +/- splenopexy"),"Non-viable","Review"),IF(BB348="NR",IF(OR(BD348="Total splenectomy",BD348="Partial splenectomy +/- splenopexy"),"NR - removed, check reason","NR"),"Not applicable")))))</f>
        <v/>
      </c>
    </row>
    <row r="349">
      <c r="D349" s="8" t="n"/>
      <c r="E349" s="9">
        <f>IF(B349="","",IF(B349="OWN","Yes","No"))</f>
        <v/>
      </c>
      <c r="AF349" s="9">
        <f>IF(ISNUMBER(Z349),IF(Z349&lt;=2,"&lt;=2 d",IF(Z349&lt;=7,"3-7 d",IF(Z349&lt;=30,"8-30 d","&gt;30 d"))),IF(AE349&lt;&gt;"",AE349,IF(Z349="NR","NR","")))</f>
        <v/>
      </c>
      <c r="AX349" s="9">
        <f>IF(ISNUMBER(AW349),IF(AW349&gt;450,"Yes","No"),IF(AW349="NR","NR",""))</f>
        <v/>
      </c>
      <c r="BJ349" s="9">
        <f>IF(BB349="","",IF(BB349="Non-viable","Non-viable",IF(BB349="Viable","Viable",IF(BB349="Partially non-viable",IF(OR(BD349="Total splenectomy",BD349="Partial splenectomy +/- splenopexy"),"Non-viable","Review"),IF(BB349="NR",IF(OR(BD349="Total splenectomy",BD349="Partial splenectomy +/- splenopexy"),"NR - removed, check reason","NR"),"Not applicable")))))</f>
        <v/>
      </c>
    </row>
    <row r="350">
      <c r="D350" s="8" t="n"/>
      <c r="E350" s="9">
        <f>IF(B350="","",IF(B350="OWN","Yes","No"))</f>
        <v/>
      </c>
      <c r="AF350" s="9">
        <f>IF(ISNUMBER(Z350),IF(Z350&lt;=2,"&lt;=2 d",IF(Z350&lt;=7,"3-7 d",IF(Z350&lt;=30,"8-30 d","&gt;30 d"))),IF(AE350&lt;&gt;"",AE350,IF(Z350="NR","NR","")))</f>
        <v/>
      </c>
      <c r="AX350" s="9">
        <f>IF(ISNUMBER(AW350),IF(AW350&gt;450,"Yes","No"),IF(AW350="NR","NR",""))</f>
        <v/>
      </c>
      <c r="BJ350" s="9">
        <f>IF(BB350="","",IF(BB350="Non-viable","Non-viable",IF(BB350="Viable","Viable",IF(BB350="Partially non-viable",IF(OR(BD350="Total splenectomy",BD350="Partial splenectomy +/- splenopexy"),"Non-viable","Review"),IF(BB350="NR",IF(OR(BD350="Total splenectomy",BD350="Partial splenectomy +/- splenopexy"),"NR - removed, check reason","NR"),"Not applicable")))))</f>
        <v/>
      </c>
    </row>
    <row r="351">
      <c r="D351" s="8" t="n"/>
      <c r="E351" s="9">
        <f>IF(B351="","",IF(B351="OWN","Yes","No"))</f>
        <v/>
      </c>
      <c r="AF351" s="9">
        <f>IF(ISNUMBER(Z351),IF(Z351&lt;=2,"&lt;=2 d",IF(Z351&lt;=7,"3-7 d",IF(Z351&lt;=30,"8-30 d","&gt;30 d"))),IF(AE351&lt;&gt;"",AE351,IF(Z351="NR","NR","")))</f>
        <v/>
      </c>
      <c r="AX351" s="9">
        <f>IF(ISNUMBER(AW351),IF(AW351&gt;450,"Yes","No"),IF(AW351="NR","NR",""))</f>
        <v/>
      </c>
      <c r="BJ351" s="9">
        <f>IF(BB351="","",IF(BB351="Non-viable","Non-viable",IF(BB351="Viable","Viable",IF(BB351="Partially non-viable",IF(OR(BD351="Total splenectomy",BD351="Partial splenectomy +/- splenopexy"),"Non-viable","Review"),IF(BB351="NR",IF(OR(BD351="Total splenectomy",BD351="Partial splenectomy +/- splenopexy"),"NR - removed, check reason","NR"),"Not applicable")))))</f>
        <v/>
      </c>
    </row>
    <row r="352">
      <c r="D352" s="8" t="n"/>
      <c r="E352" s="9">
        <f>IF(B352="","",IF(B352="OWN","Yes","No"))</f>
        <v/>
      </c>
      <c r="AF352" s="9">
        <f>IF(ISNUMBER(Z352),IF(Z352&lt;=2,"&lt;=2 d",IF(Z352&lt;=7,"3-7 d",IF(Z352&lt;=30,"8-30 d","&gt;30 d"))),IF(AE352&lt;&gt;"",AE352,IF(Z352="NR","NR","")))</f>
        <v/>
      </c>
      <c r="AX352" s="9">
        <f>IF(ISNUMBER(AW352),IF(AW352&gt;450,"Yes","No"),IF(AW352="NR","NR",""))</f>
        <v/>
      </c>
      <c r="BJ352" s="9">
        <f>IF(BB352="","",IF(BB352="Non-viable","Non-viable",IF(BB352="Viable","Viable",IF(BB352="Partially non-viable",IF(OR(BD352="Total splenectomy",BD352="Partial splenectomy +/- splenopexy"),"Non-viable","Review"),IF(BB352="NR",IF(OR(BD352="Total splenectomy",BD352="Partial splenectomy +/- splenopexy"),"NR - removed, check reason","NR"),"Not applicable")))))</f>
        <v/>
      </c>
    </row>
    <row r="353">
      <c r="D353" s="8" t="n"/>
      <c r="E353" s="9">
        <f>IF(B353="","",IF(B353="OWN","Yes","No"))</f>
        <v/>
      </c>
      <c r="AF353" s="9">
        <f>IF(ISNUMBER(Z353),IF(Z353&lt;=2,"&lt;=2 d",IF(Z353&lt;=7,"3-7 d",IF(Z353&lt;=30,"8-30 d","&gt;30 d"))),IF(AE353&lt;&gt;"",AE353,IF(Z353="NR","NR","")))</f>
        <v/>
      </c>
      <c r="AX353" s="9">
        <f>IF(ISNUMBER(AW353),IF(AW353&gt;450,"Yes","No"),IF(AW353="NR","NR",""))</f>
        <v/>
      </c>
      <c r="BJ353" s="9">
        <f>IF(BB353="","",IF(BB353="Non-viable","Non-viable",IF(BB353="Viable","Viable",IF(BB353="Partially non-viable",IF(OR(BD353="Total splenectomy",BD353="Partial splenectomy +/- splenopexy"),"Non-viable","Review"),IF(BB353="NR",IF(OR(BD353="Total splenectomy",BD353="Partial splenectomy +/- splenopexy"),"NR - removed, check reason","NR"),"Not applicable")))))</f>
        <v/>
      </c>
    </row>
    <row r="354">
      <c r="D354" s="8" t="n"/>
      <c r="E354" s="9">
        <f>IF(B354="","",IF(B354="OWN","Yes","No"))</f>
        <v/>
      </c>
      <c r="AF354" s="9">
        <f>IF(ISNUMBER(Z354),IF(Z354&lt;=2,"&lt;=2 d",IF(Z354&lt;=7,"3-7 d",IF(Z354&lt;=30,"8-30 d","&gt;30 d"))),IF(AE354&lt;&gt;"",AE354,IF(Z354="NR","NR","")))</f>
        <v/>
      </c>
      <c r="AX354" s="9">
        <f>IF(ISNUMBER(AW354),IF(AW354&gt;450,"Yes","No"),IF(AW354="NR","NR",""))</f>
        <v/>
      </c>
      <c r="BJ354" s="9">
        <f>IF(BB354="","",IF(BB354="Non-viable","Non-viable",IF(BB354="Viable","Viable",IF(BB354="Partially non-viable",IF(OR(BD354="Total splenectomy",BD354="Partial splenectomy +/- splenopexy"),"Non-viable","Review"),IF(BB354="NR",IF(OR(BD354="Total splenectomy",BD354="Partial splenectomy +/- splenopexy"),"NR - removed, check reason","NR"),"Not applicable")))))</f>
        <v/>
      </c>
    </row>
    <row r="355">
      <c r="D355" s="8" t="n"/>
      <c r="E355" s="9">
        <f>IF(B355="","",IF(B355="OWN","Yes","No"))</f>
        <v/>
      </c>
      <c r="AF355" s="9">
        <f>IF(ISNUMBER(Z355),IF(Z355&lt;=2,"&lt;=2 d",IF(Z355&lt;=7,"3-7 d",IF(Z355&lt;=30,"8-30 d","&gt;30 d"))),IF(AE355&lt;&gt;"",AE355,IF(Z355="NR","NR","")))</f>
        <v/>
      </c>
      <c r="AX355" s="9">
        <f>IF(ISNUMBER(AW355),IF(AW355&gt;450,"Yes","No"),IF(AW355="NR","NR",""))</f>
        <v/>
      </c>
      <c r="BJ355" s="9">
        <f>IF(BB355="","",IF(BB355="Non-viable","Non-viable",IF(BB355="Viable","Viable",IF(BB355="Partially non-viable",IF(OR(BD355="Total splenectomy",BD355="Partial splenectomy +/- splenopexy"),"Non-viable","Review"),IF(BB355="NR",IF(OR(BD355="Total splenectomy",BD355="Partial splenectomy +/- splenopexy"),"NR - removed, check reason","NR"),"Not applicable")))))</f>
        <v/>
      </c>
    </row>
    <row r="356">
      <c r="D356" s="8" t="n"/>
      <c r="E356" s="9">
        <f>IF(B356="","",IF(B356="OWN","Yes","No"))</f>
        <v/>
      </c>
      <c r="AF356" s="9">
        <f>IF(ISNUMBER(Z356),IF(Z356&lt;=2,"&lt;=2 d",IF(Z356&lt;=7,"3-7 d",IF(Z356&lt;=30,"8-30 d","&gt;30 d"))),IF(AE356&lt;&gt;"",AE356,IF(Z356="NR","NR","")))</f>
        <v/>
      </c>
      <c r="AX356" s="9">
        <f>IF(ISNUMBER(AW356),IF(AW356&gt;450,"Yes","No"),IF(AW356="NR","NR",""))</f>
        <v/>
      </c>
      <c r="BJ356" s="9">
        <f>IF(BB356="","",IF(BB356="Non-viable","Non-viable",IF(BB356="Viable","Viable",IF(BB356="Partially non-viable",IF(OR(BD356="Total splenectomy",BD356="Partial splenectomy +/- splenopexy"),"Non-viable","Review"),IF(BB356="NR",IF(OR(BD356="Total splenectomy",BD356="Partial splenectomy +/- splenopexy"),"NR - removed, check reason","NR"),"Not applicable")))))</f>
        <v/>
      </c>
    </row>
    <row r="357">
      <c r="D357" s="8" t="n"/>
      <c r="E357" s="9">
        <f>IF(B357="","",IF(B357="OWN","Yes","No"))</f>
        <v/>
      </c>
      <c r="AF357" s="9">
        <f>IF(ISNUMBER(Z357),IF(Z357&lt;=2,"&lt;=2 d",IF(Z357&lt;=7,"3-7 d",IF(Z357&lt;=30,"8-30 d","&gt;30 d"))),IF(AE357&lt;&gt;"",AE357,IF(Z357="NR","NR","")))</f>
        <v/>
      </c>
      <c r="AX357" s="9">
        <f>IF(ISNUMBER(AW357),IF(AW357&gt;450,"Yes","No"),IF(AW357="NR","NR",""))</f>
        <v/>
      </c>
      <c r="BJ357" s="9">
        <f>IF(BB357="","",IF(BB357="Non-viable","Non-viable",IF(BB357="Viable","Viable",IF(BB357="Partially non-viable",IF(OR(BD357="Total splenectomy",BD357="Partial splenectomy +/- splenopexy"),"Non-viable","Review"),IF(BB357="NR",IF(OR(BD357="Total splenectomy",BD357="Partial splenectomy +/- splenopexy"),"NR - removed, check reason","NR"),"Not applicable")))))</f>
        <v/>
      </c>
    </row>
    <row r="358">
      <c r="D358" s="8" t="n"/>
      <c r="E358" s="9">
        <f>IF(B358="","",IF(B358="OWN","Yes","No"))</f>
        <v/>
      </c>
      <c r="AF358" s="9">
        <f>IF(ISNUMBER(Z358),IF(Z358&lt;=2,"&lt;=2 d",IF(Z358&lt;=7,"3-7 d",IF(Z358&lt;=30,"8-30 d","&gt;30 d"))),IF(AE358&lt;&gt;"",AE358,IF(Z358="NR","NR","")))</f>
        <v/>
      </c>
      <c r="AX358" s="9">
        <f>IF(ISNUMBER(AW358),IF(AW358&gt;450,"Yes","No"),IF(AW358="NR","NR",""))</f>
        <v/>
      </c>
      <c r="BJ358" s="9">
        <f>IF(BB358="","",IF(BB358="Non-viable","Non-viable",IF(BB358="Viable","Viable",IF(BB358="Partially non-viable",IF(OR(BD358="Total splenectomy",BD358="Partial splenectomy +/- splenopexy"),"Non-viable","Review"),IF(BB358="NR",IF(OR(BD358="Total splenectomy",BD358="Partial splenectomy +/- splenopexy"),"NR - removed, check reason","NR"),"Not applicable")))))</f>
        <v/>
      </c>
    </row>
    <row r="359">
      <c r="D359" s="8" t="n"/>
      <c r="E359" s="9">
        <f>IF(B359="","",IF(B359="OWN","Yes","No"))</f>
        <v/>
      </c>
      <c r="AF359" s="9">
        <f>IF(ISNUMBER(Z359),IF(Z359&lt;=2,"&lt;=2 d",IF(Z359&lt;=7,"3-7 d",IF(Z359&lt;=30,"8-30 d","&gt;30 d"))),IF(AE359&lt;&gt;"",AE359,IF(Z359="NR","NR","")))</f>
        <v/>
      </c>
      <c r="AX359" s="9">
        <f>IF(ISNUMBER(AW359),IF(AW359&gt;450,"Yes","No"),IF(AW359="NR","NR",""))</f>
        <v/>
      </c>
      <c r="BJ359" s="9">
        <f>IF(BB359="","",IF(BB359="Non-viable","Non-viable",IF(BB359="Viable","Viable",IF(BB359="Partially non-viable",IF(OR(BD359="Total splenectomy",BD359="Partial splenectomy +/- splenopexy"),"Non-viable","Review"),IF(BB359="NR",IF(OR(BD359="Total splenectomy",BD359="Partial splenectomy +/- splenopexy"),"NR - removed, check reason","NR"),"Not applicable")))))</f>
        <v/>
      </c>
    </row>
    <row r="360">
      <c r="D360" s="8" t="n"/>
      <c r="E360" s="9">
        <f>IF(B360="","",IF(B360="OWN","Yes","No"))</f>
        <v/>
      </c>
      <c r="AF360" s="9">
        <f>IF(ISNUMBER(Z360),IF(Z360&lt;=2,"&lt;=2 d",IF(Z360&lt;=7,"3-7 d",IF(Z360&lt;=30,"8-30 d","&gt;30 d"))),IF(AE360&lt;&gt;"",AE360,IF(Z360="NR","NR","")))</f>
        <v/>
      </c>
      <c r="AX360" s="9">
        <f>IF(ISNUMBER(AW360),IF(AW360&gt;450,"Yes","No"),IF(AW360="NR","NR",""))</f>
        <v/>
      </c>
      <c r="BJ360" s="9">
        <f>IF(BB360="","",IF(BB360="Non-viable","Non-viable",IF(BB360="Viable","Viable",IF(BB360="Partially non-viable",IF(OR(BD360="Total splenectomy",BD360="Partial splenectomy +/- splenopexy"),"Non-viable","Review"),IF(BB360="NR",IF(OR(BD360="Total splenectomy",BD360="Partial splenectomy +/- splenopexy"),"NR - removed, check reason","NR"),"Not applicable")))))</f>
        <v/>
      </c>
    </row>
    <row r="361">
      <c r="D361" s="8" t="n"/>
      <c r="E361" s="9">
        <f>IF(B361="","",IF(B361="OWN","Yes","No"))</f>
        <v/>
      </c>
      <c r="AF361" s="9">
        <f>IF(ISNUMBER(Z361),IF(Z361&lt;=2,"&lt;=2 d",IF(Z361&lt;=7,"3-7 d",IF(Z361&lt;=30,"8-30 d","&gt;30 d"))),IF(AE361&lt;&gt;"",AE361,IF(Z361="NR","NR","")))</f>
        <v/>
      </c>
      <c r="AX361" s="9">
        <f>IF(ISNUMBER(AW361),IF(AW361&gt;450,"Yes","No"),IF(AW361="NR","NR",""))</f>
        <v/>
      </c>
      <c r="BJ361" s="9">
        <f>IF(BB361="","",IF(BB361="Non-viable","Non-viable",IF(BB361="Viable","Viable",IF(BB361="Partially non-viable",IF(OR(BD361="Total splenectomy",BD361="Partial splenectomy +/- splenopexy"),"Non-viable","Review"),IF(BB361="NR",IF(OR(BD361="Total splenectomy",BD361="Partial splenectomy +/- splenopexy"),"NR - removed, check reason","NR"),"Not applicable")))))</f>
        <v/>
      </c>
    </row>
    <row r="362">
      <c r="D362" s="8" t="n"/>
      <c r="E362" s="9">
        <f>IF(B362="","",IF(B362="OWN","Yes","No"))</f>
        <v/>
      </c>
      <c r="AF362" s="9">
        <f>IF(ISNUMBER(Z362),IF(Z362&lt;=2,"&lt;=2 d",IF(Z362&lt;=7,"3-7 d",IF(Z362&lt;=30,"8-30 d","&gt;30 d"))),IF(AE362&lt;&gt;"",AE362,IF(Z362="NR","NR","")))</f>
        <v/>
      </c>
      <c r="AX362" s="9">
        <f>IF(ISNUMBER(AW362),IF(AW362&gt;450,"Yes","No"),IF(AW362="NR","NR",""))</f>
        <v/>
      </c>
      <c r="BJ362" s="9">
        <f>IF(BB362="","",IF(BB362="Non-viable","Non-viable",IF(BB362="Viable","Viable",IF(BB362="Partially non-viable",IF(OR(BD362="Total splenectomy",BD362="Partial splenectomy +/- splenopexy"),"Non-viable","Review"),IF(BB362="NR",IF(OR(BD362="Total splenectomy",BD362="Partial splenectomy +/- splenopexy"),"NR - removed, check reason","NR"),"Not applicable")))))</f>
        <v/>
      </c>
    </row>
    <row r="363">
      <c r="D363" s="8" t="n"/>
      <c r="E363" s="9">
        <f>IF(B363="","",IF(B363="OWN","Yes","No"))</f>
        <v/>
      </c>
      <c r="AF363" s="9">
        <f>IF(ISNUMBER(Z363),IF(Z363&lt;=2,"&lt;=2 d",IF(Z363&lt;=7,"3-7 d",IF(Z363&lt;=30,"8-30 d","&gt;30 d"))),IF(AE363&lt;&gt;"",AE363,IF(Z363="NR","NR","")))</f>
        <v/>
      </c>
      <c r="AX363" s="9">
        <f>IF(ISNUMBER(AW363),IF(AW363&gt;450,"Yes","No"),IF(AW363="NR","NR",""))</f>
        <v/>
      </c>
      <c r="BJ363" s="9">
        <f>IF(BB363="","",IF(BB363="Non-viable","Non-viable",IF(BB363="Viable","Viable",IF(BB363="Partially non-viable",IF(OR(BD363="Total splenectomy",BD363="Partial splenectomy +/- splenopexy"),"Non-viable","Review"),IF(BB363="NR",IF(OR(BD363="Total splenectomy",BD363="Partial splenectomy +/- splenopexy"),"NR - removed, check reason","NR"),"Not applicable")))))</f>
        <v/>
      </c>
    </row>
    <row r="364">
      <c r="D364" s="8" t="n"/>
      <c r="E364" s="9">
        <f>IF(B364="","",IF(B364="OWN","Yes","No"))</f>
        <v/>
      </c>
      <c r="AF364" s="9">
        <f>IF(ISNUMBER(Z364),IF(Z364&lt;=2,"&lt;=2 d",IF(Z364&lt;=7,"3-7 d",IF(Z364&lt;=30,"8-30 d","&gt;30 d"))),IF(AE364&lt;&gt;"",AE364,IF(Z364="NR","NR","")))</f>
        <v/>
      </c>
      <c r="AX364" s="9">
        <f>IF(ISNUMBER(AW364),IF(AW364&gt;450,"Yes","No"),IF(AW364="NR","NR",""))</f>
        <v/>
      </c>
      <c r="BJ364" s="9">
        <f>IF(BB364="","",IF(BB364="Non-viable","Non-viable",IF(BB364="Viable","Viable",IF(BB364="Partially non-viable",IF(OR(BD364="Total splenectomy",BD364="Partial splenectomy +/- splenopexy"),"Non-viable","Review"),IF(BB364="NR",IF(OR(BD364="Total splenectomy",BD364="Partial splenectomy +/- splenopexy"),"NR - removed, check reason","NR"),"Not applicable")))))</f>
        <v/>
      </c>
    </row>
    <row r="365">
      <c r="D365" s="8" t="n"/>
      <c r="E365" s="9">
        <f>IF(B365="","",IF(B365="OWN","Yes","No"))</f>
        <v/>
      </c>
      <c r="AF365" s="9">
        <f>IF(ISNUMBER(Z365),IF(Z365&lt;=2,"&lt;=2 d",IF(Z365&lt;=7,"3-7 d",IF(Z365&lt;=30,"8-30 d","&gt;30 d"))),IF(AE365&lt;&gt;"",AE365,IF(Z365="NR","NR","")))</f>
        <v/>
      </c>
      <c r="AX365" s="9">
        <f>IF(ISNUMBER(AW365),IF(AW365&gt;450,"Yes","No"),IF(AW365="NR","NR",""))</f>
        <v/>
      </c>
      <c r="BJ365" s="9">
        <f>IF(BB365="","",IF(BB365="Non-viable","Non-viable",IF(BB365="Viable","Viable",IF(BB365="Partially non-viable",IF(OR(BD365="Total splenectomy",BD365="Partial splenectomy +/- splenopexy"),"Non-viable","Review"),IF(BB365="NR",IF(OR(BD365="Total splenectomy",BD365="Partial splenectomy +/- splenopexy"),"NR - removed, check reason","NR"),"Not applicable")))))</f>
        <v/>
      </c>
    </row>
    <row r="366">
      <c r="D366" s="8" t="n"/>
      <c r="E366" s="9">
        <f>IF(B366="","",IF(B366="OWN","Yes","No"))</f>
        <v/>
      </c>
      <c r="AF366" s="9">
        <f>IF(ISNUMBER(Z366),IF(Z366&lt;=2,"&lt;=2 d",IF(Z366&lt;=7,"3-7 d",IF(Z366&lt;=30,"8-30 d","&gt;30 d"))),IF(AE366&lt;&gt;"",AE366,IF(Z366="NR","NR","")))</f>
        <v/>
      </c>
      <c r="AX366" s="9">
        <f>IF(ISNUMBER(AW366),IF(AW366&gt;450,"Yes","No"),IF(AW366="NR","NR",""))</f>
        <v/>
      </c>
      <c r="BJ366" s="9">
        <f>IF(BB366="","",IF(BB366="Non-viable","Non-viable",IF(BB366="Viable","Viable",IF(BB366="Partially non-viable",IF(OR(BD366="Total splenectomy",BD366="Partial splenectomy +/- splenopexy"),"Non-viable","Review"),IF(BB366="NR",IF(OR(BD366="Total splenectomy",BD366="Partial splenectomy +/- splenopexy"),"NR - removed, check reason","NR"),"Not applicable")))))</f>
        <v/>
      </c>
    </row>
    <row r="367">
      <c r="D367" s="8" t="n"/>
      <c r="E367" s="9">
        <f>IF(B367="","",IF(B367="OWN","Yes","No"))</f>
        <v/>
      </c>
      <c r="AF367" s="9">
        <f>IF(ISNUMBER(Z367),IF(Z367&lt;=2,"&lt;=2 d",IF(Z367&lt;=7,"3-7 d",IF(Z367&lt;=30,"8-30 d","&gt;30 d"))),IF(AE367&lt;&gt;"",AE367,IF(Z367="NR","NR","")))</f>
        <v/>
      </c>
      <c r="AX367" s="9">
        <f>IF(ISNUMBER(AW367),IF(AW367&gt;450,"Yes","No"),IF(AW367="NR","NR",""))</f>
        <v/>
      </c>
      <c r="BJ367" s="9">
        <f>IF(BB367="","",IF(BB367="Non-viable","Non-viable",IF(BB367="Viable","Viable",IF(BB367="Partially non-viable",IF(OR(BD367="Total splenectomy",BD367="Partial splenectomy +/- splenopexy"),"Non-viable","Review"),IF(BB367="NR",IF(OR(BD367="Total splenectomy",BD367="Partial splenectomy +/- splenopexy"),"NR - removed, check reason","NR"),"Not applicable")))))</f>
        <v/>
      </c>
    </row>
    <row r="368">
      <c r="D368" s="8" t="n"/>
      <c r="E368" s="9">
        <f>IF(B368="","",IF(B368="OWN","Yes","No"))</f>
        <v/>
      </c>
      <c r="AF368" s="9">
        <f>IF(ISNUMBER(Z368),IF(Z368&lt;=2,"&lt;=2 d",IF(Z368&lt;=7,"3-7 d",IF(Z368&lt;=30,"8-30 d","&gt;30 d"))),IF(AE368&lt;&gt;"",AE368,IF(Z368="NR","NR","")))</f>
        <v/>
      </c>
      <c r="AX368" s="9">
        <f>IF(ISNUMBER(AW368),IF(AW368&gt;450,"Yes","No"),IF(AW368="NR","NR",""))</f>
        <v/>
      </c>
      <c r="BJ368" s="9">
        <f>IF(BB368="","",IF(BB368="Non-viable","Non-viable",IF(BB368="Viable","Viable",IF(BB368="Partially non-viable",IF(OR(BD368="Total splenectomy",BD368="Partial splenectomy +/- splenopexy"),"Non-viable","Review"),IF(BB368="NR",IF(OR(BD368="Total splenectomy",BD368="Partial splenectomy +/- splenopexy"),"NR - removed, check reason","NR"),"Not applicable")))))</f>
        <v/>
      </c>
    </row>
    <row r="369">
      <c r="D369" s="8" t="n"/>
      <c r="E369" s="9">
        <f>IF(B369="","",IF(B369="OWN","Yes","No"))</f>
        <v/>
      </c>
      <c r="AF369" s="9">
        <f>IF(ISNUMBER(Z369),IF(Z369&lt;=2,"&lt;=2 d",IF(Z369&lt;=7,"3-7 d",IF(Z369&lt;=30,"8-30 d","&gt;30 d"))),IF(AE369&lt;&gt;"",AE369,IF(Z369="NR","NR","")))</f>
        <v/>
      </c>
      <c r="AX369" s="9">
        <f>IF(ISNUMBER(AW369),IF(AW369&gt;450,"Yes","No"),IF(AW369="NR","NR",""))</f>
        <v/>
      </c>
      <c r="BJ369" s="9">
        <f>IF(BB369="","",IF(BB369="Non-viable","Non-viable",IF(BB369="Viable","Viable",IF(BB369="Partially non-viable",IF(OR(BD369="Total splenectomy",BD369="Partial splenectomy +/- splenopexy"),"Non-viable","Review"),IF(BB369="NR",IF(OR(BD369="Total splenectomy",BD369="Partial splenectomy +/- splenopexy"),"NR - removed, check reason","NR"),"Not applicable")))))</f>
        <v/>
      </c>
    </row>
    <row r="370">
      <c r="D370" s="8" t="n"/>
      <c r="E370" s="9">
        <f>IF(B370="","",IF(B370="OWN","Yes","No"))</f>
        <v/>
      </c>
      <c r="AF370" s="9">
        <f>IF(ISNUMBER(Z370),IF(Z370&lt;=2,"&lt;=2 d",IF(Z370&lt;=7,"3-7 d",IF(Z370&lt;=30,"8-30 d","&gt;30 d"))),IF(AE370&lt;&gt;"",AE370,IF(Z370="NR","NR","")))</f>
        <v/>
      </c>
      <c r="AX370" s="9">
        <f>IF(ISNUMBER(AW370),IF(AW370&gt;450,"Yes","No"),IF(AW370="NR","NR",""))</f>
        <v/>
      </c>
      <c r="BJ370" s="9">
        <f>IF(BB370="","",IF(BB370="Non-viable","Non-viable",IF(BB370="Viable","Viable",IF(BB370="Partially non-viable",IF(OR(BD370="Total splenectomy",BD370="Partial splenectomy +/- splenopexy"),"Non-viable","Review"),IF(BB370="NR",IF(OR(BD370="Total splenectomy",BD370="Partial splenectomy +/- splenopexy"),"NR - removed, check reason","NR"),"Not applicable")))))</f>
        <v/>
      </c>
    </row>
    <row r="371">
      <c r="D371" s="8" t="n"/>
      <c r="E371" s="9">
        <f>IF(B371="","",IF(B371="OWN","Yes","No"))</f>
        <v/>
      </c>
      <c r="AF371" s="9">
        <f>IF(ISNUMBER(Z371),IF(Z371&lt;=2,"&lt;=2 d",IF(Z371&lt;=7,"3-7 d",IF(Z371&lt;=30,"8-30 d","&gt;30 d"))),IF(AE371&lt;&gt;"",AE371,IF(Z371="NR","NR","")))</f>
        <v/>
      </c>
      <c r="AX371" s="9">
        <f>IF(ISNUMBER(AW371),IF(AW371&gt;450,"Yes","No"),IF(AW371="NR","NR",""))</f>
        <v/>
      </c>
      <c r="BJ371" s="9">
        <f>IF(BB371="","",IF(BB371="Non-viable","Non-viable",IF(BB371="Viable","Viable",IF(BB371="Partially non-viable",IF(OR(BD371="Total splenectomy",BD371="Partial splenectomy +/- splenopexy"),"Non-viable","Review"),IF(BB371="NR",IF(OR(BD371="Total splenectomy",BD371="Partial splenectomy +/- splenopexy"),"NR - removed, check reason","NR"),"Not applicable")))))</f>
        <v/>
      </c>
    </row>
    <row r="372">
      <c r="D372" s="8" t="n"/>
      <c r="E372" s="9">
        <f>IF(B372="","",IF(B372="OWN","Yes","No"))</f>
        <v/>
      </c>
      <c r="AF372" s="9">
        <f>IF(ISNUMBER(Z372),IF(Z372&lt;=2,"&lt;=2 d",IF(Z372&lt;=7,"3-7 d",IF(Z372&lt;=30,"8-30 d","&gt;30 d"))),IF(AE372&lt;&gt;"",AE372,IF(Z372="NR","NR","")))</f>
        <v/>
      </c>
      <c r="AX372" s="9">
        <f>IF(ISNUMBER(AW372),IF(AW372&gt;450,"Yes","No"),IF(AW372="NR","NR",""))</f>
        <v/>
      </c>
      <c r="BJ372" s="9">
        <f>IF(BB372="","",IF(BB372="Non-viable","Non-viable",IF(BB372="Viable","Viable",IF(BB372="Partially non-viable",IF(OR(BD372="Total splenectomy",BD372="Partial splenectomy +/- splenopexy"),"Non-viable","Review"),IF(BB372="NR",IF(OR(BD372="Total splenectomy",BD372="Partial splenectomy +/- splenopexy"),"NR - removed, check reason","NR"),"Not applicable")))))</f>
        <v/>
      </c>
    </row>
    <row r="373">
      <c r="D373" s="8" t="n"/>
      <c r="E373" s="9">
        <f>IF(B373="","",IF(B373="OWN","Yes","No"))</f>
        <v/>
      </c>
      <c r="AF373" s="9">
        <f>IF(ISNUMBER(Z373),IF(Z373&lt;=2,"&lt;=2 d",IF(Z373&lt;=7,"3-7 d",IF(Z373&lt;=30,"8-30 d","&gt;30 d"))),IF(AE373&lt;&gt;"",AE373,IF(Z373="NR","NR","")))</f>
        <v/>
      </c>
      <c r="AX373" s="9">
        <f>IF(ISNUMBER(AW373),IF(AW373&gt;450,"Yes","No"),IF(AW373="NR","NR",""))</f>
        <v/>
      </c>
      <c r="BJ373" s="9">
        <f>IF(BB373="","",IF(BB373="Non-viable","Non-viable",IF(BB373="Viable","Viable",IF(BB373="Partially non-viable",IF(OR(BD373="Total splenectomy",BD373="Partial splenectomy +/- splenopexy"),"Non-viable","Review"),IF(BB373="NR",IF(OR(BD373="Total splenectomy",BD373="Partial splenectomy +/- splenopexy"),"NR - removed, check reason","NR"),"Not applicable")))))</f>
        <v/>
      </c>
    </row>
    <row r="374">
      <c r="D374" s="8" t="n"/>
      <c r="E374" s="9">
        <f>IF(B374="","",IF(B374="OWN","Yes","No"))</f>
        <v/>
      </c>
      <c r="AF374" s="9">
        <f>IF(ISNUMBER(Z374),IF(Z374&lt;=2,"&lt;=2 d",IF(Z374&lt;=7,"3-7 d",IF(Z374&lt;=30,"8-30 d","&gt;30 d"))),IF(AE374&lt;&gt;"",AE374,IF(Z374="NR","NR","")))</f>
        <v/>
      </c>
      <c r="AX374" s="9">
        <f>IF(ISNUMBER(AW374),IF(AW374&gt;450,"Yes","No"),IF(AW374="NR","NR",""))</f>
        <v/>
      </c>
      <c r="BJ374" s="9">
        <f>IF(BB374="","",IF(BB374="Non-viable","Non-viable",IF(BB374="Viable","Viable",IF(BB374="Partially non-viable",IF(OR(BD374="Total splenectomy",BD374="Partial splenectomy +/- splenopexy"),"Non-viable","Review"),IF(BB374="NR",IF(OR(BD374="Total splenectomy",BD374="Partial splenectomy +/- splenopexy"),"NR - removed, check reason","NR"),"Not applicable")))))</f>
        <v/>
      </c>
    </row>
    <row r="375">
      <c r="D375" s="8" t="n"/>
      <c r="E375" s="9">
        <f>IF(B375="","",IF(B375="OWN","Yes","No"))</f>
        <v/>
      </c>
      <c r="AF375" s="9">
        <f>IF(ISNUMBER(Z375),IF(Z375&lt;=2,"&lt;=2 d",IF(Z375&lt;=7,"3-7 d",IF(Z375&lt;=30,"8-30 d","&gt;30 d"))),IF(AE375&lt;&gt;"",AE375,IF(Z375="NR","NR","")))</f>
        <v/>
      </c>
      <c r="AX375" s="9">
        <f>IF(ISNUMBER(AW375),IF(AW375&gt;450,"Yes","No"),IF(AW375="NR","NR",""))</f>
        <v/>
      </c>
      <c r="BJ375" s="9">
        <f>IF(BB375="","",IF(BB375="Non-viable","Non-viable",IF(BB375="Viable","Viable",IF(BB375="Partially non-viable",IF(OR(BD375="Total splenectomy",BD375="Partial splenectomy +/- splenopexy"),"Non-viable","Review"),IF(BB375="NR",IF(OR(BD375="Total splenectomy",BD375="Partial splenectomy +/- splenopexy"),"NR - removed, check reason","NR"),"Not applicable")))))</f>
        <v/>
      </c>
    </row>
    <row r="376">
      <c r="D376" s="8" t="n"/>
      <c r="E376" s="9">
        <f>IF(B376="","",IF(B376="OWN","Yes","No"))</f>
        <v/>
      </c>
      <c r="AF376" s="9">
        <f>IF(ISNUMBER(Z376),IF(Z376&lt;=2,"&lt;=2 d",IF(Z376&lt;=7,"3-7 d",IF(Z376&lt;=30,"8-30 d","&gt;30 d"))),IF(AE376&lt;&gt;"",AE376,IF(Z376="NR","NR","")))</f>
        <v/>
      </c>
      <c r="AX376" s="9">
        <f>IF(ISNUMBER(AW376),IF(AW376&gt;450,"Yes","No"),IF(AW376="NR","NR",""))</f>
        <v/>
      </c>
      <c r="BJ376" s="9">
        <f>IF(BB376="","",IF(BB376="Non-viable","Non-viable",IF(BB376="Viable","Viable",IF(BB376="Partially non-viable",IF(OR(BD376="Total splenectomy",BD376="Partial splenectomy +/- splenopexy"),"Non-viable","Review"),IF(BB376="NR",IF(OR(BD376="Total splenectomy",BD376="Partial splenectomy +/- splenopexy"),"NR - removed, check reason","NR"),"Not applicable")))))</f>
        <v/>
      </c>
    </row>
    <row r="377">
      <c r="D377" s="8" t="n"/>
      <c r="E377" s="9">
        <f>IF(B377="","",IF(B377="OWN","Yes","No"))</f>
        <v/>
      </c>
      <c r="AF377" s="9">
        <f>IF(ISNUMBER(Z377),IF(Z377&lt;=2,"&lt;=2 d",IF(Z377&lt;=7,"3-7 d",IF(Z377&lt;=30,"8-30 d","&gt;30 d"))),IF(AE377&lt;&gt;"",AE377,IF(Z377="NR","NR","")))</f>
        <v/>
      </c>
      <c r="AX377" s="9">
        <f>IF(ISNUMBER(AW377),IF(AW377&gt;450,"Yes","No"),IF(AW377="NR","NR",""))</f>
        <v/>
      </c>
      <c r="BJ377" s="9">
        <f>IF(BB377="","",IF(BB377="Non-viable","Non-viable",IF(BB377="Viable","Viable",IF(BB377="Partially non-viable",IF(OR(BD377="Total splenectomy",BD377="Partial splenectomy +/- splenopexy"),"Non-viable","Review"),IF(BB377="NR",IF(OR(BD377="Total splenectomy",BD377="Partial splenectomy +/- splenopexy"),"NR - removed, check reason","NR"),"Not applicable")))))</f>
        <v/>
      </c>
    </row>
    <row r="378">
      <c r="D378" s="8" t="n"/>
      <c r="E378" s="9">
        <f>IF(B378="","",IF(B378="OWN","Yes","No"))</f>
        <v/>
      </c>
      <c r="AF378" s="9">
        <f>IF(ISNUMBER(Z378),IF(Z378&lt;=2,"&lt;=2 d",IF(Z378&lt;=7,"3-7 d",IF(Z378&lt;=30,"8-30 d","&gt;30 d"))),IF(AE378&lt;&gt;"",AE378,IF(Z378="NR","NR","")))</f>
        <v/>
      </c>
      <c r="AX378" s="9">
        <f>IF(ISNUMBER(AW378),IF(AW378&gt;450,"Yes","No"),IF(AW378="NR","NR",""))</f>
        <v/>
      </c>
      <c r="BJ378" s="9">
        <f>IF(BB378="","",IF(BB378="Non-viable","Non-viable",IF(BB378="Viable","Viable",IF(BB378="Partially non-viable",IF(OR(BD378="Total splenectomy",BD378="Partial splenectomy +/- splenopexy"),"Non-viable","Review"),IF(BB378="NR",IF(OR(BD378="Total splenectomy",BD378="Partial splenectomy +/- splenopexy"),"NR - removed, check reason","NR"),"Not applicable")))))</f>
        <v/>
      </c>
    </row>
    <row r="379">
      <c r="D379" s="8" t="n"/>
      <c r="E379" s="9">
        <f>IF(B379="","",IF(B379="OWN","Yes","No"))</f>
        <v/>
      </c>
      <c r="AF379" s="9">
        <f>IF(ISNUMBER(Z379),IF(Z379&lt;=2,"&lt;=2 d",IF(Z379&lt;=7,"3-7 d",IF(Z379&lt;=30,"8-30 d","&gt;30 d"))),IF(AE379&lt;&gt;"",AE379,IF(Z379="NR","NR","")))</f>
        <v/>
      </c>
      <c r="AX379" s="9">
        <f>IF(ISNUMBER(AW379),IF(AW379&gt;450,"Yes","No"),IF(AW379="NR","NR",""))</f>
        <v/>
      </c>
      <c r="BJ379" s="9">
        <f>IF(BB379="","",IF(BB379="Non-viable","Non-viable",IF(BB379="Viable","Viable",IF(BB379="Partially non-viable",IF(OR(BD379="Total splenectomy",BD379="Partial splenectomy +/- splenopexy"),"Non-viable","Review"),IF(BB379="NR",IF(OR(BD379="Total splenectomy",BD379="Partial splenectomy +/- splenopexy"),"NR - removed, check reason","NR"),"Not applicable")))))</f>
        <v/>
      </c>
    </row>
    <row r="380">
      <c r="D380" s="8" t="n"/>
      <c r="E380" s="9">
        <f>IF(B380="","",IF(B380="OWN","Yes","No"))</f>
        <v/>
      </c>
      <c r="AF380" s="9">
        <f>IF(ISNUMBER(Z380),IF(Z380&lt;=2,"&lt;=2 d",IF(Z380&lt;=7,"3-7 d",IF(Z380&lt;=30,"8-30 d","&gt;30 d"))),IF(AE380&lt;&gt;"",AE380,IF(Z380="NR","NR","")))</f>
        <v/>
      </c>
      <c r="AX380" s="9">
        <f>IF(ISNUMBER(AW380),IF(AW380&gt;450,"Yes","No"),IF(AW380="NR","NR",""))</f>
        <v/>
      </c>
      <c r="BJ380" s="9">
        <f>IF(BB380="","",IF(BB380="Non-viable","Non-viable",IF(BB380="Viable","Viable",IF(BB380="Partially non-viable",IF(OR(BD380="Total splenectomy",BD380="Partial splenectomy +/- splenopexy"),"Non-viable","Review"),IF(BB380="NR",IF(OR(BD380="Total splenectomy",BD380="Partial splenectomy +/- splenopexy"),"NR - removed, check reason","NR"),"Not applicable")))))</f>
        <v/>
      </c>
    </row>
    <row r="381">
      <c r="D381" s="8" t="n"/>
      <c r="E381" s="9">
        <f>IF(B381="","",IF(B381="OWN","Yes","No"))</f>
        <v/>
      </c>
      <c r="AF381" s="9">
        <f>IF(ISNUMBER(Z381),IF(Z381&lt;=2,"&lt;=2 d",IF(Z381&lt;=7,"3-7 d",IF(Z381&lt;=30,"8-30 d","&gt;30 d"))),IF(AE381&lt;&gt;"",AE381,IF(Z381="NR","NR","")))</f>
        <v/>
      </c>
      <c r="AX381" s="9">
        <f>IF(ISNUMBER(AW381),IF(AW381&gt;450,"Yes","No"),IF(AW381="NR","NR",""))</f>
        <v/>
      </c>
      <c r="BJ381" s="9">
        <f>IF(BB381="","",IF(BB381="Non-viable","Non-viable",IF(BB381="Viable","Viable",IF(BB381="Partially non-viable",IF(OR(BD381="Total splenectomy",BD381="Partial splenectomy +/- splenopexy"),"Non-viable","Review"),IF(BB381="NR",IF(OR(BD381="Total splenectomy",BD381="Partial splenectomy +/- splenopexy"),"NR - removed, check reason","NR"),"Not applicable")))))</f>
        <v/>
      </c>
    </row>
    <row r="382">
      <c r="D382" s="8" t="n"/>
      <c r="E382" s="9">
        <f>IF(B382="","",IF(B382="OWN","Yes","No"))</f>
        <v/>
      </c>
      <c r="AF382" s="9">
        <f>IF(ISNUMBER(Z382),IF(Z382&lt;=2,"&lt;=2 d",IF(Z382&lt;=7,"3-7 d",IF(Z382&lt;=30,"8-30 d","&gt;30 d"))),IF(AE382&lt;&gt;"",AE382,IF(Z382="NR","NR","")))</f>
        <v/>
      </c>
      <c r="AX382" s="9">
        <f>IF(ISNUMBER(AW382),IF(AW382&gt;450,"Yes","No"),IF(AW382="NR","NR",""))</f>
        <v/>
      </c>
      <c r="BJ382" s="9">
        <f>IF(BB382="","",IF(BB382="Non-viable","Non-viable",IF(BB382="Viable","Viable",IF(BB382="Partially non-viable",IF(OR(BD382="Total splenectomy",BD382="Partial splenectomy +/- splenopexy"),"Non-viable","Review"),IF(BB382="NR",IF(OR(BD382="Total splenectomy",BD382="Partial splenectomy +/- splenopexy"),"NR - removed, check reason","NR"),"Not applicable")))))</f>
        <v/>
      </c>
    </row>
    <row r="383">
      <c r="D383" s="8" t="n"/>
      <c r="E383" s="9">
        <f>IF(B383="","",IF(B383="OWN","Yes","No"))</f>
        <v/>
      </c>
      <c r="AF383" s="9">
        <f>IF(ISNUMBER(Z383),IF(Z383&lt;=2,"&lt;=2 d",IF(Z383&lt;=7,"3-7 d",IF(Z383&lt;=30,"8-30 d","&gt;30 d"))),IF(AE383&lt;&gt;"",AE383,IF(Z383="NR","NR","")))</f>
        <v/>
      </c>
      <c r="AX383" s="9">
        <f>IF(ISNUMBER(AW383),IF(AW383&gt;450,"Yes","No"),IF(AW383="NR","NR",""))</f>
        <v/>
      </c>
      <c r="BJ383" s="9">
        <f>IF(BB383="","",IF(BB383="Non-viable","Non-viable",IF(BB383="Viable","Viable",IF(BB383="Partially non-viable",IF(OR(BD383="Total splenectomy",BD383="Partial splenectomy +/- splenopexy"),"Non-viable","Review"),IF(BB383="NR",IF(OR(BD383="Total splenectomy",BD383="Partial splenectomy +/- splenopexy"),"NR - removed, check reason","NR"),"Not applicable")))))</f>
        <v/>
      </c>
    </row>
    <row r="384">
      <c r="D384" s="8" t="n"/>
      <c r="E384" s="9">
        <f>IF(B384="","",IF(B384="OWN","Yes","No"))</f>
        <v/>
      </c>
      <c r="AF384" s="9">
        <f>IF(ISNUMBER(Z384),IF(Z384&lt;=2,"&lt;=2 d",IF(Z384&lt;=7,"3-7 d",IF(Z384&lt;=30,"8-30 d","&gt;30 d"))),IF(AE384&lt;&gt;"",AE384,IF(Z384="NR","NR","")))</f>
        <v/>
      </c>
      <c r="AX384" s="9">
        <f>IF(ISNUMBER(AW384),IF(AW384&gt;450,"Yes","No"),IF(AW384="NR","NR",""))</f>
        <v/>
      </c>
      <c r="BJ384" s="9">
        <f>IF(BB384="","",IF(BB384="Non-viable","Non-viable",IF(BB384="Viable","Viable",IF(BB384="Partially non-viable",IF(OR(BD384="Total splenectomy",BD384="Partial splenectomy +/- splenopexy"),"Non-viable","Review"),IF(BB384="NR",IF(OR(BD384="Total splenectomy",BD384="Partial splenectomy +/- splenopexy"),"NR - removed, check reason","NR"),"Not applicable")))))</f>
        <v/>
      </c>
    </row>
    <row r="385">
      <c r="D385" s="8" t="n"/>
      <c r="E385" s="9">
        <f>IF(B385="","",IF(B385="OWN","Yes","No"))</f>
        <v/>
      </c>
      <c r="AF385" s="9">
        <f>IF(ISNUMBER(Z385),IF(Z385&lt;=2,"&lt;=2 d",IF(Z385&lt;=7,"3-7 d",IF(Z385&lt;=30,"8-30 d","&gt;30 d"))),IF(AE385&lt;&gt;"",AE385,IF(Z385="NR","NR","")))</f>
        <v/>
      </c>
      <c r="AX385" s="9">
        <f>IF(ISNUMBER(AW385),IF(AW385&gt;450,"Yes","No"),IF(AW385="NR","NR",""))</f>
        <v/>
      </c>
      <c r="BJ385" s="9">
        <f>IF(BB385="","",IF(BB385="Non-viable","Non-viable",IF(BB385="Viable","Viable",IF(BB385="Partially non-viable",IF(OR(BD385="Total splenectomy",BD385="Partial splenectomy +/- splenopexy"),"Non-viable","Review"),IF(BB385="NR",IF(OR(BD385="Total splenectomy",BD385="Partial splenectomy +/- splenopexy"),"NR - removed, check reason","NR"),"Not applicable")))))</f>
        <v/>
      </c>
    </row>
    <row r="386">
      <c r="D386" s="8" t="n"/>
      <c r="E386" s="9">
        <f>IF(B386="","",IF(B386="OWN","Yes","No"))</f>
        <v/>
      </c>
      <c r="AF386" s="9">
        <f>IF(ISNUMBER(Z386),IF(Z386&lt;=2,"&lt;=2 d",IF(Z386&lt;=7,"3-7 d",IF(Z386&lt;=30,"8-30 d","&gt;30 d"))),IF(AE386&lt;&gt;"",AE386,IF(Z386="NR","NR","")))</f>
        <v/>
      </c>
      <c r="AX386" s="9">
        <f>IF(ISNUMBER(AW386),IF(AW386&gt;450,"Yes","No"),IF(AW386="NR","NR",""))</f>
        <v/>
      </c>
      <c r="BJ386" s="9">
        <f>IF(BB386="","",IF(BB386="Non-viable","Non-viable",IF(BB386="Viable","Viable",IF(BB386="Partially non-viable",IF(OR(BD386="Total splenectomy",BD386="Partial splenectomy +/- splenopexy"),"Non-viable","Review"),IF(BB386="NR",IF(OR(BD386="Total splenectomy",BD386="Partial splenectomy +/- splenopexy"),"NR - removed, check reason","NR"),"Not applicable")))))</f>
        <v/>
      </c>
    </row>
    <row r="387">
      <c r="D387" s="8" t="n"/>
      <c r="E387" s="9">
        <f>IF(B387="","",IF(B387="OWN","Yes","No"))</f>
        <v/>
      </c>
      <c r="AF387" s="9">
        <f>IF(ISNUMBER(Z387),IF(Z387&lt;=2,"&lt;=2 d",IF(Z387&lt;=7,"3-7 d",IF(Z387&lt;=30,"8-30 d","&gt;30 d"))),IF(AE387&lt;&gt;"",AE387,IF(Z387="NR","NR","")))</f>
        <v/>
      </c>
      <c r="AX387" s="9">
        <f>IF(ISNUMBER(AW387),IF(AW387&gt;450,"Yes","No"),IF(AW387="NR","NR",""))</f>
        <v/>
      </c>
      <c r="BJ387" s="9">
        <f>IF(BB387="","",IF(BB387="Non-viable","Non-viable",IF(BB387="Viable","Viable",IF(BB387="Partially non-viable",IF(OR(BD387="Total splenectomy",BD387="Partial splenectomy +/- splenopexy"),"Non-viable","Review"),IF(BB387="NR",IF(OR(BD387="Total splenectomy",BD387="Partial splenectomy +/- splenopexy"),"NR - removed, check reason","NR"),"Not applicable")))))</f>
        <v/>
      </c>
    </row>
    <row r="388">
      <c r="D388" s="8" t="n"/>
      <c r="E388" s="9">
        <f>IF(B388="","",IF(B388="OWN","Yes","No"))</f>
        <v/>
      </c>
      <c r="AF388" s="9">
        <f>IF(ISNUMBER(Z388),IF(Z388&lt;=2,"&lt;=2 d",IF(Z388&lt;=7,"3-7 d",IF(Z388&lt;=30,"8-30 d","&gt;30 d"))),IF(AE388&lt;&gt;"",AE388,IF(Z388="NR","NR","")))</f>
        <v/>
      </c>
      <c r="AX388" s="9">
        <f>IF(ISNUMBER(AW388),IF(AW388&gt;450,"Yes","No"),IF(AW388="NR","NR",""))</f>
        <v/>
      </c>
      <c r="BJ388" s="9">
        <f>IF(BB388="","",IF(BB388="Non-viable","Non-viable",IF(BB388="Viable","Viable",IF(BB388="Partially non-viable",IF(OR(BD388="Total splenectomy",BD388="Partial splenectomy +/- splenopexy"),"Non-viable","Review"),IF(BB388="NR",IF(OR(BD388="Total splenectomy",BD388="Partial splenectomy +/- splenopexy"),"NR - removed, check reason","NR"),"Not applicable")))))</f>
        <v/>
      </c>
    </row>
    <row r="389">
      <c r="D389" s="8" t="n"/>
      <c r="E389" s="9">
        <f>IF(B389="","",IF(B389="OWN","Yes","No"))</f>
        <v/>
      </c>
      <c r="AF389" s="9">
        <f>IF(ISNUMBER(Z389),IF(Z389&lt;=2,"&lt;=2 d",IF(Z389&lt;=7,"3-7 d",IF(Z389&lt;=30,"8-30 d","&gt;30 d"))),IF(AE389&lt;&gt;"",AE389,IF(Z389="NR","NR","")))</f>
        <v/>
      </c>
      <c r="AX389" s="9">
        <f>IF(ISNUMBER(AW389),IF(AW389&gt;450,"Yes","No"),IF(AW389="NR","NR",""))</f>
        <v/>
      </c>
      <c r="BJ389" s="9">
        <f>IF(BB389="","",IF(BB389="Non-viable","Non-viable",IF(BB389="Viable","Viable",IF(BB389="Partially non-viable",IF(OR(BD389="Total splenectomy",BD389="Partial splenectomy +/- splenopexy"),"Non-viable","Review"),IF(BB389="NR",IF(OR(BD389="Total splenectomy",BD389="Partial splenectomy +/- splenopexy"),"NR - removed, check reason","NR"),"Not applicable")))))</f>
        <v/>
      </c>
    </row>
    <row r="390">
      <c r="D390" s="8" t="n"/>
      <c r="E390" s="9">
        <f>IF(B390="","",IF(B390="OWN","Yes","No"))</f>
        <v/>
      </c>
      <c r="AF390" s="9">
        <f>IF(ISNUMBER(Z390),IF(Z390&lt;=2,"&lt;=2 d",IF(Z390&lt;=7,"3-7 d",IF(Z390&lt;=30,"8-30 d","&gt;30 d"))),IF(AE390&lt;&gt;"",AE390,IF(Z390="NR","NR","")))</f>
        <v/>
      </c>
      <c r="AX390" s="9">
        <f>IF(ISNUMBER(AW390),IF(AW390&gt;450,"Yes","No"),IF(AW390="NR","NR",""))</f>
        <v/>
      </c>
      <c r="BJ390" s="9">
        <f>IF(BB390="","",IF(BB390="Non-viable","Non-viable",IF(BB390="Viable","Viable",IF(BB390="Partially non-viable",IF(OR(BD390="Total splenectomy",BD390="Partial splenectomy +/- splenopexy"),"Non-viable","Review"),IF(BB390="NR",IF(OR(BD390="Total splenectomy",BD390="Partial splenectomy +/- splenopexy"),"NR - removed, check reason","NR"),"Not applicable")))))</f>
        <v/>
      </c>
    </row>
    <row r="391">
      <c r="D391" s="8" t="n"/>
      <c r="E391" s="9">
        <f>IF(B391="","",IF(B391="OWN","Yes","No"))</f>
        <v/>
      </c>
      <c r="AF391" s="9">
        <f>IF(ISNUMBER(Z391),IF(Z391&lt;=2,"&lt;=2 d",IF(Z391&lt;=7,"3-7 d",IF(Z391&lt;=30,"8-30 d","&gt;30 d"))),IF(AE391&lt;&gt;"",AE391,IF(Z391="NR","NR","")))</f>
        <v/>
      </c>
      <c r="AX391" s="9">
        <f>IF(ISNUMBER(AW391),IF(AW391&gt;450,"Yes","No"),IF(AW391="NR","NR",""))</f>
        <v/>
      </c>
      <c r="BJ391" s="9">
        <f>IF(BB391="","",IF(BB391="Non-viable","Non-viable",IF(BB391="Viable","Viable",IF(BB391="Partially non-viable",IF(OR(BD391="Total splenectomy",BD391="Partial splenectomy +/- splenopexy"),"Non-viable","Review"),IF(BB391="NR",IF(OR(BD391="Total splenectomy",BD391="Partial splenectomy +/- splenopexy"),"NR - removed, check reason","NR"),"Not applicable")))))</f>
        <v/>
      </c>
    </row>
    <row r="392">
      <c r="D392" s="8" t="n"/>
      <c r="E392" s="9">
        <f>IF(B392="","",IF(B392="OWN","Yes","No"))</f>
        <v/>
      </c>
      <c r="AF392" s="9">
        <f>IF(ISNUMBER(Z392),IF(Z392&lt;=2,"&lt;=2 d",IF(Z392&lt;=7,"3-7 d",IF(Z392&lt;=30,"8-30 d","&gt;30 d"))),IF(AE392&lt;&gt;"",AE392,IF(Z392="NR","NR","")))</f>
        <v/>
      </c>
      <c r="AX392" s="9">
        <f>IF(ISNUMBER(AW392),IF(AW392&gt;450,"Yes","No"),IF(AW392="NR","NR",""))</f>
        <v/>
      </c>
      <c r="BJ392" s="9">
        <f>IF(BB392="","",IF(BB392="Non-viable","Non-viable",IF(BB392="Viable","Viable",IF(BB392="Partially non-viable",IF(OR(BD392="Total splenectomy",BD392="Partial splenectomy +/- splenopexy"),"Non-viable","Review"),IF(BB392="NR",IF(OR(BD392="Total splenectomy",BD392="Partial splenectomy +/- splenopexy"),"NR - removed, check reason","NR"),"Not applicable")))))</f>
        <v/>
      </c>
    </row>
    <row r="393">
      <c r="D393" s="8" t="n"/>
      <c r="E393" s="9">
        <f>IF(B393="","",IF(B393="OWN","Yes","No"))</f>
        <v/>
      </c>
      <c r="AF393" s="9">
        <f>IF(ISNUMBER(Z393),IF(Z393&lt;=2,"&lt;=2 d",IF(Z393&lt;=7,"3-7 d",IF(Z393&lt;=30,"8-30 d","&gt;30 d"))),IF(AE393&lt;&gt;"",AE393,IF(Z393="NR","NR","")))</f>
        <v/>
      </c>
      <c r="AX393" s="9">
        <f>IF(ISNUMBER(AW393),IF(AW393&gt;450,"Yes","No"),IF(AW393="NR","NR",""))</f>
        <v/>
      </c>
      <c r="BJ393" s="9">
        <f>IF(BB393="","",IF(BB393="Non-viable","Non-viable",IF(BB393="Viable","Viable",IF(BB393="Partially non-viable",IF(OR(BD393="Total splenectomy",BD393="Partial splenectomy +/- splenopexy"),"Non-viable","Review"),IF(BB393="NR",IF(OR(BD393="Total splenectomy",BD393="Partial splenectomy +/- splenopexy"),"NR - removed, check reason","NR"),"Not applicable")))))</f>
        <v/>
      </c>
    </row>
    <row r="394">
      <c r="D394" s="8" t="n"/>
      <c r="E394" s="9">
        <f>IF(B394="","",IF(B394="OWN","Yes","No"))</f>
        <v/>
      </c>
      <c r="AF394" s="9">
        <f>IF(ISNUMBER(Z394),IF(Z394&lt;=2,"&lt;=2 d",IF(Z394&lt;=7,"3-7 d",IF(Z394&lt;=30,"8-30 d","&gt;30 d"))),IF(AE394&lt;&gt;"",AE394,IF(Z394="NR","NR","")))</f>
        <v/>
      </c>
      <c r="AX394" s="9">
        <f>IF(ISNUMBER(AW394),IF(AW394&gt;450,"Yes","No"),IF(AW394="NR","NR",""))</f>
        <v/>
      </c>
      <c r="BJ394" s="9">
        <f>IF(BB394="","",IF(BB394="Non-viable","Non-viable",IF(BB394="Viable","Viable",IF(BB394="Partially non-viable",IF(OR(BD394="Total splenectomy",BD394="Partial splenectomy +/- splenopexy"),"Non-viable","Review"),IF(BB394="NR",IF(OR(BD394="Total splenectomy",BD394="Partial splenectomy +/- splenopexy"),"NR - removed, check reason","NR"),"Not applicable")))))</f>
        <v/>
      </c>
    </row>
    <row r="395">
      <c r="D395" s="8" t="n"/>
      <c r="E395" s="9">
        <f>IF(B395="","",IF(B395="OWN","Yes","No"))</f>
        <v/>
      </c>
      <c r="AF395" s="9">
        <f>IF(ISNUMBER(Z395),IF(Z395&lt;=2,"&lt;=2 d",IF(Z395&lt;=7,"3-7 d",IF(Z395&lt;=30,"8-30 d","&gt;30 d"))),IF(AE395&lt;&gt;"",AE395,IF(Z395="NR","NR","")))</f>
        <v/>
      </c>
      <c r="AX395" s="9">
        <f>IF(ISNUMBER(AW395),IF(AW395&gt;450,"Yes","No"),IF(AW395="NR","NR",""))</f>
        <v/>
      </c>
      <c r="BJ395" s="9">
        <f>IF(BB395="","",IF(BB395="Non-viable","Non-viable",IF(BB395="Viable","Viable",IF(BB395="Partially non-viable",IF(OR(BD395="Total splenectomy",BD395="Partial splenectomy +/- splenopexy"),"Non-viable","Review"),IF(BB395="NR",IF(OR(BD395="Total splenectomy",BD395="Partial splenectomy +/- splenopexy"),"NR - removed, check reason","NR"),"Not applicable")))))</f>
        <v/>
      </c>
    </row>
    <row r="396">
      <c r="D396" s="8" t="n"/>
      <c r="E396" s="9">
        <f>IF(B396="","",IF(B396="OWN","Yes","No"))</f>
        <v/>
      </c>
      <c r="AF396" s="9">
        <f>IF(ISNUMBER(Z396),IF(Z396&lt;=2,"&lt;=2 d",IF(Z396&lt;=7,"3-7 d",IF(Z396&lt;=30,"8-30 d","&gt;30 d"))),IF(AE396&lt;&gt;"",AE396,IF(Z396="NR","NR","")))</f>
        <v/>
      </c>
      <c r="AX396" s="9">
        <f>IF(ISNUMBER(AW396),IF(AW396&gt;450,"Yes","No"),IF(AW396="NR","NR",""))</f>
        <v/>
      </c>
      <c r="BJ396" s="9">
        <f>IF(BB396="","",IF(BB396="Non-viable","Non-viable",IF(BB396="Viable","Viable",IF(BB396="Partially non-viable",IF(OR(BD396="Total splenectomy",BD396="Partial splenectomy +/- splenopexy"),"Non-viable","Review"),IF(BB396="NR",IF(OR(BD396="Total splenectomy",BD396="Partial splenectomy +/- splenopexy"),"NR - removed, check reason","NR"),"Not applicable")))))</f>
        <v/>
      </c>
    </row>
    <row r="397">
      <c r="D397" s="8" t="n"/>
      <c r="E397" s="9">
        <f>IF(B397="","",IF(B397="OWN","Yes","No"))</f>
        <v/>
      </c>
      <c r="AF397" s="9">
        <f>IF(ISNUMBER(Z397),IF(Z397&lt;=2,"&lt;=2 d",IF(Z397&lt;=7,"3-7 d",IF(Z397&lt;=30,"8-30 d","&gt;30 d"))),IF(AE397&lt;&gt;"",AE397,IF(Z397="NR","NR","")))</f>
        <v/>
      </c>
      <c r="AX397" s="9">
        <f>IF(ISNUMBER(AW397),IF(AW397&gt;450,"Yes","No"),IF(AW397="NR","NR",""))</f>
        <v/>
      </c>
      <c r="BJ397" s="9">
        <f>IF(BB397="","",IF(BB397="Non-viable","Non-viable",IF(BB397="Viable","Viable",IF(BB397="Partially non-viable",IF(OR(BD397="Total splenectomy",BD397="Partial splenectomy +/- splenopexy"),"Non-viable","Review"),IF(BB397="NR",IF(OR(BD397="Total splenectomy",BD397="Partial splenectomy +/- splenopexy"),"NR - removed, check reason","NR"),"Not applicable")))))</f>
        <v/>
      </c>
    </row>
    <row r="398">
      <c r="D398" s="8" t="n"/>
      <c r="E398" s="9">
        <f>IF(B398="","",IF(B398="OWN","Yes","No"))</f>
        <v/>
      </c>
      <c r="AF398" s="9">
        <f>IF(ISNUMBER(Z398),IF(Z398&lt;=2,"&lt;=2 d",IF(Z398&lt;=7,"3-7 d",IF(Z398&lt;=30,"8-30 d","&gt;30 d"))),IF(AE398&lt;&gt;"",AE398,IF(Z398="NR","NR","")))</f>
        <v/>
      </c>
      <c r="AX398" s="9">
        <f>IF(ISNUMBER(AW398),IF(AW398&gt;450,"Yes","No"),IF(AW398="NR","NR",""))</f>
        <v/>
      </c>
      <c r="BJ398" s="9">
        <f>IF(BB398="","",IF(BB398="Non-viable","Non-viable",IF(BB398="Viable","Viable",IF(BB398="Partially non-viable",IF(OR(BD398="Total splenectomy",BD398="Partial splenectomy +/- splenopexy"),"Non-viable","Review"),IF(BB398="NR",IF(OR(BD398="Total splenectomy",BD398="Partial splenectomy +/- splenopexy"),"NR - removed, check reason","NR"),"Not applicable")))))</f>
        <v/>
      </c>
    </row>
    <row r="399">
      <c r="D399" s="8" t="n"/>
      <c r="E399" s="9">
        <f>IF(B399="","",IF(B399="OWN","Yes","No"))</f>
        <v/>
      </c>
      <c r="AF399" s="9">
        <f>IF(ISNUMBER(Z399),IF(Z399&lt;=2,"&lt;=2 d",IF(Z399&lt;=7,"3-7 d",IF(Z399&lt;=30,"8-30 d","&gt;30 d"))),IF(AE399&lt;&gt;"",AE399,IF(Z399="NR","NR","")))</f>
        <v/>
      </c>
      <c r="AX399" s="9">
        <f>IF(ISNUMBER(AW399),IF(AW399&gt;450,"Yes","No"),IF(AW399="NR","NR",""))</f>
        <v/>
      </c>
      <c r="BJ399" s="9">
        <f>IF(BB399="","",IF(BB399="Non-viable","Non-viable",IF(BB399="Viable","Viable",IF(BB399="Partially non-viable",IF(OR(BD399="Total splenectomy",BD399="Partial splenectomy +/- splenopexy"),"Non-viable","Review"),IF(BB399="NR",IF(OR(BD399="Total splenectomy",BD399="Partial splenectomy +/- splenopexy"),"NR - removed, check reason","NR"),"Not applicable")))))</f>
        <v/>
      </c>
    </row>
    <row r="400">
      <c r="D400" s="8" t="n"/>
      <c r="E400" s="9">
        <f>IF(B400="","",IF(B400="OWN","Yes","No"))</f>
        <v/>
      </c>
      <c r="AF400" s="9">
        <f>IF(ISNUMBER(Z400),IF(Z400&lt;=2,"&lt;=2 d",IF(Z400&lt;=7,"3-7 d",IF(Z400&lt;=30,"8-30 d","&gt;30 d"))),IF(AE400&lt;&gt;"",AE400,IF(Z400="NR","NR","")))</f>
        <v/>
      </c>
      <c r="AX400" s="9">
        <f>IF(ISNUMBER(AW400),IF(AW400&gt;450,"Yes","No"),IF(AW400="NR","NR",""))</f>
        <v/>
      </c>
      <c r="BJ400" s="9">
        <f>IF(BB400="","",IF(BB400="Non-viable","Non-viable",IF(BB400="Viable","Viable",IF(BB400="Partially non-viable",IF(OR(BD400="Total splenectomy",BD400="Partial splenectomy +/- splenopexy"),"Non-viable","Review"),IF(BB400="NR",IF(OR(BD400="Total splenectomy",BD400="Partial splenectomy +/- splenopexy"),"NR - removed, check reason","NR"),"Not applicable")))))</f>
        <v/>
      </c>
    </row>
    <row r="401">
      <c r="D401" s="8" t="n"/>
      <c r="E401" s="9">
        <f>IF(B401="","",IF(B401="OWN","Yes","No"))</f>
        <v/>
      </c>
      <c r="AF401" s="9">
        <f>IF(ISNUMBER(Z401),IF(Z401&lt;=2,"&lt;=2 d",IF(Z401&lt;=7,"3-7 d",IF(Z401&lt;=30,"8-30 d","&gt;30 d"))),IF(AE401&lt;&gt;"",AE401,IF(Z401="NR","NR","")))</f>
        <v/>
      </c>
      <c r="AX401" s="9">
        <f>IF(ISNUMBER(AW401),IF(AW401&gt;450,"Yes","No"),IF(AW401="NR","NR",""))</f>
        <v/>
      </c>
      <c r="BJ401" s="9">
        <f>IF(BB401="","",IF(BB401="Non-viable","Non-viable",IF(BB401="Viable","Viable",IF(BB401="Partially non-viable",IF(OR(BD401="Total splenectomy",BD401="Partial splenectomy +/- splenopexy"),"Non-viable","Review"),IF(BB401="NR",IF(OR(BD401="Total splenectomy",BD401="Partial splenectomy +/- splenopexy"),"NR - removed, check reason","NR"),"Not applicable")))))</f>
        <v/>
      </c>
    </row>
    <row r="402">
      <c r="D402" s="8" t="n"/>
      <c r="E402" s="9">
        <f>IF(B402="","",IF(B402="OWN","Yes","No"))</f>
        <v/>
      </c>
      <c r="AF402" s="9">
        <f>IF(ISNUMBER(Z402),IF(Z402&lt;=2,"&lt;=2 d",IF(Z402&lt;=7,"3-7 d",IF(Z402&lt;=30,"8-30 d","&gt;30 d"))),IF(AE402&lt;&gt;"",AE402,IF(Z402="NR","NR","")))</f>
        <v/>
      </c>
      <c r="AX402" s="9">
        <f>IF(ISNUMBER(AW402),IF(AW402&gt;450,"Yes","No"),IF(AW402="NR","NR",""))</f>
        <v/>
      </c>
      <c r="BJ402" s="9">
        <f>IF(BB402="","",IF(BB402="Non-viable","Non-viable",IF(BB402="Viable","Viable",IF(BB402="Partially non-viable",IF(OR(BD402="Total splenectomy",BD402="Partial splenectomy +/- splenopexy"),"Non-viable","Review"),IF(BB402="NR",IF(OR(BD402="Total splenectomy",BD402="Partial splenectomy +/- splenopexy"),"NR - removed, check reason","NR"),"Not applicable")))))</f>
        <v/>
      </c>
    </row>
    <row r="403">
      <c r="D403" s="8" t="n"/>
      <c r="E403" s="9">
        <f>IF(B403="","",IF(B403="OWN","Yes","No"))</f>
        <v/>
      </c>
      <c r="AF403" s="9">
        <f>IF(ISNUMBER(Z403),IF(Z403&lt;=2,"&lt;=2 d",IF(Z403&lt;=7,"3-7 d",IF(Z403&lt;=30,"8-30 d","&gt;30 d"))),IF(AE403&lt;&gt;"",AE403,IF(Z403="NR","NR","")))</f>
        <v/>
      </c>
      <c r="AX403" s="9">
        <f>IF(ISNUMBER(AW403),IF(AW403&gt;450,"Yes","No"),IF(AW403="NR","NR",""))</f>
        <v/>
      </c>
      <c r="BJ403" s="9">
        <f>IF(BB403="","",IF(BB403="Non-viable","Non-viable",IF(BB403="Viable","Viable",IF(BB403="Partially non-viable",IF(OR(BD403="Total splenectomy",BD403="Partial splenectomy +/- splenopexy"),"Non-viable","Review"),IF(BB403="NR",IF(OR(BD403="Total splenectomy",BD403="Partial splenectomy +/- splenopexy"),"NR - removed, check reason","NR"),"Not applicable")))))</f>
        <v/>
      </c>
    </row>
    <row r="404">
      <c r="D404" s="8" t="n"/>
      <c r="E404" s="9">
        <f>IF(B404="","",IF(B404="OWN","Yes","No"))</f>
        <v/>
      </c>
      <c r="AF404" s="9">
        <f>IF(ISNUMBER(Z404),IF(Z404&lt;=2,"&lt;=2 d",IF(Z404&lt;=7,"3-7 d",IF(Z404&lt;=30,"8-30 d","&gt;30 d"))),IF(AE404&lt;&gt;"",AE404,IF(Z404="NR","NR","")))</f>
        <v/>
      </c>
      <c r="AX404" s="9">
        <f>IF(ISNUMBER(AW404),IF(AW404&gt;450,"Yes","No"),IF(AW404="NR","NR",""))</f>
        <v/>
      </c>
      <c r="BJ404" s="9">
        <f>IF(BB404="","",IF(BB404="Non-viable","Non-viable",IF(BB404="Viable","Viable",IF(BB404="Partially non-viable",IF(OR(BD404="Total splenectomy",BD404="Partial splenectomy +/- splenopexy"),"Non-viable","Review"),IF(BB404="NR",IF(OR(BD404="Total splenectomy",BD404="Partial splenectomy +/- splenopexy"),"NR - removed, check reason","NR"),"Not applicable")))))</f>
        <v/>
      </c>
    </row>
    <row r="405">
      <c r="D405" s="8" t="n"/>
      <c r="E405" s="9">
        <f>IF(B405="","",IF(B405="OWN","Yes","No"))</f>
        <v/>
      </c>
      <c r="AF405" s="9">
        <f>IF(ISNUMBER(Z405),IF(Z405&lt;=2,"&lt;=2 d",IF(Z405&lt;=7,"3-7 d",IF(Z405&lt;=30,"8-30 d","&gt;30 d"))),IF(AE405&lt;&gt;"",AE405,IF(Z405="NR","NR","")))</f>
        <v/>
      </c>
      <c r="AX405" s="9">
        <f>IF(ISNUMBER(AW405),IF(AW405&gt;450,"Yes","No"),IF(AW405="NR","NR",""))</f>
        <v/>
      </c>
      <c r="BJ405" s="9">
        <f>IF(BB405="","",IF(BB405="Non-viable","Non-viable",IF(BB405="Viable","Viable",IF(BB405="Partially non-viable",IF(OR(BD405="Total splenectomy",BD405="Partial splenectomy +/- splenopexy"),"Non-viable","Review"),IF(BB405="NR",IF(OR(BD405="Total splenectomy",BD405="Partial splenectomy +/- splenopexy"),"NR - removed, check reason","NR"),"Not applicable")))))</f>
        <v/>
      </c>
    </row>
    <row r="406">
      <c r="D406" s="8" t="n"/>
      <c r="E406" s="9">
        <f>IF(B406="","",IF(B406="OWN","Yes","No"))</f>
        <v/>
      </c>
      <c r="AF406" s="9">
        <f>IF(ISNUMBER(Z406),IF(Z406&lt;=2,"&lt;=2 d",IF(Z406&lt;=7,"3-7 d",IF(Z406&lt;=30,"8-30 d","&gt;30 d"))),IF(AE406&lt;&gt;"",AE406,IF(Z406="NR","NR","")))</f>
        <v/>
      </c>
      <c r="AX406" s="9">
        <f>IF(ISNUMBER(AW406),IF(AW406&gt;450,"Yes","No"),IF(AW406="NR","NR",""))</f>
        <v/>
      </c>
      <c r="BJ406" s="9">
        <f>IF(BB406="","",IF(BB406="Non-viable","Non-viable",IF(BB406="Viable","Viable",IF(BB406="Partially non-viable",IF(OR(BD406="Total splenectomy",BD406="Partial splenectomy +/- splenopexy"),"Non-viable","Review"),IF(BB406="NR",IF(OR(BD406="Total splenectomy",BD406="Partial splenectomy +/- splenopexy"),"NR - removed, check reason","NR"),"Not applicable")))))</f>
        <v/>
      </c>
    </row>
    <row r="407">
      <c r="D407" s="8" t="n"/>
      <c r="E407" s="9">
        <f>IF(B407="","",IF(B407="OWN","Yes","No"))</f>
        <v/>
      </c>
      <c r="AF407" s="9">
        <f>IF(ISNUMBER(Z407),IF(Z407&lt;=2,"&lt;=2 d",IF(Z407&lt;=7,"3-7 d",IF(Z407&lt;=30,"8-30 d","&gt;30 d"))),IF(AE407&lt;&gt;"",AE407,IF(Z407="NR","NR","")))</f>
        <v/>
      </c>
      <c r="AX407" s="9">
        <f>IF(ISNUMBER(AW407),IF(AW407&gt;450,"Yes","No"),IF(AW407="NR","NR",""))</f>
        <v/>
      </c>
      <c r="BJ407" s="9">
        <f>IF(BB407="","",IF(BB407="Non-viable","Non-viable",IF(BB407="Viable","Viable",IF(BB407="Partially non-viable",IF(OR(BD407="Total splenectomy",BD407="Partial splenectomy +/- splenopexy"),"Non-viable","Review"),IF(BB407="NR",IF(OR(BD407="Total splenectomy",BD407="Partial splenectomy +/- splenopexy"),"NR - removed, check reason","NR"),"Not applicable")))))</f>
        <v/>
      </c>
    </row>
    <row r="408">
      <c r="D408" s="8" t="n"/>
      <c r="E408" s="9">
        <f>IF(B408="","",IF(B408="OWN","Yes","No"))</f>
        <v/>
      </c>
      <c r="AF408" s="9">
        <f>IF(ISNUMBER(Z408),IF(Z408&lt;=2,"&lt;=2 d",IF(Z408&lt;=7,"3-7 d",IF(Z408&lt;=30,"8-30 d","&gt;30 d"))),IF(AE408&lt;&gt;"",AE408,IF(Z408="NR","NR","")))</f>
        <v/>
      </c>
      <c r="AX408" s="9">
        <f>IF(ISNUMBER(AW408),IF(AW408&gt;450,"Yes","No"),IF(AW408="NR","NR",""))</f>
        <v/>
      </c>
      <c r="BJ408" s="9">
        <f>IF(BB408="","",IF(BB408="Non-viable","Non-viable",IF(BB408="Viable","Viable",IF(BB408="Partially non-viable",IF(OR(BD408="Total splenectomy",BD408="Partial splenectomy +/- splenopexy"),"Non-viable","Review"),IF(BB408="NR",IF(OR(BD408="Total splenectomy",BD408="Partial splenectomy +/- splenopexy"),"NR - removed, check reason","NR"),"Not applicable")))))</f>
        <v/>
      </c>
    </row>
    <row r="409">
      <c r="D409" s="8" t="n"/>
      <c r="E409" s="9">
        <f>IF(B409="","",IF(B409="OWN","Yes","No"))</f>
        <v/>
      </c>
      <c r="AF409" s="9">
        <f>IF(ISNUMBER(Z409),IF(Z409&lt;=2,"&lt;=2 d",IF(Z409&lt;=7,"3-7 d",IF(Z409&lt;=30,"8-30 d","&gt;30 d"))),IF(AE409&lt;&gt;"",AE409,IF(Z409="NR","NR","")))</f>
        <v/>
      </c>
      <c r="AX409" s="9">
        <f>IF(ISNUMBER(AW409),IF(AW409&gt;450,"Yes","No"),IF(AW409="NR","NR",""))</f>
        <v/>
      </c>
      <c r="BJ409" s="9">
        <f>IF(BB409="","",IF(BB409="Non-viable","Non-viable",IF(BB409="Viable","Viable",IF(BB409="Partially non-viable",IF(OR(BD409="Total splenectomy",BD409="Partial splenectomy +/- splenopexy"),"Non-viable","Review"),IF(BB409="NR",IF(OR(BD409="Total splenectomy",BD409="Partial splenectomy +/- splenopexy"),"NR - removed, check reason","NR"),"Not applicable")))))</f>
        <v/>
      </c>
    </row>
    <row r="410">
      <c r="D410" s="8" t="n"/>
      <c r="E410" s="9">
        <f>IF(B410="","",IF(B410="OWN","Yes","No"))</f>
        <v/>
      </c>
      <c r="AF410" s="9">
        <f>IF(ISNUMBER(Z410),IF(Z410&lt;=2,"&lt;=2 d",IF(Z410&lt;=7,"3-7 d",IF(Z410&lt;=30,"8-30 d","&gt;30 d"))),IF(AE410&lt;&gt;"",AE410,IF(Z410="NR","NR","")))</f>
        <v/>
      </c>
      <c r="AX410" s="9">
        <f>IF(ISNUMBER(AW410),IF(AW410&gt;450,"Yes","No"),IF(AW410="NR","NR",""))</f>
        <v/>
      </c>
      <c r="BJ410" s="9">
        <f>IF(BB410="","",IF(BB410="Non-viable","Non-viable",IF(BB410="Viable","Viable",IF(BB410="Partially non-viable",IF(OR(BD410="Total splenectomy",BD410="Partial splenectomy +/- splenopexy"),"Non-viable","Review"),IF(BB410="NR",IF(OR(BD410="Total splenectomy",BD410="Partial splenectomy +/- splenopexy"),"NR - removed, check reason","NR"),"Not applicable")))))</f>
        <v/>
      </c>
    </row>
    <row r="411">
      <c r="D411" s="8" t="n"/>
      <c r="E411" s="9">
        <f>IF(B411="","",IF(B411="OWN","Yes","No"))</f>
        <v/>
      </c>
      <c r="AF411" s="9">
        <f>IF(ISNUMBER(Z411),IF(Z411&lt;=2,"&lt;=2 d",IF(Z411&lt;=7,"3-7 d",IF(Z411&lt;=30,"8-30 d","&gt;30 d"))),IF(AE411&lt;&gt;"",AE411,IF(Z411="NR","NR","")))</f>
        <v/>
      </c>
      <c r="AX411" s="9">
        <f>IF(ISNUMBER(AW411),IF(AW411&gt;450,"Yes","No"),IF(AW411="NR","NR",""))</f>
        <v/>
      </c>
      <c r="BJ411" s="9">
        <f>IF(BB411="","",IF(BB411="Non-viable","Non-viable",IF(BB411="Viable","Viable",IF(BB411="Partially non-viable",IF(OR(BD411="Total splenectomy",BD411="Partial splenectomy +/- splenopexy"),"Non-viable","Review"),IF(BB411="NR",IF(OR(BD411="Total splenectomy",BD411="Partial splenectomy +/- splenopexy"),"NR - removed, check reason","NR"),"Not applicable")))))</f>
        <v/>
      </c>
    </row>
    <row r="412">
      <c r="D412" s="8" t="n"/>
      <c r="E412" s="9">
        <f>IF(B412="","",IF(B412="OWN","Yes","No"))</f>
        <v/>
      </c>
      <c r="AF412" s="9">
        <f>IF(ISNUMBER(Z412),IF(Z412&lt;=2,"&lt;=2 d",IF(Z412&lt;=7,"3-7 d",IF(Z412&lt;=30,"8-30 d","&gt;30 d"))),IF(AE412&lt;&gt;"",AE412,IF(Z412="NR","NR","")))</f>
        <v/>
      </c>
      <c r="AX412" s="9">
        <f>IF(ISNUMBER(AW412),IF(AW412&gt;450,"Yes","No"),IF(AW412="NR","NR",""))</f>
        <v/>
      </c>
      <c r="BJ412" s="9">
        <f>IF(BB412="","",IF(BB412="Non-viable","Non-viable",IF(BB412="Viable","Viable",IF(BB412="Partially non-viable",IF(OR(BD412="Total splenectomy",BD412="Partial splenectomy +/- splenopexy"),"Non-viable","Review"),IF(BB412="NR",IF(OR(BD412="Total splenectomy",BD412="Partial splenectomy +/- splenopexy"),"NR - removed, check reason","NR"),"Not applicable")))))</f>
        <v/>
      </c>
    </row>
    <row r="413">
      <c r="D413" s="8" t="n"/>
      <c r="E413" s="9">
        <f>IF(B413="","",IF(B413="OWN","Yes","No"))</f>
        <v/>
      </c>
      <c r="AF413" s="9">
        <f>IF(ISNUMBER(Z413),IF(Z413&lt;=2,"&lt;=2 d",IF(Z413&lt;=7,"3-7 d",IF(Z413&lt;=30,"8-30 d","&gt;30 d"))),IF(AE413&lt;&gt;"",AE413,IF(Z413="NR","NR","")))</f>
        <v/>
      </c>
      <c r="AX413" s="9">
        <f>IF(ISNUMBER(AW413),IF(AW413&gt;450,"Yes","No"),IF(AW413="NR","NR",""))</f>
        <v/>
      </c>
      <c r="BJ413" s="9">
        <f>IF(BB413="","",IF(BB413="Non-viable","Non-viable",IF(BB413="Viable","Viable",IF(BB413="Partially non-viable",IF(OR(BD413="Total splenectomy",BD413="Partial splenectomy +/- splenopexy"),"Non-viable","Review"),IF(BB413="NR",IF(OR(BD413="Total splenectomy",BD413="Partial splenectomy +/- splenopexy"),"NR - removed, check reason","NR"),"Not applicable")))))</f>
        <v/>
      </c>
    </row>
    <row r="414">
      <c r="D414" s="8" t="n"/>
      <c r="E414" s="9">
        <f>IF(B414="","",IF(B414="OWN","Yes","No"))</f>
        <v/>
      </c>
      <c r="AF414" s="9">
        <f>IF(ISNUMBER(Z414),IF(Z414&lt;=2,"&lt;=2 d",IF(Z414&lt;=7,"3-7 d",IF(Z414&lt;=30,"8-30 d","&gt;30 d"))),IF(AE414&lt;&gt;"",AE414,IF(Z414="NR","NR","")))</f>
        <v/>
      </c>
      <c r="AX414" s="9">
        <f>IF(ISNUMBER(AW414),IF(AW414&gt;450,"Yes","No"),IF(AW414="NR","NR",""))</f>
        <v/>
      </c>
      <c r="BJ414" s="9">
        <f>IF(BB414="","",IF(BB414="Non-viable","Non-viable",IF(BB414="Viable","Viable",IF(BB414="Partially non-viable",IF(OR(BD414="Total splenectomy",BD414="Partial splenectomy +/- splenopexy"),"Non-viable","Review"),IF(BB414="NR",IF(OR(BD414="Total splenectomy",BD414="Partial splenectomy +/- splenopexy"),"NR - removed, check reason","NR"),"Not applicable")))))</f>
        <v/>
      </c>
    </row>
    <row r="415">
      <c r="D415" s="8" t="n"/>
      <c r="E415" s="9">
        <f>IF(B415="","",IF(B415="OWN","Yes","No"))</f>
        <v/>
      </c>
      <c r="AF415" s="9">
        <f>IF(ISNUMBER(Z415),IF(Z415&lt;=2,"&lt;=2 d",IF(Z415&lt;=7,"3-7 d",IF(Z415&lt;=30,"8-30 d","&gt;30 d"))),IF(AE415&lt;&gt;"",AE415,IF(Z415="NR","NR","")))</f>
        <v/>
      </c>
      <c r="AX415" s="9">
        <f>IF(ISNUMBER(AW415),IF(AW415&gt;450,"Yes","No"),IF(AW415="NR","NR",""))</f>
        <v/>
      </c>
      <c r="BJ415" s="9">
        <f>IF(BB415="","",IF(BB415="Non-viable","Non-viable",IF(BB415="Viable","Viable",IF(BB415="Partially non-viable",IF(OR(BD415="Total splenectomy",BD415="Partial splenectomy +/- splenopexy"),"Non-viable","Review"),IF(BB415="NR",IF(OR(BD415="Total splenectomy",BD415="Partial splenectomy +/- splenopexy"),"NR - removed, check reason","NR"),"Not applicable")))))</f>
        <v/>
      </c>
    </row>
    <row r="416">
      <c r="D416" s="8" t="n"/>
      <c r="E416" s="9">
        <f>IF(B416="","",IF(B416="OWN","Yes","No"))</f>
        <v/>
      </c>
      <c r="AF416" s="9">
        <f>IF(ISNUMBER(Z416),IF(Z416&lt;=2,"&lt;=2 d",IF(Z416&lt;=7,"3-7 d",IF(Z416&lt;=30,"8-30 d","&gt;30 d"))),IF(AE416&lt;&gt;"",AE416,IF(Z416="NR","NR","")))</f>
        <v/>
      </c>
      <c r="AX416" s="9">
        <f>IF(ISNUMBER(AW416),IF(AW416&gt;450,"Yes","No"),IF(AW416="NR","NR",""))</f>
        <v/>
      </c>
      <c r="BJ416" s="9">
        <f>IF(BB416="","",IF(BB416="Non-viable","Non-viable",IF(BB416="Viable","Viable",IF(BB416="Partially non-viable",IF(OR(BD416="Total splenectomy",BD416="Partial splenectomy +/- splenopexy"),"Non-viable","Review"),IF(BB416="NR",IF(OR(BD416="Total splenectomy",BD416="Partial splenectomy +/- splenopexy"),"NR - removed, check reason","NR"),"Not applicable")))))</f>
        <v/>
      </c>
    </row>
    <row r="417">
      <c r="D417" s="8" t="n"/>
      <c r="E417" s="9">
        <f>IF(B417="","",IF(B417="OWN","Yes","No"))</f>
        <v/>
      </c>
      <c r="AF417" s="9">
        <f>IF(ISNUMBER(Z417),IF(Z417&lt;=2,"&lt;=2 d",IF(Z417&lt;=7,"3-7 d",IF(Z417&lt;=30,"8-30 d","&gt;30 d"))),IF(AE417&lt;&gt;"",AE417,IF(Z417="NR","NR","")))</f>
        <v/>
      </c>
      <c r="AX417" s="9">
        <f>IF(ISNUMBER(AW417),IF(AW417&gt;450,"Yes","No"),IF(AW417="NR","NR",""))</f>
        <v/>
      </c>
      <c r="BJ417" s="9">
        <f>IF(BB417="","",IF(BB417="Non-viable","Non-viable",IF(BB417="Viable","Viable",IF(BB417="Partially non-viable",IF(OR(BD417="Total splenectomy",BD417="Partial splenectomy +/- splenopexy"),"Non-viable","Review"),IF(BB417="NR",IF(OR(BD417="Total splenectomy",BD417="Partial splenectomy +/- splenopexy"),"NR - removed, check reason","NR"),"Not applicable")))))</f>
        <v/>
      </c>
    </row>
    <row r="418">
      <c r="D418" s="8" t="n"/>
      <c r="E418" s="9">
        <f>IF(B418="","",IF(B418="OWN","Yes","No"))</f>
        <v/>
      </c>
      <c r="AF418" s="9">
        <f>IF(ISNUMBER(Z418),IF(Z418&lt;=2,"&lt;=2 d",IF(Z418&lt;=7,"3-7 d",IF(Z418&lt;=30,"8-30 d","&gt;30 d"))),IF(AE418&lt;&gt;"",AE418,IF(Z418="NR","NR","")))</f>
        <v/>
      </c>
      <c r="AX418" s="9">
        <f>IF(ISNUMBER(AW418),IF(AW418&gt;450,"Yes","No"),IF(AW418="NR","NR",""))</f>
        <v/>
      </c>
      <c r="BJ418" s="9">
        <f>IF(BB418="","",IF(BB418="Non-viable","Non-viable",IF(BB418="Viable","Viable",IF(BB418="Partially non-viable",IF(OR(BD418="Total splenectomy",BD418="Partial splenectomy +/- splenopexy"),"Non-viable","Review"),IF(BB418="NR",IF(OR(BD418="Total splenectomy",BD418="Partial splenectomy +/- splenopexy"),"NR - removed, check reason","NR"),"Not applicable")))))</f>
        <v/>
      </c>
    </row>
    <row r="419">
      <c r="D419" s="8" t="n"/>
      <c r="E419" s="9">
        <f>IF(B419="","",IF(B419="OWN","Yes","No"))</f>
        <v/>
      </c>
      <c r="AF419" s="9">
        <f>IF(ISNUMBER(Z419),IF(Z419&lt;=2,"&lt;=2 d",IF(Z419&lt;=7,"3-7 d",IF(Z419&lt;=30,"8-30 d","&gt;30 d"))),IF(AE419&lt;&gt;"",AE419,IF(Z419="NR","NR","")))</f>
        <v/>
      </c>
      <c r="AX419" s="9">
        <f>IF(ISNUMBER(AW419),IF(AW419&gt;450,"Yes","No"),IF(AW419="NR","NR",""))</f>
        <v/>
      </c>
      <c r="BJ419" s="9">
        <f>IF(BB419="","",IF(BB419="Non-viable","Non-viable",IF(BB419="Viable","Viable",IF(BB419="Partially non-viable",IF(OR(BD419="Total splenectomy",BD419="Partial splenectomy +/- splenopexy"),"Non-viable","Review"),IF(BB419="NR",IF(OR(BD419="Total splenectomy",BD419="Partial splenectomy +/- splenopexy"),"NR - removed, check reason","NR"),"Not applicable")))))</f>
        <v/>
      </c>
    </row>
    <row r="420">
      <c r="D420" s="8" t="n"/>
      <c r="E420" s="9">
        <f>IF(B420="","",IF(B420="OWN","Yes","No"))</f>
        <v/>
      </c>
      <c r="AF420" s="9">
        <f>IF(ISNUMBER(Z420),IF(Z420&lt;=2,"&lt;=2 d",IF(Z420&lt;=7,"3-7 d",IF(Z420&lt;=30,"8-30 d","&gt;30 d"))),IF(AE420&lt;&gt;"",AE420,IF(Z420="NR","NR","")))</f>
        <v/>
      </c>
      <c r="AX420" s="9">
        <f>IF(ISNUMBER(AW420),IF(AW420&gt;450,"Yes","No"),IF(AW420="NR","NR",""))</f>
        <v/>
      </c>
      <c r="BJ420" s="9">
        <f>IF(BB420="","",IF(BB420="Non-viable","Non-viable",IF(BB420="Viable","Viable",IF(BB420="Partially non-viable",IF(OR(BD420="Total splenectomy",BD420="Partial splenectomy +/- splenopexy"),"Non-viable","Review"),IF(BB420="NR",IF(OR(BD420="Total splenectomy",BD420="Partial splenectomy +/- splenopexy"),"NR - removed, check reason","NR"),"Not applicable")))))</f>
        <v/>
      </c>
    </row>
    <row r="421">
      <c r="D421" s="8" t="n"/>
      <c r="E421" s="9">
        <f>IF(B421="","",IF(B421="OWN","Yes","No"))</f>
        <v/>
      </c>
      <c r="AF421" s="9">
        <f>IF(ISNUMBER(Z421),IF(Z421&lt;=2,"&lt;=2 d",IF(Z421&lt;=7,"3-7 d",IF(Z421&lt;=30,"8-30 d","&gt;30 d"))),IF(AE421&lt;&gt;"",AE421,IF(Z421="NR","NR","")))</f>
        <v/>
      </c>
      <c r="AX421" s="9">
        <f>IF(ISNUMBER(AW421),IF(AW421&gt;450,"Yes","No"),IF(AW421="NR","NR",""))</f>
        <v/>
      </c>
      <c r="BJ421" s="9">
        <f>IF(BB421="","",IF(BB421="Non-viable","Non-viable",IF(BB421="Viable","Viable",IF(BB421="Partially non-viable",IF(OR(BD421="Total splenectomy",BD421="Partial splenectomy +/- splenopexy"),"Non-viable","Review"),IF(BB421="NR",IF(OR(BD421="Total splenectomy",BD421="Partial splenectomy +/- splenopexy"),"NR - removed, check reason","NR"),"Not applicable")))))</f>
        <v/>
      </c>
    </row>
    <row r="422">
      <c r="D422" s="8" t="n"/>
      <c r="E422" s="9">
        <f>IF(B422="","",IF(B422="OWN","Yes","No"))</f>
        <v/>
      </c>
      <c r="AF422" s="9">
        <f>IF(ISNUMBER(Z422),IF(Z422&lt;=2,"&lt;=2 d",IF(Z422&lt;=7,"3-7 d",IF(Z422&lt;=30,"8-30 d","&gt;30 d"))),IF(AE422&lt;&gt;"",AE422,IF(Z422="NR","NR","")))</f>
        <v/>
      </c>
      <c r="AX422" s="9">
        <f>IF(ISNUMBER(AW422),IF(AW422&gt;450,"Yes","No"),IF(AW422="NR","NR",""))</f>
        <v/>
      </c>
      <c r="BJ422" s="9">
        <f>IF(BB422="","",IF(BB422="Non-viable","Non-viable",IF(BB422="Viable","Viable",IF(BB422="Partially non-viable",IF(OR(BD422="Total splenectomy",BD422="Partial splenectomy +/- splenopexy"),"Non-viable","Review"),IF(BB422="NR",IF(OR(BD422="Total splenectomy",BD422="Partial splenectomy +/- splenopexy"),"NR - removed, check reason","NR"),"Not applicable")))))</f>
        <v/>
      </c>
    </row>
    <row r="423">
      <c r="D423" s="8" t="n"/>
      <c r="E423" s="9">
        <f>IF(B423="","",IF(B423="OWN","Yes","No"))</f>
        <v/>
      </c>
      <c r="AF423" s="9">
        <f>IF(ISNUMBER(Z423),IF(Z423&lt;=2,"&lt;=2 d",IF(Z423&lt;=7,"3-7 d",IF(Z423&lt;=30,"8-30 d","&gt;30 d"))),IF(AE423&lt;&gt;"",AE423,IF(Z423="NR","NR","")))</f>
        <v/>
      </c>
      <c r="AX423" s="9">
        <f>IF(ISNUMBER(AW423),IF(AW423&gt;450,"Yes","No"),IF(AW423="NR","NR",""))</f>
        <v/>
      </c>
      <c r="BJ423" s="9">
        <f>IF(BB423="","",IF(BB423="Non-viable","Non-viable",IF(BB423="Viable","Viable",IF(BB423="Partially non-viable",IF(OR(BD423="Total splenectomy",BD423="Partial splenectomy +/- splenopexy"),"Non-viable","Review"),IF(BB423="NR",IF(OR(BD423="Total splenectomy",BD423="Partial splenectomy +/- splenopexy"),"NR - removed, check reason","NR"),"Not applicable")))))</f>
        <v/>
      </c>
    </row>
    <row r="424">
      <c r="D424" s="8" t="n"/>
      <c r="E424" s="9">
        <f>IF(B424="","",IF(B424="OWN","Yes","No"))</f>
        <v/>
      </c>
      <c r="AF424" s="9">
        <f>IF(ISNUMBER(Z424),IF(Z424&lt;=2,"&lt;=2 d",IF(Z424&lt;=7,"3-7 d",IF(Z424&lt;=30,"8-30 d","&gt;30 d"))),IF(AE424&lt;&gt;"",AE424,IF(Z424="NR","NR","")))</f>
        <v/>
      </c>
      <c r="AX424" s="9">
        <f>IF(ISNUMBER(AW424),IF(AW424&gt;450,"Yes","No"),IF(AW424="NR","NR",""))</f>
        <v/>
      </c>
      <c r="BJ424" s="9">
        <f>IF(BB424="","",IF(BB424="Non-viable","Non-viable",IF(BB424="Viable","Viable",IF(BB424="Partially non-viable",IF(OR(BD424="Total splenectomy",BD424="Partial splenectomy +/- splenopexy"),"Non-viable","Review"),IF(BB424="NR",IF(OR(BD424="Total splenectomy",BD424="Partial splenectomy +/- splenopexy"),"NR - removed, check reason","NR"),"Not applicable")))))</f>
        <v/>
      </c>
    </row>
    <row r="425">
      <c r="D425" s="8" t="n"/>
      <c r="E425" s="9">
        <f>IF(B425="","",IF(B425="OWN","Yes","No"))</f>
        <v/>
      </c>
      <c r="AF425" s="9">
        <f>IF(ISNUMBER(Z425),IF(Z425&lt;=2,"&lt;=2 d",IF(Z425&lt;=7,"3-7 d",IF(Z425&lt;=30,"8-30 d","&gt;30 d"))),IF(AE425&lt;&gt;"",AE425,IF(Z425="NR","NR","")))</f>
        <v/>
      </c>
      <c r="AX425" s="9">
        <f>IF(ISNUMBER(AW425),IF(AW425&gt;450,"Yes","No"),IF(AW425="NR","NR",""))</f>
        <v/>
      </c>
      <c r="BJ425" s="9">
        <f>IF(BB425="","",IF(BB425="Non-viable","Non-viable",IF(BB425="Viable","Viable",IF(BB425="Partially non-viable",IF(OR(BD425="Total splenectomy",BD425="Partial splenectomy +/- splenopexy"),"Non-viable","Review"),IF(BB425="NR",IF(OR(BD425="Total splenectomy",BD425="Partial splenectomy +/- splenopexy"),"NR - removed, check reason","NR"),"Not applicable")))))</f>
        <v/>
      </c>
    </row>
    <row r="426">
      <c r="D426" s="8" t="n"/>
      <c r="E426" s="9">
        <f>IF(B426="","",IF(B426="OWN","Yes","No"))</f>
        <v/>
      </c>
      <c r="AF426" s="9">
        <f>IF(ISNUMBER(Z426),IF(Z426&lt;=2,"&lt;=2 d",IF(Z426&lt;=7,"3-7 d",IF(Z426&lt;=30,"8-30 d","&gt;30 d"))),IF(AE426&lt;&gt;"",AE426,IF(Z426="NR","NR","")))</f>
        <v/>
      </c>
      <c r="AX426" s="9">
        <f>IF(ISNUMBER(AW426),IF(AW426&gt;450,"Yes","No"),IF(AW426="NR","NR",""))</f>
        <v/>
      </c>
      <c r="BJ426" s="9">
        <f>IF(BB426="","",IF(BB426="Non-viable","Non-viable",IF(BB426="Viable","Viable",IF(BB426="Partially non-viable",IF(OR(BD426="Total splenectomy",BD426="Partial splenectomy +/- splenopexy"),"Non-viable","Review"),IF(BB426="NR",IF(OR(BD426="Total splenectomy",BD426="Partial splenectomy +/- splenopexy"),"NR - removed, check reason","NR"),"Not applicable")))))</f>
        <v/>
      </c>
    </row>
    <row r="427">
      <c r="D427" s="8" t="n"/>
      <c r="E427" s="9">
        <f>IF(B427="","",IF(B427="OWN","Yes","No"))</f>
        <v/>
      </c>
      <c r="AF427" s="9">
        <f>IF(ISNUMBER(Z427),IF(Z427&lt;=2,"&lt;=2 d",IF(Z427&lt;=7,"3-7 d",IF(Z427&lt;=30,"8-30 d","&gt;30 d"))),IF(AE427&lt;&gt;"",AE427,IF(Z427="NR","NR","")))</f>
        <v/>
      </c>
      <c r="AX427" s="9">
        <f>IF(ISNUMBER(AW427),IF(AW427&gt;450,"Yes","No"),IF(AW427="NR","NR",""))</f>
        <v/>
      </c>
      <c r="BJ427" s="9">
        <f>IF(BB427="","",IF(BB427="Non-viable","Non-viable",IF(BB427="Viable","Viable",IF(BB427="Partially non-viable",IF(OR(BD427="Total splenectomy",BD427="Partial splenectomy +/- splenopexy"),"Non-viable","Review"),IF(BB427="NR",IF(OR(BD427="Total splenectomy",BD427="Partial splenectomy +/- splenopexy"),"NR - removed, check reason","NR"),"Not applicable")))))</f>
        <v/>
      </c>
    </row>
    <row r="428">
      <c r="D428" s="8" t="n"/>
      <c r="E428" s="9">
        <f>IF(B428="","",IF(B428="OWN","Yes","No"))</f>
        <v/>
      </c>
      <c r="AF428" s="9">
        <f>IF(ISNUMBER(Z428),IF(Z428&lt;=2,"&lt;=2 d",IF(Z428&lt;=7,"3-7 d",IF(Z428&lt;=30,"8-30 d","&gt;30 d"))),IF(AE428&lt;&gt;"",AE428,IF(Z428="NR","NR","")))</f>
        <v/>
      </c>
      <c r="AX428" s="9">
        <f>IF(ISNUMBER(AW428),IF(AW428&gt;450,"Yes","No"),IF(AW428="NR","NR",""))</f>
        <v/>
      </c>
      <c r="BJ428" s="9">
        <f>IF(BB428="","",IF(BB428="Non-viable","Non-viable",IF(BB428="Viable","Viable",IF(BB428="Partially non-viable",IF(OR(BD428="Total splenectomy",BD428="Partial splenectomy +/- splenopexy"),"Non-viable","Review"),IF(BB428="NR",IF(OR(BD428="Total splenectomy",BD428="Partial splenectomy +/- splenopexy"),"NR - removed, check reason","NR"),"Not applicable")))))</f>
        <v/>
      </c>
    </row>
    <row r="429">
      <c r="D429" s="8" t="n"/>
      <c r="E429" s="9">
        <f>IF(B429="","",IF(B429="OWN","Yes","No"))</f>
        <v/>
      </c>
      <c r="AF429" s="9">
        <f>IF(ISNUMBER(Z429),IF(Z429&lt;=2,"&lt;=2 d",IF(Z429&lt;=7,"3-7 d",IF(Z429&lt;=30,"8-30 d","&gt;30 d"))),IF(AE429&lt;&gt;"",AE429,IF(Z429="NR","NR","")))</f>
        <v/>
      </c>
      <c r="AX429" s="9">
        <f>IF(ISNUMBER(AW429),IF(AW429&gt;450,"Yes","No"),IF(AW429="NR","NR",""))</f>
        <v/>
      </c>
      <c r="BJ429" s="9">
        <f>IF(BB429="","",IF(BB429="Non-viable","Non-viable",IF(BB429="Viable","Viable",IF(BB429="Partially non-viable",IF(OR(BD429="Total splenectomy",BD429="Partial splenectomy +/- splenopexy"),"Non-viable","Review"),IF(BB429="NR",IF(OR(BD429="Total splenectomy",BD429="Partial splenectomy +/- splenopexy"),"NR - removed, check reason","NR"),"Not applicable")))))</f>
        <v/>
      </c>
    </row>
    <row r="430">
      <c r="D430" s="8" t="n"/>
      <c r="E430" s="9">
        <f>IF(B430="","",IF(B430="OWN","Yes","No"))</f>
        <v/>
      </c>
      <c r="AF430" s="9">
        <f>IF(ISNUMBER(Z430),IF(Z430&lt;=2,"&lt;=2 d",IF(Z430&lt;=7,"3-7 d",IF(Z430&lt;=30,"8-30 d","&gt;30 d"))),IF(AE430&lt;&gt;"",AE430,IF(Z430="NR","NR","")))</f>
        <v/>
      </c>
      <c r="AX430" s="9">
        <f>IF(ISNUMBER(AW430),IF(AW430&gt;450,"Yes","No"),IF(AW430="NR","NR",""))</f>
        <v/>
      </c>
      <c r="BJ430" s="9">
        <f>IF(BB430="","",IF(BB430="Non-viable","Non-viable",IF(BB430="Viable","Viable",IF(BB430="Partially non-viable",IF(OR(BD430="Total splenectomy",BD430="Partial splenectomy +/- splenopexy"),"Non-viable","Review"),IF(BB430="NR",IF(OR(BD430="Total splenectomy",BD430="Partial splenectomy +/- splenopexy"),"NR - removed, check reason","NR"),"Not applicable")))))</f>
        <v/>
      </c>
    </row>
    <row r="431">
      <c r="D431" s="8" t="n"/>
      <c r="E431" s="9">
        <f>IF(B431="","",IF(B431="OWN","Yes","No"))</f>
        <v/>
      </c>
      <c r="AF431" s="9">
        <f>IF(ISNUMBER(Z431),IF(Z431&lt;=2,"&lt;=2 d",IF(Z431&lt;=7,"3-7 d",IF(Z431&lt;=30,"8-30 d","&gt;30 d"))),IF(AE431&lt;&gt;"",AE431,IF(Z431="NR","NR","")))</f>
        <v/>
      </c>
      <c r="AX431" s="9">
        <f>IF(ISNUMBER(AW431),IF(AW431&gt;450,"Yes","No"),IF(AW431="NR","NR",""))</f>
        <v/>
      </c>
      <c r="BJ431" s="9">
        <f>IF(BB431="","",IF(BB431="Non-viable","Non-viable",IF(BB431="Viable","Viable",IF(BB431="Partially non-viable",IF(OR(BD431="Total splenectomy",BD431="Partial splenectomy +/- splenopexy"),"Non-viable","Review"),IF(BB431="NR",IF(OR(BD431="Total splenectomy",BD431="Partial splenectomy +/- splenopexy"),"NR - removed, check reason","NR"),"Not applicable")))))</f>
        <v/>
      </c>
    </row>
    <row r="432">
      <c r="D432" s="8" t="n"/>
      <c r="E432" s="9">
        <f>IF(B432="","",IF(B432="OWN","Yes","No"))</f>
        <v/>
      </c>
      <c r="AF432" s="9">
        <f>IF(ISNUMBER(Z432),IF(Z432&lt;=2,"&lt;=2 d",IF(Z432&lt;=7,"3-7 d",IF(Z432&lt;=30,"8-30 d","&gt;30 d"))),IF(AE432&lt;&gt;"",AE432,IF(Z432="NR","NR","")))</f>
        <v/>
      </c>
      <c r="AX432" s="9">
        <f>IF(ISNUMBER(AW432),IF(AW432&gt;450,"Yes","No"),IF(AW432="NR","NR",""))</f>
        <v/>
      </c>
      <c r="BJ432" s="9">
        <f>IF(BB432="","",IF(BB432="Non-viable","Non-viable",IF(BB432="Viable","Viable",IF(BB432="Partially non-viable",IF(OR(BD432="Total splenectomy",BD432="Partial splenectomy +/- splenopexy"),"Non-viable","Review"),IF(BB432="NR",IF(OR(BD432="Total splenectomy",BD432="Partial splenectomy +/- splenopexy"),"NR - removed, check reason","NR"),"Not applicable")))))</f>
        <v/>
      </c>
    </row>
    <row r="433">
      <c r="D433" s="8" t="n"/>
      <c r="E433" s="9">
        <f>IF(B433="","",IF(B433="OWN","Yes","No"))</f>
        <v/>
      </c>
      <c r="AF433" s="9">
        <f>IF(ISNUMBER(Z433),IF(Z433&lt;=2,"&lt;=2 d",IF(Z433&lt;=7,"3-7 d",IF(Z433&lt;=30,"8-30 d","&gt;30 d"))),IF(AE433&lt;&gt;"",AE433,IF(Z433="NR","NR","")))</f>
        <v/>
      </c>
      <c r="AX433" s="9">
        <f>IF(ISNUMBER(AW433),IF(AW433&gt;450,"Yes","No"),IF(AW433="NR","NR",""))</f>
        <v/>
      </c>
      <c r="BJ433" s="9">
        <f>IF(BB433="","",IF(BB433="Non-viable","Non-viable",IF(BB433="Viable","Viable",IF(BB433="Partially non-viable",IF(OR(BD433="Total splenectomy",BD433="Partial splenectomy +/- splenopexy"),"Non-viable","Review"),IF(BB433="NR",IF(OR(BD433="Total splenectomy",BD433="Partial splenectomy +/- splenopexy"),"NR - removed, check reason","NR"),"Not applicable")))))</f>
        <v/>
      </c>
    </row>
    <row r="434">
      <c r="D434" s="8" t="n"/>
      <c r="E434" s="9">
        <f>IF(B434="","",IF(B434="OWN","Yes","No"))</f>
        <v/>
      </c>
      <c r="AF434" s="9">
        <f>IF(ISNUMBER(Z434),IF(Z434&lt;=2,"&lt;=2 d",IF(Z434&lt;=7,"3-7 d",IF(Z434&lt;=30,"8-30 d","&gt;30 d"))),IF(AE434&lt;&gt;"",AE434,IF(Z434="NR","NR","")))</f>
        <v/>
      </c>
      <c r="AX434" s="9">
        <f>IF(ISNUMBER(AW434),IF(AW434&gt;450,"Yes","No"),IF(AW434="NR","NR",""))</f>
        <v/>
      </c>
      <c r="BJ434" s="9">
        <f>IF(BB434="","",IF(BB434="Non-viable","Non-viable",IF(BB434="Viable","Viable",IF(BB434="Partially non-viable",IF(OR(BD434="Total splenectomy",BD434="Partial splenectomy +/- splenopexy"),"Non-viable","Review"),IF(BB434="NR",IF(OR(BD434="Total splenectomy",BD434="Partial splenectomy +/- splenopexy"),"NR - removed, check reason","NR"),"Not applicable")))))</f>
        <v/>
      </c>
    </row>
    <row r="435">
      <c r="D435" s="8" t="n"/>
      <c r="E435" s="9">
        <f>IF(B435="","",IF(B435="OWN","Yes","No"))</f>
        <v/>
      </c>
      <c r="AF435" s="9">
        <f>IF(ISNUMBER(Z435),IF(Z435&lt;=2,"&lt;=2 d",IF(Z435&lt;=7,"3-7 d",IF(Z435&lt;=30,"8-30 d","&gt;30 d"))),IF(AE435&lt;&gt;"",AE435,IF(Z435="NR","NR","")))</f>
        <v/>
      </c>
      <c r="AX435" s="9">
        <f>IF(ISNUMBER(AW435),IF(AW435&gt;450,"Yes","No"),IF(AW435="NR","NR",""))</f>
        <v/>
      </c>
      <c r="BJ435" s="9">
        <f>IF(BB435="","",IF(BB435="Non-viable","Non-viable",IF(BB435="Viable","Viable",IF(BB435="Partially non-viable",IF(OR(BD435="Total splenectomy",BD435="Partial splenectomy +/- splenopexy"),"Non-viable","Review"),IF(BB435="NR",IF(OR(BD435="Total splenectomy",BD435="Partial splenectomy +/- splenopexy"),"NR - removed, check reason","NR"),"Not applicable")))))</f>
        <v/>
      </c>
    </row>
    <row r="436">
      <c r="D436" s="8" t="n"/>
      <c r="E436" s="9">
        <f>IF(B436="","",IF(B436="OWN","Yes","No"))</f>
        <v/>
      </c>
      <c r="AF436" s="9">
        <f>IF(ISNUMBER(Z436),IF(Z436&lt;=2,"&lt;=2 d",IF(Z436&lt;=7,"3-7 d",IF(Z436&lt;=30,"8-30 d","&gt;30 d"))),IF(AE436&lt;&gt;"",AE436,IF(Z436="NR","NR","")))</f>
        <v/>
      </c>
      <c r="AX436" s="9">
        <f>IF(ISNUMBER(AW436),IF(AW436&gt;450,"Yes","No"),IF(AW436="NR","NR",""))</f>
        <v/>
      </c>
      <c r="BJ436" s="9">
        <f>IF(BB436="","",IF(BB436="Non-viable","Non-viable",IF(BB436="Viable","Viable",IF(BB436="Partially non-viable",IF(OR(BD436="Total splenectomy",BD436="Partial splenectomy +/- splenopexy"),"Non-viable","Review"),IF(BB436="NR",IF(OR(BD436="Total splenectomy",BD436="Partial splenectomy +/- splenopexy"),"NR - removed, check reason","NR"),"Not applicable")))))</f>
        <v/>
      </c>
    </row>
    <row r="437">
      <c r="D437" s="8" t="n"/>
      <c r="E437" s="9">
        <f>IF(B437="","",IF(B437="OWN","Yes","No"))</f>
        <v/>
      </c>
      <c r="AF437" s="9">
        <f>IF(ISNUMBER(Z437),IF(Z437&lt;=2,"&lt;=2 d",IF(Z437&lt;=7,"3-7 d",IF(Z437&lt;=30,"8-30 d","&gt;30 d"))),IF(AE437&lt;&gt;"",AE437,IF(Z437="NR","NR","")))</f>
        <v/>
      </c>
      <c r="AX437" s="9">
        <f>IF(ISNUMBER(AW437),IF(AW437&gt;450,"Yes","No"),IF(AW437="NR","NR",""))</f>
        <v/>
      </c>
      <c r="BJ437" s="9">
        <f>IF(BB437="","",IF(BB437="Non-viable","Non-viable",IF(BB437="Viable","Viable",IF(BB437="Partially non-viable",IF(OR(BD437="Total splenectomy",BD437="Partial splenectomy +/- splenopexy"),"Non-viable","Review"),IF(BB437="NR",IF(OR(BD437="Total splenectomy",BD437="Partial splenectomy +/- splenopexy"),"NR - removed, check reason","NR"),"Not applicable")))))</f>
        <v/>
      </c>
    </row>
    <row r="438">
      <c r="D438" s="8" t="n"/>
      <c r="E438" s="9">
        <f>IF(B438="","",IF(B438="OWN","Yes","No"))</f>
        <v/>
      </c>
      <c r="AF438" s="9">
        <f>IF(ISNUMBER(Z438),IF(Z438&lt;=2,"&lt;=2 d",IF(Z438&lt;=7,"3-7 d",IF(Z438&lt;=30,"8-30 d","&gt;30 d"))),IF(AE438&lt;&gt;"",AE438,IF(Z438="NR","NR","")))</f>
        <v/>
      </c>
      <c r="AX438" s="9">
        <f>IF(ISNUMBER(AW438),IF(AW438&gt;450,"Yes","No"),IF(AW438="NR","NR",""))</f>
        <v/>
      </c>
      <c r="BJ438" s="9">
        <f>IF(BB438="","",IF(BB438="Non-viable","Non-viable",IF(BB438="Viable","Viable",IF(BB438="Partially non-viable",IF(OR(BD438="Total splenectomy",BD438="Partial splenectomy +/- splenopexy"),"Non-viable","Review"),IF(BB438="NR",IF(OR(BD438="Total splenectomy",BD438="Partial splenectomy +/- splenopexy"),"NR - removed, check reason","NR"),"Not applicable")))))</f>
        <v/>
      </c>
    </row>
    <row r="439">
      <c r="D439" s="8" t="n"/>
      <c r="E439" s="9">
        <f>IF(B439="","",IF(B439="OWN","Yes","No"))</f>
        <v/>
      </c>
      <c r="AF439" s="9">
        <f>IF(ISNUMBER(Z439),IF(Z439&lt;=2,"&lt;=2 d",IF(Z439&lt;=7,"3-7 d",IF(Z439&lt;=30,"8-30 d","&gt;30 d"))),IF(AE439&lt;&gt;"",AE439,IF(Z439="NR","NR","")))</f>
        <v/>
      </c>
      <c r="AX439" s="9">
        <f>IF(ISNUMBER(AW439),IF(AW439&gt;450,"Yes","No"),IF(AW439="NR","NR",""))</f>
        <v/>
      </c>
      <c r="BJ439" s="9">
        <f>IF(BB439="","",IF(BB439="Non-viable","Non-viable",IF(BB439="Viable","Viable",IF(BB439="Partially non-viable",IF(OR(BD439="Total splenectomy",BD439="Partial splenectomy +/- splenopexy"),"Non-viable","Review"),IF(BB439="NR",IF(OR(BD439="Total splenectomy",BD439="Partial splenectomy +/- splenopexy"),"NR - removed, check reason","NR"),"Not applicable")))))</f>
        <v/>
      </c>
    </row>
    <row r="440">
      <c r="D440" s="8" t="n"/>
      <c r="E440" s="9">
        <f>IF(B440="","",IF(B440="OWN","Yes","No"))</f>
        <v/>
      </c>
      <c r="AF440" s="9">
        <f>IF(ISNUMBER(Z440),IF(Z440&lt;=2,"&lt;=2 d",IF(Z440&lt;=7,"3-7 d",IF(Z440&lt;=30,"8-30 d","&gt;30 d"))),IF(AE440&lt;&gt;"",AE440,IF(Z440="NR","NR","")))</f>
        <v/>
      </c>
      <c r="AX440" s="9">
        <f>IF(ISNUMBER(AW440),IF(AW440&gt;450,"Yes","No"),IF(AW440="NR","NR",""))</f>
        <v/>
      </c>
      <c r="BJ440" s="9">
        <f>IF(BB440="","",IF(BB440="Non-viable","Non-viable",IF(BB440="Viable","Viable",IF(BB440="Partially non-viable",IF(OR(BD440="Total splenectomy",BD440="Partial splenectomy +/- splenopexy"),"Non-viable","Review"),IF(BB440="NR",IF(OR(BD440="Total splenectomy",BD440="Partial splenectomy +/- splenopexy"),"NR - removed, check reason","NR"),"Not applicable")))))</f>
        <v/>
      </c>
    </row>
    <row r="441">
      <c r="D441" s="8" t="n"/>
      <c r="E441" s="9">
        <f>IF(B441="","",IF(B441="OWN","Yes","No"))</f>
        <v/>
      </c>
      <c r="AF441" s="9">
        <f>IF(ISNUMBER(Z441),IF(Z441&lt;=2,"&lt;=2 d",IF(Z441&lt;=7,"3-7 d",IF(Z441&lt;=30,"8-30 d","&gt;30 d"))),IF(AE441&lt;&gt;"",AE441,IF(Z441="NR","NR","")))</f>
        <v/>
      </c>
      <c r="AX441" s="9">
        <f>IF(ISNUMBER(AW441),IF(AW441&gt;450,"Yes","No"),IF(AW441="NR","NR",""))</f>
        <v/>
      </c>
      <c r="BJ441" s="9">
        <f>IF(BB441="","",IF(BB441="Non-viable","Non-viable",IF(BB441="Viable","Viable",IF(BB441="Partially non-viable",IF(OR(BD441="Total splenectomy",BD441="Partial splenectomy +/- splenopexy"),"Non-viable","Review"),IF(BB441="NR",IF(OR(BD441="Total splenectomy",BD441="Partial splenectomy +/- splenopexy"),"NR - removed, check reason","NR"),"Not applicable")))))</f>
        <v/>
      </c>
    </row>
    <row r="442">
      <c r="D442" s="8" t="n"/>
      <c r="E442" s="9">
        <f>IF(B442="","",IF(B442="OWN","Yes","No"))</f>
        <v/>
      </c>
      <c r="AF442" s="9">
        <f>IF(ISNUMBER(Z442),IF(Z442&lt;=2,"&lt;=2 d",IF(Z442&lt;=7,"3-7 d",IF(Z442&lt;=30,"8-30 d","&gt;30 d"))),IF(AE442&lt;&gt;"",AE442,IF(Z442="NR","NR","")))</f>
        <v/>
      </c>
      <c r="AX442" s="9">
        <f>IF(ISNUMBER(AW442),IF(AW442&gt;450,"Yes","No"),IF(AW442="NR","NR",""))</f>
        <v/>
      </c>
      <c r="BJ442" s="9">
        <f>IF(BB442="","",IF(BB442="Non-viable","Non-viable",IF(BB442="Viable","Viable",IF(BB442="Partially non-viable",IF(OR(BD442="Total splenectomy",BD442="Partial splenectomy +/- splenopexy"),"Non-viable","Review"),IF(BB442="NR",IF(OR(BD442="Total splenectomy",BD442="Partial splenectomy +/- splenopexy"),"NR - removed, check reason","NR"),"Not applicable")))))</f>
        <v/>
      </c>
    </row>
    <row r="443">
      <c r="D443" s="8" t="n"/>
      <c r="E443" s="9">
        <f>IF(B443="","",IF(B443="OWN","Yes","No"))</f>
        <v/>
      </c>
      <c r="AF443" s="9">
        <f>IF(ISNUMBER(Z443),IF(Z443&lt;=2,"&lt;=2 d",IF(Z443&lt;=7,"3-7 d",IF(Z443&lt;=30,"8-30 d","&gt;30 d"))),IF(AE443&lt;&gt;"",AE443,IF(Z443="NR","NR","")))</f>
        <v/>
      </c>
      <c r="AX443" s="9">
        <f>IF(ISNUMBER(AW443),IF(AW443&gt;450,"Yes","No"),IF(AW443="NR","NR",""))</f>
        <v/>
      </c>
      <c r="BJ443" s="9">
        <f>IF(BB443="","",IF(BB443="Non-viable","Non-viable",IF(BB443="Viable","Viable",IF(BB443="Partially non-viable",IF(OR(BD443="Total splenectomy",BD443="Partial splenectomy +/- splenopexy"),"Non-viable","Review"),IF(BB443="NR",IF(OR(BD443="Total splenectomy",BD443="Partial splenectomy +/- splenopexy"),"NR - removed, check reason","NR"),"Not applicable")))))</f>
        <v/>
      </c>
    </row>
    <row r="444">
      <c r="D444" s="8" t="n"/>
      <c r="E444" s="9">
        <f>IF(B444="","",IF(B444="OWN","Yes","No"))</f>
        <v/>
      </c>
      <c r="AF444" s="9">
        <f>IF(ISNUMBER(Z444),IF(Z444&lt;=2,"&lt;=2 d",IF(Z444&lt;=7,"3-7 d",IF(Z444&lt;=30,"8-30 d","&gt;30 d"))),IF(AE444&lt;&gt;"",AE444,IF(Z444="NR","NR","")))</f>
        <v/>
      </c>
      <c r="AX444" s="9">
        <f>IF(ISNUMBER(AW444),IF(AW444&gt;450,"Yes","No"),IF(AW444="NR","NR",""))</f>
        <v/>
      </c>
      <c r="BJ444" s="9">
        <f>IF(BB444="","",IF(BB444="Non-viable","Non-viable",IF(BB444="Viable","Viable",IF(BB444="Partially non-viable",IF(OR(BD444="Total splenectomy",BD444="Partial splenectomy +/- splenopexy"),"Non-viable","Review"),IF(BB444="NR",IF(OR(BD444="Total splenectomy",BD444="Partial splenectomy +/- splenopexy"),"NR - removed, check reason","NR"),"Not applicable")))))</f>
        <v/>
      </c>
    </row>
    <row r="445">
      <c r="D445" s="8" t="n"/>
      <c r="E445" s="9">
        <f>IF(B445="","",IF(B445="OWN","Yes","No"))</f>
        <v/>
      </c>
      <c r="AF445" s="9">
        <f>IF(ISNUMBER(Z445),IF(Z445&lt;=2,"&lt;=2 d",IF(Z445&lt;=7,"3-7 d",IF(Z445&lt;=30,"8-30 d","&gt;30 d"))),IF(AE445&lt;&gt;"",AE445,IF(Z445="NR","NR","")))</f>
        <v/>
      </c>
      <c r="AX445" s="9">
        <f>IF(ISNUMBER(AW445),IF(AW445&gt;450,"Yes","No"),IF(AW445="NR","NR",""))</f>
        <v/>
      </c>
      <c r="BJ445" s="9">
        <f>IF(BB445="","",IF(BB445="Non-viable","Non-viable",IF(BB445="Viable","Viable",IF(BB445="Partially non-viable",IF(OR(BD445="Total splenectomy",BD445="Partial splenectomy +/- splenopexy"),"Non-viable","Review"),IF(BB445="NR",IF(OR(BD445="Total splenectomy",BD445="Partial splenectomy +/- splenopexy"),"NR - removed, check reason","NR"),"Not applicable")))))</f>
        <v/>
      </c>
    </row>
    <row r="446">
      <c r="D446" s="8" t="n"/>
      <c r="E446" s="9">
        <f>IF(B446="","",IF(B446="OWN","Yes","No"))</f>
        <v/>
      </c>
      <c r="AF446" s="9">
        <f>IF(ISNUMBER(Z446),IF(Z446&lt;=2,"&lt;=2 d",IF(Z446&lt;=7,"3-7 d",IF(Z446&lt;=30,"8-30 d","&gt;30 d"))),IF(AE446&lt;&gt;"",AE446,IF(Z446="NR","NR","")))</f>
        <v/>
      </c>
      <c r="AX446" s="9">
        <f>IF(ISNUMBER(AW446),IF(AW446&gt;450,"Yes","No"),IF(AW446="NR","NR",""))</f>
        <v/>
      </c>
      <c r="BJ446" s="9">
        <f>IF(BB446="","",IF(BB446="Non-viable","Non-viable",IF(BB446="Viable","Viable",IF(BB446="Partially non-viable",IF(OR(BD446="Total splenectomy",BD446="Partial splenectomy +/- splenopexy"),"Non-viable","Review"),IF(BB446="NR",IF(OR(BD446="Total splenectomy",BD446="Partial splenectomy +/- splenopexy"),"NR - removed, check reason","NR"),"Not applicable")))))</f>
        <v/>
      </c>
    </row>
    <row r="447">
      <c r="D447" s="8" t="n"/>
      <c r="E447" s="9">
        <f>IF(B447="","",IF(B447="OWN","Yes","No"))</f>
        <v/>
      </c>
      <c r="AF447" s="9">
        <f>IF(ISNUMBER(Z447),IF(Z447&lt;=2,"&lt;=2 d",IF(Z447&lt;=7,"3-7 d",IF(Z447&lt;=30,"8-30 d","&gt;30 d"))),IF(AE447&lt;&gt;"",AE447,IF(Z447="NR","NR","")))</f>
        <v/>
      </c>
      <c r="AX447" s="9">
        <f>IF(ISNUMBER(AW447),IF(AW447&gt;450,"Yes","No"),IF(AW447="NR","NR",""))</f>
        <v/>
      </c>
      <c r="BJ447" s="9">
        <f>IF(BB447="","",IF(BB447="Non-viable","Non-viable",IF(BB447="Viable","Viable",IF(BB447="Partially non-viable",IF(OR(BD447="Total splenectomy",BD447="Partial splenectomy +/- splenopexy"),"Non-viable","Review"),IF(BB447="NR",IF(OR(BD447="Total splenectomy",BD447="Partial splenectomy +/- splenopexy"),"NR - removed, check reason","NR"),"Not applicable")))))</f>
        <v/>
      </c>
    </row>
    <row r="448">
      <c r="D448" s="8" t="n"/>
      <c r="E448" s="9">
        <f>IF(B448="","",IF(B448="OWN","Yes","No"))</f>
        <v/>
      </c>
      <c r="AF448" s="9">
        <f>IF(ISNUMBER(Z448),IF(Z448&lt;=2,"&lt;=2 d",IF(Z448&lt;=7,"3-7 d",IF(Z448&lt;=30,"8-30 d","&gt;30 d"))),IF(AE448&lt;&gt;"",AE448,IF(Z448="NR","NR","")))</f>
        <v/>
      </c>
      <c r="AX448" s="9">
        <f>IF(ISNUMBER(AW448),IF(AW448&gt;450,"Yes","No"),IF(AW448="NR","NR",""))</f>
        <v/>
      </c>
      <c r="BJ448" s="9">
        <f>IF(BB448="","",IF(BB448="Non-viable","Non-viable",IF(BB448="Viable","Viable",IF(BB448="Partially non-viable",IF(OR(BD448="Total splenectomy",BD448="Partial splenectomy +/- splenopexy"),"Non-viable","Review"),IF(BB448="NR",IF(OR(BD448="Total splenectomy",BD448="Partial splenectomy +/- splenopexy"),"NR - removed, check reason","NR"),"Not applicable")))))</f>
        <v/>
      </c>
    </row>
    <row r="449">
      <c r="D449" s="8" t="n"/>
      <c r="E449" s="9">
        <f>IF(B449="","",IF(B449="OWN","Yes","No"))</f>
        <v/>
      </c>
      <c r="AF449" s="9">
        <f>IF(ISNUMBER(Z449),IF(Z449&lt;=2,"&lt;=2 d",IF(Z449&lt;=7,"3-7 d",IF(Z449&lt;=30,"8-30 d","&gt;30 d"))),IF(AE449&lt;&gt;"",AE449,IF(Z449="NR","NR","")))</f>
        <v/>
      </c>
      <c r="AX449" s="9">
        <f>IF(ISNUMBER(AW449),IF(AW449&gt;450,"Yes","No"),IF(AW449="NR","NR",""))</f>
        <v/>
      </c>
      <c r="BJ449" s="9">
        <f>IF(BB449="","",IF(BB449="Non-viable","Non-viable",IF(BB449="Viable","Viable",IF(BB449="Partially non-viable",IF(OR(BD449="Total splenectomy",BD449="Partial splenectomy +/- splenopexy"),"Non-viable","Review"),IF(BB449="NR",IF(OR(BD449="Total splenectomy",BD449="Partial splenectomy +/- splenopexy"),"NR - removed, check reason","NR"),"Not applicable")))))</f>
        <v/>
      </c>
    </row>
    <row r="450">
      <c r="D450" s="8" t="n"/>
      <c r="E450" s="9">
        <f>IF(B450="","",IF(B450="OWN","Yes","No"))</f>
        <v/>
      </c>
      <c r="AF450" s="9">
        <f>IF(ISNUMBER(Z450),IF(Z450&lt;=2,"&lt;=2 d",IF(Z450&lt;=7,"3-7 d",IF(Z450&lt;=30,"8-30 d","&gt;30 d"))),IF(AE450&lt;&gt;"",AE450,IF(Z450="NR","NR","")))</f>
        <v/>
      </c>
      <c r="AX450" s="9">
        <f>IF(ISNUMBER(AW450),IF(AW450&gt;450,"Yes","No"),IF(AW450="NR","NR",""))</f>
        <v/>
      </c>
      <c r="BJ450" s="9">
        <f>IF(BB450="","",IF(BB450="Non-viable","Non-viable",IF(BB450="Viable","Viable",IF(BB450="Partially non-viable",IF(OR(BD450="Total splenectomy",BD450="Partial splenectomy +/- splenopexy"),"Non-viable","Review"),IF(BB450="NR",IF(OR(BD450="Total splenectomy",BD450="Partial splenectomy +/- splenopexy"),"NR - removed, check reason","NR"),"Not applicable")))))</f>
        <v/>
      </c>
    </row>
    <row r="451">
      <c r="D451" s="8" t="n"/>
      <c r="E451" s="9">
        <f>IF(B451="","",IF(B451="OWN","Yes","No"))</f>
        <v/>
      </c>
      <c r="AF451" s="9">
        <f>IF(ISNUMBER(Z451),IF(Z451&lt;=2,"&lt;=2 d",IF(Z451&lt;=7,"3-7 d",IF(Z451&lt;=30,"8-30 d","&gt;30 d"))),IF(AE451&lt;&gt;"",AE451,IF(Z451="NR","NR","")))</f>
        <v/>
      </c>
      <c r="AX451" s="9">
        <f>IF(ISNUMBER(AW451),IF(AW451&gt;450,"Yes","No"),IF(AW451="NR","NR",""))</f>
        <v/>
      </c>
      <c r="BJ451" s="9">
        <f>IF(BB451="","",IF(BB451="Non-viable","Non-viable",IF(BB451="Viable","Viable",IF(BB451="Partially non-viable",IF(OR(BD451="Total splenectomy",BD451="Partial splenectomy +/- splenopexy"),"Non-viable","Review"),IF(BB451="NR",IF(OR(BD451="Total splenectomy",BD451="Partial splenectomy +/- splenopexy"),"NR - removed, check reason","NR"),"Not applicable")))))</f>
        <v/>
      </c>
    </row>
    <row r="452">
      <c r="D452" s="8" t="n"/>
      <c r="E452" s="9">
        <f>IF(B452="","",IF(B452="OWN","Yes","No"))</f>
        <v/>
      </c>
      <c r="AF452" s="9">
        <f>IF(ISNUMBER(Z452),IF(Z452&lt;=2,"&lt;=2 d",IF(Z452&lt;=7,"3-7 d",IF(Z452&lt;=30,"8-30 d","&gt;30 d"))),IF(AE452&lt;&gt;"",AE452,IF(Z452="NR","NR","")))</f>
        <v/>
      </c>
      <c r="AX452" s="9">
        <f>IF(ISNUMBER(AW452),IF(AW452&gt;450,"Yes","No"),IF(AW452="NR","NR",""))</f>
        <v/>
      </c>
      <c r="BJ452" s="9">
        <f>IF(BB452="","",IF(BB452="Non-viable","Non-viable",IF(BB452="Viable","Viable",IF(BB452="Partially non-viable",IF(OR(BD452="Total splenectomy",BD452="Partial splenectomy +/- splenopexy"),"Non-viable","Review"),IF(BB452="NR",IF(OR(BD452="Total splenectomy",BD452="Partial splenectomy +/- splenopexy"),"NR - removed, check reason","NR"),"Not applicable")))))</f>
        <v/>
      </c>
    </row>
    <row r="453">
      <c r="D453" s="8" t="n"/>
      <c r="E453" s="9">
        <f>IF(B453="","",IF(B453="OWN","Yes","No"))</f>
        <v/>
      </c>
      <c r="AF453" s="9">
        <f>IF(ISNUMBER(Z453),IF(Z453&lt;=2,"&lt;=2 d",IF(Z453&lt;=7,"3-7 d",IF(Z453&lt;=30,"8-30 d","&gt;30 d"))),IF(AE453&lt;&gt;"",AE453,IF(Z453="NR","NR","")))</f>
        <v/>
      </c>
      <c r="AX453" s="9">
        <f>IF(ISNUMBER(AW453),IF(AW453&gt;450,"Yes","No"),IF(AW453="NR","NR",""))</f>
        <v/>
      </c>
      <c r="BJ453" s="9">
        <f>IF(BB453="","",IF(BB453="Non-viable","Non-viable",IF(BB453="Viable","Viable",IF(BB453="Partially non-viable",IF(OR(BD453="Total splenectomy",BD453="Partial splenectomy +/- splenopexy"),"Non-viable","Review"),IF(BB453="NR",IF(OR(BD453="Total splenectomy",BD453="Partial splenectomy +/- splenopexy"),"NR - removed, check reason","NR"),"Not applicable")))))</f>
        <v/>
      </c>
    </row>
    <row r="454">
      <c r="D454" s="8" t="n"/>
      <c r="E454" s="9">
        <f>IF(B454="","",IF(B454="OWN","Yes","No"))</f>
        <v/>
      </c>
      <c r="AF454" s="9">
        <f>IF(ISNUMBER(Z454),IF(Z454&lt;=2,"&lt;=2 d",IF(Z454&lt;=7,"3-7 d",IF(Z454&lt;=30,"8-30 d","&gt;30 d"))),IF(AE454&lt;&gt;"",AE454,IF(Z454="NR","NR","")))</f>
        <v/>
      </c>
      <c r="AX454" s="9">
        <f>IF(ISNUMBER(AW454),IF(AW454&gt;450,"Yes","No"),IF(AW454="NR","NR",""))</f>
        <v/>
      </c>
      <c r="BJ454" s="9">
        <f>IF(BB454="","",IF(BB454="Non-viable","Non-viable",IF(BB454="Viable","Viable",IF(BB454="Partially non-viable",IF(OR(BD454="Total splenectomy",BD454="Partial splenectomy +/- splenopexy"),"Non-viable","Review"),IF(BB454="NR",IF(OR(BD454="Total splenectomy",BD454="Partial splenectomy +/- splenopexy"),"NR - removed, check reason","NR"),"Not applicable")))))</f>
        <v/>
      </c>
    </row>
    <row r="455">
      <c r="D455" s="8" t="n"/>
      <c r="E455" s="9">
        <f>IF(B455="","",IF(B455="OWN","Yes","No"))</f>
        <v/>
      </c>
      <c r="AF455" s="9">
        <f>IF(ISNUMBER(Z455),IF(Z455&lt;=2,"&lt;=2 d",IF(Z455&lt;=7,"3-7 d",IF(Z455&lt;=30,"8-30 d","&gt;30 d"))),IF(AE455&lt;&gt;"",AE455,IF(Z455="NR","NR","")))</f>
        <v/>
      </c>
      <c r="AX455" s="9">
        <f>IF(ISNUMBER(AW455),IF(AW455&gt;450,"Yes","No"),IF(AW455="NR","NR",""))</f>
        <v/>
      </c>
      <c r="BJ455" s="9">
        <f>IF(BB455="","",IF(BB455="Non-viable","Non-viable",IF(BB455="Viable","Viable",IF(BB455="Partially non-viable",IF(OR(BD455="Total splenectomy",BD455="Partial splenectomy +/- splenopexy"),"Non-viable","Review"),IF(BB455="NR",IF(OR(BD455="Total splenectomy",BD455="Partial splenectomy +/- splenopexy"),"NR - removed, check reason","NR"),"Not applicable")))))</f>
        <v/>
      </c>
    </row>
    <row r="456">
      <c r="D456" s="8" t="n"/>
      <c r="E456" s="9">
        <f>IF(B456="","",IF(B456="OWN","Yes","No"))</f>
        <v/>
      </c>
      <c r="AF456" s="9">
        <f>IF(ISNUMBER(Z456),IF(Z456&lt;=2,"&lt;=2 d",IF(Z456&lt;=7,"3-7 d",IF(Z456&lt;=30,"8-30 d","&gt;30 d"))),IF(AE456&lt;&gt;"",AE456,IF(Z456="NR","NR","")))</f>
        <v/>
      </c>
      <c r="AX456" s="9">
        <f>IF(ISNUMBER(AW456),IF(AW456&gt;450,"Yes","No"),IF(AW456="NR","NR",""))</f>
        <v/>
      </c>
      <c r="BJ456" s="9">
        <f>IF(BB456="","",IF(BB456="Non-viable","Non-viable",IF(BB456="Viable","Viable",IF(BB456="Partially non-viable",IF(OR(BD456="Total splenectomy",BD456="Partial splenectomy +/- splenopexy"),"Non-viable","Review"),IF(BB456="NR",IF(OR(BD456="Total splenectomy",BD456="Partial splenectomy +/- splenopexy"),"NR - removed, check reason","NR"),"Not applicable")))))</f>
        <v/>
      </c>
    </row>
    <row r="457">
      <c r="D457" s="8" t="n"/>
      <c r="E457" s="9">
        <f>IF(B457="","",IF(B457="OWN","Yes","No"))</f>
        <v/>
      </c>
      <c r="AF457" s="9">
        <f>IF(ISNUMBER(Z457),IF(Z457&lt;=2,"&lt;=2 d",IF(Z457&lt;=7,"3-7 d",IF(Z457&lt;=30,"8-30 d","&gt;30 d"))),IF(AE457&lt;&gt;"",AE457,IF(Z457="NR","NR","")))</f>
        <v/>
      </c>
      <c r="AX457" s="9">
        <f>IF(ISNUMBER(AW457),IF(AW457&gt;450,"Yes","No"),IF(AW457="NR","NR",""))</f>
        <v/>
      </c>
      <c r="BJ457" s="9">
        <f>IF(BB457="","",IF(BB457="Non-viable","Non-viable",IF(BB457="Viable","Viable",IF(BB457="Partially non-viable",IF(OR(BD457="Total splenectomy",BD457="Partial splenectomy +/- splenopexy"),"Non-viable","Review"),IF(BB457="NR",IF(OR(BD457="Total splenectomy",BD457="Partial splenectomy +/- splenopexy"),"NR - removed, check reason","NR"),"Not applicable")))))</f>
        <v/>
      </c>
    </row>
    <row r="458">
      <c r="D458" s="8" t="n"/>
      <c r="E458" s="9">
        <f>IF(B458="","",IF(B458="OWN","Yes","No"))</f>
        <v/>
      </c>
      <c r="AF458" s="9">
        <f>IF(ISNUMBER(Z458),IF(Z458&lt;=2,"&lt;=2 d",IF(Z458&lt;=7,"3-7 d",IF(Z458&lt;=30,"8-30 d","&gt;30 d"))),IF(AE458&lt;&gt;"",AE458,IF(Z458="NR","NR","")))</f>
        <v/>
      </c>
      <c r="AX458" s="9">
        <f>IF(ISNUMBER(AW458),IF(AW458&gt;450,"Yes","No"),IF(AW458="NR","NR",""))</f>
        <v/>
      </c>
      <c r="BJ458" s="9">
        <f>IF(BB458="","",IF(BB458="Non-viable","Non-viable",IF(BB458="Viable","Viable",IF(BB458="Partially non-viable",IF(OR(BD458="Total splenectomy",BD458="Partial splenectomy +/- splenopexy"),"Non-viable","Review"),IF(BB458="NR",IF(OR(BD458="Total splenectomy",BD458="Partial splenectomy +/- splenopexy"),"NR - removed, check reason","NR"),"Not applicable")))))</f>
        <v/>
      </c>
    </row>
    <row r="459">
      <c r="D459" s="8" t="n"/>
      <c r="E459" s="9">
        <f>IF(B459="","",IF(B459="OWN","Yes","No"))</f>
        <v/>
      </c>
      <c r="AF459" s="9">
        <f>IF(ISNUMBER(Z459),IF(Z459&lt;=2,"&lt;=2 d",IF(Z459&lt;=7,"3-7 d",IF(Z459&lt;=30,"8-30 d","&gt;30 d"))),IF(AE459&lt;&gt;"",AE459,IF(Z459="NR","NR","")))</f>
        <v/>
      </c>
      <c r="AX459" s="9">
        <f>IF(ISNUMBER(AW459),IF(AW459&gt;450,"Yes","No"),IF(AW459="NR","NR",""))</f>
        <v/>
      </c>
      <c r="BJ459" s="9">
        <f>IF(BB459="","",IF(BB459="Non-viable","Non-viable",IF(BB459="Viable","Viable",IF(BB459="Partially non-viable",IF(OR(BD459="Total splenectomy",BD459="Partial splenectomy +/- splenopexy"),"Non-viable","Review"),IF(BB459="NR",IF(OR(BD459="Total splenectomy",BD459="Partial splenectomy +/- splenopexy"),"NR - removed, check reason","NR"),"Not applicable")))))</f>
        <v/>
      </c>
    </row>
    <row r="460">
      <c r="D460" s="8" t="n"/>
      <c r="E460" s="9">
        <f>IF(B460="","",IF(B460="OWN","Yes","No"))</f>
        <v/>
      </c>
      <c r="AF460" s="9">
        <f>IF(ISNUMBER(Z460),IF(Z460&lt;=2,"&lt;=2 d",IF(Z460&lt;=7,"3-7 d",IF(Z460&lt;=30,"8-30 d","&gt;30 d"))),IF(AE460&lt;&gt;"",AE460,IF(Z460="NR","NR","")))</f>
        <v/>
      </c>
      <c r="AX460" s="9">
        <f>IF(ISNUMBER(AW460),IF(AW460&gt;450,"Yes","No"),IF(AW460="NR","NR",""))</f>
        <v/>
      </c>
      <c r="BJ460" s="9">
        <f>IF(BB460="","",IF(BB460="Non-viable","Non-viable",IF(BB460="Viable","Viable",IF(BB460="Partially non-viable",IF(OR(BD460="Total splenectomy",BD460="Partial splenectomy +/- splenopexy"),"Non-viable","Review"),IF(BB460="NR",IF(OR(BD460="Total splenectomy",BD460="Partial splenectomy +/- splenopexy"),"NR - removed, check reason","NR"),"Not applicable")))))</f>
        <v/>
      </c>
    </row>
    <row r="461">
      <c r="D461" s="8" t="n"/>
      <c r="E461" s="9">
        <f>IF(B461="","",IF(B461="OWN","Yes","No"))</f>
        <v/>
      </c>
      <c r="AF461" s="9">
        <f>IF(ISNUMBER(Z461),IF(Z461&lt;=2,"&lt;=2 d",IF(Z461&lt;=7,"3-7 d",IF(Z461&lt;=30,"8-30 d","&gt;30 d"))),IF(AE461&lt;&gt;"",AE461,IF(Z461="NR","NR","")))</f>
        <v/>
      </c>
      <c r="AX461" s="9">
        <f>IF(ISNUMBER(AW461),IF(AW461&gt;450,"Yes","No"),IF(AW461="NR","NR",""))</f>
        <v/>
      </c>
      <c r="BJ461" s="9">
        <f>IF(BB461="","",IF(BB461="Non-viable","Non-viable",IF(BB461="Viable","Viable",IF(BB461="Partially non-viable",IF(OR(BD461="Total splenectomy",BD461="Partial splenectomy +/- splenopexy"),"Non-viable","Review"),IF(BB461="NR",IF(OR(BD461="Total splenectomy",BD461="Partial splenectomy +/- splenopexy"),"NR - removed, check reason","NR"),"Not applicable")))))</f>
        <v/>
      </c>
    </row>
    <row r="462">
      <c r="D462" s="8" t="n"/>
      <c r="E462" s="9">
        <f>IF(B462="","",IF(B462="OWN","Yes","No"))</f>
        <v/>
      </c>
      <c r="AF462" s="9">
        <f>IF(ISNUMBER(Z462),IF(Z462&lt;=2,"&lt;=2 d",IF(Z462&lt;=7,"3-7 d",IF(Z462&lt;=30,"8-30 d","&gt;30 d"))),IF(AE462&lt;&gt;"",AE462,IF(Z462="NR","NR","")))</f>
        <v/>
      </c>
      <c r="AX462" s="9">
        <f>IF(ISNUMBER(AW462),IF(AW462&gt;450,"Yes","No"),IF(AW462="NR","NR",""))</f>
        <v/>
      </c>
      <c r="BJ462" s="9">
        <f>IF(BB462="","",IF(BB462="Non-viable","Non-viable",IF(BB462="Viable","Viable",IF(BB462="Partially non-viable",IF(OR(BD462="Total splenectomy",BD462="Partial splenectomy +/- splenopexy"),"Non-viable","Review"),IF(BB462="NR",IF(OR(BD462="Total splenectomy",BD462="Partial splenectomy +/- splenopexy"),"NR - removed, check reason","NR"),"Not applicable")))))</f>
        <v/>
      </c>
    </row>
    <row r="463">
      <c r="D463" s="8" t="n"/>
      <c r="E463" s="9">
        <f>IF(B463="","",IF(B463="OWN","Yes","No"))</f>
        <v/>
      </c>
      <c r="AF463" s="9">
        <f>IF(ISNUMBER(Z463),IF(Z463&lt;=2,"&lt;=2 d",IF(Z463&lt;=7,"3-7 d",IF(Z463&lt;=30,"8-30 d","&gt;30 d"))),IF(AE463&lt;&gt;"",AE463,IF(Z463="NR","NR","")))</f>
        <v/>
      </c>
      <c r="AX463" s="9">
        <f>IF(ISNUMBER(AW463),IF(AW463&gt;450,"Yes","No"),IF(AW463="NR","NR",""))</f>
        <v/>
      </c>
      <c r="BJ463" s="9">
        <f>IF(BB463="","",IF(BB463="Non-viable","Non-viable",IF(BB463="Viable","Viable",IF(BB463="Partially non-viable",IF(OR(BD463="Total splenectomy",BD463="Partial splenectomy +/- splenopexy"),"Non-viable","Review"),IF(BB463="NR",IF(OR(BD463="Total splenectomy",BD463="Partial splenectomy +/- splenopexy"),"NR - removed, check reason","NR"),"Not applicable")))))</f>
        <v/>
      </c>
    </row>
    <row r="464">
      <c r="D464" s="8" t="n"/>
      <c r="E464" s="9">
        <f>IF(B464="","",IF(B464="OWN","Yes","No"))</f>
        <v/>
      </c>
      <c r="AF464" s="9">
        <f>IF(ISNUMBER(Z464),IF(Z464&lt;=2,"&lt;=2 d",IF(Z464&lt;=7,"3-7 d",IF(Z464&lt;=30,"8-30 d","&gt;30 d"))),IF(AE464&lt;&gt;"",AE464,IF(Z464="NR","NR","")))</f>
        <v/>
      </c>
      <c r="AX464" s="9">
        <f>IF(ISNUMBER(AW464),IF(AW464&gt;450,"Yes","No"),IF(AW464="NR","NR",""))</f>
        <v/>
      </c>
      <c r="BJ464" s="9">
        <f>IF(BB464="","",IF(BB464="Non-viable","Non-viable",IF(BB464="Viable","Viable",IF(BB464="Partially non-viable",IF(OR(BD464="Total splenectomy",BD464="Partial splenectomy +/- splenopexy"),"Non-viable","Review"),IF(BB464="NR",IF(OR(BD464="Total splenectomy",BD464="Partial splenectomy +/- splenopexy"),"NR - removed, check reason","NR"),"Not applicable")))))</f>
        <v/>
      </c>
    </row>
    <row r="465">
      <c r="D465" s="8" t="n"/>
      <c r="E465" s="9">
        <f>IF(B465="","",IF(B465="OWN","Yes","No"))</f>
        <v/>
      </c>
      <c r="AF465" s="9">
        <f>IF(ISNUMBER(Z465),IF(Z465&lt;=2,"&lt;=2 d",IF(Z465&lt;=7,"3-7 d",IF(Z465&lt;=30,"8-30 d","&gt;30 d"))),IF(AE465&lt;&gt;"",AE465,IF(Z465="NR","NR","")))</f>
        <v/>
      </c>
      <c r="AX465" s="9">
        <f>IF(ISNUMBER(AW465),IF(AW465&gt;450,"Yes","No"),IF(AW465="NR","NR",""))</f>
        <v/>
      </c>
      <c r="BJ465" s="9">
        <f>IF(BB465="","",IF(BB465="Non-viable","Non-viable",IF(BB465="Viable","Viable",IF(BB465="Partially non-viable",IF(OR(BD465="Total splenectomy",BD465="Partial splenectomy +/- splenopexy"),"Non-viable","Review"),IF(BB465="NR",IF(OR(BD465="Total splenectomy",BD465="Partial splenectomy +/- splenopexy"),"NR - removed, check reason","NR"),"Not applicable")))))</f>
        <v/>
      </c>
    </row>
    <row r="466">
      <c r="D466" s="8" t="n"/>
      <c r="E466" s="9">
        <f>IF(B466="","",IF(B466="OWN","Yes","No"))</f>
        <v/>
      </c>
      <c r="AF466" s="9">
        <f>IF(ISNUMBER(Z466),IF(Z466&lt;=2,"&lt;=2 d",IF(Z466&lt;=7,"3-7 d",IF(Z466&lt;=30,"8-30 d","&gt;30 d"))),IF(AE466&lt;&gt;"",AE466,IF(Z466="NR","NR","")))</f>
        <v/>
      </c>
      <c r="AX466" s="9">
        <f>IF(ISNUMBER(AW466),IF(AW466&gt;450,"Yes","No"),IF(AW466="NR","NR",""))</f>
        <v/>
      </c>
      <c r="BJ466" s="9">
        <f>IF(BB466="","",IF(BB466="Non-viable","Non-viable",IF(BB466="Viable","Viable",IF(BB466="Partially non-viable",IF(OR(BD466="Total splenectomy",BD466="Partial splenectomy +/- splenopexy"),"Non-viable","Review"),IF(BB466="NR",IF(OR(BD466="Total splenectomy",BD466="Partial splenectomy +/- splenopexy"),"NR - removed, check reason","NR"),"Not applicable")))))</f>
        <v/>
      </c>
    </row>
    <row r="467">
      <c r="D467" s="8" t="n"/>
      <c r="E467" s="9">
        <f>IF(B467="","",IF(B467="OWN","Yes","No"))</f>
        <v/>
      </c>
      <c r="AF467" s="9">
        <f>IF(ISNUMBER(Z467),IF(Z467&lt;=2,"&lt;=2 d",IF(Z467&lt;=7,"3-7 d",IF(Z467&lt;=30,"8-30 d","&gt;30 d"))),IF(AE467&lt;&gt;"",AE467,IF(Z467="NR","NR","")))</f>
        <v/>
      </c>
      <c r="AX467" s="9">
        <f>IF(ISNUMBER(AW467),IF(AW467&gt;450,"Yes","No"),IF(AW467="NR","NR",""))</f>
        <v/>
      </c>
      <c r="BJ467" s="9">
        <f>IF(BB467="","",IF(BB467="Non-viable","Non-viable",IF(BB467="Viable","Viable",IF(BB467="Partially non-viable",IF(OR(BD467="Total splenectomy",BD467="Partial splenectomy +/- splenopexy"),"Non-viable","Review"),IF(BB467="NR",IF(OR(BD467="Total splenectomy",BD467="Partial splenectomy +/- splenopexy"),"NR - removed, check reason","NR"),"Not applicable")))))</f>
        <v/>
      </c>
    </row>
    <row r="468">
      <c r="D468" s="8" t="n"/>
      <c r="E468" s="9">
        <f>IF(B468="","",IF(B468="OWN","Yes","No"))</f>
        <v/>
      </c>
      <c r="AF468" s="9">
        <f>IF(ISNUMBER(Z468),IF(Z468&lt;=2,"&lt;=2 d",IF(Z468&lt;=7,"3-7 d",IF(Z468&lt;=30,"8-30 d","&gt;30 d"))),IF(AE468&lt;&gt;"",AE468,IF(Z468="NR","NR","")))</f>
        <v/>
      </c>
      <c r="AX468" s="9">
        <f>IF(ISNUMBER(AW468),IF(AW468&gt;450,"Yes","No"),IF(AW468="NR","NR",""))</f>
        <v/>
      </c>
      <c r="BJ468" s="9">
        <f>IF(BB468="","",IF(BB468="Non-viable","Non-viable",IF(BB468="Viable","Viable",IF(BB468="Partially non-viable",IF(OR(BD468="Total splenectomy",BD468="Partial splenectomy +/- splenopexy"),"Non-viable","Review"),IF(BB468="NR",IF(OR(BD468="Total splenectomy",BD468="Partial splenectomy +/- splenopexy"),"NR - removed, check reason","NR"),"Not applicable")))))</f>
        <v/>
      </c>
    </row>
    <row r="469">
      <c r="D469" s="8" t="n"/>
      <c r="E469" s="9">
        <f>IF(B469="","",IF(B469="OWN","Yes","No"))</f>
        <v/>
      </c>
      <c r="AF469" s="9">
        <f>IF(ISNUMBER(Z469),IF(Z469&lt;=2,"&lt;=2 d",IF(Z469&lt;=7,"3-7 d",IF(Z469&lt;=30,"8-30 d","&gt;30 d"))),IF(AE469&lt;&gt;"",AE469,IF(Z469="NR","NR","")))</f>
        <v/>
      </c>
      <c r="AX469" s="9">
        <f>IF(ISNUMBER(AW469),IF(AW469&gt;450,"Yes","No"),IF(AW469="NR","NR",""))</f>
        <v/>
      </c>
      <c r="BJ469" s="9">
        <f>IF(BB469="","",IF(BB469="Non-viable","Non-viable",IF(BB469="Viable","Viable",IF(BB469="Partially non-viable",IF(OR(BD469="Total splenectomy",BD469="Partial splenectomy +/- splenopexy"),"Non-viable","Review"),IF(BB469="NR",IF(OR(BD469="Total splenectomy",BD469="Partial splenectomy +/- splenopexy"),"NR - removed, check reason","NR"),"Not applicable")))))</f>
        <v/>
      </c>
    </row>
    <row r="470">
      <c r="D470" s="8" t="n"/>
      <c r="E470" s="9">
        <f>IF(B470="","",IF(B470="OWN","Yes","No"))</f>
        <v/>
      </c>
      <c r="AF470" s="9">
        <f>IF(ISNUMBER(Z470),IF(Z470&lt;=2,"&lt;=2 d",IF(Z470&lt;=7,"3-7 d",IF(Z470&lt;=30,"8-30 d","&gt;30 d"))),IF(AE470&lt;&gt;"",AE470,IF(Z470="NR","NR","")))</f>
        <v/>
      </c>
      <c r="AX470" s="9">
        <f>IF(ISNUMBER(AW470),IF(AW470&gt;450,"Yes","No"),IF(AW470="NR","NR",""))</f>
        <v/>
      </c>
      <c r="BJ470" s="9">
        <f>IF(BB470="","",IF(BB470="Non-viable","Non-viable",IF(BB470="Viable","Viable",IF(BB470="Partially non-viable",IF(OR(BD470="Total splenectomy",BD470="Partial splenectomy +/- splenopexy"),"Non-viable","Review"),IF(BB470="NR",IF(OR(BD470="Total splenectomy",BD470="Partial splenectomy +/- splenopexy"),"NR - removed, check reason","NR"),"Not applicable")))))</f>
        <v/>
      </c>
    </row>
    <row r="471">
      <c r="D471" s="8" t="n"/>
      <c r="E471" s="9">
        <f>IF(B471="","",IF(B471="OWN","Yes","No"))</f>
        <v/>
      </c>
      <c r="AF471" s="9">
        <f>IF(ISNUMBER(Z471),IF(Z471&lt;=2,"&lt;=2 d",IF(Z471&lt;=7,"3-7 d",IF(Z471&lt;=30,"8-30 d","&gt;30 d"))),IF(AE471&lt;&gt;"",AE471,IF(Z471="NR","NR","")))</f>
        <v/>
      </c>
      <c r="AX471" s="9">
        <f>IF(ISNUMBER(AW471),IF(AW471&gt;450,"Yes","No"),IF(AW471="NR","NR",""))</f>
        <v/>
      </c>
      <c r="BJ471" s="9">
        <f>IF(BB471="","",IF(BB471="Non-viable","Non-viable",IF(BB471="Viable","Viable",IF(BB471="Partially non-viable",IF(OR(BD471="Total splenectomy",BD471="Partial splenectomy +/- splenopexy"),"Non-viable","Review"),IF(BB471="NR",IF(OR(BD471="Total splenectomy",BD471="Partial splenectomy +/- splenopexy"),"NR - removed, check reason","NR"),"Not applicable")))))</f>
        <v/>
      </c>
    </row>
    <row r="472">
      <c r="D472" s="8" t="n"/>
      <c r="E472" s="9">
        <f>IF(B472="","",IF(B472="OWN","Yes","No"))</f>
        <v/>
      </c>
      <c r="AF472" s="9">
        <f>IF(ISNUMBER(Z472),IF(Z472&lt;=2,"&lt;=2 d",IF(Z472&lt;=7,"3-7 d",IF(Z472&lt;=30,"8-30 d","&gt;30 d"))),IF(AE472&lt;&gt;"",AE472,IF(Z472="NR","NR","")))</f>
        <v/>
      </c>
      <c r="AX472" s="9">
        <f>IF(ISNUMBER(AW472),IF(AW472&gt;450,"Yes","No"),IF(AW472="NR","NR",""))</f>
        <v/>
      </c>
      <c r="BJ472" s="9">
        <f>IF(BB472="","",IF(BB472="Non-viable","Non-viable",IF(BB472="Viable","Viable",IF(BB472="Partially non-viable",IF(OR(BD472="Total splenectomy",BD472="Partial splenectomy +/- splenopexy"),"Non-viable","Review"),IF(BB472="NR",IF(OR(BD472="Total splenectomy",BD472="Partial splenectomy +/- splenopexy"),"NR - removed, check reason","NR"),"Not applicable")))))</f>
        <v/>
      </c>
    </row>
    <row r="473">
      <c r="D473" s="8" t="n"/>
      <c r="E473" s="9">
        <f>IF(B473="","",IF(B473="OWN","Yes","No"))</f>
        <v/>
      </c>
      <c r="AF473" s="9">
        <f>IF(ISNUMBER(Z473),IF(Z473&lt;=2,"&lt;=2 d",IF(Z473&lt;=7,"3-7 d",IF(Z473&lt;=30,"8-30 d","&gt;30 d"))),IF(AE473&lt;&gt;"",AE473,IF(Z473="NR","NR","")))</f>
        <v/>
      </c>
      <c r="AX473" s="9">
        <f>IF(ISNUMBER(AW473),IF(AW473&gt;450,"Yes","No"),IF(AW473="NR","NR",""))</f>
        <v/>
      </c>
      <c r="BJ473" s="9">
        <f>IF(BB473="","",IF(BB473="Non-viable","Non-viable",IF(BB473="Viable","Viable",IF(BB473="Partially non-viable",IF(OR(BD473="Total splenectomy",BD473="Partial splenectomy +/- splenopexy"),"Non-viable","Review"),IF(BB473="NR",IF(OR(BD473="Total splenectomy",BD473="Partial splenectomy +/- splenopexy"),"NR - removed, check reason","NR"),"Not applicable")))))</f>
        <v/>
      </c>
    </row>
    <row r="474">
      <c r="D474" s="8" t="n"/>
      <c r="E474" s="9">
        <f>IF(B474="","",IF(B474="OWN","Yes","No"))</f>
        <v/>
      </c>
      <c r="AF474" s="9">
        <f>IF(ISNUMBER(Z474),IF(Z474&lt;=2,"&lt;=2 d",IF(Z474&lt;=7,"3-7 d",IF(Z474&lt;=30,"8-30 d","&gt;30 d"))),IF(AE474&lt;&gt;"",AE474,IF(Z474="NR","NR","")))</f>
        <v/>
      </c>
      <c r="AX474" s="9">
        <f>IF(ISNUMBER(AW474),IF(AW474&gt;450,"Yes","No"),IF(AW474="NR","NR",""))</f>
        <v/>
      </c>
      <c r="BJ474" s="9">
        <f>IF(BB474="","",IF(BB474="Non-viable","Non-viable",IF(BB474="Viable","Viable",IF(BB474="Partially non-viable",IF(OR(BD474="Total splenectomy",BD474="Partial splenectomy +/- splenopexy"),"Non-viable","Review"),IF(BB474="NR",IF(OR(BD474="Total splenectomy",BD474="Partial splenectomy +/- splenopexy"),"NR - removed, check reason","NR"),"Not applicable")))))</f>
        <v/>
      </c>
    </row>
    <row r="475">
      <c r="D475" s="8" t="n"/>
      <c r="E475" s="9">
        <f>IF(B475="","",IF(B475="OWN","Yes","No"))</f>
        <v/>
      </c>
      <c r="AF475" s="9">
        <f>IF(ISNUMBER(Z475),IF(Z475&lt;=2,"&lt;=2 d",IF(Z475&lt;=7,"3-7 d",IF(Z475&lt;=30,"8-30 d","&gt;30 d"))),IF(AE475&lt;&gt;"",AE475,IF(Z475="NR","NR","")))</f>
        <v/>
      </c>
      <c r="AX475" s="9">
        <f>IF(ISNUMBER(AW475),IF(AW475&gt;450,"Yes","No"),IF(AW475="NR","NR",""))</f>
        <v/>
      </c>
      <c r="BJ475" s="9">
        <f>IF(BB475="","",IF(BB475="Non-viable","Non-viable",IF(BB475="Viable","Viable",IF(BB475="Partially non-viable",IF(OR(BD475="Total splenectomy",BD475="Partial splenectomy +/- splenopexy"),"Non-viable","Review"),IF(BB475="NR",IF(OR(BD475="Total splenectomy",BD475="Partial splenectomy +/- splenopexy"),"NR - removed, check reason","NR"),"Not applicable")))))</f>
        <v/>
      </c>
    </row>
    <row r="476">
      <c r="D476" s="8" t="n"/>
      <c r="E476" s="9">
        <f>IF(B476="","",IF(B476="OWN","Yes","No"))</f>
        <v/>
      </c>
      <c r="AF476" s="9">
        <f>IF(ISNUMBER(Z476),IF(Z476&lt;=2,"&lt;=2 d",IF(Z476&lt;=7,"3-7 d",IF(Z476&lt;=30,"8-30 d","&gt;30 d"))),IF(AE476&lt;&gt;"",AE476,IF(Z476="NR","NR","")))</f>
        <v/>
      </c>
      <c r="AX476" s="9">
        <f>IF(ISNUMBER(AW476),IF(AW476&gt;450,"Yes","No"),IF(AW476="NR","NR",""))</f>
        <v/>
      </c>
      <c r="BJ476" s="9">
        <f>IF(BB476="","",IF(BB476="Non-viable","Non-viable",IF(BB476="Viable","Viable",IF(BB476="Partially non-viable",IF(OR(BD476="Total splenectomy",BD476="Partial splenectomy +/- splenopexy"),"Non-viable","Review"),IF(BB476="NR",IF(OR(BD476="Total splenectomy",BD476="Partial splenectomy +/- splenopexy"),"NR - removed, check reason","NR"),"Not applicable")))))</f>
        <v/>
      </c>
    </row>
    <row r="477">
      <c r="D477" s="8" t="n"/>
      <c r="E477" s="9">
        <f>IF(B477="","",IF(B477="OWN","Yes","No"))</f>
        <v/>
      </c>
      <c r="AF477" s="9">
        <f>IF(ISNUMBER(Z477),IF(Z477&lt;=2,"&lt;=2 d",IF(Z477&lt;=7,"3-7 d",IF(Z477&lt;=30,"8-30 d","&gt;30 d"))),IF(AE477&lt;&gt;"",AE477,IF(Z477="NR","NR","")))</f>
        <v/>
      </c>
      <c r="AX477" s="9">
        <f>IF(ISNUMBER(AW477),IF(AW477&gt;450,"Yes","No"),IF(AW477="NR","NR",""))</f>
        <v/>
      </c>
      <c r="BJ477" s="9">
        <f>IF(BB477="","",IF(BB477="Non-viable","Non-viable",IF(BB477="Viable","Viable",IF(BB477="Partially non-viable",IF(OR(BD477="Total splenectomy",BD477="Partial splenectomy +/- splenopexy"),"Non-viable","Review"),IF(BB477="NR",IF(OR(BD477="Total splenectomy",BD477="Partial splenectomy +/- splenopexy"),"NR - removed, check reason","NR"),"Not applicable")))))</f>
        <v/>
      </c>
    </row>
    <row r="478">
      <c r="D478" s="8" t="n"/>
      <c r="E478" s="9">
        <f>IF(B478="","",IF(B478="OWN","Yes","No"))</f>
        <v/>
      </c>
      <c r="AF478" s="9">
        <f>IF(ISNUMBER(Z478),IF(Z478&lt;=2,"&lt;=2 d",IF(Z478&lt;=7,"3-7 d",IF(Z478&lt;=30,"8-30 d","&gt;30 d"))),IF(AE478&lt;&gt;"",AE478,IF(Z478="NR","NR","")))</f>
        <v/>
      </c>
      <c r="AX478" s="9">
        <f>IF(ISNUMBER(AW478),IF(AW478&gt;450,"Yes","No"),IF(AW478="NR","NR",""))</f>
        <v/>
      </c>
      <c r="BJ478" s="9">
        <f>IF(BB478="","",IF(BB478="Non-viable","Non-viable",IF(BB478="Viable","Viable",IF(BB478="Partially non-viable",IF(OR(BD478="Total splenectomy",BD478="Partial splenectomy +/- splenopexy"),"Non-viable","Review"),IF(BB478="NR",IF(OR(BD478="Total splenectomy",BD478="Partial splenectomy +/- splenopexy"),"NR - removed, check reason","NR"),"Not applicable")))))</f>
        <v/>
      </c>
    </row>
    <row r="479">
      <c r="D479" s="8" t="n"/>
      <c r="E479" s="9">
        <f>IF(B479="","",IF(B479="OWN","Yes","No"))</f>
        <v/>
      </c>
      <c r="AF479" s="9">
        <f>IF(ISNUMBER(Z479),IF(Z479&lt;=2,"&lt;=2 d",IF(Z479&lt;=7,"3-7 d",IF(Z479&lt;=30,"8-30 d","&gt;30 d"))),IF(AE479&lt;&gt;"",AE479,IF(Z479="NR","NR","")))</f>
        <v/>
      </c>
      <c r="AX479" s="9">
        <f>IF(ISNUMBER(AW479),IF(AW479&gt;450,"Yes","No"),IF(AW479="NR","NR",""))</f>
        <v/>
      </c>
      <c r="BJ479" s="9">
        <f>IF(BB479="","",IF(BB479="Non-viable","Non-viable",IF(BB479="Viable","Viable",IF(BB479="Partially non-viable",IF(OR(BD479="Total splenectomy",BD479="Partial splenectomy +/- splenopexy"),"Non-viable","Review"),IF(BB479="NR",IF(OR(BD479="Total splenectomy",BD479="Partial splenectomy +/- splenopexy"),"NR - removed, check reason","NR"),"Not applicable")))))</f>
        <v/>
      </c>
    </row>
    <row r="480">
      <c r="D480" s="8" t="n"/>
      <c r="E480" s="9">
        <f>IF(B480="","",IF(B480="OWN","Yes","No"))</f>
        <v/>
      </c>
      <c r="AF480" s="9">
        <f>IF(ISNUMBER(Z480),IF(Z480&lt;=2,"&lt;=2 d",IF(Z480&lt;=7,"3-7 d",IF(Z480&lt;=30,"8-30 d","&gt;30 d"))),IF(AE480&lt;&gt;"",AE480,IF(Z480="NR","NR","")))</f>
        <v/>
      </c>
      <c r="AX480" s="9">
        <f>IF(ISNUMBER(AW480),IF(AW480&gt;450,"Yes","No"),IF(AW480="NR","NR",""))</f>
        <v/>
      </c>
      <c r="BJ480" s="9">
        <f>IF(BB480="","",IF(BB480="Non-viable","Non-viable",IF(BB480="Viable","Viable",IF(BB480="Partially non-viable",IF(OR(BD480="Total splenectomy",BD480="Partial splenectomy +/- splenopexy"),"Non-viable","Review"),IF(BB480="NR",IF(OR(BD480="Total splenectomy",BD480="Partial splenectomy +/- splenopexy"),"NR - removed, check reason","NR"),"Not applicable")))))</f>
        <v/>
      </c>
    </row>
    <row r="481">
      <c r="D481" s="8" t="n"/>
      <c r="E481" s="9">
        <f>IF(B481="","",IF(B481="OWN","Yes","No"))</f>
        <v/>
      </c>
      <c r="AF481" s="9">
        <f>IF(ISNUMBER(Z481),IF(Z481&lt;=2,"&lt;=2 d",IF(Z481&lt;=7,"3-7 d",IF(Z481&lt;=30,"8-30 d","&gt;30 d"))),IF(AE481&lt;&gt;"",AE481,IF(Z481="NR","NR","")))</f>
        <v/>
      </c>
      <c r="AX481" s="9">
        <f>IF(ISNUMBER(AW481),IF(AW481&gt;450,"Yes","No"),IF(AW481="NR","NR",""))</f>
        <v/>
      </c>
      <c r="BJ481" s="9">
        <f>IF(BB481="","",IF(BB481="Non-viable","Non-viable",IF(BB481="Viable","Viable",IF(BB481="Partially non-viable",IF(OR(BD481="Total splenectomy",BD481="Partial splenectomy +/- splenopexy"),"Non-viable","Review"),IF(BB481="NR",IF(OR(BD481="Total splenectomy",BD481="Partial splenectomy +/- splenopexy"),"NR - removed, check reason","NR"),"Not applicable")))))</f>
        <v/>
      </c>
    </row>
    <row r="482">
      <c r="D482" s="8" t="n"/>
      <c r="E482" s="9">
        <f>IF(B482="","",IF(B482="OWN","Yes","No"))</f>
        <v/>
      </c>
      <c r="AF482" s="9">
        <f>IF(ISNUMBER(Z482),IF(Z482&lt;=2,"&lt;=2 d",IF(Z482&lt;=7,"3-7 d",IF(Z482&lt;=30,"8-30 d","&gt;30 d"))),IF(AE482&lt;&gt;"",AE482,IF(Z482="NR","NR","")))</f>
        <v/>
      </c>
      <c r="AX482" s="9">
        <f>IF(ISNUMBER(AW482),IF(AW482&gt;450,"Yes","No"),IF(AW482="NR","NR",""))</f>
        <v/>
      </c>
      <c r="BJ482" s="9">
        <f>IF(BB482="","",IF(BB482="Non-viable","Non-viable",IF(BB482="Viable","Viable",IF(BB482="Partially non-viable",IF(OR(BD482="Total splenectomy",BD482="Partial splenectomy +/- splenopexy"),"Non-viable","Review"),IF(BB482="NR",IF(OR(BD482="Total splenectomy",BD482="Partial splenectomy +/- splenopexy"),"NR - removed, check reason","NR"),"Not applicable")))))</f>
        <v/>
      </c>
    </row>
    <row r="483">
      <c r="D483" s="8" t="n"/>
      <c r="E483" s="9">
        <f>IF(B483="","",IF(B483="OWN","Yes","No"))</f>
        <v/>
      </c>
      <c r="AF483" s="9">
        <f>IF(ISNUMBER(Z483),IF(Z483&lt;=2,"&lt;=2 d",IF(Z483&lt;=7,"3-7 d",IF(Z483&lt;=30,"8-30 d","&gt;30 d"))),IF(AE483&lt;&gt;"",AE483,IF(Z483="NR","NR","")))</f>
        <v/>
      </c>
      <c r="AX483" s="9">
        <f>IF(ISNUMBER(AW483),IF(AW483&gt;450,"Yes","No"),IF(AW483="NR","NR",""))</f>
        <v/>
      </c>
      <c r="BJ483" s="9">
        <f>IF(BB483="","",IF(BB483="Non-viable","Non-viable",IF(BB483="Viable","Viable",IF(BB483="Partially non-viable",IF(OR(BD483="Total splenectomy",BD483="Partial splenectomy +/- splenopexy"),"Non-viable","Review"),IF(BB483="NR",IF(OR(BD483="Total splenectomy",BD483="Partial splenectomy +/- splenopexy"),"NR - removed, check reason","NR"),"Not applicable")))))</f>
        <v/>
      </c>
    </row>
    <row r="484">
      <c r="D484" s="8" t="n"/>
      <c r="E484" s="9">
        <f>IF(B484="","",IF(B484="OWN","Yes","No"))</f>
        <v/>
      </c>
      <c r="AF484" s="9">
        <f>IF(ISNUMBER(Z484),IF(Z484&lt;=2,"&lt;=2 d",IF(Z484&lt;=7,"3-7 d",IF(Z484&lt;=30,"8-30 d","&gt;30 d"))),IF(AE484&lt;&gt;"",AE484,IF(Z484="NR","NR","")))</f>
        <v/>
      </c>
      <c r="AX484" s="9">
        <f>IF(ISNUMBER(AW484),IF(AW484&gt;450,"Yes","No"),IF(AW484="NR","NR",""))</f>
        <v/>
      </c>
      <c r="BJ484" s="9">
        <f>IF(BB484="","",IF(BB484="Non-viable","Non-viable",IF(BB484="Viable","Viable",IF(BB484="Partially non-viable",IF(OR(BD484="Total splenectomy",BD484="Partial splenectomy +/- splenopexy"),"Non-viable","Review"),IF(BB484="NR",IF(OR(BD484="Total splenectomy",BD484="Partial splenectomy +/- splenopexy"),"NR - removed, check reason","NR"),"Not applicable")))))</f>
        <v/>
      </c>
    </row>
    <row r="485">
      <c r="D485" s="8" t="n"/>
      <c r="E485" s="9">
        <f>IF(B485="","",IF(B485="OWN","Yes","No"))</f>
        <v/>
      </c>
      <c r="AF485" s="9">
        <f>IF(ISNUMBER(Z485),IF(Z485&lt;=2,"&lt;=2 d",IF(Z485&lt;=7,"3-7 d",IF(Z485&lt;=30,"8-30 d","&gt;30 d"))),IF(AE485&lt;&gt;"",AE485,IF(Z485="NR","NR","")))</f>
        <v/>
      </c>
      <c r="AX485" s="9">
        <f>IF(ISNUMBER(AW485),IF(AW485&gt;450,"Yes","No"),IF(AW485="NR","NR",""))</f>
        <v/>
      </c>
      <c r="BJ485" s="9">
        <f>IF(BB485="","",IF(BB485="Non-viable","Non-viable",IF(BB485="Viable","Viable",IF(BB485="Partially non-viable",IF(OR(BD485="Total splenectomy",BD485="Partial splenectomy +/- splenopexy"),"Non-viable","Review"),IF(BB485="NR",IF(OR(BD485="Total splenectomy",BD485="Partial splenectomy +/- splenopexy"),"NR - removed, check reason","NR"),"Not applicable")))))</f>
        <v/>
      </c>
    </row>
    <row r="486">
      <c r="D486" s="8" t="n"/>
      <c r="E486" s="9">
        <f>IF(B486="","",IF(B486="OWN","Yes","No"))</f>
        <v/>
      </c>
      <c r="AF486" s="9">
        <f>IF(ISNUMBER(Z486),IF(Z486&lt;=2,"&lt;=2 d",IF(Z486&lt;=7,"3-7 d",IF(Z486&lt;=30,"8-30 d","&gt;30 d"))),IF(AE486&lt;&gt;"",AE486,IF(Z486="NR","NR","")))</f>
        <v/>
      </c>
      <c r="AX486" s="9">
        <f>IF(ISNUMBER(AW486),IF(AW486&gt;450,"Yes","No"),IF(AW486="NR","NR",""))</f>
        <v/>
      </c>
      <c r="BJ486" s="9">
        <f>IF(BB486="","",IF(BB486="Non-viable","Non-viable",IF(BB486="Viable","Viable",IF(BB486="Partially non-viable",IF(OR(BD486="Total splenectomy",BD486="Partial splenectomy +/- splenopexy"),"Non-viable","Review"),IF(BB486="NR",IF(OR(BD486="Total splenectomy",BD486="Partial splenectomy +/- splenopexy"),"NR - removed, check reason","NR"),"Not applicable")))))</f>
        <v/>
      </c>
    </row>
    <row r="487">
      <c r="D487" s="8" t="n"/>
      <c r="E487" s="9">
        <f>IF(B487="","",IF(B487="OWN","Yes","No"))</f>
        <v/>
      </c>
      <c r="AF487" s="9">
        <f>IF(ISNUMBER(Z487),IF(Z487&lt;=2,"&lt;=2 d",IF(Z487&lt;=7,"3-7 d",IF(Z487&lt;=30,"8-30 d","&gt;30 d"))),IF(AE487&lt;&gt;"",AE487,IF(Z487="NR","NR","")))</f>
        <v/>
      </c>
      <c r="AX487" s="9">
        <f>IF(ISNUMBER(AW487),IF(AW487&gt;450,"Yes","No"),IF(AW487="NR","NR",""))</f>
        <v/>
      </c>
      <c r="BJ487" s="9">
        <f>IF(BB487="","",IF(BB487="Non-viable","Non-viable",IF(BB487="Viable","Viable",IF(BB487="Partially non-viable",IF(OR(BD487="Total splenectomy",BD487="Partial splenectomy +/- splenopexy"),"Non-viable","Review"),IF(BB487="NR",IF(OR(BD487="Total splenectomy",BD487="Partial splenectomy +/- splenopexy"),"NR - removed, check reason","NR"),"Not applicable")))))</f>
        <v/>
      </c>
    </row>
    <row r="488">
      <c r="D488" s="8" t="n"/>
      <c r="E488" s="9">
        <f>IF(B488="","",IF(B488="OWN","Yes","No"))</f>
        <v/>
      </c>
      <c r="AF488" s="9">
        <f>IF(ISNUMBER(Z488),IF(Z488&lt;=2,"&lt;=2 d",IF(Z488&lt;=7,"3-7 d",IF(Z488&lt;=30,"8-30 d","&gt;30 d"))),IF(AE488&lt;&gt;"",AE488,IF(Z488="NR","NR","")))</f>
        <v/>
      </c>
      <c r="AX488" s="9">
        <f>IF(ISNUMBER(AW488),IF(AW488&gt;450,"Yes","No"),IF(AW488="NR","NR",""))</f>
        <v/>
      </c>
      <c r="BJ488" s="9">
        <f>IF(BB488="","",IF(BB488="Non-viable","Non-viable",IF(BB488="Viable","Viable",IF(BB488="Partially non-viable",IF(OR(BD488="Total splenectomy",BD488="Partial splenectomy +/- splenopexy"),"Non-viable","Review"),IF(BB488="NR",IF(OR(BD488="Total splenectomy",BD488="Partial splenectomy +/- splenopexy"),"NR - removed, check reason","NR"),"Not applicable")))))</f>
        <v/>
      </c>
    </row>
    <row r="489">
      <c r="D489" s="8" t="n"/>
      <c r="E489" s="9">
        <f>IF(B489="","",IF(B489="OWN","Yes","No"))</f>
        <v/>
      </c>
      <c r="AF489" s="9">
        <f>IF(ISNUMBER(Z489),IF(Z489&lt;=2,"&lt;=2 d",IF(Z489&lt;=7,"3-7 d",IF(Z489&lt;=30,"8-30 d","&gt;30 d"))),IF(AE489&lt;&gt;"",AE489,IF(Z489="NR","NR","")))</f>
        <v/>
      </c>
      <c r="AX489" s="9">
        <f>IF(ISNUMBER(AW489),IF(AW489&gt;450,"Yes","No"),IF(AW489="NR","NR",""))</f>
        <v/>
      </c>
      <c r="BJ489" s="9">
        <f>IF(BB489="","",IF(BB489="Non-viable","Non-viable",IF(BB489="Viable","Viable",IF(BB489="Partially non-viable",IF(OR(BD489="Total splenectomy",BD489="Partial splenectomy +/- splenopexy"),"Non-viable","Review"),IF(BB489="NR",IF(OR(BD489="Total splenectomy",BD489="Partial splenectomy +/- splenopexy"),"NR - removed, check reason","NR"),"Not applicable")))))</f>
        <v/>
      </c>
    </row>
    <row r="490">
      <c r="D490" s="8" t="n"/>
      <c r="E490" s="9">
        <f>IF(B490="","",IF(B490="OWN","Yes","No"))</f>
        <v/>
      </c>
      <c r="AF490" s="9">
        <f>IF(ISNUMBER(Z490),IF(Z490&lt;=2,"&lt;=2 d",IF(Z490&lt;=7,"3-7 d",IF(Z490&lt;=30,"8-30 d","&gt;30 d"))),IF(AE490&lt;&gt;"",AE490,IF(Z490="NR","NR","")))</f>
        <v/>
      </c>
      <c r="AX490" s="9">
        <f>IF(ISNUMBER(AW490),IF(AW490&gt;450,"Yes","No"),IF(AW490="NR","NR",""))</f>
        <v/>
      </c>
      <c r="BJ490" s="9">
        <f>IF(BB490="","",IF(BB490="Non-viable","Non-viable",IF(BB490="Viable","Viable",IF(BB490="Partially non-viable",IF(OR(BD490="Total splenectomy",BD490="Partial splenectomy +/- splenopexy"),"Non-viable","Review"),IF(BB490="NR",IF(OR(BD490="Total splenectomy",BD490="Partial splenectomy +/- splenopexy"),"NR - removed, check reason","NR"),"Not applicable")))))</f>
        <v/>
      </c>
    </row>
    <row r="491">
      <c r="D491" s="8" t="n"/>
      <c r="E491" s="9">
        <f>IF(B491="","",IF(B491="OWN","Yes","No"))</f>
        <v/>
      </c>
      <c r="AF491" s="9">
        <f>IF(ISNUMBER(Z491),IF(Z491&lt;=2,"&lt;=2 d",IF(Z491&lt;=7,"3-7 d",IF(Z491&lt;=30,"8-30 d","&gt;30 d"))),IF(AE491&lt;&gt;"",AE491,IF(Z491="NR","NR","")))</f>
        <v/>
      </c>
      <c r="AX491" s="9">
        <f>IF(ISNUMBER(AW491),IF(AW491&gt;450,"Yes","No"),IF(AW491="NR","NR",""))</f>
        <v/>
      </c>
      <c r="BJ491" s="9">
        <f>IF(BB491="","",IF(BB491="Non-viable","Non-viable",IF(BB491="Viable","Viable",IF(BB491="Partially non-viable",IF(OR(BD491="Total splenectomy",BD491="Partial splenectomy +/- splenopexy"),"Non-viable","Review"),IF(BB491="NR",IF(OR(BD491="Total splenectomy",BD491="Partial splenectomy +/- splenopexy"),"NR - removed, check reason","NR"),"Not applicable")))))</f>
        <v/>
      </c>
    </row>
    <row r="492">
      <c r="D492" s="8" t="n"/>
      <c r="E492" s="9">
        <f>IF(B492="","",IF(B492="OWN","Yes","No"))</f>
        <v/>
      </c>
      <c r="AF492" s="9">
        <f>IF(ISNUMBER(Z492),IF(Z492&lt;=2,"&lt;=2 d",IF(Z492&lt;=7,"3-7 d",IF(Z492&lt;=30,"8-30 d","&gt;30 d"))),IF(AE492&lt;&gt;"",AE492,IF(Z492="NR","NR","")))</f>
        <v/>
      </c>
      <c r="AX492" s="9">
        <f>IF(ISNUMBER(AW492),IF(AW492&gt;450,"Yes","No"),IF(AW492="NR","NR",""))</f>
        <v/>
      </c>
      <c r="BJ492" s="9">
        <f>IF(BB492="","",IF(BB492="Non-viable","Non-viable",IF(BB492="Viable","Viable",IF(BB492="Partially non-viable",IF(OR(BD492="Total splenectomy",BD492="Partial splenectomy +/- splenopexy"),"Non-viable","Review"),IF(BB492="NR",IF(OR(BD492="Total splenectomy",BD492="Partial splenectomy +/- splenopexy"),"NR - removed, check reason","NR"),"Not applicable")))))</f>
        <v/>
      </c>
    </row>
    <row r="493">
      <c r="D493" s="8" t="n"/>
      <c r="E493" s="9">
        <f>IF(B493="","",IF(B493="OWN","Yes","No"))</f>
        <v/>
      </c>
      <c r="AF493" s="9">
        <f>IF(ISNUMBER(Z493),IF(Z493&lt;=2,"&lt;=2 d",IF(Z493&lt;=7,"3-7 d",IF(Z493&lt;=30,"8-30 d","&gt;30 d"))),IF(AE493&lt;&gt;"",AE493,IF(Z493="NR","NR","")))</f>
        <v/>
      </c>
      <c r="AX493" s="9">
        <f>IF(ISNUMBER(AW493),IF(AW493&gt;450,"Yes","No"),IF(AW493="NR","NR",""))</f>
        <v/>
      </c>
      <c r="BJ493" s="9">
        <f>IF(BB493="","",IF(BB493="Non-viable","Non-viable",IF(BB493="Viable","Viable",IF(BB493="Partially non-viable",IF(OR(BD493="Total splenectomy",BD493="Partial splenectomy +/- splenopexy"),"Non-viable","Review"),IF(BB493="NR",IF(OR(BD493="Total splenectomy",BD493="Partial splenectomy +/- splenopexy"),"NR - removed, check reason","NR"),"Not applicable")))))</f>
        <v/>
      </c>
    </row>
    <row r="494">
      <c r="D494" s="8" t="n"/>
      <c r="E494" s="9">
        <f>IF(B494="","",IF(B494="OWN","Yes","No"))</f>
        <v/>
      </c>
      <c r="AF494" s="9">
        <f>IF(ISNUMBER(Z494),IF(Z494&lt;=2,"&lt;=2 d",IF(Z494&lt;=7,"3-7 d",IF(Z494&lt;=30,"8-30 d","&gt;30 d"))),IF(AE494&lt;&gt;"",AE494,IF(Z494="NR","NR","")))</f>
        <v/>
      </c>
      <c r="AX494" s="9">
        <f>IF(ISNUMBER(AW494),IF(AW494&gt;450,"Yes","No"),IF(AW494="NR","NR",""))</f>
        <v/>
      </c>
      <c r="BJ494" s="9">
        <f>IF(BB494="","",IF(BB494="Non-viable","Non-viable",IF(BB494="Viable","Viable",IF(BB494="Partially non-viable",IF(OR(BD494="Total splenectomy",BD494="Partial splenectomy +/- splenopexy"),"Non-viable","Review"),IF(BB494="NR",IF(OR(BD494="Total splenectomy",BD494="Partial splenectomy +/- splenopexy"),"NR - removed, check reason","NR"),"Not applicable")))))</f>
        <v/>
      </c>
    </row>
    <row r="495">
      <c r="D495" s="8" t="n"/>
      <c r="E495" s="9">
        <f>IF(B495="","",IF(B495="OWN","Yes","No"))</f>
        <v/>
      </c>
      <c r="AF495" s="9">
        <f>IF(ISNUMBER(Z495),IF(Z495&lt;=2,"&lt;=2 d",IF(Z495&lt;=7,"3-7 d",IF(Z495&lt;=30,"8-30 d","&gt;30 d"))),IF(AE495&lt;&gt;"",AE495,IF(Z495="NR","NR","")))</f>
        <v/>
      </c>
      <c r="AX495" s="9">
        <f>IF(ISNUMBER(AW495),IF(AW495&gt;450,"Yes","No"),IF(AW495="NR","NR",""))</f>
        <v/>
      </c>
      <c r="BJ495" s="9">
        <f>IF(BB495="","",IF(BB495="Non-viable","Non-viable",IF(BB495="Viable","Viable",IF(BB495="Partially non-viable",IF(OR(BD495="Total splenectomy",BD495="Partial splenectomy +/- splenopexy"),"Non-viable","Review"),IF(BB495="NR",IF(OR(BD495="Total splenectomy",BD495="Partial splenectomy +/- splenopexy"),"NR - removed, check reason","NR"),"Not applicable")))))</f>
        <v/>
      </c>
    </row>
    <row r="496">
      <c r="D496" s="8" t="n"/>
      <c r="E496" s="9">
        <f>IF(B496="","",IF(B496="OWN","Yes","No"))</f>
        <v/>
      </c>
      <c r="AF496" s="9">
        <f>IF(ISNUMBER(Z496),IF(Z496&lt;=2,"&lt;=2 d",IF(Z496&lt;=7,"3-7 d",IF(Z496&lt;=30,"8-30 d","&gt;30 d"))),IF(AE496&lt;&gt;"",AE496,IF(Z496="NR","NR","")))</f>
        <v/>
      </c>
      <c r="AX496" s="9">
        <f>IF(ISNUMBER(AW496),IF(AW496&gt;450,"Yes","No"),IF(AW496="NR","NR",""))</f>
        <v/>
      </c>
      <c r="BJ496" s="9">
        <f>IF(BB496="","",IF(BB496="Non-viable","Non-viable",IF(BB496="Viable","Viable",IF(BB496="Partially non-viable",IF(OR(BD496="Total splenectomy",BD496="Partial splenectomy +/- splenopexy"),"Non-viable","Review"),IF(BB496="NR",IF(OR(BD496="Total splenectomy",BD496="Partial splenectomy +/- splenopexy"),"NR - removed, check reason","NR"),"Not applicable")))))</f>
        <v/>
      </c>
    </row>
    <row r="497">
      <c r="D497" s="8" t="n"/>
      <c r="E497" s="9">
        <f>IF(B497="","",IF(B497="OWN","Yes","No"))</f>
        <v/>
      </c>
      <c r="AF497" s="9">
        <f>IF(ISNUMBER(Z497),IF(Z497&lt;=2,"&lt;=2 d",IF(Z497&lt;=7,"3-7 d",IF(Z497&lt;=30,"8-30 d","&gt;30 d"))),IF(AE497&lt;&gt;"",AE497,IF(Z497="NR","NR","")))</f>
        <v/>
      </c>
      <c r="AX497" s="9">
        <f>IF(ISNUMBER(AW497),IF(AW497&gt;450,"Yes","No"),IF(AW497="NR","NR",""))</f>
        <v/>
      </c>
      <c r="BJ497" s="9">
        <f>IF(BB497="","",IF(BB497="Non-viable","Non-viable",IF(BB497="Viable","Viable",IF(BB497="Partially non-viable",IF(OR(BD497="Total splenectomy",BD497="Partial splenectomy +/- splenopexy"),"Non-viable","Review"),IF(BB497="NR",IF(OR(BD497="Total splenectomy",BD497="Partial splenectomy +/- splenopexy"),"NR - removed, check reason","NR"),"Not applicable")))))</f>
        <v/>
      </c>
    </row>
    <row r="498">
      <c r="D498" s="8" t="n"/>
      <c r="E498" s="9">
        <f>IF(B498="","",IF(B498="OWN","Yes","No"))</f>
        <v/>
      </c>
      <c r="AF498" s="9">
        <f>IF(ISNUMBER(Z498),IF(Z498&lt;=2,"&lt;=2 d",IF(Z498&lt;=7,"3-7 d",IF(Z498&lt;=30,"8-30 d","&gt;30 d"))),IF(AE498&lt;&gt;"",AE498,IF(Z498="NR","NR","")))</f>
        <v/>
      </c>
      <c r="AX498" s="9">
        <f>IF(ISNUMBER(AW498),IF(AW498&gt;450,"Yes","No"),IF(AW498="NR","NR",""))</f>
        <v/>
      </c>
      <c r="BJ498" s="9">
        <f>IF(BB498="","",IF(BB498="Non-viable","Non-viable",IF(BB498="Viable","Viable",IF(BB498="Partially non-viable",IF(OR(BD498="Total splenectomy",BD498="Partial splenectomy +/- splenopexy"),"Non-viable","Review"),IF(BB498="NR",IF(OR(BD498="Total splenectomy",BD498="Partial splenectomy +/- splenopexy"),"NR - removed, check reason","NR"),"Not applicable")))))</f>
        <v/>
      </c>
    </row>
    <row r="499">
      <c r="D499" s="8" t="n"/>
      <c r="E499" s="9">
        <f>IF(B499="","",IF(B499="OWN","Yes","No"))</f>
        <v/>
      </c>
      <c r="AF499" s="9">
        <f>IF(ISNUMBER(Z499),IF(Z499&lt;=2,"&lt;=2 d",IF(Z499&lt;=7,"3-7 d",IF(Z499&lt;=30,"8-30 d","&gt;30 d"))),IF(AE499&lt;&gt;"",AE499,IF(Z499="NR","NR","")))</f>
        <v/>
      </c>
      <c r="AX499" s="9">
        <f>IF(ISNUMBER(AW499),IF(AW499&gt;450,"Yes","No"),IF(AW499="NR","NR",""))</f>
        <v/>
      </c>
      <c r="BJ499" s="9">
        <f>IF(BB499="","",IF(BB499="Non-viable","Non-viable",IF(BB499="Viable","Viable",IF(BB499="Partially non-viable",IF(OR(BD499="Total splenectomy",BD499="Partial splenectomy +/- splenopexy"),"Non-viable","Review"),IF(BB499="NR",IF(OR(BD499="Total splenectomy",BD499="Partial splenectomy +/- splenopexy"),"NR - removed, check reason","NR"),"Not applicable")))))</f>
        <v/>
      </c>
    </row>
    <row r="500">
      <c r="D500" s="8" t="n"/>
      <c r="E500" s="9">
        <f>IF(B500="","",IF(B500="OWN","Yes","No"))</f>
        <v/>
      </c>
      <c r="AF500" s="9">
        <f>IF(ISNUMBER(Z500),IF(Z500&lt;=2,"&lt;=2 d",IF(Z500&lt;=7,"3-7 d",IF(Z500&lt;=30,"8-30 d","&gt;30 d"))),IF(AE500&lt;&gt;"",AE500,IF(Z500="NR","NR","")))</f>
        <v/>
      </c>
      <c r="AX500" s="9">
        <f>IF(ISNUMBER(AW500),IF(AW500&gt;450,"Yes","No"),IF(AW500="NR","NR",""))</f>
        <v/>
      </c>
      <c r="BJ500" s="9">
        <f>IF(BB500="","",IF(BB500="Non-viable","Non-viable",IF(BB500="Viable","Viable",IF(BB500="Partially non-viable",IF(OR(BD500="Total splenectomy",BD500="Partial splenectomy +/- splenopexy"),"Non-viable","Review"),IF(BB500="NR",IF(OR(BD500="Total splenectomy",BD500="Partial splenectomy +/- splenopexy"),"NR - removed, check reason","NR"),"Not applicable")))))</f>
        <v/>
      </c>
    </row>
    <row r="501">
      <c r="D501" s="8" t="n"/>
      <c r="E501" s="9">
        <f>IF(B501="","",IF(B501="OWN","Yes","No"))</f>
        <v/>
      </c>
      <c r="AF501" s="9">
        <f>IF(ISNUMBER(Z501),IF(Z501&lt;=2,"&lt;=2 d",IF(Z501&lt;=7,"3-7 d",IF(Z501&lt;=30,"8-30 d","&gt;30 d"))),IF(AE501&lt;&gt;"",AE501,IF(Z501="NR","NR","")))</f>
        <v/>
      </c>
      <c r="AX501" s="9">
        <f>IF(ISNUMBER(AW501),IF(AW501&gt;450,"Yes","No"),IF(AW501="NR","NR",""))</f>
        <v/>
      </c>
      <c r="BJ501" s="9">
        <f>IF(BB501="","",IF(BB501="Non-viable","Non-viable",IF(BB501="Viable","Viable",IF(BB501="Partially non-viable",IF(OR(BD501="Total splenectomy",BD501="Partial splenectomy +/- splenopexy"),"Non-viable","Review"),IF(BB501="NR",IF(OR(BD501="Total splenectomy",BD501="Partial splenectomy +/- splenopexy"),"NR - removed, check reason","NR"),"Not applicable")))))</f>
        <v/>
      </c>
    </row>
    <row r="502">
      <c r="D502" s="8" t="n"/>
      <c r="E502" s="9">
        <f>IF(B502="","",IF(B502="OWN","Yes","No"))</f>
        <v/>
      </c>
      <c r="AF502" s="9">
        <f>IF(ISNUMBER(Z502),IF(Z502&lt;=2,"&lt;=2 d",IF(Z502&lt;=7,"3-7 d",IF(Z502&lt;=30,"8-30 d","&gt;30 d"))),IF(AE502&lt;&gt;"",AE502,IF(Z502="NR","NR","")))</f>
        <v/>
      </c>
      <c r="AX502" s="9">
        <f>IF(ISNUMBER(AW502),IF(AW502&gt;450,"Yes","No"),IF(AW502="NR","NR",""))</f>
        <v/>
      </c>
      <c r="BJ502" s="9">
        <f>IF(BB502="","",IF(BB502="Non-viable","Non-viable",IF(BB502="Viable","Viable",IF(BB502="Partially non-viable",IF(OR(BD502="Total splenectomy",BD502="Partial splenectomy +/- splenopexy"),"Non-viable","Review"),IF(BB502="NR",IF(OR(BD502="Total splenectomy",BD502="Partial splenectomy +/- splenopexy"),"NR - removed, check reason","NR"),"Not applicable")))))</f>
        <v/>
      </c>
    </row>
    <row r="503">
      <c r="D503" s="8" t="n"/>
      <c r="E503" s="9">
        <f>IF(B503="","",IF(B503="OWN","Yes","No"))</f>
        <v/>
      </c>
      <c r="AF503" s="9">
        <f>IF(ISNUMBER(Z503),IF(Z503&lt;=2,"&lt;=2 d",IF(Z503&lt;=7,"3-7 d",IF(Z503&lt;=30,"8-30 d","&gt;30 d"))),IF(AE503&lt;&gt;"",AE503,IF(Z503="NR","NR","")))</f>
        <v/>
      </c>
      <c r="AX503" s="9">
        <f>IF(ISNUMBER(AW503),IF(AW503&gt;450,"Yes","No"),IF(AW503="NR","NR",""))</f>
        <v/>
      </c>
      <c r="BJ503" s="9">
        <f>IF(BB503="","",IF(BB503="Non-viable","Non-viable",IF(BB503="Viable","Viable",IF(BB503="Partially non-viable",IF(OR(BD503="Total splenectomy",BD503="Partial splenectomy +/- splenopexy"),"Non-viable","Review"),IF(BB503="NR",IF(OR(BD503="Total splenectomy",BD503="Partial splenectomy +/- splenopexy"),"NR - removed, check reason","NR"),"Not applicable")))))</f>
        <v/>
      </c>
    </row>
    <row r="504">
      <c r="D504" s="8" t="n"/>
      <c r="E504" s="9">
        <f>IF(B504="","",IF(B504="OWN","Yes","No"))</f>
        <v/>
      </c>
      <c r="AF504" s="9">
        <f>IF(ISNUMBER(Z504),IF(Z504&lt;=2,"&lt;=2 d",IF(Z504&lt;=7,"3-7 d",IF(Z504&lt;=30,"8-30 d","&gt;30 d"))),IF(AE504&lt;&gt;"",AE504,IF(Z504="NR","NR","")))</f>
        <v/>
      </c>
      <c r="AX504" s="9">
        <f>IF(ISNUMBER(AW504),IF(AW504&gt;450,"Yes","No"),IF(AW504="NR","NR",""))</f>
        <v/>
      </c>
      <c r="BJ504" s="9">
        <f>IF(BB504="","",IF(BB504="Non-viable","Non-viable",IF(BB504="Viable","Viable",IF(BB504="Partially non-viable",IF(OR(BD504="Total splenectomy",BD504="Partial splenectomy +/- splenopexy"),"Non-viable","Review"),IF(BB504="NR",IF(OR(BD504="Total splenectomy",BD504="Partial splenectomy +/- splenopexy"),"NR - removed, check reason","NR"),"Not applicable")))))</f>
        <v/>
      </c>
    </row>
    <row r="505">
      <c r="D505" s="8" t="n"/>
      <c r="E505" s="9">
        <f>IF(B505="","",IF(B505="OWN","Yes","No"))</f>
        <v/>
      </c>
      <c r="AF505" s="9">
        <f>IF(ISNUMBER(Z505),IF(Z505&lt;=2,"&lt;=2 d",IF(Z505&lt;=7,"3-7 d",IF(Z505&lt;=30,"8-30 d","&gt;30 d"))),IF(AE505&lt;&gt;"",AE505,IF(Z505="NR","NR","")))</f>
        <v/>
      </c>
      <c r="AX505" s="9">
        <f>IF(ISNUMBER(AW505),IF(AW505&gt;450,"Yes","No"),IF(AW505="NR","NR",""))</f>
        <v/>
      </c>
      <c r="BJ505" s="9">
        <f>IF(BB505="","",IF(BB505="Non-viable","Non-viable",IF(BB505="Viable","Viable",IF(BB505="Partially non-viable",IF(OR(BD505="Total splenectomy",BD505="Partial splenectomy +/- splenopexy"),"Non-viable","Review"),IF(BB505="NR",IF(OR(BD505="Total splenectomy",BD505="Partial splenectomy +/- splenopexy"),"NR - removed, check reason","NR"),"Not applicable")))))</f>
        <v/>
      </c>
    </row>
    <row r="506">
      <c r="D506" s="8" t="n"/>
      <c r="E506" s="9">
        <f>IF(B506="","",IF(B506="OWN","Yes","No"))</f>
        <v/>
      </c>
      <c r="AF506" s="9">
        <f>IF(ISNUMBER(Z506),IF(Z506&lt;=2,"&lt;=2 d",IF(Z506&lt;=7,"3-7 d",IF(Z506&lt;=30,"8-30 d","&gt;30 d"))),IF(AE506&lt;&gt;"",AE506,IF(Z506="NR","NR","")))</f>
        <v/>
      </c>
      <c r="AX506" s="9">
        <f>IF(ISNUMBER(AW506),IF(AW506&gt;450,"Yes","No"),IF(AW506="NR","NR",""))</f>
        <v/>
      </c>
      <c r="BJ506" s="9">
        <f>IF(BB506="","",IF(BB506="Non-viable","Non-viable",IF(BB506="Viable","Viable",IF(BB506="Partially non-viable",IF(OR(BD506="Total splenectomy",BD506="Partial splenectomy +/- splenopexy"),"Non-viable","Review"),IF(BB506="NR",IF(OR(BD506="Total splenectomy",BD506="Partial splenectomy +/- splenopexy"),"NR - removed, check reason","NR"),"Not applicable")))))</f>
        <v/>
      </c>
    </row>
    <row r="507">
      <c r="D507" s="8" t="n"/>
      <c r="E507" s="9">
        <f>IF(B507="","",IF(B507="OWN","Yes","No"))</f>
        <v/>
      </c>
      <c r="AF507" s="9">
        <f>IF(ISNUMBER(Z507),IF(Z507&lt;=2,"&lt;=2 d",IF(Z507&lt;=7,"3-7 d",IF(Z507&lt;=30,"8-30 d","&gt;30 d"))),IF(AE507&lt;&gt;"",AE507,IF(Z507="NR","NR","")))</f>
        <v/>
      </c>
      <c r="AX507" s="9">
        <f>IF(ISNUMBER(AW507),IF(AW507&gt;450,"Yes","No"),IF(AW507="NR","NR",""))</f>
        <v/>
      </c>
      <c r="BJ507" s="9">
        <f>IF(BB507="","",IF(BB507="Non-viable","Non-viable",IF(BB507="Viable","Viable",IF(BB507="Partially non-viable",IF(OR(BD507="Total splenectomy",BD507="Partial splenectomy +/- splenopexy"),"Non-viable","Review"),IF(BB507="NR",IF(OR(BD507="Total splenectomy",BD507="Partial splenectomy +/- splenopexy"),"NR - removed, check reason","NR"),"Not applicable")))))</f>
        <v/>
      </c>
    </row>
    <row r="508">
      <c r="D508" s="8" t="n"/>
      <c r="E508" s="9">
        <f>IF(B508="","",IF(B508="OWN","Yes","No"))</f>
        <v/>
      </c>
      <c r="AF508" s="9">
        <f>IF(ISNUMBER(Z508),IF(Z508&lt;=2,"&lt;=2 d",IF(Z508&lt;=7,"3-7 d",IF(Z508&lt;=30,"8-30 d","&gt;30 d"))),IF(AE508&lt;&gt;"",AE508,IF(Z508="NR","NR","")))</f>
        <v/>
      </c>
      <c r="AX508" s="9">
        <f>IF(ISNUMBER(AW508),IF(AW508&gt;450,"Yes","No"),IF(AW508="NR","NR",""))</f>
        <v/>
      </c>
      <c r="BJ508" s="9">
        <f>IF(BB508="","",IF(BB508="Non-viable","Non-viable",IF(BB508="Viable","Viable",IF(BB508="Partially non-viable",IF(OR(BD508="Total splenectomy",BD508="Partial splenectomy +/- splenopexy"),"Non-viable","Review"),IF(BB508="NR",IF(OR(BD508="Total splenectomy",BD508="Partial splenectomy +/- splenopexy"),"NR - removed, check reason","NR"),"Not applicable")))))</f>
        <v/>
      </c>
    </row>
    <row r="509">
      <c r="D509" s="8" t="n"/>
      <c r="E509" s="9">
        <f>IF(B509="","",IF(B509="OWN","Yes","No"))</f>
        <v/>
      </c>
      <c r="AF509" s="9">
        <f>IF(ISNUMBER(Z509),IF(Z509&lt;=2,"&lt;=2 d",IF(Z509&lt;=7,"3-7 d",IF(Z509&lt;=30,"8-30 d","&gt;30 d"))),IF(AE509&lt;&gt;"",AE509,IF(Z509="NR","NR","")))</f>
        <v/>
      </c>
      <c r="AX509" s="9">
        <f>IF(ISNUMBER(AW509),IF(AW509&gt;450,"Yes","No"),IF(AW509="NR","NR",""))</f>
        <v/>
      </c>
      <c r="BJ509" s="9">
        <f>IF(BB509="","",IF(BB509="Non-viable","Non-viable",IF(BB509="Viable","Viable",IF(BB509="Partially non-viable",IF(OR(BD509="Total splenectomy",BD509="Partial splenectomy +/- splenopexy"),"Non-viable","Review"),IF(BB509="NR",IF(OR(BD509="Total splenectomy",BD509="Partial splenectomy +/- splenopexy"),"NR - removed, check reason","NR"),"Not applicable")))))</f>
        <v/>
      </c>
    </row>
    <row r="510">
      <c r="D510" s="8" t="n"/>
      <c r="E510" s="9">
        <f>IF(B510="","",IF(B510="OWN","Yes","No"))</f>
        <v/>
      </c>
      <c r="AF510" s="9">
        <f>IF(ISNUMBER(Z510),IF(Z510&lt;=2,"&lt;=2 d",IF(Z510&lt;=7,"3-7 d",IF(Z510&lt;=30,"8-30 d","&gt;30 d"))),IF(AE510&lt;&gt;"",AE510,IF(Z510="NR","NR","")))</f>
        <v/>
      </c>
      <c r="AX510" s="9">
        <f>IF(ISNUMBER(AW510),IF(AW510&gt;450,"Yes","No"),IF(AW510="NR","NR",""))</f>
        <v/>
      </c>
      <c r="BJ510" s="9">
        <f>IF(BB510="","",IF(BB510="Non-viable","Non-viable",IF(BB510="Viable","Viable",IF(BB510="Partially non-viable",IF(OR(BD510="Total splenectomy",BD510="Partial splenectomy +/- splenopexy"),"Non-viable","Review"),IF(BB510="NR",IF(OR(BD510="Total splenectomy",BD510="Partial splenectomy +/- splenopexy"),"NR - removed, check reason","NR"),"Not applicable")))))</f>
        <v/>
      </c>
    </row>
    <row r="511">
      <c r="D511" s="8" t="n"/>
      <c r="E511" s="9">
        <f>IF(B511="","",IF(B511="OWN","Yes","No"))</f>
        <v/>
      </c>
      <c r="AF511" s="9">
        <f>IF(ISNUMBER(Z511),IF(Z511&lt;=2,"&lt;=2 d",IF(Z511&lt;=7,"3-7 d",IF(Z511&lt;=30,"8-30 d","&gt;30 d"))),IF(AE511&lt;&gt;"",AE511,IF(Z511="NR","NR","")))</f>
        <v/>
      </c>
      <c r="AX511" s="9">
        <f>IF(ISNUMBER(AW511),IF(AW511&gt;450,"Yes","No"),IF(AW511="NR","NR",""))</f>
        <v/>
      </c>
      <c r="BJ511" s="9">
        <f>IF(BB511="","",IF(BB511="Non-viable","Non-viable",IF(BB511="Viable","Viable",IF(BB511="Partially non-viable",IF(OR(BD511="Total splenectomy",BD511="Partial splenectomy +/- splenopexy"),"Non-viable","Review"),IF(BB511="NR",IF(OR(BD511="Total splenectomy",BD511="Partial splenectomy +/- splenopexy"),"NR - removed, check reason","NR"),"Not applicable")))))</f>
        <v/>
      </c>
    </row>
    <row r="512">
      <c r="D512" s="8" t="n"/>
      <c r="E512" s="9">
        <f>IF(B512="","",IF(B512="OWN","Yes","No"))</f>
        <v/>
      </c>
      <c r="AF512" s="9">
        <f>IF(ISNUMBER(Z512),IF(Z512&lt;=2,"&lt;=2 d",IF(Z512&lt;=7,"3-7 d",IF(Z512&lt;=30,"8-30 d","&gt;30 d"))),IF(AE512&lt;&gt;"",AE512,IF(Z512="NR","NR","")))</f>
        <v/>
      </c>
      <c r="AX512" s="9">
        <f>IF(ISNUMBER(AW512),IF(AW512&gt;450,"Yes","No"),IF(AW512="NR","NR",""))</f>
        <v/>
      </c>
      <c r="BJ512" s="9">
        <f>IF(BB512="","",IF(BB512="Non-viable","Non-viable",IF(BB512="Viable","Viable",IF(BB512="Partially non-viable",IF(OR(BD512="Total splenectomy",BD512="Partial splenectomy +/- splenopexy"),"Non-viable","Review"),IF(BB512="NR",IF(OR(BD512="Total splenectomy",BD512="Partial splenectomy +/- splenopexy"),"NR - removed, check reason","NR"),"Not applicable")))))</f>
        <v/>
      </c>
    </row>
    <row r="513">
      <c r="D513" s="8" t="n"/>
      <c r="E513" s="9">
        <f>IF(B513="","",IF(B513="OWN","Yes","No"))</f>
        <v/>
      </c>
      <c r="AF513" s="9">
        <f>IF(ISNUMBER(Z513),IF(Z513&lt;=2,"&lt;=2 d",IF(Z513&lt;=7,"3-7 d",IF(Z513&lt;=30,"8-30 d","&gt;30 d"))),IF(AE513&lt;&gt;"",AE513,IF(Z513="NR","NR","")))</f>
        <v/>
      </c>
      <c r="AX513" s="9">
        <f>IF(ISNUMBER(AW513),IF(AW513&gt;450,"Yes","No"),IF(AW513="NR","NR",""))</f>
        <v/>
      </c>
      <c r="BJ513" s="9">
        <f>IF(BB513="","",IF(BB513="Non-viable","Non-viable",IF(BB513="Viable","Viable",IF(BB513="Partially non-viable",IF(OR(BD513="Total splenectomy",BD513="Partial splenectomy +/- splenopexy"),"Non-viable","Review"),IF(BB513="NR",IF(OR(BD513="Total splenectomy",BD513="Partial splenectomy +/- splenopexy"),"NR - removed, check reason","NR"),"Not applicable")))))</f>
        <v/>
      </c>
    </row>
    <row r="514">
      <c r="D514" s="8" t="n"/>
      <c r="E514" s="9">
        <f>IF(B514="","",IF(B514="OWN","Yes","No"))</f>
        <v/>
      </c>
      <c r="AF514" s="9">
        <f>IF(ISNUMBER(Z514),IF(Z514&lt;=2,"&lt;=2 d",IF(Z514&lt;=7,"3-7 d",IF(Z514&lt;=30,"8-30 d","&gt;30 d"))),IF(AE514&lt;&gt;"",AE514,IF(Z514="NR","NR","")))</f>
        <v/>
      </c>
      <c r="AX514" s="9">
        <f>IF(ISNUMBER(AW514),IF(AW514&gt;450,"Yes","No"),IF(AW514="NR","NR",""))</f>
        <v/>
      </c>
      <c r="BJ514" s="9">
        <f>IF(BB514="","",IF(BB514="Non-viable","Non-viable",IF(BB514="Viable","Viable",IF(BB514="Partially non-viable",IF(OR(BD514="Total splenectomy",BD514="Partial splenectomy +/- splenopexy"),"Non-viable","Review"),IF(BB514="NR",IF(OR(BD514="Total splenectomy",BD514="Partial splenectomy +/- splenopexy"),"NR - removed, check reason","NR"),"Not applicable")))))</f>
        <v/>
      </c>
    </row>
    <row r="515">
      <c r="D515" s="8" t="n"/>
      <c r="E515" s="9">
        <f>IF(B515="","",IF(B515="OWN","Yes","No"))</f>
        <v/>
      </c>
      <c r="AF515" s="9">
        <f>IF(ISNUMBER(Z515),IF(Z515&lt;=2,"&lt;=2 d",IF(Z515&lt;=7,"3-7 d",IF(Z515&lt;=30,"8-30 d","&gt;30 d"))),IF(AE515&lt;&gt;"",AE515,IF(Z515="NR","NR","")))</f>
        <v/>
      </c>
      <c r="AX515" s="9">
        <f>IF(ISNUMBER(AW515),IF(AW515&gt;450,"Yes","No"),IF(AW515="NR","NR",""))</f>
        <v/>
      </c>
      <c r="BJ515" s="9">
        <f>IF(BB515="","",IF(BB515="Non-viable","Non-viable",IF(BB515="Viable","Viable",IF(BB515="Partially non-viable",IF(OR(BD515="Total splenectomy",BD515="Partial splenectomy +/- splenopexy"),"Non-viable","Review"),IF(BB515="NR",IF(OR(BD515="Total splenectomy",BD515="Partial splenectomy +/- splenopexy"),"NR - removed, check reason","NR"),"Not applicable")))))</f>
        <v/>
      </c>
    </row>
    <row r="516">
      <c r="D516" s="8" t="n"/>
      <c r="E516" s="9">
        <f>IF(B516="","",IF(B516="OWN","Yes","No"))</f>
        <v/>
      </c>
      <c r="AF516" s="9">
        <f>IF(ISNUMBER(Z516),IF(Z516&lt;=2,"&lt;=2 d",IF(Z516&lt;=7,"3-7 d",IF(Z516&lt;=30,"8-30 d","&gt;30 d"))),IF(AE516&lt;&gt;"",AE516,IF(Z516="NR","NR","")))</f>
        <v/>
      </c>
      <c r="AX516" s="9">
        <f>IF(ISNUMBER(AW516),IF(AW516&gt;450,"Yes","No"),IF(AW516="NR","NR",""))</f>
        <v/>
      </c>
      <c r="BJ516" s="9">
        <f>IF(BB516="","",IF(BB516="Non-viable","Non-viable",IF(BB516="Viable","Viable",IF(BB516="Partially non-viable",IF(OR(BD516="Total splenectomy",BD516="Partial splenectomy +/- splenopexy"),"Non-viable","Review"),IF(BB516="NR",IF(OR(BD516="Total splenectomy",BD516="Partial splenectomy +/- splenopexy"),"NR - removed, check reason","NR"),"Not applicable")))))</f>
        <v/>
      </c>
    </row>
    <row r="517">
      <c r="D517" s="8" t="n"/>
      <c r="E517" s="9">
        <f>IF(B517="","",IF(B517="OWN","Yes","No"))</f>
        <v/>
      </c>
      <c r="AF517" s="9">
        <f>IF(ISNUMBER(Z517),IF(Z517&lt;=2,"&lt;=2 d",IF(Z517&lt;=7,"3-7 d",IF(Z517&lt;=30,"8-30 d","&gt;30 d"))),IF(AE517&lt;&gt;"",AE517,IF(Z517="NR","NR","")))</f>
        <v/>
      </c>
      <c r="AX517" s="9">
        <f>IF(ISNUMBER(AW517),IF(AW517&gt;450,"Yes","No"),IF(AW517="NR","NR",""))</f>
        <v/>
      </c>
      <c r="BJ517" s="9">
        <f>IF(BB517="","",IF(BB517="Non-viable","Non-viable",IF(BB517="Viable","Viable",IF(BB517="Partially non-viable",IF(OR(BD517="Total splenectomy",BD517="Partial splenectomy +/- splenopexy"),"Non-viable","Review"),IF(BB517="NR",IF(OR(BD517="Total splenectomy",BD517="Partial splenectomy +/- splenopexy"),"NR - removed, check reason","NR"),"Not applicable")))))</f>
        <v/>
      </c>
    </row>
    <row r="518">
      <c r="D518" s="8" t="n"/>
      <c r="E518" s="9">
        <f>IF(B518="","",IF(B518="OWN","Yes","No"))</f>
        <v/>
      </c>
      <c r="AF518" s="9">
        <f>IF(ISNUMBER(Z518),IF(Z518&lt;=2,"&lt;=2 d",IF(Z518&lt;=7,"3-7 d",IF(Z518&lt;=30,"8-30 d","&gt;30 d"))),IF(AE518&lt;&gt;"",AE518,IF(Z518="NR","NR","")))</f>
        <v/>
      </c>
      <c r="AX518" s="9">
        <f>IF(ISNUMBER(AW518),IF(AW518&gt;450,"Yes","No"),IF(AW518="NR","NR",""))</f>
        <v/>
      </c>
      <c r="BJ518" s="9">
        <f>IF(BB518="","",IF(BB518="Non-viable","Non-viable",IF(BB518="Viable","Viable",IF(BB518="Partially non-viable",IF(OR(BD518="Total splenectomy",BD518="Partial splenectomy +/- splenopexy"),"Non-viable","Review"),IF(BB518="NR",IF(OR(BD518="Total splenectomy",BD518="Partial splenectomy +/- splenopexy"),"NR - removed, check reason","NR"),"Not applicable")))))</f>
        <v/>
      </c>
    </row>
    <row r="519">
      <c r="D519" s="8" t="n"/>
      <c r="E519" s="9">
        <f>IF(B519="","",IF(B519="OWN","Yes","No"))</f>
        <v/>
      </c>
      <c r="AF519" s="9">
        <f>IF(ISNUMBER(Z519),IF(Z519&lt;=2,"&lt;=2 d",IF(Z519&lt;=7,"3-7 d",IF(Z519&lt;=30,"8-30 d","&gt;30 d"))),IF(AE519&lt;&gt;"",AE519,IF(Z519="NR","NR","")))</f>
        <v/>
      </c>
      <c r="AX519" s="9">
        <f>IF(ISNUMBER(AW519),IF(AW519&gt;450,"Yes","No"),IF(AW519="NR","NR",""))</f>
        <v/>
      </c>
      <c r="BJ519" s="9">
        <f>IF(BB519="","",IF(BB519="Non-viable","Non-viable",IF(BB519="Viable","Viable",IF(BB519="Partially non-viable",IF(OR(BD519="Total splenectomy",BD519="Partial splenectomy +/- splenopexy"),"Non-viable","Review"),IF(BB519="NR",IF(OR(BD519="Total splenectomy",BD519="Partial splenectomy +/- splenopexy"),"NR - removed, check reason","NR"),"Not applicable")))))</f>
        <v/>
      </c>
    </row>
    <row r="520">
      <c r="D520" s="8" t="n"/>
      <c r="E520" s="9">
        <f>IF(B520="","",IF(B520="OWN","Yes","No"))</f>
        <v/>
      </c>
      <c r="AF520" s="9">
        <f>IF(ISNUMBER(Z520),IF(Z520&lt;=2,"&lt;=2 d",IF(Z520&lt;=7,"3-7 d",IF(Z520&lt;=30,"8-30 d","&gt;30 d"))),IF(AE520&lt;&gt;"",AE520,IF(Z520="NR","NR","")))</f>
        <v/>
      </c>
      <c r="AX520" s="9">
        <f>IF(ISNUMBER(AW520),IF(AW520&gt;450,"Yes","No"),IF(AW520="NR","NR",""))</f>
        <v/>
      </c>
      <c r="BJ520" s="9">
        <f>IF(BB520="","",IF(BB520="Non-viable","Non-viable",IF(BB520="Viable","Viable",IF(BB520="Partially non-viable",IF(OR(BD520="Total splenectomy",BD520="Partial splenectomy +/- splenopexy"),"Non-viable","Review"),IF(BB520="NR",IF(OR(BD520="Total splenectomy",BD520="Partial splenectomy +/- splenopexy"),"NR - removed, check reason","NR"),"Not applicable")))))</f>
        <v/>
      </c>
    </row>
    <row r="521">
      <c r="D521" s="8" t="n"/>
      <c r="E521" s="9">
        <f>IF(B521="","",IF(B521="OWN","Yes","No"))</f>
        <v/>
      </c>
      <c r="AF521" s="9">
        <f>IF(ISNUMBER(Z521),IF(Z521&lt;=2,"&lt;=2 d",IF(Z521&lt;=7,"3-7 d",IF(Z521&lt;=30,"8-30 d","&gt;30 d"))),IF(AE521&lt;&gt;"",AE521,IF(Z521="NR","NR","")))</f>
        <v/>
      </c>
      <c r="AX521" s="9">
        <f>IF(ISNUMBER(AW521),IF(AW521&gt;450,"Yes","No"),IF(AW521="NR","NR",""))</f>
        <v/>
      </c>
      <c r="BJ521" s="9">
        <f>IF(BB521="","",IF(BB521="Non-viable","Non-viable",IF(BB521="Viable","Viable",IF(BB521="Partially non-viable",IF(OR(BD521="Total splenectomy",BD521="Partial splenectomy +/- splenopexy"),"Non-viable","Review"),IF(BB521="NR",IF(OR(BD521="Total splenectomy",BD521="Partial splenectomy +/- splenopexy"),"NR - removed, check reason","NR"),"Not applicable")))))</f>
        <v/>
      </c>
    </row>
    <row r="522">
      <c r="D522" s="8" t="n"/>
      <c r="E522" s="9">
        <f>IF(B522="","",IF(B522="OWN","Yes","No"))</f>
        <v/>
      </c>
      <c r="AF522" s="9">
        <f>IF(ISNUMBER(Z522),IF(Z522&lt;=2,"&lt;=2 d",IF(Z522&lt;=7,"3-7 d",IF(Z522&lt;=30,"8-30 d","&gt;30 d"))),IF(AE522&lt;&gt;"",AE522,IF(Z522="NR","NR","")))</f>
        <v/>
      </c>
      <c r="AX522" s="9">
        <f>IF(ISNUMBER(AW522),IF(AW522&gt;450,"Yes","No"),IF(AW522="NR","NR",""))</f>
        <v/>
      </c>
      <c r="BJ522" s="9">
        <f>IF(BB522="","",IF(BB522="Non-viable","Non-viable",IF(BB522="Viable","Viable",IF(BB522="Partially non-viable",IF(OR(BD522="Total splenectomy",BD522="Partial splenectomy +/- splenopexy"),"Non-viable","Review"),IF(BB522="NR",IF(OR(BD522="Total splenectomy",BD522="Partial splenectomy +/- splenopexy"),"NR - removed, check reason","NR"),"Not applicable")))))</f>
        <v/>
      </c>
    </row>
    <row r="523">
      <c r="D523" s="8" t="n"/>
      <c r="E523" s="9">
        <f>IF(B523="","",IF(B523="OWN","Yes","No"))</f>
        <v/>
      </c>
      <c r="AF523" s="9">
        <f>IF(ISNUMBER(Z523),IF(Z523&lt;=2,"&lt;=2 d",IF(Z523&lt;=7,"3-7 d",IF(Z523&lt;=30,"8-30 d","&gt;30 d"))),IF(AE523&lt;&gt;"",AE523,IF(Z523="NR","NR","")))</f>
        <v/>
      </c>
      <c r="AX523" s="9">
        <f>IF(ISNUMBER(AW523),IF(AW523&gt;450,"Yes","No"),IF(AW523="NR","NR",""))</f>
        <v/>
      </c>
      <c r="BJ523" s="9">
        <f>IF(BB523="","",IF(BB523="Non-viable","Non-viable",IF(BB523="Viable","Viable",IF(BB523="Partially non-viable",IF(OR(BD523="Total splenectomy",BD523="Partial splenectomy +/- splenopexy"),"Non-viable","Review"),IF(BB523="NR",IF(OR(BD523="Total splenectomy",BD523="Partial splenectomy +/- splenopexy"),"NR - removed, check reason","NR"),"Not applicable")))))</f>
        <v/>
      </c>
    </row>
    <row r="524">
      <c r="D524" s="8" t="n"/>
      <c r="E524" s="9">
        <f>IF(B524="","",IF(B524="OWN","Yes","No"))</f>
        <v/>
      </c>
      <c r="AF524" s="9">
        <f>IF(ISNUMBER(Z524),IF(Z524&lt;=2,"&lt;=2 d",IF(Z524&lt;=7,"3-7 d",IF(Z524&lt;=30,"8-30 d","&gt;30 d"))),IF(AE524&lt;&gt;"",AE524,IF(Z524="NR","NR","")))</f>
        <v/>
      </c>
      <c r="AX524" s="9">
        <f>IF(ISNUMBER(AW524),IF(AW524&gt;450,"Yes","No"),IF(AW524="NR","NR",""))</f>
        <v/>
      </c>
      <c r="BJ524" s="9">
        <f>IF(BB524="","",IF(BB524="Non-viable","Non-viable",IF(BB524="Viable","Viable",IF(BB524="Partially non-viable",IF(OR(BD524="Total splenectomy",BD524="Partial splenectomy +/- splenopexy"),"Non-viable","Review"),IF(BB524="NR",IF(OR(BD524="Total splenectomy",BD524="Partial splenectomy +/- splenopexy"),"NR - removed, check reason","NR"),"Not applicable")))))</f>
        <v/>
      </c>
    </row>
    <row r="525">
      <c r="D525" s="8" t="n"/>
      <c r="E525" s="9">
        <f>IF(B525="","",IF(B525="OWN","Yes","No"))</f>
        <v/>
      </c>
      <c r="AF525" s="9">
        <f>IF(ISNUMBER(Z525),IF(Z525&lt;=2,"&lt;=2 d",IF(Z525&lt;=7,"3-7 d",IF(Z525&lt;=30,"8-30 d","&gt;30 d"))),IF(AE525&lt;&gt;"",AE525,IF(Z525="NR","NR","")))</f>
        <v/>
      </c>
      <c r="AX525" s="9">
        <f>IF(ISNUMBER(AW525),IF(AW525&gt;450,"Yes","No"),IF(AW525="NR","NR",""))</f>
        <v/>
      </c>
      <c r="BJ525" s="9">
        <f>IF(BB525="","",IF(BB525="Non-viable","Non-viable",IF(BB525="Viable","Viable",IF(BB525="Partially non-viable",IF(OR(BD525="Total splenectomy",BD525="Partial splenectomy +/- splenopexy"),"Non-viable","Review"),IF(BB525="NR",IF(OR(BD525="Total splenectomy",BD525="Partial splenectomy +/- splenopexy"),"NR - removed, check reason","NR"),"Not applicable")))))</f>
        <v/>
      </c>
    </row>
    <row r="526">
      <c r="D526" s="8" t="n"/>
      <c r="E526" s="9">
        <f>IF(B526="","",IF(B526="OWN","Yes","No"))</f>
        <v/>
      </c>
      <c r="AF526" s="9">
        <f>IF(ISNUMBER(Z526),IF(Z526&lt;=2,"&lt;=2 d",IF(Z526&lt;=7,"3-7 d",IF(Z526&lt;=30,"8-30 d","&gt;30 d"))),IF(AE526&lt;&gt;"",AE526,IF(Z526="NR","NR","")))</f>
        <v/>
      </c>
      <c r="AX526" s="9">
        <f>IF(ISNUMBER(AW526),IF(AW526&gt;450,"Yes","No"),IF(AW526="NR","NR",""))</f>
        <v/>
      </c>
      <c r="BJ526" s="9">
        <f>IF(BB526="","",IF(BB526="Non-viable","Non-viable",IF(BB526="Viable","Viable",IF(BB526="Partially non-viable",IF(OR(BD526="Total splenectomy",BD526="Partial splenectomy +/- splenopexy"),"Non-viable","Review"),IF(BB526="NR",IF(OR(BD526="Total splenectomy",BD526="Partial splenectomy +/- splenopexy"),"NR - removed, check reason","NR"),"Not applicable")))))</f>
        <v/>
      </c>
    </row>
    <row r="527">
      <c r="D527" s="8" t="n"/>
      <c r="E527" s="9">
        <f>IF(B527="","",IF(B527="OWN","Yes","No"))</f>
        <v/>
      </c>
      <c r="AF527" s="9">
        <f>IF(ISNUMBER(Z527),IF(Z527&lt;=2,"&lt;=2 d",IF(Z527&lt;=7,"3-7 d",IF(Z527&lt;=30,"8-30 d","&gt;30 d"))),IF(AE527&lt;&gt;"",AE527,IF(Z527="NR","NR","")))</f>
        <v/>
      </c>
      <c r="AX527" s="9">
        <f>IF(ISNUMBER(AW527),IF(AW527&gt;450,"Yes","No"),IF(AW527="NR","NR",""))</f>
        <v/>
      </c>
      <c r="BJ527" s="9">
        <f>IF(BB527="","",IF(BB527="Non-viable","Non-viable",IF(BB527="Viable","Viable",IF(BB527="Partially non-viable",IF(OR(BD527="Total splenectomy",BD527="Partial splenectomy +/- splenopexy"),"Non-viable","Review"),IF(BB527="NR",IF(OR(BD527="Total splenectomy",BD527="Partial splenectomy +/- splenopexy"),"NR - removed, check reason","NR"),"Not applicable")))))</f>
        <v/>
      </c>
    </row>
    <row r="528">
      <c r="D528" s="8" t="n"/>
      <c r="E528" s="9">
        <f>IF(B528="","",IF(B528="OWN","Yes","No"))</f>
        <v/>
      </c>
      <c r="AF528" s="9">
        <f>IF(ISNUMBER(Z528),IF(Z528&lt;=2,"&lt;=2 d",IF(Z528&lt;=7,"3-7 d",IF(Z528&lt;=30,"8-30 d","&gt;30 d"))),IF(AE528&lt;&gt;"",AE528,IF(Z528="NR","NR","")))</f>
        <v/>
      </c>
      <c r="AX528" s="9">
        <f>IF(ISNUMBER(AW528),IF(AW528&gt;450,"Yes","No"),IF(AW528="NR","NR",""))</f>
        <v/>
      </c>
      <c r="BJ528" s="9">
        <f>IF(BB528="","",IF(BB528="Non-viable","Non-viable",IF(BB528="Viable","Viable",IF(BB528="Partially non-viable",IF(OR(BD528="Total splenectomy",BD528="Partial splenectomy +/- splenopexy"),"Non-viable","Review"),IF(BB528="NR",IF(OR(BD528="Total splenectomy",BD528="Partial splenectomy +/- splenopexy"),"NR - removed, check reason","NR"),"Not applicable")))))</f>
        <v/>
      </c>
    </row>
    <row r="529">
      <c r="D529" s="8" t="n"/>
      <c r="E529" s="9">
        <f>IF(B529="","",IF(B529="OWN","Yes","No"))</f>
        <v/>
      </c>
      <c r="AF529" s="9">
        <f>IF(ISNUMBER(Z529),IF(Z529&lt;=2,"&lt;=2 d",IF(Z529&lt;=7,"3-7 d",IF(Z529&lt;=30,"8-30 d","&gt;30 d"))),IF(AE529&lt;&gt;"",AE529,IF(Z529="NR","NR","")))</f>
        <v/>
      </c>
      <c r="AX529" s="9">
        <f>IF(ISNUMBER(AW529),IF(AW529&gt;450,"Yes","No"),IF(AW529="NR","NR",""))</f>
        <v/>
      </c>
      <c r="BJ529" s="9">
        <f>IF(BB529="","",IF(BB529="Non-viable","Non-viable",IF(BB529="Viable","Viable",IF(BB529="Partially non-viable",IF(OR(BD529="Total splenectomy",BD529="Partial splenectomy +/- splenopexy"),"Non-viable","Review"),IF(BB529="NR",IF(OR(BD529="Total splenectomy",BD529="Partial splenectomy +/- splenopexy"),"NR - removed, check reason","NR"),"Not applicable")))))</f>
        <v/>
      </c>
    </row>
    <row r="530">
      <c r="D530" s="8" t="n"/>
      <c r="E530" s="9">
        <f>IF(B530="","",IF(B530="OWN","Yes","No"))</f>
        <v/>
      </c>
      <c r="AF530" s="9">
        <f>IF(ISNUMBER(Z530),IF(Z530&lt;=2,"&lt;=2 d",IF(Z530&lt;=7,"3-7 d",IF(Z530&lt;=30,"8-30 d","&gt;30 d"))),IF(AE530&lt;&gt;"",AE530,IF(Z530="NR","NR","")))</f>
        <v/>
      </c>
      <c r="AX530" s="9">
        <f>IF(ISNUMBER(AW530),IF(AW530&gt;450,"Yes","No"),IF(AW530="NR","NR",""))</f>
        <v/>
      </c>
      <c r="BJ530" s="9">
        <f>IF(BB530="","",IF(BB530="Non-viable","Non-viable",IF(BB530="Viable","Viable",IF(BB530="Partially non-viable",IF(OR(BD530="Total splenectomy",BD530="Partial splenectomy +/- splenopexy"),"Non-viable","Review"),IF(BB530="NR",IF(OR(BD530="Total splenectomy",BD530="Partial splenectomy +/- splenopexy"),"NR - removed, check reason","NR"),"Not applicable")))))</f>
        <v/>
      </c>
    </row>
    <row r="531">
      <c r="D531" s="8" t="n"/>
      <c r="E531" s="9">
        <f>IF(B531="","",IF(B531="OWN","Yes","No"))</f>
        <v/>
      </c>
      <c r="AF531" s="9">
        <f>IF(ISNUMBER(Z531),IF(Z531&lt;=2,"&lt;=2 d",IF(Z531&lt;=7,"3-7 d",IF(Z531&lt;=30,"8-30 d","&gt;30 d"))),IF(AE531&lt;&gt;"",AE531,IF(Z531="NR","NR","")))</f>
        <v/>
      </c>
      <c r="AX531" s="9">
        <f>IF(ISNUMBER(AW531),IF(AW531&gt;450,"Yes","No"),IF(AW531="NR","NR",""))</f>
        <v/>
      </c>
      <c r="BJ531" s="9">
        <f>IF(BB531="","",IF(BB531="Non-viable","Non-viable",IF(BB531="Viable","Viable",IF(BB531="Partially non-viable",IF(OR(BD531="Total splenectomy",BD531="Partial splenectomy +/- splenopexy"),"Non-viable","Review"),IF(BB531="NR",IF(OR(BD531="Total splenectomy",BD531="Partial splenectomy +/- splenopexy"),"NR - removed, check reason","NR"),"Not applicable")))))</f>
        <v/>
      </c>
    </row>
    <row r="532">
      <c r="D532" s="8" t="n"/>
      <c r="E532" s="9">
        <f>IF(B532="","",IF(B532="OWN","Yes","No"))</f>
        <v/>
      </c>
      <c r="AF532" s="9">
        <f>IF(ISNUMBER(Z532),IF(Z532&lt;=2,"&lt;=2 d",IF(Z532&lt;=7,"3-7 d",IF(Z532&lt;=30,"8-30 d","&gt;30 d"))),IF(AE532&lt;&gt;"",AE532,IF(Z532="NR","NR","")))</f>
        <v/>
      </c>
      <c r="AX532" s="9">
        <f>IF(ISNUMBER(AW532),IF(AW532&gt;450,"Yes","No"),IF(AW532="NR","NR",""))</f>
        <v/>
      </c>
      <c r="BJ532" s="9">
        <f>IF(BB532="","",IF(BB532="Non-viable","Non-viable",IF(BB532="Viable","Viable",IF(BB532="Partially non-viable",IF(OR(BD532="Total splenectomy",BD532="Partial splenectomy +/- splenopexy"),"Non-viable","Review"),IF(BB532="NR",IF(OR(BD532="Total splenectomy",BD532="Partial splenectomy +/- splenopexy"),"NR - removed, check reason","NR"),"Not applicable")))))</f>
        <v/>
      </c>
    </row>
    <row r="533">
      <c r="D533" s="8" t="n"/>
      <c r="E533" s="9">
        <f>IF(B533="","",IF(B533="OWN","Yes","No"))</f>
        <v/>
      </c>
      <c r="AF533" s="9">
        <f>IF(ISNUMBER(Z533),IF(Z533&lt;=2,"&lt;=2 d",IF(Z533&lt;=7,"3-7 d",IF(Z533&lt;=30,"8-30 d","&gt;30 d"))),IF(AE533&lt;&gt;"",AE533,IF(Z533="NR","NR","")))</f>
        <v/>
      </c>
      <c r="AX533" s="9">
        <f>IF(ISNUMBER(AW533),IF(AW533&gt;450,"Yes","No"),IF(AW533="NR","NR",""))</f>
        <v/>
      </c>
      <c r="BJ533" s="9">
        <f>IF(BB533="","",IF(BB533="Non-viable","Non-viable",IF(BB533="Viable","Viable",IF(BB533="Partially non-viable",IF(OR(BD533="Total splenectomy",BD533="Partial splenectomy +/- splenopexy"),"Non-viable","Review"),IF(BB533="NR",IF(OR(BD533="Total splenectomy",BD533="Partial splenectomy +/- splenopexy"),"NR - removed, check reason","NR"),"Not applicable")))))</f>
        <v/>
      </c>
    </row>
    <row r="534">
      <c r="D534" s="8" t="n"/>
      <c r="E534" s="9">
        <f>IF(B534="","",IF(B534="OWN","Yes","No"))</f>
        <v/>
      </c>
      <c r="AF534" s="9">
        <f>IF(ISNUMBER(Z534),IF(Z534&lt;=2,"&lt;=2 d",IF(Z534&lt;=7,"3-7 d",IF(Z534&lt;=30,"8-30 d","&gt;30 d"))),IF(AE534&lt;&gt;"",AE534,IF(Z534="NR","NR","")))</f>
        <v/>
      </c>
      <c r="AX534" s="9">
        <f>IF(ISNUMBER(AW534),IF(AW534&gt;450,"Yes","No"),IF(AW534="NR","NR",""))</f>
        <v/>
      </c>
      <c r="BJ534" s="9">
        <f>IF(BB534="","",IF(BB534="Non-viable","Non-viable",IF(BB534="Viable","Viable",IF(BB534="Partially non-viable",IF(OR(BD534="Total splenectomy",BD534="Partial splenectomy +/- splenopexy"),"Non-viable","Review"),IF(BB534="NR",IF(OR(BD534="Total splenectomy",BD534="Partial splenectomy +/- splenopexy"),"NR - removed, check reason","NR"),"Not applicable")))))</f>
        <v/>
      </c>
    </row>
    <row r="535">
      <c r="D535" s="8" t="n"/>
      <c r="E535" s="9">
        <f>IF(B535="","",IF(B535="OWN","Yes","No"))</f>
        <v/>
      </c>
      <c r="AF535" s="9">
        <f>IF(ISNUMBER(Z535),IF(Z535&lt;=2,"&lt;=2 d",IF(Z535&lt;=7,"3-7 d",IF(Z535&lt;=30,"8-30 d","&gt;30 d"))),IF(AE535&lt;&gt;"",AE535,IF(Z535="NR","NR","")))</f>
        <v/>
      </c>
      <c r="AX535" s="9">
        <f>IF(ISNUMBER(AW535),IF(AW535&gt;450,"Yes","No"),IF(AW535="NR","NR",""))</f>
        <v/>
      </c>
      <c r="BJ535" s="9">
        <f>IF(BB535="","",IF(BB535="Non-viable","Non-viable",IF(BB535="Viable","Viable",IF(BB535="Partially non-viable",IF(OR(BD535="Total splenectomy",BD535="Partial splenectomy +/- splenopexy"),"Non-viable","Review"),IF(BB535="NR",IF(OR(BD535="Total splenectomy",BD535="Partial splenectomy +/- splenopexy"),"NR - removed, check reason","NR"),"Not applicable")))))</f>
        <v/>
      </c>
    </row>
    <row r="536">
      <c r="D536" s="8" t="n"/>
      <c r="E536" s="9">
        <f>IF(B536="","",IF(B536="OWN","Yes","No"))</f>
        <v/>
      </c>
      <c r="AF536" s="9">
        <f>IF(ISNUMBER(Z536),IF(Z536&lt;=2,"&lt;=2 d",IF(Z536&lt;=7,"3-7 d",IF(Z536&lt;=30,"8-30 d","&gt;30 d"))),IF(AE536&lt;&gt;"",AE536,IF(Z536="NR","NR","")))</f>
        <v/>
      </c>
      <c r="AX536" s="9">
        <f>IF(ISNUMBER(AW536),IF(AW536&gt;450,"Yes","No"),IF(AW536="NR","NR",""))</f>
        <v/>
      </c>
      <c r="BJ536" s="9">
        <f>IF(BB536="","",IF(BB536="Non-viable","Non-viable",IF(BB536="Viable","Viable",IF(BB536="Partially non-viable",IF(OR(BD536="Total splenectomy",BD536="Partial splenectomy +/- splenopexy"),"Non-viable","Review"),IF(BB536="NR",IF(OR(BD536="Total splenectomy",BD536="Partial splenectomy +/- splenopexy"),"NR - removed, check reason","NR"),"Not applicable")))))</f>
        <v/>
      </c>
    </row>
    <row r="537">
      <c r="D537" s="8" t="n"/>
      <c r="E537" s="9">
        <f>IF(B537="","",IF(B537="OWN","Yes","No"))</f>
        <v/>
      </c>
      <c r="AF537" s="9">
        <f>IF(ISNUMBER(Z537),IF(Z537&lt;=2,"&lt;=2 d",IF(Z537&lt;=7,"3-7 d",IF(Z537&lt;=30,"8-30 d","&gt;30 d"))),IF(AE537&lt;&gt;"",AE537,IF(Z537="NR","NR","")))</f>
        <v/>
      </c>
      <c r="AX537" s="9">
        <f>IF(ISNUMBER(AW537),IF(AW537&gt;450,"Yes","No"),IF(AW537="NR","NR",""))</f>
        <v/>
      </c>
      <c r="BJ537" s="9">
        <f>IF(BB537="","",IF(BB537="Non-viable","Non-viable",IF(BB537="Viable","Viable",IF(BB537="Partially non-viable",IF(OR(BD537="Total splenectomy",BD537="Partial splenectomy +/- splenopexy"),"Non-viable","Review"),IF(BB537="NR",IF(OR(BD537="Total splenectomy",BD537="Partial splenectomy +/- splenopexy"),"NR - removed, check reason","NR"),"Not applicable")))))</f>
        <v/>
      </c>
    </row>
    <row r="538">
      <c r="D538" s="8" t="n"/>
      <c r="E538" s="9">
        <f>IF(B538="","",IF(B538="OWN","Yes","No"))</f>
        <v/>
      </c>
      <c r="AF538" s="9">
        <f>IF(ISNUMBER(Z538),IF(Z538&lt;=2,"&lt;=2 d",IF(Z538&lt;=7,"3-7 d",IF(Z538&lt;=30,"8-30 d","&gt;30 d"))),IF(AE538&lt;&gt;"",AE538,IF(Z538="NR","NR","")))</f>
        <v/>
      </c>
      <c r="AX538" s="9">
        <f>IF(ISNUMBER(AW538),IF(AW538&gt;450,"Yes","No"),IF(AW538="NR","NR",""))</f>
        <v/>
      </c>
      <c r="BJ538" s="9">
        <f>IF(BB538="","",IF(BB538="Non-viable","Non-viable",IF(BB538="Viable","Viable",IF(BB538="Partially non-viable",IF(OR(BD538="Total splenectomy",BD538="Partial splenectomy +/- splenopexy"),"Non-viable","Review"),IF(BB538="NR",IF(OR(BD538="Total splenectomy",BD538="Partial splenectomy +/- splenopexy"),"NR - removed, check reason","NR"),"Not applicable")))))</f>
        <v/>
      </c>
    </row>
    <row r="539">
      <c r="D539" s="8" t="n"/>
      <c r="E539" s="9">
        <f>IF(B539="","",IF(B539="OWN","Yes","No"))</f>
        <v/>
      </c>
      <c r="AF539" s="9">
        <f>IF(ISNUMBER(Z539),IF(Z539&lt;=2,"&lt;=2 d",IF(Z539&lt;=7,"3-7 d",IF(Z539&lt;=30,"8-30 d","&gt;30 d"))),IF(AE539&lt;&gt;"",AE539,IF(Z539="NR","NR","")))</f>
        <v/>
      </c>
      <c r="AX539" s="9">
        <f>IF(ISNUMBER(AW539),IF(AW539&gt;450,"Yes","No"),IF(AW539="NR","NR",""))</f>
        <v/>
      </c>
      <c r="BJ539" s="9">
        <f>IF(BB539="","",IF(BB539="Non-viable","Non-viable",IF(BB539="Viable","Viable",IF(BB539="Partially non-viable",IF(OR(BD539="Total splenectomy",BD539="Partial splenectomy +/- splenopexy"),"Non-viable","Review"),IF(BB539="NR",IF(OR(BD539="Total splenectomy",BD539="Partial splenectomy +/- splenopexy"),"NR - removed, check reason","NR"),"Not applicable")))))</f>
        <v/>
      </c>
    </row>
    <row r="540">
      <c r="D540" s="8" t="n"/>
      <c r="E540" s="9">
        <f>IF(B540="","",IF(B540="OWN","Yes","No"))</f>
        <v/>
      </c>
      <c r="AF540" s="9">
        <f>IF(ISNUMBER(Z540),IF(Z540&lt;=2,"&lt;=2 d",IF(Z540&lt;=7,"3-7 d",IF(Z540&lt;=30,"8-30 d","&gt;30 d"))),IF(AE540&lt;&gt;"",AE540,IF(Z540="NR","NR","")))</f>
        <v/>
      </c>
      <c r="AX540" s="9">
        <f>IF(ISNUMBER(AW540),IF(AW540&gt;450,"Yes","No"),IF(AW540="NR","NR",""))</f>
        <v/>
      </c>
      <c r="BJ540" s="9">
        <f>IF(BB540="","",IF(BB540="Non-viable","Non-viable",IF(BB540="Viable","Viable",IF(BB540="Partially non-viable",IF(OR(BD540="Total splenectomy",BD540="Partial splenectomy +/- splenopexy"),"Non-viable","Review"),IF(BB540="NR",IF(OR(BD540="Total splenectomy",BD540="Partial splenectomy +/- splenopexy"),"NR - removed, check reason","NR"),"Not applicable")))))</f>
        <v/>
      </c>
    </row>
    <row r="541">
      <c r="D541" s="8" t="n"/>
      <c r="E541" s="9">
        <f>IF(B541="","",IF(B541="OWN","Yes","No"))</f>
        <v/>
      </c>
      <c r="AF541" s="9">
        <f>IF(ISNUMBER(Z541),IF(Z541&lt;=2,"&lt;=2 d",IF(Z541&lt;=7,"3-7 d",IF(Z541&lt;=30,"8-30 d","&gt;30 d"))),IF(AE541&lt;&gt;"",AE541,IF(Z541="NR","NR","")))</f>
        <v/>
      </c>
      <c r="AX541" s="9">
        <f>IF(ISNUMBER(AW541),IF(AW541&gt;450,"Yes","No"),IF(AW541="NR","NR",""))</f>
        <v/>
      </c>
      <c r="BJ541" s="9">
        <f>IF(BB541="","",IF(BB541="Non-viable","Non-viable",IF(BB541="Viable","Viable",IF(BB541="Partially non-viable",IF(OR(BD541="Total splenectomy",BD541="Partial splenectomy +/- splenopexy"),"Non-viable","Review"),IF(BB541="NR",IF(OR(BD541="Total splenectomy",BD541="Partial splenectomy +/- splenopexy"),"NR - removed, check reason","NR"),"Not applicable")))))</f>
        <v/>
      </c>
    </row>
    <row r="542">
      <c r="D542" s="8" t="n"/>
      <c r="E542" s="9">
        <f>IF(B542="","",IF(B542="OWN","Yes","No"))</f>
        <v/>
      </c>
      <c r="AF542" s="9">
        <f>IF(ISNUMBER(Z542),IF(Z542&lt;=2,"&lt;=2 d",IF(Z542&lt;=7,"3-7 d",IF(Z542&lt;=30,"8-30 d","&gt;30 d"))),IF(AE542&lt;&gt;"",AE542,IF(Z542="NR","NR","")))</f>
        <v/>
      </c>
      <c r="AX542" s="9">
        <f>IF(ISNUMBER(AW542),IF(AW542&gt;450,"Yes","No"),IF(AW542="NR","NR",""))</f>
        <v/>
      </c>
      <c r="BJ542" s="9">
        <f>IF(BB542="","",IF(BB542="Non-viable","Non-viable",IF(BB542="Viable","Viable",IF(BB542="Partially non-viable",IF(OR(BD542="Total splenectomy",BD542="Partial splenectomy +/- splenopexy"),"Non-viable","Review"),IF(BB542="NR",IF(OR(BD542="Total splenectomy",BD542="Partial splenectomy +/- splenopexy"),"NR - removed, check reason","NR"),"Not applicable")))))</f>
        <v/>
      </c>
    </row>
    <row r="543">
      <c r="D543" s="8" t="n"/>
      <c r="E543" s="9">
        <f>IF(B543="","",IF(B543="OWN","Yes","No"))</f>
        <v/>
      </c>
      <c r="AF543" s="9">
        <f>IF(ISNUMBER(Z543),IF(Z543&lt;=2,"&lt;=2 d",IF(Z543&lt;=7,"3-7 d",IF(Z543&lt;=30,"8-30 d","&gt;30 d"))),IF(AE543&lt;&gt;"",AE543,IF(Z543="NR","NR","")))</f>
        <v/>
      </c>
      <c r="AX543" s="9">
        <f>IF(ISNUMBER(AW543),IF(AW543&gt;450,"Yes","No"),IF(AW543="NR","NR",""))</f>
        <v/>
      </c>
      <c r="BJ543" s="9">
        <f>IF(BB543="","",IF(BB543="Non-viable","Non-viable",IF(BB543="Viable","Viable",IF(BB543="Partially non-viable",IF(OR(BD543="Total splenectomy",BD543="Partial splenectomy +/- splenopexy"),"Non-viable","Review"),IF(BB543="NR",IF(OR(BD543="Total splenectomy",BD543="Partial splenectomy +/- splenopexy"),"NR - removed, check reason","NR"),"Not applicable")))))</f>
        <v/>
      </c>
    </row>
    <row r="544">
      <c r="D544" s="8" t="n"/>
      <c r="E544" s="9">
        <f>IF(B544="","",IF(B544="OWN","Yes","No"))</f>
        <v/>
      </c>
      <c r="AF544" s="9">
        <f>IF(ISNUMBER(Z544),IF(Z544&lt;=2,"&lt;=2 d",IF(Z544&lt;=7,"3-7 d",IF(Z544&lt;=30,"8-30 d","&gt;30 d"))),IF(AE544&lt;&gt;"",AE544,IF(Z544="NR","NR","")))</f>
        <v/>
      </c>
      <c r="AX544" s="9">
        <f>IF(ISNUMBER(AW544),IF(AW544&gt;450,"Yes","No"),IF(AW544="NR","NR",""))</f>
        <v/>
      </c>
      <c r="BJ544" s="9">
        <f>IF(BB544="","",IF(BB544="Non-viable","Non-viable",IF(BB544="Viable","Viable",IF(BB544="Partially non-viable",IF(OR(BD544="Total splenectomy",BD544="Partial splenectomy +/- splenopexy"),"Non-viable","Review"),IF(BB544="NR",IF(OR(BD544="Total splenectomy",BD544="Partial splenectomy +/- splenopexy"),"NR - removed, check reason","NR"),"Not applicable")))))</f>
        <v/>
      </c>
    </row>
    <row r="545">
      <c r="D545" s="8" t="n"/>
      <c r="E545" s="9">
        <f>IF(B545="","",IF(B545="OWN","Yes","No"))</f>
        <v/>
      </c>
      <c r="AF545" s="9">
        <f>IF(ISNUMBER(Z545),IF(Z545&lt;=2,"&lt;=2 d",IF(Z545&lt;=7,"3-7 d",IF(Z545&lt;=30,"8-30 d","&gt;30 d"))),IF(AE545&lt;&gt;"",AE545,IF(Z545="NR","NR","")))</f>
        <v/>
      </c>
      <c r="AX545" s="9">
        <f>IF(ISNUMBER(AW545),IF(AW545&gt;450,"Yes","No"),IF(AW545="NR","NR",""))</f>
        <v/>
      </c>
      <c r="BJ545" s="9">
        <f>IF(BB545="","",IF(BB545="Non-viable","Non-viable",IF(BB545="Viable","Viable",IF(BB545="Partially non-viable",IF(OR(BD545="Total splenectomy",BD545="Partial splenectomy +/- splenopexy"),"Non-viable","Review"),IF(BB545="NR",IF(OR(BD545="Total splenectomy",BD545="Partial splenectomy +/- splenopexy"),"NR - removed, check reason","NR"),"Not applicable")))))</f>
        <v/>
      </c>
    </row>
    <row r="546">
      <c r="D546" s="8" t="n"/>
      <c r="E546" s="9">
        <f>IF(B546="","",IF(B546="OWN","Yes","No"))</f>
        <v/>
      </c>
      <c r="AF546" s="9">
        <f>IF(ISNUMBER(Z546),IF(Z546&lt;=2,"&lt;=2 d",IF(Z546&lt;=7,"3-7 d",IF(Z546&lt;=30,"8-30 d","&gt;30 d"))),IF(AE546&lt;&gt;"",AE546,IF(Z546="NR","NR","")))</f>
        <v/>
      </c>
      <c r="AX546" s="9">
        <f>IF(ISNUMBER(AW546),IF(AW546&gt;450,"Yes","No"),IF(AW546="NR","NR",""))</f>
        <v/>
      </c>
      <c r="BJ546" s="9">
        <f>IF(BB546="","",IF(BB546="Non-viable","Non-viable",IF(BB546="Viable","Viable",IF(BB546="Partially non-viable",IF(OR(BD546="Total splenectomy",BD546="Partial splenectomy +/- splenopexy"),"Non-viable","Review"),IF(BB546="NR",IF(OR(BD546="Total splenectomy",BD546="Partial splenectomy +/- splenopexy"),"NR - removed, check reason","NR"),"Not applicable")))))</f>
        <v/>
      </c>
    </row>
    <row r="547">
      <c r="D547" s="8" t="n"/>
      <c r="E547" s="9">
        <f>IF(B547="","",IF(B547="OWN","Yes","No"))</f>
        <v/>
      </c>
      <c r="AF547" s="9">
        <f>IF(ISNUMBER(Z547),IF(Z547&lt;=2,"&lt;=2 d",IF(Z547&lt;=7,"3-7 d",IF(Z547&lt;=30,"8-30 d","&gt;30 d"))),IF(AE547&lt;&gt;"",AE547,IF(Z547="NR","NR","")))</f>
        <v/>
      </c>
      <c r="AX547" s="9">
        <f>IF(ISNUMBER(AW547),IF(AW547&gt;450,"Yes","No"),IF(AW547="NR","NR",""))</f>
        <v/>
      </c>
      <c r="BJ547" s="9">
        <f>IF(BB547="","",IF(BB547="Non-viable","Non-viable",IF(BB547="Viable","Viable",IF(BB547="Partially non-viable",IF(OR(BD547="Total splenectomy",BD547="Partial splenectomy +/- splenopexy"),"Non-viable","Review"),IF(BB547="NR",IF(OR(BD547="Total splenectomy",BD547="Partial splenectomy +/- splenopexy"),"NR - removed, check reason","NR"),"Not applicable")))))</f>
        <v/>
      </c>
    </row>
    <row r="548">
      <c r="D548" s="8" t="n"/>
      <c r="E548" s="9">
        <f>IF(B548="","",IF(B548="OWN","Yes","No"))</f>
        <v/>
      </c>
      <c r="AF548" s="9">
        <f>IF(ISNUMBER(Z548),IF(Z548&lt;=2,"&lt;=2 d",IF(Z548&lt;=7,"3-7 d",IF(Z548&lt;=30,"8-30 d","&gt;30 d"))),IF(AE548&lt;&gt;"",AE548,IF(Z548="NR","NR","")))</f>
        <v/>
      </c>
      <c r="AX548" s="9">
        <f>IF(ISNUMBER(AW548),IF(AW548&gt;450,"Yes","No"),IF(AW548="NR","NR",""))</f>
        <v/>
      </c>
      <c r="BJ548" s="9">
        <f>IF(BB548="","",IF(BB548="Non-viable","Non-viable",IF(BB548="Viable","Viable",IF(BB548="Partially non-viable",IF(OR(BD548="Total splenectomy",BD548="Partial splenectomy +/- splenopexy"),"Non-viable","Review"),IF(BB548="NR",IF(OR(BD548="Total splenectomy",BD548="Partial splenectomy +/- splenopexy"),"NR - removed, check reason","NR"),"Not applicable")))))</f>
        <v/>
      </c>
    </row>
    <row r="549">
      <c r="D549" s="8" t="n"/>
      <c r="E549" s="9">
        <f>IF(B549="","",IF(B549="OWN","Yes","No"))</f>
        <v/>
      </c>
      <c r="AF549" s="9">
        <f>IF(ISNUMBER(Z549),IF(Z549&lt;=2,"&lt;=2 d",IF(Z549&lt;=7,"3-7 d",IF(Z549&lt;=30,"8-30 d","&gt;30 d"))),IF(AE549&lt;&gt;"",AE549,IF(Z549="NR","NR","")))</f>
        <v/>
      </c>
      <c r="AX549" s="9">
        <f>IF(ISNUMBER(AW549),IF(AW549&gt;450,"Yes","No"),IF(AW549="NR","NR",""))</f>
        <v/>
      </c>
      <c r="BJ549" s="9">
        <f>IF(BB549="","",IF(BB549="Non-viable","Non-viable",IF(BB549="Viable","Viable",IF(BB549="Partially non-viable",IF(OR(BD549="Total splenectomy",BD549="Partial splenectomy +/- splenopexy"),"Non-viable","Review"),IF(BB549="NR",IF(OR(BD549="Total splenectomy",BD549="Partial splenectomy +/- splenopexy"),"NR - removed, check reason","NR"),"Not applicable")))))</f>
        <v/>
      </c>
    </row>
    <row r="550">
      <c r="D550" s="8" t="n"/>
      <c r="E550" s="9">
        <f>IF(B550="","",IF(B550="OWN","Yes","No"))</f>
        <v/>
      </c>
      <c r="AF550" s="9">
        <f>IF(ISNUMBER(Z550),IF(Z550&lt;=2,"&lt;=2 d",IF(Z550&lt;=7,"3-7 d",IF(Z550&lt;=30,"8-30 d","&gt;30 d"))),IF(AE550&lt;&gt;"",AE550,IF(Z550="NR","NR","")))</f>
        <v/>
      </c>
      <c r="AX550" s="9">
        <f>IF(ISNUMBER(AW550),IF(AW550&gt;450,"Yes","No"),IF(AW550="NR","NR",""))</f>
        <v/>
      </c>
      <c r="BJ550" s="9">
        <f>IF(BB550="","",IF(BB550="Non-viable","Non-viable",IF(BB550="Viable","Viable",IF(BB550="Partially non-viable",IF(OR(BD550="Total splenectomy",BD550="Partial splenectomy +/- splenopexy"),"Non-viable","Review"),IF(BB550="NR",IF(OR(BD550="Total splenectomy",BD550="Partial splenectomy +/- splenopexy"),"NR - removed, check reason","NR"),"Not applicable")))))</f>
        <v/>
      </c>
    </row>
    <row r="551">
      <c r="D551" s="8" t="n"/>
      <c r="E551" s="9">
        <f>IF(B551="","",IF(B551="OWN","Yes","No"))</f>
        <v/>
      </c>
      <c r="AF551" s="9">
        <f>IF(ISNUMBER(Z551),IF(Z551&lt;=2,"&lt;=2 d",IF(Z551&lt;=7,"3-7 d",IF(Z551&lt;=30,"8-30 d","&gt;30 d"))),IF(AE551&lt;&gt;"",AE551,IF(Z551="NR","NR","")))</f>
        <v/>
      </c>
      <c r="AX551" s="9">
        <f>IF(ISNUMBER(AW551),IF(AW551&gt;450,"Yes","No"),IF(AW551="NR","NR",""))</f>
        <v/>
      </c>
      <c r="BJ551" s="9">
        <f>IF(BB551="","",IF(BB551="Non-viable","Non-viable",IF(BB551="Viable","Viable",IF(BB551="Partially non-viable",IF(OR(BD551="Total splenectomy",BD551="Partial splenectomy +/- splenopexy"),"Non-viable","Review"),IF(BB551="NR",IF(OR(BD551="Total splenectomy",BD551="Partial splenectomy +/- splenopexy"),"NR - removed, check reason","NR"),"Not applicable")))))</f>
        <v/>
      </c>
    </row>
    <row r="552">
      <c r="D552" s="8" t="n"/>
      <c r="E552" s="9">
        <f>IF(B552="","",IF(B552="OWN","Yes","No"))</f>
        <v/>
      </c>
      <c r="AF552" s="9">
        <f>IF(ISNUMBER(Z552),IF(Z552&lt;=2,"&lt;=2 d",IF(Z552&lt;=7,"3-7 d",IF(Z552&lt;=30,"8-30 d","&gt;30 d"))),IF(AE552&lt;&gt;"",AE552,IF(Z552="NR","NR","")))</f>
        <v/>
      </c>
      <c r="AX552" s="9">
        <f>IF(ISNUMBER(AW552),IF(AW552&gt;450,"Yes","No"),IF(AW552="NR","NR",""))</f>
        <v/>
      </c>
      <c r="BJ552" s="9">
        <f>IF(BB552="","",IF(BB552="Non-viable","Non-viable",IF(BB552="Viable","Viable",IF(BB552="Partially non-viable",IF(OR(BD552="Total splenectomy",BD552="Partial splenectomy +/- splenopexy"),"Non-viable","Review"),IF(BB552="NR",IF(OR(BD552="Total splenectomy",BD552="Partial splenectomy +/- splenopexy"),"NR - removed, check reason","NR"),"Not applicable")))))</f>
        <v/>
      </c>
    </row>
    <row r="553">
      <c r="D553" s="8" t="n"/>
      <c r="E553" s="9">
        <f>IF(B553="","",IF(B553="OWN","Yes","No"))</f>
        <v/>
      </c>
      <c r="AF553" s="9">
        <f>IF(ISNUMBER(Z553),IF(Z553&lt;=2,"&lt;=2 d",IF(Z553&lt;=7,"3-7 d",IF(Z553&lt;=30,"8-30 d","&gt;30 d"))),IF(AE553&lt;&gt;"",AE553,IF(Z553="NR","NR","")))</f>
        <v/>
      </c>
      <c r="AX553" s="9">
        <f>IF(ISNUMBER(AW553),IF(AW553&gt;450,"Yes","No"),IF(AW553="NR","NR",""))</f>
        <v/>
      </c>
      <c r="BJ553" s="9">
        <f>IF(BB553="","",IF(BB553="Non-viable","Non-viable",IF(BB553="Viable","Viable",IF(BB553="Partially non-viable",IF(OR(BD553="Total splenectomy",BD553="Partial splenectomy +/- splenopexy"),"Non-viable","Review"),IF(BB553="NR",IF(OR(BD553="Total splenectomy",BD553="Partial splenectomy +/- splenopexy"),"NR - removed, check reason","NR"),"Not applicable")))))</f>
        <v/>
      </c>
    </row>
    <row r="554">
      <c r="D554" s="8" t="n"/>
      <c r="E554" s="9">
        <f>IF(B554="","",IF(B554="OWN","Yes","No"))</f>
        <v/>
      </c>
      <c r="AF554" s="9">
        <f>IF(ISNUMBER(Z554),IF(Z554&lt;=2,"&lt;=2 d",IF(Z554&lt;=7,"3-7 d",IF(Z554&lt;=30,"8-30 d","&gt;30 d"))),IF(AE554&lt;&gt;"",AE554,IF(Z554="NR","NR","")))</f>
        <v/>
      </c>
      <c r="AX554" s="9">
        <f>IF(ISNUMBER(AW554),IF(AW554&gt;450,"Yes","No"),IF(AW554="NR","NR",""))</f>
        <v/>
      </c>
      <c r="BJ554" s="9">
        <f>IF(BB554="","",IF(BB554="Non-viable","Non-viable",IF(BB554="Viable","Viable",IF(BB554="Partially non-viable",IF(OR(BD554="Total splenectomy",BD554="Partial splenectomy +/- splenopexy"),"Non-viable","Review"),IF(BB554="NR",IF(OR(BD554="Total splenectomy",BD554="Partial splenectomy +/- splenopexy"),"NR - removed, check reason","NR"),"Not applicable")))))</f>
        <v/>
      </c>
    </row>
    <row r="555">
      <c r="D555" s="8" t="n"/>
      <c r="E555" s="9">
        <f>IF(B555="","",IF(B555="OWN","Yes","No"))</f>
        <v/>
      </c>
      <c r="AF555" s="9">
        <f>IF(ISNUMBER(Z555),IF(Z555&lt;=2,"&lt;=2 d",IF(Z555&lt;=7,"3-7 d",IF(Z555&lt;=30,"8-30 d","&gt;30 d"))),IF(AE555&lt;&gt;"",AE555,IF(Z555="NR","NR","")))</f>
        <v/>
      </c>
      <c r="AX555" s="9">
        <f>IF(ISNUMBER(AW555),IF(AW555&gt;450,"Yes","No"),IF(AW555="NR","NR",""))</f>
        <v/>
      </c>
      <c r="BJ555" s="9">
        <f>IF(BB555="","",IF(BB555="Non-viable","Non-viable",IF(BB555="Viable","Viable",IF(BB555="Partially non-viable",IF(OR(BD555="Total splenectomy",BD555="Partial splenectomy +/- splenopexy"),"Non-viable","Review"),IF(BB555="NR",IF(OR(BD555="Total splenectomy",BD555="Partial splenectomy +/- splenopexy"),"NR - removed, check reason","NR"),"Not applicable")))))</f>
        <v/>
      </c>
    </row>
    <row r="556">
      <c r="D556" s="8" t="n"/>
      <c r="E556" s="9">
        <f>IF(B556="","",IF(B556="OWN","Yes","No"))</f>
        <v/>
      </c>
      <c r="AF556" s="9">
        <f>IF(ISNUMBER(Z556),IF(Z556&lt;=2,"&lt;=2 d",IF(Z556&lt;=7,"3-7 d",IF(Z556&lt;=30,"8-30 d","&gt;30 d"))),IF(AE556&lt;&gt;"",AE556,IF(Z556="NR","NR","")))</f>
        <v/>
      </c>
      <c r="AX556" s="9">
        <f>IF(ISNUMBER(AW556),IF(AW556&gt;450,"Yes","No"),IF(AW556="NR","NR",""))</f>
        <v/>
      </c>
      <c r="BJ556" s="9">
        <f>IF(BB556="","",IF(BB556="Non-viable","Non-viable",IF(BB556="Viable","Viable",IF(BB556="Partially non-viable",IF(OR(BD556="Total splenectomy",BD556="Partial splenectomy +/- splenopexy"),"Non-viable","Review"),IF(BB556="NR",IF(OR(BD556="Total splenectomy",BD556="Partial splenectomy +/- splenopexy"),"NR - removed, check reason","NR"),"Not applicable")))))</f>
        <v/>
      </c>
    </row>
    <row r="557">
      <c r="D557" s="8" t="n"/>
      <c r="E557" s="9">
        <f>IF(B557="","",IF(B557="OWN","Yes","No"))</f>
        <v/>
      </c>
      <c r="AF557" s="9">
        <f>IF(ISNUMBER(Z557),IF(Z557&lt;=2,"&lt;=2 d",IF(Z557&lt;=7,"3-7 d",IF(Z557&lt;=30,"8-30 d","&gt;30 d"))),IF(AE557&lt;&gt;"",AE557,IF(Z557="NR","NR","")))</f>
        <v/>
      </c>
      <c r="AX557" s="9">
        <f>IF(ISNUMBER(AW557),IF(AW557&gt;450,"Yes","No"),IF(AW557="NR","NR",""))</f>
        <v/>
      </c>
      <c r="BJ557" s="9">
        <f>IF(BB557="","",IF(BB557="Non-viable","Non-viable",IF(BB557="Viable","Viable",IF(BB557="Partially non-viable",IF(OR(BD557="Total splenectomy",BD557="Partial splenectomy +/- splenopexy"),"Non-viable","Review"),IF(BB557="NR",IF(OR(BD557="Total splenectomy",BD557="Partial splenectomy +/- splenopexy"),"NR - removed, check reason","NR"),"Not applicable")))))</f>
        <v/>
      </c>
    </row>
    <row r="558">
      <c r="D558" s="8" t="n"/>
      <c r="E558" s="9">
        <f>IF(B558="","",IF(B558="OWN","Yes","No"))</f>
        <v/>
      </c>
      <c r="AF558" s="9">
        <f>IF(ISNUMBER(Z558),IF(Z558&lt;=2,"&lt;=2 d",IF(Z558&lt;=7,"3-7 d",IF(Z558&lt;=30,"8-30 d","&gt;30 d"))),IF(AE558&lt;&gt;"",AE558,IF(Z558="NR","NR","")))</f>
        <v/>
      </c>
      <c r="AX558" s="9">
        <f>IF(ISNUMBER(AW558),IF(AW558&gt;450,"Yes","No"),IF(AW558="NR","NR",""))</f>
        <v/>
      </c>
      <c r="BJ558" s="9">
        <f>IF(BB558="","",IF(BB558="Non-viable","Non-viable",IF(BB558="Viable","Viable",IF(BB558="Partially non-viable",IF(OR(BD558="Total splenectomy",BD558="Partial splenectomy +/- splenopexy"),"Non-viable","Review"),IF(BB558="NR",IF(OR(BD558="Total splenectomy",BD558="Partial splenectomy +/- splenopexy"),"NR - removed, check reason","NR"),"Not applicable")))))</f>
        <v/>
      </c>
    </row>
    <row r="559">
      <c r="D559" s="8" t="n"/>
      <c r="E559" s="9">
        <f>IF(B559="","",IF(B559="OWN","Yes","No"))</f>
        <v/>
      </c>
      <c r="AF559" s="9">
        <f>IF(ISNUMBER(Z559),IF(Z559&lt;=2,"&lt;=2 d",IF(Z559&lt;=7,"3-7 d",IF(Z559&lt;=30,"8-30 d","&gt;30 d"))),IF(AE559&lt;&gt;"",AE559,IF(Z559="NR","NR","")))</f>
        <v/>
      </c>
      <c r="AX559" s="9">
        <f>IF(ISNUMBER(AW559),IF(AW559&gt;450,"Yes","No"),IF(AW559="NR","NR",""))</f>
        <v/>
      </c>
      <c r="BJ559" s="9">
        <f>IF(BB559="","",IF(BB559="Non-viable","Non-viable",IF(BB559="Viable","Viable",IF(BB559="Partially non-viable",IF(OR(BD559="Total splenectomy",BD559="Partial splenectomy +/- splenopexy"),"Non-viable","Review"),IF(BB559="NR",IF(OR(BD559="Total splenectomy",BD559="Partial splenectomy +/- splenopexy"),"NR - removed, check reason","NR"),"Not applicable")))))</f>
        <v/>
      </c>
    </row>
    <row r="560">
      <c r="D560" s="8" t="n"/>
      <c r="E560" s="9">
        <f>IF(B560="","",IF(B560="OWN","Yes","No"))</f>
        <v/>
      </c>
      <c r="AF560" s="9">
        <f>IF(ISNUMBER(Z560),IF(Z560&lt;=2,"&lt;=2 d",IF(Z560&lt;=7,"3-7 d",IF(Z560&lt;=30,"8-30 d","&gt;30 d"))),IF(AE560&lt;&gt;"",AE560,IF(Z560="NR","NR","")))</f>
        <v/>
      </c>
      <c r="AX560" s="9">
        <f>IF(ISNUMBER(AW560),IF(AW560&gt;450,"Yes","No"),IF(AW560="NR","NR",""))</f>
        <v/>
      </c>
      <c r="BJ560" s="9">
        <f>IF(BB560="","",IF(BB560="Non-viable","Non-viable",IF(BB560="Viable","Viable",IF(BB560="Partially non-viable",IF(OR(BD560="Total splenectomy",BD560="Partial splenectomy +/- splenopexy"),"Non-viable","Review"),IF(BB560="NR",IF(OR(BD560="Total splenectomy",BD560="Partial splenectomy +/- splenopexy"),"NR - removed, check reason","NR"),"Not applicable")))))</f>
        <v/>
      </c>
    </row>
    <row r="561">
      <c r="D561" s="8" t="n"/>
      <c r="E561" s="9">
        <f>IF(B561="","",IF(B561="OWN","Yes","No"))</f>
        <v/>
      </c>
      <c r="AF561" s="9">
        <f>IF(ISNUMBER(Z561),IF(Z561&lt;=2,"&lt;=2 d",IF(Z561&lt;=7,"3-7 d",IF(Z561&lt;=30,"8-30 d","&gt;30 d"))),IF(AE561&lt;&gt;"",AE561,IF(Z561="NR","NR","")))</f>
        <v/>
      </c>
      <c r="AX561" s="9">
        <f>IF(ISNUMBER(AW561),IF(AW561&gt;450,"Yes","No"),IF(AW561="NR","NR",""))</f>
        <v/>
      </c>
      <c r="BJ561" s="9">
        <f>IF(BB561="","",IF(BB561="Non-viable","Non-viable",IF(BB561="Viable","Viable",IF(BB561="Partially non-viable",IF(OR(BD561="Total splenectomy",BD561="Partial splenectomy +/- splenopexy"),"Non-viable","Review"),IF(BB561="NR",IF(OR(BD561="Total splenectomy",BD561="Partial splenectomy +/- splenopexy"),"NR - removed, check reason","NR"),"Not applicable")))))</f>
        <v/>
      </c>
    </row>
    <row r="562">
      <c r="D562" s="8" t="n"/>
      <c r="E562" s="9">
        <f>IF(B562="","",IF(B562="OWN","Yes","No"))</f>
        <v/>
      </c>
      <c r="AF562" s="9">
        <f>IF(ISNUMBER(Z562),IF(Z562&lt;=2,"&lt;=2 d",IF(Z562&lt;=7,"3-7 d",IF(Z562&lt;=30,"8-30 d","&gt;30 d"))),IF(AE562&lt;&gt;"",AE562,IF(Z562="NR","NR","")))</f>
        <v/>
      </c>
      <c r="AX562" s="9">
        <f>IF(ISNUMBER(AW562),IF(AW562&gt;450,"Yes","No"),IF(AW562="NR","NR",""))</f>
        <v/>
      </c>
      <c r="BJ562" s="9">
        <f>IF(BB562="","",IF(BB562="Non-viable","Non-viable",IF(BB562="Viable","Viable",IF(BB562="Partially non-viable",IF(OR(BD562="Total splenectomy",BD562="Partial splenectomy +/- splenopexy"),"Non-viable","Review"),IF(BB562="NR",IF(OR(BD562="Total splenectomy",BD562="Partial splenectomy +/- splenopexy"),"NR - removed, check reason","NR"),"Not applicable")))))</f>
        <v/>
      </c>
    </row>
    <row r="563">
      <c r="D563" s="8" t="n"/>
      <c r="E563" s="9">
        <f>IF(B563="","",IF(B563="OWN","Yes","No"))</f>
        <v/>
      </c>
      <c r="AF563" s="9">
        <f>IF(ISNUMBER(Z563),IF(Z563&lt;=2,"&lt;=2 d",IF(Z563&lt;=7,"3-7 d",IF(Z563&lt;=30,"8-30 d","&gt;30 d"))),IF(AE563&lt;&gt;"",AE563,IF(Z563="NR","NR","")))</f>
        <v/>
      </c>
      <c r="AX563" s="9">
        <f>IF(ISNUMBER(AW563),IF(AW563&gt;450,"Yes","No"),IF(AW563="NR","NR",""))</f>
        <v/>
      </c>
      <c r="BJ563" s="9">
        <f>IF(BB563="","",IF(BB563="Non-viable","Non-viable",IF(BB563="Viable","Viable",IF(BB563="Partially non-viable",IF(OR(BD563="Total splenectomy",BD563="Partial splenectomy +/- splenopexy"),"Non-viable","Review"),IF(BB563="NR",IF(OR(BD563="Total splenectomy",BD563="Partial splenectomy +/- splenopexy"),"NR - removed, check reason","NR"),"Not applicable")))))</f>
        <v/>
      </c>
    </row>
    <row r="564">
      <c r="D564" s="8" t="n"/>
      <c r="E564" s="9">
        <f>IF(B564="","",IF(B564="OWN","Yes","No"))</f>
        <v/>
      </c>
      <c r="AF564" s="9">
        <f>IF(ISNUMBER(Z564),IF(Z564&lt;=2,"&lt;=2 d",IF(Z564&lt;=7,"3-7 d",IF(Z564&lt;=30,"8-30 d","&gt;30 d"))),IF(AE564&lt;&gt;"",AE564,IF(Z564="NR","NR","")))</f>
        <v/>
      </c>
      <c r="AX564" s="9">
        <f>IF(ISNUMBER(AW564),IF(AW564&gt;450,"Yes","No"),IF(AW564="NR","NR",""))</f>
        <v/>
      </c>
      <c r="BJ564" s="9">
        <f>IF(BB564="","",IF(BB564="Non-viable","Non-viable",IF(BB564="Viable","Viable",IF(BB564="Partially non-viable",IF(OR(BD564="Total splenectomy",BD564="Partial splenectomy +/- splenopexy"),"Non-viable","Review"),IF(BB564="NR",IF(OR(BD564="Total splenectomy",BD564="Partial splenectomy +/- splenopexy"),"NR - removed, check reason","NR"),"Not applicable")))))</f>
        <v/>
      </c>
    </row>
    <row r="565">
      <c r="D565" s="8" t="n"/>
      <c r="E565" s="9">
        <f>IF(B565="","",IF(B565="OWN","Yes","No"))</f>
        <v/>
      </c>
      <c r="AF565" s="9">
        <f>IF(ISNUMBER(Z565),IF(Z565&lt;=2,"&lt;=2 d",IF(Z565&lt;=7,"3-7 d",IF(Z565&lt;=30,"8-30 d","&gt;30 d"))),IF(AE565&lt;&gt;"",AE565,IF(Z565="NR","NR","")))</f>
        <v/>
      </c>
      <c r="AX565" s="9">
        <f>IF(ISNUMBER(AW565),IF(AW565&gt;450,"Yes","No"),IF(AW565="NR","NR",""))</f>
        <v/>
      </c>
      <c r="BJ565" s="9">
        <f>IF(BB565="","",IF(BB565="Non-viable","Non-viable",IF(BB565="Viable","Viable",IF(BB565="Partially non-viable",IF(OR(BD565="Total splenectomy",BD565="Partial splenectomy +/- splenopexy"),"Non-viable","Review"),IF(BB565="NR",IF(OR(BD565="Total splenectomy",BD565="Partial splenectomy +/- splenopexy"),"NR - removed, check reason","NR"),"Not applicable")))))</f>
        <v/>
      </c>
    </row>
    <row r="566">
      <c r="D566" s="8" t="n"/>
      <c r="E566" s="9">
        <f>IF(B566="","",IF(B566="OWN","Yes","No"))</f>
        <v/>
      </c>
      <c r="AF566" s="9">
        <f>IF(ISNUMBER(Z566),IF(Z566&lt;=2,"&lt;=2 d",IF(Z566&lt;=7,"3-7 d",IF(Z566&lt;=30,"8-30 d","&gt;30 d"))),IF(AE566&lt;&gt;"",AE566,IF(Z566="NR","NR","")))</f>
        <v/>
      </c>
      <c r="AX566" s="9">
        <f>IF(ISNUMBER(AW566),IF(AW566&gt;450,"Yes","No"),IF(AW566="NR","NR",""))</f>
        <v/>
      </c>
      <c r="BJ566" s="9">
        <f>IF(BB566="","",IF(BB566="Non-viable","Non-viable",IF(BB566="Viable","Viable",IF(BB566="Partially non-viable",IF(OR(BD566="Total splenectomy",BD566="Partial splenectomy +/- splenopexy"),"Non-viable","Review"),IF(BB566="NR",IF(OR(BD566="Total splenectomy",BD566="Partial splenectomy +/- splenopexy"),"NR - removed, check reason","NR"),"Not applicable")))))</f>
        <v/>
      </c>
    </row>
    <row r="567">
      <c r="D567" s="8" t="n"/>
      <c r="E567" s="9">
        <f>IF(B567="","",IF(B567="OWN","Yes","No"))</f>
        <v/>
      </c>
      <c r="AF567" s="9">
        <f>IF(ISNUMBER(Z567),IF(Z567&lt;=2,"&lt;=2 d",IF(Z567&lt;=7,"3-7 d",IF(Z567&lt;=30,"8-30 d","&gt;30 d"))),IF(AE567&lt;&gt;"",AE567,IF(Z567="NR","NR","")))</f>
        <v/>
      </c>
      <c r="AX567" s="9">
        <f>IF(ISNUMBER(AW567),IF(AW567&gt;450,"Yes","No"),IF(AW567="NR","NR",""))</f>
        <v/>
      </c>
      <c r="BJ567" s="9">
        <f>IF(BB567="","",IF(BB567="Non-viable","Non-viable",IF(BB567="Viable","Viable",IF(BB567="Partially non-viable",IF(OR(BD567="Total splenectomy",BD567="Partial splenectomy +/- splenopexy"),"Non-viable","Review"),IF(BB567="NR",IF(OR(BD567="Total splenectomy",BD567="Partial splenectomy +/- splenopexy"),"NR - removed, check reason","NR"),"Not applicable")))))</f>
        <v/>
      </c>
    </row>
    <row r="568">
      <c r="D568" s="8" t="n"/>
      <c r="E568" s="9">
        <f>IF(B568="","",IF(B568="OWN","Yes","No"))</f>
        <v/>
      </c>
      <c r="AF568" s="9">
        <f>IF(ISNUMBER(Z568),IF(Z568&lt;=2,"&lt;=2 d",IF(Z568&lt;=7,"3-7 d",IF(Z568&lt;=30,"8-30 d","&gt;30 d"))),IF(AE568&lt;&gt;"",AE568,IF(Z568="NR","NR","")))</f>
        <v/>
      </c>
      <c r="AX568" s="9">
        <f>IF(ISNUMBER(AW568),IF(AW568&gt;450,"Yes","No"),IF(AW568="NR","NR",""))</f>
        <v/>
      </c>
      <c r="BJ568" s="9">
        <f>IF(BB568="","",IF(BB568="Non-viable","Non-viable",IF(BB568="Viable","Viable",IF(BB568="Partially non-viable",IF(OR(BD568="Total splenectomy",BD568="Partial splenectomy +/- splenopexy"),"Non-viable","Review"),IF(BB568="NR",IF(OR(BD568="Total splenectomy",BD568="Partial splenectomy +/- splenopexy"),"NR - removed, check reason","NR"),"Not applicable")))))</f>
        <v/>
      </c>
    </row>
    <row r="569">
      <c r="D569" s="8" t="n"/>
      <c r="E569" s="9">
        <f>IF(B569="","",IF(B569="OWN","Yes","No"))</f>
        <v/>
      </c>
      <c r="AF569" s="9">
        <f>IF(ISNUMBER(Z569),IF(Z569&lt;=2,"&lt;=2 d",IF(Z569&lt;=7,"3-7 d",IF(Z569&lt;=30,"8-30 d","&gt;30 d"))),IF(AE569&lt;&gt;"",AE569,IF(Z569="NR","NR","")))</f>
        <v/>
      </c>
      <c r="AX569" s="9">
        <f>IF(ISNUMBER(AW569),IF(AW569&gt;450,"Yes","No"),IF(AW569="NR","NR",""))</f>
        <v/>
      </c>
      <c r="BJ569" s="9">
        <f>IF(BB569="","",IF(BB569="Non-viable","Non-viable",IF(BB569="Viable","Viable",IF(BB569="Partially non-viable",IF(OR(BD569="Total splenectomy",BD569="Partial splenectomy +/- splenopexy"),"Non-viable","Review"),IF(BB569="NR",IF(OR(BD569="Total splenectomy",BD569="Partial splenectomy +/- splenopexy"),"NR - removed, check reason","NR"),"Not applicable")))))</f>
        <v/>
      </c>
    </row>
    <row r="570">
      <c r="D570" s="8" t="n"/>
      <c r="E570" s="9">
        <f>IF(B570="","",IF(B570="OWN","Yes","No"))</f>
        <v/>
      </c>
      <c r="AF570" s="9">
        <f>IF(ISNUMBER(Z570),IF(Z570&lt;=2,"&lt;=2 d",IF(Z570&lt;=7,"3-7 d",IF(Z570&lt;=30,"8-30 d","&gt;30 d"))),IF(AE570&lt;&gt;"",AE570,IF(Z570="NR","NR","")))</f>
        <v/>
      </c>
      <c r="AX570" s="9">
        <f>IF(ISNUMBER(AW570),IF(AW570&gt;450,"Yes","No"),IF(AW570="NR","NR",""))</f>
        <v/>
      </c>
      <c r="BJ570" s="9">
        <f>IF(BB570="","",IF(BB570="Non-viable","Non-viable",IF(BB570="Viable","Viable",IF(BB570="Partially non-viable",IF(OR(BD570="Total splenectomy",BD570="Partial splenectomy +/- splenopexy"),"Non-viable","Review"),IF(BB570="NR",IF(OR(BD570="Total splenectomy",BD570="Partial splenectomy +/- splenopexy"),"NR - removed, check reason","NR"),"Not applicable")))))</f>
        <v/>
      </c>
    </row>
    <row r="571">
      <c r="D571" s="8" t="n"/>
      <c r="E571" s="9">
        <f>IF(B571="","",IF(B571="OWN","Yes","No"))</f>
        <v/>
      </c>
      <c r="AF571" s="9">
        <f>IF(ISNUMBER(Z571),IF(Z571&lt;=2,"&lt;=2 d",IF(Z571&lt;=7,"3-7 d",IF(Z571&lt;=30,"8-30 d","&gt;30 d"))),IF(AE571&lt;&gt;"",AE571,IF(Z571="NR","NR","")))</f>
        <v/>
      </c>
      <c r="AX571" s="9">
        <f>IF(ISNUMBER(AW571),IF(AW571&gt;450,"Yes","No"),IF(AW571="NR","NR",""))</f>
        <v/>
      </c>
      <c r="BJ571" s="9">
        <f>IF(BB571="","",IF(BB571="Non-viable","Non-viable",IF(BB571="Viable","Viable",IF(BB571="Partially non-viable",IF(OR(BD571="Total splenectomy",BD571="Partial splenectomy +/- splenopexy"),"Non-viable","Review"),IF(BB571="NR",IF(OR(BD571="Total splenectomy",BD571="Partial splenectomy +/- splenopexy"),"NR - removed, check reason","NR"),"Not applicable")))))</f>
        <v/>
      </c>
    </row>
    <row r="572">
      <c r="D572" s="8" t="n"/>
      <c r="E572" s="9">
        <f>IF(B572="","",IF(B572="OWN","Yes","No"))</f>
        <v/>
      </c>
      <c r="AF572" s="9">
        <f>IF(ISNUMBER(Z572),IF(Z572&lt;=2,"&lt;=2 d",IF(Z572&lt;=7,"3-7 d",IF(Z572&lt;=30,"8-30 d","&gt;30 d"))),IF(AE572&lt;&gt;"",AE572,IF(Z572="NR","NR","")))</f>
        <v/>
      </c>
      <c r="AX572" s="9">
        <f>IF(ISNUMBER(AW572),IF(AW572&gt;450,"Yes","No"),IF(AW572="NR","NR",""))</f>
        <v/>
      </c>
      <c r="BJ572" s="9">
        <f>IF(BB572="","",IF(BB572="Non-viable","Non-viable",IF(BB572="Viable","Viable",IF(BB572="Partially non-viable",IF(OR(BD572="Total splenectomy",BD572="Partial splenectomy +/- splenopexy"),"Non-viable","Review"),IF(BB572="NR",IF(OR(BD572="Total splenectomy",BD572="Partial splenectomy +/- splenopexy"),"NR - removed, check reason","NR"),"Not applicable")))))</f>
        <v/>
      </c>
    </row>
    <row r="573">
      <c r="D573" s="8" t="n"/>
      <c r="E573" s="9">
        <f>IF(B573="","",IF(B573="OWN","Yes","No"))</f>
        <v/>
      </c>
      <c r="AF573" s="9">
        <f>IF(ISNUMBER(Z573),IF(Z573&lt;=2,"&lt;=2 d",IF(Z573&lt;=7,"3-7 d",IF(Z573&lt;=30,"8-30 d","&gt;30 d"))),IF(AE573&lt;&gt;"",AE573,IF(Z573="NR","NR","")))</f>
        <v/>
      </c>
      <c r="AX573" s="9">
        <f>IF(ISNUMBER(AW573),IF(AW573&gt;450,"Yes","No"),IF(AW573="NR","NR",""))</f>
        <v/>
      </c>
      <c r="BJ573" s="9">
        <f>IF(BB573="","",IF(BB573="Non-viable","Non-viable",IF(BB573="Viable","Viable",IF(BB573="Partially non-viable",IF(OR(BD573="Total splenectomy",BD573="Partial splenectomy +/- splenopexy"),"Non-viable","Review"),IF(BB573="NR",IF(OR(BD573="Total splenectomy",BD573="Partial splenectomy +/- splenopexy"),"NR - removed, check reason","NR"),"Not applicable")))))</f>
        <v/>
      </c>
    </row>
    <row r="574">
      <c r="D574" s="8" t="n"/>
      <c r="E574" s="9">
        <f>IF(B574="","",IF(B574="OWN","Yes","No"))</f>
        <v/>
      </c>
      <c r="AF574" s="9">
        <f>IF(ISNUMBER(Z574),IF(Z574&lt;=2,"&lt;=2 d",IF(Z574&lt;=7,"3-7 d",IF(Z574&lt;=30,"8-30 d","&gt;30 d"))),IF(AE574&lt;&gt;"",AE574,IF(Z574="NR","NR","")))</f>
        <v/>
      </c>
      <c r="AX574" s="9">
        <f>IF(ISNUMBER(AW574),IF(AW574&gt;450,"Yes","No"),IF(AW574="NR","NR",""))</f>
        <v/>
      </c>
      <c r="BJ574" s="9">
        <f>IF(BB574="","",IF(BB574="Non-viable","Non-viable",IF(BB574="Viable","Viable",IF(BB574="Partially non-viable",IF(OR(BD574="Total splenectomy",BD574="Partial splenectomy +/- splenopexy"),"Non-viable","Review"),IF(BB574="NR",IF(OR(BD574="Total splenectomy",BD574="Partial splenectomy +/- splenopexy"),"NR - removed, check reason","NR"),"Not applicable")))))</f>
        <v/>
      </c>
    </row>
    <row r="575">
      <c r="D575" s="8" t="n"/>
      <c r="E575" s="9">
        <f>IF(B575="","",IF(B575="OWN","Yes","No"))</f>
        <v/>
      </c>
      <c r="AF575" s="9">
        <f>IF(ISNUMBER(Z575),IF(Z575&lt;=2,"&lt;=2 d",IF(Z575&lt;=7,"3-7 d",IF(Z575&lt;=30,"8-30 d","&gt;30 d"))),IF(AE575&lt;&gt;"",AE575,IF(Z575="NR","NR","")))</f>
        <v/>
      </c>
      <c r="AX575" s="9">
        <f>IF(ISNUMBER(AW575),IF(AW575&gt;450,"Yes","No"),IF(AW575="NR","NR",""))</f>
        <v/>
      </c>
      <c r="BJ575" s="9">
        <f>IF(BB575="","",IF(BB575="Non-viable","Non-viable",IF(BB575="Viable","Viable",IF(BB575="Partially non-viable",IF(OR(BD575="Total splenectomy",BD575="Partial splenectomy +/- splenopexy"),"Non-viable","Review"),IF(BB575="NR",IF(OR(BD575="Total splenectomy",BD575="Partial splenectomy +/- splenopexy"),"NR - removed, check reason","NR"),"Not applicable")))))</f>
        <v/>
      </c>
    </row>
    <row r="576">
      <c r="D576" s="8" t="n"/>
      <c r="E576" s="9">
        <f>IF(B576="","",IF(B576="OWN","Yes","No"))</f>
        <v/>
      </c>
      <c r="AF576" s="9">
        <f>IF(ISNUMBER(Z576),IF(Z576&lt;=2,"&lt;=2 d",IF(Z576&lt;=7,"3-7 d",IF(Z576&lt;=30,"8-30 d","&gt;30 d"))),IF(AE576&lt;&gt;"",AE576,IF(Z576="NR","NR","")))</f>
        <v/>
      </c>
      <c r="AX576" s="9">
        <f>IF(ISNUMBER(AW576),IF(AW576&gt;450,"Yes","No"),IF(AW576="NR","NR",""))</f>
        <v/>
      </c>
      <c r="BJ576" s="9">
        <f>IF(BB576="","",IF(BB576="Non-viable","Non-viable",IF(BB576="Viable","Viable",IF(BB576="Partially non-viable",IF(OR(BD576="Total splenectomy",BD576="Partial splenectomy +/- splenopexy"),"Non-viable","Review"),IF(BB576="NR",IF(OR(BD576="Total splenectomy",BD576="Partial splenectomy +/- splenopexy"),"NR - removed, check reason","NR"),"Not applicable")))))</f>
        <v/>
      </c>
    </row>
    <row r="577">
      <c r="D577" s="8" t="n"/>
      <c r="E577" s="9">
        <f>IF(B577="","",IF(B577="OWN","Yes","No"))</f>
        <v/>
      </c>
      <c r="AF577" s="9">
        <f>IF(ISNUMBER(Z577),IF(Z577&lt;=2,"&lt;=2 d",IF(Z577&lt;=7,"3-7 d",IF(Z577&lt;=30,"8-30 d","&gt;30 d"))),IF(AE577&lt;&gt;"",AE577,IF(Z577="NR","NR","")))</f>
        <v/>
      </c>
      <c r="AX577" s="9">
        <f>IF(ISNUMBER(AW577),IF(AW577&gt;450,"Yes","No"),IF(AW577="NR","NR",""))</f>
        <v/>
      </c>
      <c r="BJ577" s="9">
        <f>IF(BB577="","",IF(BB577="Non-viable","Non-viable",IF(BB577="Viable","Viable",IF(BB577="Partially non-viable",IF(OR(BD577="Total splenectomy",BD577="Partial splenectomy +/- splenopexy"),"Non-viable","Review"),IF(BB577="NR",IF(OR(BD577="Total splenectomy",BD577="Partial splenectomy +/- splenopexy"),"NR - removed, check reason","NR"),"Not applicable")))))</f>
        <v/>
      </c>
    </row>
    <row r="578">
      <c r="D578" s="8" t="n"/>
      <c r="E578" s="9">
        <f>IF(B578="","",IF(B578="OWN","Yes","No"))</f>
        <v/>
      </c>
      <c r="AF578" s="9">
        <f>IF(ISNUMBER(Z578),IF(Z578&lt;=2,"&lt;=2 d",IF(Z578&lt;=7,"3-7 d",IF(Z578&lt;=30,"8-30 d","&gt;30 d"))),IF(AE578&lt;&gt;"",AE578,IF(Z578="NR","NR","")))</f>
        <v/>
      </c>
      <c r="AX578" s="9">
        <f>IF(ISNUMBER(AW578),IF(AW578&gt;450,"Yes","No"),IF(AW578="NR","NR",""))</f>
        <v/>
      </c>
      <c r="BJ578" s="9">
        <f>IF(BB578="","",IF(BB578="Non-viable","Non-viable",IF(BB578="Viable","Viable",IF(BB578="Partially non-viable",IF(OR(BD578="Total splenectomy",BD578="Partial splenectomy +/- splenopexy"),"Non-viable","Review"),IF(BB578="NR",IF(OR(BD578="Total splenectomy",BD578="Partial splenectomy +/- splenopexy"),"NR - removed, check reason","NR"),"Not applicable")))))</f>
        <v/>
      </c>
    </row>
    <row r="579">
      <c r="D579" s="8" t="n"/>
      <c r="E579" s="9">
        <f>IF(B579="","",IF(B579="OWN","Yes","No"))</f>
        <v/>
      </c>
      <c r="AF579" s="9">
        <f>IF(ISNUMBER(Z579),IF(Z579&lt;=2,"&lt;=2 d",IF(Z579&lt;=7,"3-7 d",IF(Z579&lt;=30,"8-30 d","&gt;30 d"))),IF(AE579&lt;&gt;"",AE579,IF(Z579="NR","NR","")))</f>
        <v/>
      </c>
      <c r="AX579" s="9">
        <f>IF(ISNUMBER(AW579),IF(AW579&gt;450,"Yes","No"),IF(AW579="NR","NR",""))</f>
        <v/>
      </c>
      <c r="BJ579" s="9">
        <f>IF(BB579="","",IF(BB579="Non-viable","Non-viable",IF(BB579="Viable","Viable",IF(BB579="Partially non-viable",IF(OR(BD579="Total splenectomy",BD579="Partial splenectomy +/- splenopexy"),"Non-viable","Review"),IF(BB579="NR",IF(OR(BD579="Total splenectomy",BD579="Partial splenectomy +/- splenopexy"),"NR - removed, check reason","NR"),"Not applicable")))))</f>
        <v/>
      </c>
    </row>
    <row r="580">
      <c r="D580" s="8" t="n"/>
      <c r="E580" s="9">
        <f>IF(B580="","",IF(B580="OWN","Yes","No"))</f>
        <v/>
      </c>
      <c r="AF580" s="9">
        <f>IF(ISNUMBER(Z580),IF(Z580&lt;=2,"&lt;=2 d",IF(Z580&lt;=7,"3-7 d",IF(Z580&lt;=30,"8-30 d","&gt;30 d"))),IF(AE580&lt;&gt;"",AE580,IF(Z580="NR","NR","")))</f>
        <v/>
      </c>
      <c r="AX580" s="9">
        <f>IF(ISNUMBER(AW580),IF(AW580&gt;450,"Yes","No"),IF(AW580="NR","NR",""))</f>
        <v/>
      </c>
      <c r="BJ580" s="9">
        <f>IF(BB580="","",IF(BB580="Non-viable","Non-viable",IF(BB580="Viable","Viable",IF(BB580="Partially non-viable",IF(OR(BD580="Total splenectomy",BD580="Partial splenectomy +/- splenopexy"),"Non-viable","Review"),IF(BB580="NR",IF(OR(BD580="Total splenectomy",BD580="Partial splenectomy +/- splenopexy"),"NR - removed, check reason","NR"),"Not applicable")))))</f>
        <v/>
      </c>
    </row>
    <row r="581">
      <c r="D581" s="8" t="n"/>
      <c r="E581" s="9">
        <f>IF(B581="","",IF(B581="OWN","Yes","No"))</f>
        <v/>
      </c>
      <c r="AF581" s="9">
        <f>IF(ISNUMBER(Z581),IF(Z581&lt;=2,"&lt;=2 d",IF(Z581&lt;=7,"3-7 d",IF(Z581&lt;=30,"8-30 d","&gt;30 d"))),IF(AE581&lt;&gt;"",AE581,IF(Z581="NR","NR","")))</f>
        <v/>
      </c>
      <c r="AX581" s="9">
        <f>IF(ISNUMBER(AW581),IF(AW581&gt;450,"Yes","No"),IF(AW581="NR","NR",""))</f>
        <v/>
      </c>
      <c r="BJ581" s="9">
        <f>IF(BB581="","",IF(BB581="Non-viable","Non-viable",IF(BB581="Viable","Viable",IF(BB581="Partially non-viable",IF(OR(BD581="Total splenectomy",BD581="Partial splenectomy +/- splenopexy"),"Non-viable","Review"),IF(BB581="NR",IF(OR(BD581="Total splenectomy",BD581="Partial splenectomy +/- splenopexy"),"NR - removed, check reason","NR"),"Not applicable")))))</f>
        <v/>
      </c>
    </row>
    <row r="582">
      <c r="D582" s="8" t="n"/>
      <c r="E582" s="9">
        <f>IF(B582="","",IF(B582="OWN","Yes","No"))</f>
        <v/>
      </c>
      <c r="AF582" s="9">
        <f>IF(ISNUMBER(Z582),IF(Z582&lt;=2,"&lt;=2 d",IF(Z582&lt;=7,"3-7 d",IF(Z582&lt;=30,"8-30 d","&gt;30 d"))),IF(AE582&lt;&gt;"",AE582,IF(Z582="NR","NR","")))</f>
        <v/>
      </c>
      <c r="AX582" s="9">
        <f>IF(ISNUMBER(AW582),IF(AW582&gt;450,"Yes","No"),IF(AW582="NR","NR",""))</f>
        <v/>
      </c>
      <c r="BJ582" s="9">
        <f>IF(BB582="","",IF(BB582="Non-viable","Non-viable",IF(BB582="Viable","Viable",IF(BB582="Partially non-viable",IF(OR(BD582="Total splenectomy",BD582="Partial splenectomy +/- splenopexy"),"Non-viable","Review"),IF(BB582="NR",IF(OR(BD582="Total splenectomy",BD582="Partial splenectomy +/- splenopexy"),"NR - removed, check reason","NR"),"Not applicable")))))</f>
        <v/>
      </c>
    </row>
    <row r="583">
      <c r="D583" s="8" t="n"/>
      <c r="E583" s="9">
        <f>IF(B583="","",IF(B583="OWN","Yes","No"))</f>
        <v/>
      </c>
      <c r="AF583" s="9">
        <f>IF(ISNUMBER(Z583),IF(Z583&lt;=2,"&lt;=2 d",IF(Z583&lt;=7,"3-7 d",IF(Z583&lt;=30,"8-30 d","&gt;30 d"))),IF(AE583&lt;&gt;"",AE583,IF(Z583="NR","NR","")))</f>
        <v/>
      </c>
      <c r="AX583" s="9">
        <f>IF(ISNUMBER(AW583),IF(AW583&gt;450,"Yes","No"),IF(AW583="NR","NR",""))</f>
        <v/>
      </c>
      <c r="BJ583" s="9">
        <f>IF(BB583="","",IF(BB583="Non-viable","Non-viable",IF(BB583="Viable","Viable",IF(BB583="Partially non-viable",IF(OR(BD583="Total splenectomy",BD583="Partial splenectomy +/- splenopexy"),"Non-viable","Review"),IF(BB583="NR",IF(OR(BD583="Total splenectomy",BD583="Partial splenectomy +/- splenopexy"),"NR - removed, check reason","NR"),"Not applicable")))))</f>
        <v/>
      </c>
    </row>
    <row r="584">
      <c r="D584" s="8" t="n"/>
      <c r="E584" s="9">
        <f>IF(B584="","",IF(B584="OWN","Yes","No"))</f>
        <v/>
      </c>
      <c r="AF584" s="9">
        <f>IF(ISNUMBER(Z584),IF(Z584&lt;=2,"&lt;=2 d",IF(Z584&lt;=7,"3-7 d",IF(Z584&lt;=30,"8-30 d","&gt;30 d"))),IF(AE584&lt;&gt;"",AE584,IF(Z584="NR","NR","")))</f>
        <v/>
      </c>
      <c r="AX584" s="9">
        <f>IF(ISNUMBER(AW584),IF(AW584&gt;450,"Yes","No"),IF(AW584="NR","NR",""))</f>
        <v/>
      </c>
      <c r="BJ584" s="9">
        <f>IF(BB584="","",IF(BB584="Non-viable","Non-viable",IF(BB584="Viable","Viable",IF(BB584="Partially non-viable",IF(OR(BD584="Total splenectomy",BD584="Partial splenectomy +/- splenopexy"),"Non-viable","Review"),IF(BB584="NR",IF(OR(BD584="Total splenectomy",BD584="Partial splenectomy +/- splenopexy"),"NR - removed, check reason","NR"),"Not applicable")))))</f>
        <v/>
      </c>
    </row>
    <row r="585">
      <c r="D585" s="8" t="n"/>
      <c r="E585" s="9">
        <f>IF(B585="","",IF(B585="OWN","Yes","No"))</f>
        <v/>
      </c>
      <c r="AF585" s="9">
        <f>IF(ISNUMBER(Z585),IF(Z585&lt;=2,"&lt;=2 d",IF(Z585&lt;=7,"3-7 d",IF(Z585&lt;=30,"8-30 d","&gt;30 d"))),IF(AE585&lt;&gt;"",AE585,IF(Z585="NR","NR","")))</f>
        <v/>
      </c>
      <c r="AX585" s="9">
        <f>IF(ISNUMBER(AW585),IF(AW585&gt;450,"Yes","No"),IF(AW585="NR","NR",""))</f>
        <v/>
      </c>
      <c r="BJ585" s="9">
        <f>IF(BB585="","",IF(BB585="Non-viable","Non-viable",IF(BB585="Viable","Viable",IF(BB585="Partially non-viable",IF(OR(BD585="Total splenectomy",BD585="Partial splenectomy +/- splenopexy"),"Non-viable","Review"),IF(BB585="NR",IF(OR(BD585="Total splenectomy",BD585="Partial splenectomy +/- splenopexy"),"NR - removed, check reason","NR"),"Not applicable")))))</f>
        <v/>
      </c>
    </row>
    <row r="586">
      <c r="D586" s="8" t="n"/>
      <c r="E586" s="9">
        <f>IF(B586="","",IF(B586="OWN","Yes","No"))</f>
        <v/>
      </c>
      <c r="AF586" s="9">
        <f>IF(ISNUMBER(Z586),IF(Z586&lt;=2,"&lt;=2 d",IF(Z586&lt;=7,"3-7 d",IF(Z586&lt;=30,"8-30 d","&gt;30 d"))),IF(AE586&lt;&gt;"",AE586,IF(Z586="NR","NR","")))</f>
        <v/>
      </c>
      <c r="AX586" s="9">
        <f>IF(ISNUMBER(AW586),IF(AW586&gt;450,"Yes","No"),IF(AW586="NR","NR",""))</f>
        <v/>
      </c>
      <c r="BJ586" s="9">
        <f>IF(BB586="","",IF(BB586="Non-viable","Non-viable",IF(BB586="Viable","Viable",IF(BB586="Partially non-viable",IF(OR(BD586="Total splenectomy",BD586="Partial splenectomy +/- splenopexy"),"Non-viable","Review"),IF(BB586="NR",IF(OR(BD586="Total splenectomy",BD586="Partial splenectomy +/- splenopexy"),"NR - removed, check reason","NR"),"Not applicable")))))</f>
        <v/>
      </c>
    </row>
    <row r="587">
      <c r="D587" s="8" t="n"/>
      <c r="E587" s="9">
        <f>IF(B587="","",IF(B587="OWN","Yes","No"))</f>
        <v/>
      </c>
      <c r="AF587" s="9">
        <f>IF(ISNUMBER(Z587),IF(Z587&lt;=2,"&lt;=2 d",IF(Z587&lt;=7,"3-7 d",IF(Z587&lt;=30,"8-30 d","&gt;30 d"))),IF(AE587&lt;&gt;"",AE587,IF(Z587="NR","NR","")))</f>
        <v/>
      </c>
      <c r="AX587" s="9">
        <f>IF(ISNUMBER(AW587),IF(AW587&gt;450,"Yes","No"),IF(AW587="NR","NR",""))</f>
        <v/>
      </c>
      <c r="BJ587" s="9">
        <f>IF(BB587="","",IF(BB587="Non-viable","Non-viable",IF(BB587="Viable","Viable",IF(BB587="Partially non-viable",IF(OR(BD587="Total splenectomy",BD587="Partial splenectomy +/- splenopexy"),"Non-viable","Review"),IF(BB587="NR",IF(OR(BD587="Total splenectomy",BD587="Partial splenectomy +/- splenopexy"),"NR - removed, check reason","NR"),"Not applicable")))))</f>
        <v/>
      </c>
    </row>
    <row r="588">
      <c r="D588" s="8" t="n"/>
      <c r="E588" s="9">
        <f>IF(B588="","",IF(B588="OWN","Yes","No"))</f>
        <v/>
      </c>
      <c r="AF588" s="9">
        <f>IF(ISNUMBER(Z588),IF(Z588&lt;=2,"&lt;=2 d",IF(Z588&lt;=7,"3-7 d",IF(Z588&lt;=30,"8-30 d","&gt;30 d"))),IF(AE588&lt;&gt;"",AE588,IF(Z588="NR","NR","")))</f>
        <v/>
      </c>
      <c r="AX588" s="9">
        <f>IF(ISNUMBER(AW588),IF(AW588&gt;450,"Yes","No"),IF(AW588="NR","NR",""))</f>
        <v/>
      </c>
      <c r="BJ588" s="9">
        <f>IF(BB588="","",IF(BB588="Non-viable","Non-viable",IF(BB588="Viable","Viable",IF(BB588="Partially non-viable",IF(OR(BD588="Total splenectomy",BD588="Partial splenectomy +/- splenopexy"),"Non-viable","Review"),IF(BB588="NR",IF(OR(BD588="Total splenectomy",BD588="Partial splenectomy +/- splenopexy"),"NR - removed, check reason","NR"),"Not applicable")))))</f>
        <v/>
      </c>
    </row>
    <row r="589">
      <c r="D589" s="8" t="n"/>
      <c r="E589" s="9">
        <f>IF(B589="","",IF(B589="OWN","Yes","No"))</f>
        <v/>
      </c>
      <c r="AF589" s="9">
        <f>IF(ISNUMBER(Z589),IF(Z589&lt;=2,"&lt;=2 d",IF(Z589&lt;=7,"3-7 d",IF(Z589&lt;=30,"8-30 d","&gt;30 d"))),IF(AE589&lt;&gt;"",AE589,IF(Z589="NR","NR","")))</f>
        <v/>
      </c>
      <c r="AX589" s="9">
        <f>IF(ISNUMBER(AW589),IF(AW589&gt;450,"Yes","No"),IF(AW589="NR","NR",""))</f>
        <v/>
      </c>
      <c r="BJ589" s="9">
        <f>IF(BB589="","",IF(BB589="Non-viable","Non-viable",IF(BB589="Viable","Viable",IF(BB589="Partially non-viable",IF(OR(BD589="Total splenectomy",BD589="Partial splenectomy +/- splenopexy"),"Non-viable","Review"),IF(BB589="NR",IF(OR(BD589="Total splenectomy",BD589="Partial splenectomy +/- splenopexy"),"NR - removed, check reason","NR"),"Not applicable")))))</f>
        <v/>
      </c>
    </row>
    <row r="590">
      <c r="D590" s="8" t="n"/>
      <c r="E590" s="9">
        <f>IF(B590="","",IF(B590="OWN","Yes","No"))</f>
        <v/>
      </c>
      <c r="AF590" s="9">
        <f>IF(ISNUMBER(Z590),IF(Z590&lt;=2,"&lt;=2 d",IF(Z590&lt;=7,"3-7 d",IF(Z590&lt;=30,"8-30 d","&gt;30 d"))),IF(AE590&lt;&gt;"",AE590,IF(Z590="NR","NR","")))</f>
        <v/>
      </c>
      <c r="AX590" s="9">
        <f>IF(ISNUMBER(AW590),IF(AW590&gt;450,"Yes","No"),IF(AW590="NR","NR",""))</f>
        <v/>
      </c>
      <c r="BJ590" s="9">
        <f>IF(BB590="","",IF(BB590="Non-viable","Non-viable",IF(BB590="Viable","Viable",IF(BB590="Partially non-viable",IF(OR(BD590="Total splenectomy",BD590="Partial splenectomy +/- splenopexy"),"Non-viable","Review"),IF(BB590="NR",IF(OR(BD590="Total splenectomy",BD590="Partial splenectomy +/- splenopexy"),"NR - removed, check reason","NR"),"Not applicable")))))</f>
        <v/>
      </c>
    </row>
    <row r="591">
      <c r="D591" s="8" t="n"/>
      <c r="E591" s="9">
        <f>IF(B591="","",IF(B591="OWN","Yes","No"))</f>
        <v/>
      </c>
      <c r="AF591" s="9">
        <f>IF(ISNUMBER(Z591),IF(Z591&lt;=2,"&lt;=2 d",IF(Z591&lt;=7,"3-7 d",IF(Z591&lt;=30,"8-30 d","&gt;30 d"))),IF(AE591&lt;&gt;"",AE591,IF(Z591="NR","NR","")))</f>
        <v/>
      </c>
      <c r="AX591" s="9">
        <f>IF(ISNUMBER(AW591),IF(AW591&gt;450,"Yes","No"),IF(AW591="NR","NR",""))</f>
        <v/>
      </c>
      <c r="BJ591" s="9">
        <f>IF(BB591="","",IF(BB591="Non-viable","Non-viable",IF(BB591="Viable","Viable",IF(BB591="Partially non-viable",IF(OR(BD591="Total splenectomy",BD591="Partial splenectomy +/- splenopexy"),"Non-viable","Review"),IF(BB591="NR",IF(OR(BD591="Total splenectomy",BD591="Partial splenectomy +/- splenopexy"),"NR - removed, check reason","NR"),"Not applicable")))))</f>
        <v/>
      </c>
    </row>
    <row r="592">
      <c r="D592" s="8" t="n"/>
      <c r="E592" s="9">
        <f>IF(B592="","",IF(B592="OWN","Yes","No"))</f>
        <v/>
      </c>
      <c r="AF592" s="9">
        <f>IF(ISNUMBER(Z592),IF(Z592&lt;=2,"&lt;=2 d",IF(Z592&lt;=7,"3-7 d",IF(Z592&lt;=30,"8-30 d","&gt;30 d"))),IF(AE592&lt;&gt;"",AE592,IF(Z592="NR","NR","")))</f>
        <v/>
      </c>
      <c r="AX592" s="9">
        <f>IF(ISNUMBER(AW592),IF(AW592&gt;450,"Yes","No"),IF(AW592="NR","NR",""))</f>
        <v/>
      </c>
      <c r="BJ592" s="9">
        <f>IF(BB592="","",IF(BB592="Non-viable","Non-viable",IF(BB592="Viable","Viable",IF(BB592="Partially non-viable",IF(OR(BD592="Total splenectomy",BD592="Partial splenectomy +/- splenopexy"),"Non-viable","Review"),IF(BB592="NR",IF(OR(BD592="Total splenectomy",BD592="Partial splenectomy +/- splenopexy"),"NR - removed, check reason","NR"),"Not applicable")))))</f>
        <v/>
      </c>
    </row>
    <row r="593">
      <c r="D593" s="8" t="n"/>
      <c r="E593" s="9">
        <f>IF(B593="","",IF(B593="OWN","Yes","No"))</f>
        <v/>
      </c>
      <c r="AF593" s="9">
        <f>IF(ISNUMBER(Z593),IF(Z593&lt;=2,"&lt;=2 d",IF(Z593&lt;=7,"3-7 d",IF(Z593&lt;=30,"8-30 d","&gt;30 d"))),IF(AE593&lt;&gt;"",AE593,IF(Z593="NR","NR","")))</f>
        <v/>
      </c>
      <c r="AX593" s="9">
        <f>IF(ISNUMBER(AW593),IF(AW593&gt;450,"Yes","No"),IF(AW593="NR","NR",""))</f>
        <v/>
      </c>
      <c r="BJ593" s="9">
        <f>IF(BB593="","",IF(BB593="Non-viable","Non-viable",IF(BB593="Viable","Viable",IF(BB593="Partially non-viable",IF(OR(BD593="Total splenectomy",BD593="Partial splenectomy +/- splenopexy"),"Non-viable","Review"),IF(BB593="NR",IF(OR(BD593="Total splenectomy",BD593="Partial splenectomy +/- splenopexy"),"NR - removed, check reason","NR"),"Not applicable")))))</f>
        <v/>
      </c>
    </row>
    <row r="594">
      <c r="D594" s="8" t="n"/>
      <c r="E594" s="9">
        <f>IF(B594="","",IF(B594="OWN","Yes","No"))</f>
        <v/>
      </c>
      <c r="AF594" s="9">
        <f>IF(ISNUMBER(Z594),IF(Z594&lt;=2,"&lt;=2 d",IF(Z594&lt;=7,"3-7 d",IF(Z594&lt;=30,"8-30 d","&gt;30 d"))),IF(AE594&lt;&gt;"",AE594,IF(Z594="NR","NR","")))</f>
        <v/>
      </c>
      <c r="AX594" s="9">
        <f>IF(ISNUMBER(AW594),IF(AW594&gt;450,"Yes","No"),IF(AW594="NR","NR",""))</f>
        <v/>
      </c>
      <c r="BJ594" s="9">
        <f>IF(BB594="","",IF(BB594="Non-viable","Non-viable",IF(BB594="Viable","Viable",IF(BB594="Partially non-viable",IF(OR(BD594="Total splenectomy",BD594="Partial splenectomy +/- splenopexy"),"Non-viable","Review"),IF(BB594="NR",IF(OR(BD594="Total splenectomy",BD594="Partial splenectomy +/- splenopexy"),"NR - removed, check reason","NR"),"Not applicable")))))</f>
        <v/>
      </c>
    </row>
    <row r="595">
      <c r="D595" s="8" t="n"/>
      <c r="E595" s="9">
        <f>IF(B595="","",IF(B595="OWN","Yes","No"))</f>
        <v/>
      </c>
      <c r="AF595" s="9">
        <f>IF(ISNUMBER(Z595),IF(Z595&lt;=2,"&lt;=2 d",IF(Z595&lt;=7,"3-7 d",IF(Z595&lt;=30,"8-30 d","&gt;30 d"))),IF(AE595&lt;&gt;"",AE595,IF(Z595="NR","NR","")))</f>
        <v/>
      </c>
      <c r="AX595" s="9">
        <f>IF(ISNUMBER(AW595),IF(AW595&gt;450,"Yes","No"),IF(AW595="NR","NR",""))</f>
        <v/>
      </c>
      <c r="BJ595" s="9">
        <f>IF(BB595="","",IF(BB595="Non-viable","Non-viable",IF(BB595="Viable","Viable",IF(BB595="Partially non-viable",IF(OR(BD595="Total splenectomy",BD595="Partial splenectomy +/- splenopexy"),"Non-viable","Review"),IF(BB595="NR",IF(OR(BD595="Total splenectomy",BD595="Partial splenectomy +/- splenopexy"),"NR - removed, check reason","NR"),"Not applicable")))))</f>
        <v/>
      </c>
    </row>
    <row r="596">
      <c r="D596" s="8" t="n"/>
      <c r="E596" s="9">
        <f>IF(B596="","",IF(B596="OWN","Yes","No"))</f>
        <v/>
      </c>
      <c r="AF596" s="9">
        <f>IF(ISNUMBER(Z596),IF(Z596&lt;=2,"&lt;=2 d",IF(Z596&lt;=7,"3-7 d",IF(Z596&lt;=30,"8-30 d","&gt;30 d"))),IF(AE596&lt;&gt;"",AE596,IF(Z596="NR","NR","")))</f>
        <v/>
      </c>
      <c r="AX596" s="9">
        <f>IF(ISNUMBER(AW596),IF(AW596&gt;450,"Yes","No"),IF(AW596="NR","NR",""))</f>
        <v/>
      </c>
      <c r="BJ596" s="9">
        <f>IF(BB596="","",IF(BB596="Non-viable","Non-viable",IF(BB596="Viable","Viable",IF(BB596="Partially non-viable",IF(OR(BD596="Total splenectomy",BD596="Partial splenectomy +/- splenopexy"),"Non-viable","Review"),IF(BB596="NR",IF(OR(BD596="Total splenectomy",BD596="Partial splenectomy +/- splenopexy"),"NR - removed, check reason","NR"),"Not applicable")))))</f>
        <v/>
      </c>
    </row>
    <row r="597">
      <c r="D597" s="8" t="n"/>
      <c r="E597" s="9">
        <f>IF(B597="","",IF(B597="OWN","Yes","No"))</f>
        <v/>
      </c>
      <c r="AF597" s="9">
        <f>IF(ISNUMBER(Z597),IF(Z597&lt;=2,"&lt;=2 d",IF(Z597&lt;=7,"3-7 d",IF(Z597&lt;=30,"8-30 d","&gt;30 d"))),IF(AE597&lt;&gt;"",AE597,IF(Z597="NR","NR","")))</f>
        <v/>
      </c>
      <c r="AX597" s="9">
        <f>IF(ISNUMBER(AW597),IF(AW597&gt;450,"Yes","No"),IF(AW597="NR","NR",""))</f>
        <v/>
      </c>
      <c r="BJ597" s="9">
        <f>IF(BB597="","",IF(BB597="Non-viable","Non-viable",IF(BB597="Viable","Viable",IF(BB597="Partially non-viable",IF(OR(BD597="Total splenectomy",BD597="Partial splenectomy +/- splenopexy"),"Non-viable","Review"),IF(BB597="NR",IF(OR(BD597="Total splenectomy",BD597="Partial splenectomy +/- splenopexy"),"NR - removed, check reason","NR"),"Not applicable")))))</f>
        <v/>
      </c>
    </row>
    <row r="598">
      <c r="D598" s="8" t="n"/>
      <c r="E598" s="9">
        <f>IF(B598="","",IF(B598="OWN","Yes","No"))</f>
        <v/>
      </c>
      <c r="AF598" s="9">
        <f>IF(ISNUMBER(Z598),IF(Z598&lt;=2,"&lt;=2 d",IF(Z598&lt;=7,"3-7 d",IF(Z598&lt;=30,"8-30 d","&gt;30 d"))),IF(AE598&lt;&gt;"",AE598,IF(Z598="NR","NR","")))</f>
        <v/>
      </c>
      <c r="AX598" s="9">
        <f>IF(ISNUMBER(AW598),IF(AW598&gt;450,"Yes","No"),IF(AW598="NR","NR",""))</f>
        <v/>
      </c>
      <c r="BJ598" s="9">
        <f>IF(BB598="","",IF(BB598="Non-viable","Non-viable",IF(BB598="Viable","Viable",IF(BB598="Partially non-viable",IF(OR(BD598="Total splenectomy",BD598="Partial splenectomy +/- splenopexy"),"Non-viable","Review"),IF(BB598="NR",IF(OR(BD598="Total splenectomy",BD598="Partial splenectomy +/- splenopexy"),"NR - removed, check reason","NR"),"Not applicable")))))</f>
        <v/>
      </c>
    </row>
    <row r="599">
      <c r="D599" s="8" t="n"/>
      <c r="E599" s="9">
        <f>IF(B599="","",IF(B599="OWN","Yes","No"))</f>
        <v/>
      </c>
      <c r="AF599" s="9">
        <f>IF(ISNUMBER(Z599),IF(Z599&lt;=2,"&lt;=2 d",IF(Z599&lt;=7,"3-7 d",IF(Z599&lt;=30,"8-30 d","&gt;30 d"))),IF(AE599&lt;&gt;"",AE599,IF(Z599="NR","NR","")))</f>
        <v/>
      </c>
      <c r="AX599" s="9">
        <f>IF(ISNUMBER(AW599),IF(AW599&gt;450,"Yes","No"),IF(AW599="NR","NR",""))</f>
        <v/>
      </c>
      <c r="BJ599" s="9">
        <f>IF(BB599="","",IF(BB599="Non-viable","Non-viable",IF(BB599="Viable","Viable",IF(BB599="Partially non-viable",IF(OR(BD599="Total splenectomy",BD599="Partial splenectomy +/- splenopexy"),"Non-viable","Review"),IF(BB599="NR",IF(OR(BD599="Total splenectomy",BD599="Partial splenectomy +/- splenopexy"),"NR - removed, check reason","NR"),"Not applicable")))))</f>
        <v/>
      </c>
    </row>
    <row r="600">
      <c r="D600" s="8" t="n"/>
      <c r="E600" s="9">
        <f>IF(B600="","",IF(B600="OWN","Yes","No"))</f>
        <v/>
      </c>
      <c r="AF600" s="9">
        <f>IF(ISNUMBER(Z600),IF(Z600&lt;=2,"&lt;=2 d",IF(Z600&lt;=7,"3-7 d",IF(Z600&lt;=30,"8-30 d","&gt;30 d"))),IF(AE600&lt;&gt;"",AE600,IF(Z600="NR","NR","")))</f>
        <v/>
      </c>
      <c r="AX600" s="9">
        <f>IF(ISNUMBER(AW600),IF(AW600&gt;450,"Yes","No"),IF(AW600="NR","NR",""))</f>
        <v/>
      </c>
      <c r="BJ600" s="9">
        <f>IF(BB600="","",IF(BB600="Non-viable","Non-viable",IF(BB600="Viable","Viable",IF(BB600="Partially non-viable",IF(OR(BD600="Total splenectomy",BD600="Partial splenectomy +/- splenopexy"),"Non-viable","Review"),IF(BB600="NR",IF(OR(BD600="Total splenectomy",BD600="Partial splenectomy +/- splenopexy"),"NR - removed, check reason","NR"),"Not applicable")))))</f>
        <v/>
      </c>
    </row>
    <row r="601">
      <c r="D601" s="8" t="n"/>
      <c r="E601" s="9">
        <f>IF(B601="","",IF(B601="OWN","Yes","No"))</f>
        <v/>
      </c>
      <c r="AF601" s="9">
        <f>IF(ISNUMBER(Z601),IF(Z601&lt;=2,"&lt;=2 d",IF(Z601&lt;=7,"3-7 d",IF(Z601&lt;=30,"8-30 d","&gt;30 d"))),IF(AE601&lt;&gt;"",AE601,IF(Z601="NR","NR","")))</f>
        <v/>
      </c>
      <c r="AX601" s="9">
        <f>IF(ISNUMBER(AW601),IF(AW601&gt;450,"Yes","No"),IF(AW601="NR","NR",""))</f>
        <v/>
      </c>
      <c r="BJ601" s="9">
        <f>IF(BB601="","",IF(BB601="Non-viable","Non-viable",IF(BB601="Viable","Viable",IF(BB601="Partially non-viable",IF(OR(BD601="Total splenectomy",BD601="Partial splenectomy +/- splenopexy"),"Non-viable","Review"),IF(BB601="NR",IF(OR(BD601="Total splenectomy",BD601="Partial splenectomy +/- splenopexy"),"NR - removed, check reason","NR"),"Not applicable")))))</f>
        <v/>
      </c>
    </row>
    <row r="602">
      <c r="D602" s="8" t="n"/>
      <c r="E602" s="9">
        <f>IF(B602="","",IF(B602="OWN","Yes","No"))</f>
        <v/>
      </c>
      <c r="AF602" s="9">
        <f>IF(ISNUMBER(Z602),IF(Z602&lt;=2,"&lt;=2 d",IF(Z602&lt;=7,"3-7 d",IF(Z602&lt;=30,"8-30 d","&gt;30 d"))),IF(AE602&lt;&gt;"",AE602,IF(Z602="NR","NR","")))</f>
        <v/>
      </c>
      <c r="AX602" s="9">
        <f>IF(ISNUMBER(AW602),IF(AW602&gt;450,"Yes","No"),IF(AW602="NR","NR",""))</f>
        <v/>
      </c>
      <c r="BJ602" s="9">
        <f>IF(BB602="","",IF(BB602="Non-viable","Non-viable",IF(BB602="Viable","Viable",IF(BB602="Partially non-viable",IF(OR(BD602="Total splenectomy",BD602="Partial splenectomy +/- splenopexy"),"Non-viable","Review"),IF(BB602="NR",IF(OR(BD602="Total splenectomy",BD602="Partial splenectomy +/- splenopexy"),"NR - removed, check reason","NR"),"Not applicable")))))</f>
        <v/>
      </c>
    </row>
    <row r="603">
      <c r="D603" s="8" t="n"/>
      <c r="E603" s="9">
        <f>IF(B603="","",IF(B603="OWN","Yes","No"))</f>
        <v/>
      </c>
      <c r="AF603" s="9">
        <f>IF(ISNUMBER(Z603),IF(Z603&lt;=2,"&lt;=2 d",IF(Z603&lt;=7,"3-7 d",IF(Z603&lt;=30,"8-30 d","&gt;30 d"))),IF(AE603&lt;&gt;"",AE603,IF(Z603="NR","NR","")))</f>
        <v/>
      </c>
      <c r="AX603" s="9">
        <f>IF(ISNUMBER(AW603),IF(AW603&gt;450,"Yes","No"),IF(AW603="NR","NR",""))</f>
        <v/>
      </c>
      <c r="BJ603" s="9">
        <f>IF(BB603="","",IF(BB603="Non-viable","Non-viable",IF(BB603="Viable","Viable",IF(BB603="Partially non-viable",IF(OR(BD603="Total splenectomy",BD603="Partial splenectomy +/- splenopexy"),"Non-viable","Review"),IF(BB603="NR",IF(OR(BD603="Total splenectomy",BD603="Partial splenectomy +/- splenopexy"),"NR - removed, check reason","NR"),"Not applicable")))))</f>
        <v/>
      </c>
    </row>
    <row r="604">
      <c r="D604" s="8" t="n"/>
      <c r="E604" s="9">
        <f>IF(B604="","",IF(B604="OWN","Yes","No"))</f>
        <v/>
      </c>
      <c r="AF604" s="9">
        <f>IF(ISNUMBER(Z604),IF(Z604&lt;=2,"&lt;=2 d",IF(Z604&lt;=7,"3-7 d",IF(Z604&lt;=30,"8-30 d","&gt;30 d"))),IF(AE604&lt;&gt;"",AE604,IF(Z604="NR","NR","")))</f>
        <v/>
      </c>
      <c r="AX604" s="9">
        <f>IF(ISNUMBER(AW604),IF(AW604&gt;450,"Yes","No"),IF(AW604="NR","NR",""))</f>
        <v/>
      </c>
      <c r="BJ604" s="9">
        <f>IF(BB604="","",IF(BB604="Non-viable","Non-viable",IF(BB604="Viable","Viable",IF(BB604="Partially non-viable",IF(OR(BD604="Total splenectomy",BD604="Partial splenectomy +/- splenopexy"),"Non-viable","Review"),IF(BB604="NR",IF(OR(BD604="Total splenectomy",BD604="Partial splenectomy +/- splenopexy"),"NR - removed, check reason","NR"),"Not applicable")))))</f>
        <v/>
      </c>
    </row>
    <row r="605">
      <c r="D605" s="8" t="n"/>
      <c r="E605" s="9">
        <f>IF(B605="","",IF(B605="OWN","Yes","No"))</f>
        <v/>
      </c>
      <c r="AF605" s="9">
        <f>IF(ISNUMBER(Z605),IF(Z605&lt;=2,"&lt;=2 d",IF(Z605&lt;=7,"3-7 d",IF(Z605&lt;=30,"8-30 d","&gt;30 d"))),IF(AE605&lt;&gt;"",AE605,IF(Z605="NR","NR","")))</f>
        <v/>
      </c>
      <c r="AX605" s="9">
        <f>IF(ISNUMBER(AW605),IF(AW605&gt;450,"Yes","No"),IF(AW605="NR","NR",""))</f>
        <v/>
      </c>
      <c r="BJ605" s="9">
        <f>IF(BB605="","",IF(BB605="Non-viable","Non-viable",IF(BB605="Viable","Viable",IF(BB605="Partially non-viable",IF(OR(BD605="Total splenectomy",BD605="Partial splenectomy +/- splenopexy"),"Non-viable","Review"),IF(BB605="NR",IF(OR(BD605="Total splenectomy",BD605="Partial splenectomy +/- splenopexy"),"NR - removed, check reason","NR"),"Not applicable")))))</f>
        <v/>
      </c>
    </row>
    <row r="606">
      <c r="D606" s="8" t="n"/>
      <c r="E606" s="9">
        <f>IF(B606="","",IF(B606="OWN","Yes","No"))</f>
        <v/>
      </c>
      <c r="AF606" s="9">
        <f>IF(ISNUMBER(Z606),IF(Z606&lt;=2,"&lt;=2 d",IF(Z606&lt;=7,"3-7 d",IF(Z606&lt;=30,"8-30 d","&gt;30 d"))),IF(AE606&lt;&gt;"",AE606,IF(Z606="NR","NR","")))</f>
        <v/>
      </c>
      <c r="AX606" s="9">
        <f>IF(ISNUMBER(AW606),IF(AW606&gt;450,"Yes","No"),IF(AW606="NR","NR",""))</f>
        <v/>
      </c>
      <c r="BJ606" s="9">
        <f>IF(BB606="","",IF(BB606="Non-viable","Non-viable",IF(BB606="Viable","Viable",IF(BB606="Partially non-viable",IF(OR(BD606="Total splenectomy",BD606="Partial splenectomy +/- splenopexy"),"Non-viable","Review"),IF(BB606="NR",IF(OR(BD606="Total splenectomy",BD606="Partial splenectomy +/- splenopexy"),"NR - removed, check reason","NR"),"Not applicable")))))</f>
        <v/>
      </c>
    </row>
    <row r="607">
      <c r="D607" s="8" t="n"/>
      <c r="E607" s="9">
        <f>IF(B607="","",IF(B607="OWN","Yes","No"))</f>
        <v/>
      </c>
      <c r="AF607" s="9">
        <f>IF(ISNUMBER(Z607),IF(Z607&lt;=2,"&lt;=2 d",IF(Z607&lt;=7,"3-7 d",IF(Z607&lt;=30,"8-30 d","&gt;30 d"))),IF(AE607&lt;&gt;"",AE607,IF(Z607="NR","NR","")))</f>
        <v/>
      </c>
      <c r="AX607" s="9">
        <f>IF(ISNUMBER(AW607),IF(AW607&gt;450,"Yes","No"),IF(AW607="NR","NR",""))</f>
        <v/>
      </c>
      <c r="BJ607" s="9">
        <f>IF(BB607="","",IF(BB607="Non-viable","Non-viable",IF(BB607="Viable","Viable",IF(BB607="Partially non-viable",IF(OR(BD607="Total splenectomy",BD607="Partial splenectomy +/- splenopexy"),"Non-viable","Review"),IF(BB607="NR",IF(OR(BD607="Total splenectomy",BD607="Partial splenectomy +/- splenopexy"),"NR - removed, check reason","NR"),"Not applicable")))))</f>
        <v/>
      </c>
    </row>
    <row r="608">
      <c r="D608" s="8" t="n"/>
      <c r="E608" s="9">
        <f>IF(B608="","",IF(B608="OWN","Yes","No"))</f>
        <v/>
      </c>
      <c r="AF608" s="9">
        <f>IF(ISNUMBER(Z608),IF(Z608&lt;=2,"&lt;=2 d",IF(Z608&lt;=7,"3-7 d",IF(Z608&lt;=30,"8-30 d","&gt;30 d"))),IF(AE608&lt;&gt;"",AE608,IF(Z608="NR","NR","")))</f>
        <v/>
      </c>
      <c r="AX608" s="9">
        <f>IF(ISNUMBER(AW608),IF(AW608&gt;450,"Yes","No"),IF(AW608="NR","NR",""))</f>
        <v/>
      </c>
      <c r="BJ608" s="9">
        <f>IF(BB608="","",IF(BB608="Non-viable","Non-viable",IF(BB608="Viable","Viable",IF(BB608="Partially non-viable",IF(OR(BD608="Total splenectomy",BD608="Partial splenectomy +/- splenopexy"),"Non-viable","Review"),IF(BB608="NR",IF(OR(BD608="Total splenectomy",BD608="Partial splenectomy +/- splenopexy"),"NR - removed, check reason","NR"),"Not applicable")))))</f>
        <v/>
      </c>
    </row>
    <row r="609">
      <c r="D609" s="8" t="n"/>
      <c r="E609" s="9">
        <f>IF(B609="","",IF(B609="OWN","Yes","No"))</f>
        <v/>
      </c>
      <c r="AF609" s="9">
        <f>IF(ISNUMBER(Z609),IF(Z609&lt;=2,"&lt;=2 d",IF(Z609&lt;=7,"3-7 d",IF(Z609&lt;=30,"8-30 d","&gt;30 d"))),IF(AE609&lt;&gt;"",AE609,IF(Z609="NR","NR","")))</f>
        <v/>
      </c>
      <c r="AX609" s="9">
        <f>IF(ISNUMBER(AW609),IF(AW609&gt;450,"Yes","No"),IF(AW609="NR","NR",""))</f>
        <v/>
      </c>
      <c r="BJ609" s="9">
        <f>IF(BB609="","",IF(BB609="Non-viable","Non-viable",IF(BB609="Viable","Viable",IF(BB609="Partially non-viable",IF(OR(BD609="Total splenectomy",BD609="Partial splenectomy +/- splenopexy"),"Non-viable","Review"),IF(BB609="NR",IF(OR(BD609="Total splenectomy",BD609="Partial splenectomy +/- splenopexy"),"NR - removed, check reason","NR"),"Not applicable")))))</f>
        <v/>
      </c>
    </row>
    <row r="610">
      <c r="D610" s="8" t="n"/>
      <c r="E610" s="9">
        <f>IF(B610="","",IF(B610="OWN","Yes","No"))</f>
        <v/>
      </c>
      <c r="AF610" s="9">
        <f>IF(ISNUMBER(Z610),IF(Z610&lt;=2,"&lt;=2 d",IF(Z610&lt;=7,"3-7 d",IF(Z610&lt;=30,"8-30 d","&gt;30 d"))),IF(AE610&lt;&gt;"",AE610,IF(Z610="NR","NR","")))</f>
        <v/>
      </c>
      <c r="AX610" s="9">
        <f>IF(ISNUMBER(AW610),IF(AW610&gt;450,"Yes","No"),IF(AW610="NR","NR",""))</f>
        <v/>
      </c>
      <c r="BJ610" s="9">
        <f>IF(BB610="","",IF(BB610="Non-viable","Non-viable",IF(BB610="Viable","Viable",IF(BB610="Partially non-viable",IF(OR(BD610="Total splenectomy",BD610="Partial splenectomy +/- splenopexy"),"Non-viable","Review"),IF(BB610="NR",IF(OR(BD610="Total splenectomy",BD610="Partial splenectomy +/- splenopexy"),"NR - removed, check reason","NR"),"Not applicable")))))</f>
        <v/>
      </c>
    </row>
    <row r="611">
      <c r="D611" s="8" t="n"/>
      <c r="E611" s="9">
        <f>IF(B611="","",IF(B611="OWN","Yes","No"))</f>
        <v/>
      </c>
      <c r="AF611" s="9">
        <f>IF(ISNUMBER(Z611),IF(Z611&lt;=2,"&lt;=2 d",IF(Z611&lt;=7,"3-7 d",IF(Z611&lt;=30,"8-30 d","&gt;30 d"))),IF(AE611&lt;&gt;"",AE611,IF(Z611="NR","NR","")))</f>
        <v/>
      </c>
      <c r="AX611" s="9">
        <f>IF(ISNUMBER(AW611),IF(AW611&gt;450,"Yes","No"),IF(AW611="NR","NR",""))</f>
        <v/>
      </c>
      <c r="BJ611" s="9">
        <f>IF(BB611="","",IF(BB611="Non-viable","Non-viable",IF(BB611="Viable","Viable",IF(BB611="Partially non-viable",IF(OR(BD611="Total splenectomy",BD611="Partial splenectomy +/- splenopexy"),"Non-viable","Review"),IF(BB611="NR",IF(OR(BD611="Total splenectomy",BD611="Partial splenectomy +/- splenopexy"),"NR - removed, check reason","NR"),"Not applicable")))))</f>
        <v/>
      </c>
    </row>
    <row r="612">
      <c r="D612" s="8" t="n"/>
      <c r="E612" s="9">
        <f>IF(B612="","",IF(B612="OWN","Yes","No"))</f>
        <v/>
      </c>
      <c r="AF612" s="9">
        <f>IF(ISNUMBER(Z612),IF(Z612&lt;=2,"&lt;=2 d",IF(Z612&lt;=7,"3-7 d",IF(Z612&lt;=30,"8-30 d","&gt;30 d"))),IF(AE612&lt;&gt;"",AE612,IF(Z612="NR","NR","")))</f>
        <v/>
      </c>
      <c r="AX612" s="9">
        <f>IF(ISNUMBER(AW612),IF(AW612&gt;450,"Yes","No"),IF(AW612="NR","NR",""))</f>
        <v/>
      </c>
      <c r="BJ612" s="9">
        <f>IF(BB612="","",IF(BB612="Non-viable","Non-viable",IF(BB612="Viable","Viable",IF(BB612="Partially non-viable",IF(OR(BD612="Total splenectomy",BD612="Partial splenectomy +/- splenopexy"),"Non-viable","Review"),IF(BB612="NR",IF(OR(BD612="Total splenectomy",BD612="Partial splenectomy +/- splenopexy"),"NR - removed, check reason","NR"),"Not applicable")))))</f>
        <v/>
      </c>
    </row>
    <row r="613">
      <c r="D613" s="8" t="n"/>
      <c r="E613" s="9">
        <f>IF(B613="","",IF(B613="OWN","Yes","No"))</f>
        <v/>
      </c>
      <c r="AF613" s="9">
        <f>IF(ISNUMBER(Z613),IF(Z613&lt;=2,"&lt;=2 d",IF(Z613&lt;=7,"3-7 d",IF(Z613&lt;=30,"8-30 d","&gt;30 d"))),IF(AE613&lt;&gt;"",AE613,IF(Z613="NR","NR","")))</f>
        <v/>
      </c>
      <c r="AX613" s="9">
        <f>IF(ISNUMBER(AW613),IF(AW613&gt;450,"Yes","No"),IF(AW613="NR","NR",""))</f>
        <v/>
      </c>
      <c r="BJ613" s="9">
        <f>IF(BB613="","",IF(BB613="Non-viable","Non-viable",IF(BB613="Viable","Viable",IF(BB613="Partially non-viable",IF(OR(BD613="Total splenectomy",BD613="Partial splenectomy +/- splenopexy"),"Non-viable","Review"),IF(BB613="NR",IF(OR(BD613="Total splenectomy",BD613="Partial splenectomy +/- splenopexy"),"NR - removed, check reason","NR"),"Not applicable")))))</f>
        <v/>
      </c>
    </row>
    <row r="614">
      <c r="D614" s="8" t="n"/>
      <c r="E614" s="9">
        <f>IF(B614="","",IF(B614="OWN","Yes","No"))</f>
        <v/>
      </c>
      <c r="AF614" s="9">
        <f>IF(ISNUMBER(Z614),IF(Z614&lt;=2,"&lt;=2 d",IF(Z614&lt;=7,"3-7 d",IF(Z614&lt;=30,"8-30 d","&gt;30 d"))),IF(AE614&lt;&gt;"",AE614,IF(Z614="NR","NR","")))</f>
        <v/>
      </c>
      <c r="AX614" s="9">
        <f>IF(ISNUMBER(AW614),IF(AW614&gt;450,"Yes","No"),IF(AW614="NR","NR",""))</f>
        <v/>
      </c>
      <c r="BJ614" s="9">
        <f>IF(BB614="","",IF(BB614="Non-viable","Non-viable",IF(BB614="Viable","Viable",IF(BB614="Partially non-viable",IF(OR(BD614="Total splenectomy",BD614="Partial splenectomy +/- splenopexy"),"Non-viable","Review"),IF(BB614="NR",IF(OR(BD614="Total splenectomy",BD614="Partial splenectomy +/- splenopexy"),"NR - removed, check reason","NR"),"Not applicable")))))</f>
        <v/>
      </c>
    </row>
    <row r="615">
      <c r="D615" s="8" t="n"/>
      <c r="E615" s="9">
        <f>IF(B615="","",IF(B615="OWN","Yes","No"))</f>
        <v/>
      </c>
      <c r="AF615" s="9">
        <f>IF(ISNUMBER(Z615),IF(Z615&lt;=2,"&lt;=2 d",IF(Z615&lt;=7,"3-7 d",IF(Z615&lt;=30,"8-30 d","&gt;30 d"))),IF(AE615&lt;&gt;"",AE615,IF(Z615="NR","NR","")))</f>
        <v/>
      </c>
      <c r="AX615" s="9">
        <f>IF(ISNUMBER(AW615),IF(AW615&gt;450,"Yes","No"),IF(AW615="NR","NR",""))</f>
        <v/>
      </c>
      <c r="BJ615" s="9">
        <f>IF(BB615="","",IF(BB615="Non-viable","Non-viable",IF(BB615="Viable","Viable",IF(BB615="Partially non-viable",IF(OR(BD615="Total splenectomy",BD615="Partial splenectomy +/- splenopexy"),"Non-viable","Review"),IF(BB615="NR",IF(OR(BD615="Total splenectomy",BD615="Partial splenectomy +/- splenopexy"),"NR - removed, check reason","NR"),"Not applicable")))))</f>
        <v/>
      </c>
    </row>
    <row r="616">
      <c r="D616" s="8" t="n"/>
      <c r="E616" s="9">
        <f>IF(B616="","",IF(B616="OWN","Yes","No"))</f>
        <v/>
      </c>
      <c r="AF616" s="9">
        <f>IF(ISNUMBER(Z616),IF(Z616&lt;=2,"&lt;=2 d",IF(Z616&lt;=7,"3-7 d",IF(Z616&lt;=30,"8-30 d","&gt;30 d"))),IF(AE616&lt;&gt;"",AE616,IF(Z616="NR","NR","")))</f>
        <v/>
      </c>
      <c r="AX616" s="9">
        <f>IF(ISNUMBER(AW616),IF(AW616&gt;450,"Yes","No"),IF(AW616="NR","NR",""))</f>
        <v/>
      </c>
      <c r="BJ616" s="9">
        <f>IF(BB616="","",IF(BB616="Non-viable","Non-viable",IF(BB616="Viable","Viable",IF(BB616="Partially non-viable",IF(OR(BD616="Total splenectomy",BD616="Partial splenectomy +/- splenopexy"),"Non-viable","Review"),IF(BB616="NR",IF(OR(BD616="Total splenectomy",BD616="Partial splenectomy +/- splenopexy"),"NR - removed, check reason","NR"),"Not applicable")))))</f>
        <v/>
      </c>
    </row>
    <row r="617">
      <c r="D617" s="8" t="n"/>
      <c r="E617" s="9">
        <f>IF(B617="","",IF(B617="OWN","Yes","No"))</f>
        <v/>
      </c>
      <c r="AF617" s="9">
        <f>IF(ISNUMBER(Z617),IF(Z617&lt;=2,"&lt;=2 d",IF(Z617&lt;=7,"3-7 d",IF(Z617&lt;=30,"8-30 d","&gt;30 d"))),IF(AE617&lt;&gt;"",AE617,IF(Z617="NR","NR","")))</f>
        <v/>
      </c>
      <c r="AX617" s="9">
        <f>IF(ISNUMBER(AW617),IF(AW617&gt;450,"Yes","No"),IF(AW617="NR","NR",""))</f>
        <v/>
      </c>
      <c r="BJ617" s="9">
        <f>IF(BB617="","",IF(BB617="Non-viable","Non-viable",IF(BB617="Viable","Viable",IF(BB617="Partially non-viable",IF(OR(BD617="Total splenectomy",BD617="Partial splenectomy +/- splenopexy"),"Non-viable","Review"),IF(BB617="NR",IF(OR(BD617="Total splenectomy",BD617="Partial splenectomy +/- splenopexy"),"NR - removed, check reason","NR"),"Not applicable")))))</f>
        <v/>
      </c>
    </row>
    <row r="618">
      <c r="D618" s="8" t="n"/>
      <c r="E618" s="9">
        <f>IF(B618="","",IF(B618="OWN","Yes","No"))</f>
        <v/>
      </c>
      <c r="AF618" s="9">
        <f>IF(ISNUMBER(Z618),IF(Z618&lt;=2,"&lt;=2 d",IF(Z618&lt;=7,"3-7 d",IF(Z618&lt;=30,"8-30 d","&gt;30 d"))),IF(AE618&lt;&gt;"",AE618,IF(Z618="NR","NR","")))</f>
        <v/>
      </c>
      <c r="AX618" s="9">
        <f>IF(ISNUMBER(AW618),IF(AW618&gt;450,"Yes","No"),IF(AW618="NR","NR",""))</f>
        <v/>
      </c>
      <c r="BJ618" s="9">
        <f>IF(BB618="","",IF(BB618="Non-viable","Non-viable",IF(BB618="Viable","Viable",IF(BB618="Partially non-viable",IF(OR(BD618="Total splenectomy",BD618="Partial splenectomy +/- splenopexy"),"Non-viable","Review"),IF(BB618="NR",IF(OR(BD618="Total splenectomy",BD618="Partial splenectomy +/- splenopexy"),"NR - removed, check reason","NR"),"Not applicable")))))</f>
        <v/>
      </c>
    </row>
    <row r="619">
      <c r="D619" s="8" t="n"/>
      <c r="E619" s="9">
        <f>IF(B619="","",IF(B619="OWN","Yes","No"))</f>
        <v/>
      </c>
      <c r="AF619" s="9">
        <f>IF(ISNUMBER(Z619),IF(Z619&lt;=2,"&lt;=2 d",IF(Z619&lt;=7,"3-7 d",IF(Z619&lt;=30,"8-30 d","&gt;30 d"))),IF(AE619&lt;&gt;"",AE619,IF(Z619="NR","NR","")))</f>
        <v/>
      </c>
      <c r="AX619" s="9">
        <f>IF(ISNUMBER(AW619),IF(AW619&gt;450,"Yes","No"),IF(AW619="NR","NR",""))</f>
        <v/>
      </c>
      <c r="BJ619" s="9">
        <f>IF(BB619="","",IF(BB619="Non-viable","Non-viable",IF(BB619="Viable","Viable",IF(BB619="Partially non-viable",IF(OR(BD619="Total splenectomy",BD619="Partial splenectomy +/- splenopexy"),"Non-viable","Review"),IF(BB619="NR",IF(OR(BD619="Total splenectomy",BD619="Partial splenectomy +/- splenopexy"),"NR - removed, check reason","NR"),"Not applicable")))))</f>
        <v/>
      </c>
    </row>
    <row r="620">
      <c r="D620" s="8" t="n"/>
      <c r="E620" s="9">
        <f>IF(B620="","",IF(B620="OWN","Yes","No"))</f>
        <v/>
      </c>
      <c r="AF620" s="9">
        <f>IF(ISNUMBER(Z620),IF(Z620&lt;=2,"&lt;=2 d",IF(Z620&lt;=7,"3-7 d",IF(Z620&lt;=30,"8-30 d","&gt;30 d"))),IF(AE620&lt;&gt;"",AE620,IF(Z620="NR","NR","")))</f>
        <v/>
      </c>
      <c r="AX620" s="9">
        <f>IF(ISNUMBER(AW620),IF(AW620&gt;450,"Yes","No"),IF(AW620="NR","NR",""))</f>
        <v/>
      </c>
      <c r="BJ620" s="9">
        <f>IF(BB620="","",IF(BB620="Non-viable","Non-viable",IF(BB620="Viable","Viable",IF(BB620="Partially non-viable",IF(OR(BD620="Total splenectomy",BD620="Partial splenectomy +/- splenopexy"),"Non-viable","Review"),IF(BB620="NR",IF(OR(BD620="Total splenectomy",BD620="Partial splenectomy +/- splenopexy"),"NR - removed, check reason","NR"),"Not applicable")))))</f>
        <v/>
      </c>
    </row>
    <row r="621">
      <c r="D621" s="8" t="n"/>
      <c r="E621" s="9">
        <f>IF(B621="","",IF(B621="OWN","Yes","No"))</f>
        <v/>
      </c>
      <c r="AF621" s="9">
        <f>IF(ISNUMBER(Z621),IF(Z621&lt;=2,"&lt;=2 d",IF(Z621&lt;=7,"3-7 d",IF(Z621&lt;=30,"8-30 d","&gt;30 d"))),IF(AE621&lt;&gt;"",AE621,IF(Z621="NR","NR","")))</f>
        <v/>
      </c>
      <c r="AX621" s="9">
        <f>IF(ISNUMBER(AW621),IF(AW621&gt;450,"Yes","No"),IF(AW621="NR","NR",""))</f>
        <v/>
      </c>
      <c r="BJ621" s="9">
        <f>IF(BB621="","",IF(BB621="Non-viable","Non-viable",IF(BB621="Viable","Viable",IF(BB621="Partially non-viable",IF(OR(BD621="Total splenectomy",BD621="Partial splenectomy +/- splenopexy"),"Non-viable","Review"),IF(BB621="NR",IF(OR(BD621="Total splenectomy",BD621="Partial splenectomy +/- splenopexy"),"NR - removed, check reason","NR"),"Not applicable")))))</f>
        <v/>
      </c>
    </row>
    <row r="622">
      <c r="D622" s="8" t="n"/>
      <c r="E622" s="9">
        <f>IF(B622="","",IF(B622="OWN","Yes","No"))</f>
        <v/>
      </c>
      <c r="AF622" s="9">
        <f>IF(ISNUMBER(Z622),IF(Z622&lt;=2,"&lt;=2 d",IF(Z622&lt;=7,"3-7 d",IF(Z622&lt;=30,"8-30 d","&gt;30 d"))),IF(AE622&lt;&gt;"",AE622,IF(Z622="NR","NR","")))</f>
        <v/>
      </c>
      <c r="AX622" s="9">
        <f>IF(ISNUMBER(AW622),IF(AW622&gt;450,"Yes","No"),IF(AW622="NR","NR",""))</f>
        <v/>
      </c>
      <c r="BJ622" s="9">
        <f>IF(BB622="","",IF(BB622="Non-viable","Non-viable",IF(BB622="Viable","Viable",IF(BB622="Partially non-viable",IF(OR(BD622="Total splenectomy",BD622="Partial splenectomy +/- splenopexy"),"Non-viable","Review"),IF(BB622="NR",IF(OR(BD622="Total splenectomy",BD622="Partial splenectomy +/- splenopexy"),"NR - removed, check reason","NR"),"Not applicable")))))</f>
        <v/>
      </c>
    </row>
    <row r="623">
      <c r="D623" s="8" t="n"/>
      <c r="E623" s="9">
        <f>IF(B623="","",IF(B623="OWN","Yes","No"))</f>
        <v/>
      </c>
      <c r="AF623" s="9">
        <f>IF(ISNUMBER(Z623),IF(Z623&lt;=2,"&lt;=2 d",IF(Z623&lt;=7,"3-7 d",IF(Z623&lt;=30,"8-30 d","&gt;30 d"))),IF(AE623&lt;&gt;"",AE623,IF(Z623="NR","NR","")))</f>
        <v/>
      </c>
      <c r="AX623" s="9">
        <f>IF(ISNUMBER(AW623),IF(AW623&gt;450,"Yes","No"),IF(AW623="NR","NR",""))</f>
        <v/>
      </c>
      <c r="BJ623" s="9">
        <f>IF(BB623="","",IF(BB623="Non-viable","Non-viable",IF(BB623="Viable","Viable",IF(BB623="Partially non-viable",IF(OR(BD623="Total splenectomy",BD623="Partial splenectomy +/- splenopexy"),"Non-viable","Review"),IF(BB623="NR",IF(OR(BD623="Total splenectomy",BD623="Partial splenectomy +/- splenopexy"),"NR - removed, check reason","NR"),"Not applicable")))))</f>
        <v/>
      </c>
    </row>
    <row r="624">
      <c r="D624" s="8" t="n"/>
      <c r="E624" s="9">
        <f>IF(B624="","",IF(B624="OWN","Yes","No"))</f>
        <v/>
      </c>
      <c r="AF624" s="9">
        <f>IF(ISNUMBER(Z624),IF(Z624&lt;=2,"&lt;=2 d",IF(Z624&lt;=7,"3-7 d",IF(Z624&lt;=30,"8-30 d","&gt;30 d"))),IF(AE624&lt;&gt;"",AE624,IF(Z624="NR","NR","")))</f>
        <v/>
      </c>
      <c r="AX624" s="9">
        <f>IF(ISNUMBER(AW624),IF(AW624&gt;450,"Yes","No"),IF(AW624="NR","NR",""))</f>
        <v/>
      </c>
      <c r="BJ624" s="9">
        <f>IF(BB624="","",IF(BB624="Non-viable","Non-viable",IF(BB624="Viable","Viable",IF(BB624="Partially non-viable",IF(OR(BD624="Total splenectomy",BD624="Partial splenectomy +/- splenopexy"),"Non-viable","Review"),IF(BB624="NR",IF(OR(BD624="Total splenectomy",BD624="Partial splenectomy +/- splenopexy"),"NR - removed, check reason","NR"),"Not applicable")))))</f>
        <v/>
      </c>
    </row>
    <row r="625">
      <c r="D625" s="8" t="n"/>
      <c r="E625" s="9">
        <f>IF(B625="","",IF(B625="OWN","Yes","No"))</f>
        <v/>
      </c>
      <c r="AF625" s="9">
        <f>IF(ISNUMBER(Z625),IF(Z625&lt;=2,"&lt;=2 d",IF(Z625&lt;=7,"3-7 d",IF(Z625&lt;=30,"8-30 d","&gt;30 d"))),IF(AE625&lt;&gt;"",AE625,IF(Z625="NR","NR","")))</f>
        <v/>
      </c>
      <c r="AX625" s="9">
        <f>IF(ISNUMBER(AW625),IF(AW625&gt;450,"Yes","No"),IF(AW625="NR","NR",""))</f>
        <v/>
      </c>
      <c r="BJ625" s="9">
        <f>IF(BB625="","",IF(BB625="Non-viable","Non-viable",IF(BB625="Viable","Viable",IF(BB625="Partially non-viable",IF(OR(BD625="Total splenectomy",BD625="Partial splenectomy +/- splenopexy"),"Non-viable","Review"),IF(BB625="NR",IF(OR(BD625="Total splenectomy",BD625="Partial splenectomy +/- splenopexy"),"NR - removed, check reason","NR"),"Not applicable")))))</f>
        <v/>
      </c>
    </row>
    <row r="626">
      <c r="D626" s="8" t="n"/>
      <c r="E626" s="9">
        <f>IF(B626="","",IF(B626="OWN","Yes","No"))</f>
        <v/>
      </c>
      <c r="AF626" s="9">
        <f>IF(ISNUMBER(Z626),IF(Z626&lt;=2,"&lt;=2 d",IF(Z626&lt;=7,"3-7 d",IF(Z626&lt;=30,"8-30 d","&gt;30 d"))),IF(AE626&lt;&gt;"",AE626,IF(Z626="NR","NR","")))</f>
        <v/>
      </c>
      <c r="AX626" s="9">
        <f>IF(ISNUMBER(AW626),IF(AW626&gt;450,"Yes","No"),IF(AW626="NR","NR",""))</f>
        <v/>
      </c>
      <c r="BJ626" s="9">
        <f>IF(BB626="","",IF(BB626="Non-viable","Non-viable",IF(BB626="Viable","Viable",IF(BB626="Partially non-viable",IF(OR(BD626="Total splenectomy",BD626="Partial splenectomy +/- splenopexy"),"Non-viable","Review"),IF(BB626="NR",IF(OR(BD626="Total splenectomy",BD626="Partial splenectomy +/- splenopexy"),"NR - removed, check reason","NR"),"Not applicable")))))</f>
        <v/>
      </c>
    </row>
    <row r="627">
      <c r="D627" s="8" t="n"/>
      <c r="E627" s="9">
        <f>IF(B627="","",IF(B627="OWN","Yes","No"))</f>
        <v/>
      </c>
      <c r="AF627" s="9">
        <f>IF(ISNUMBER(Z627),IF(Z627&lt;=2,"&lt;=2 d",IF(Z627&lt;=7,"3-7 d",IF(Z627&lt;=30,"8-30 d","&gt;30 d"))),IF(AE627&lt;&gt;"",AE627,IF(Z627="NR","NR","")))</f>
        <v/>
      </c>
      <c r="AX627" s="9">
        <f>IF(ISNUMBER(AW627),IF(AW627&gt;450,"Yes","No"),IF(AW627="NR","NR",""))</f>
        <v/>
      </c>
      <c r="BJ627" s="9">
        <f>IF(BB627="","",IF(BB627="Non-viable","Non-viable",IF(BB627="Viable","Viable",IF(BB627="Partially non-viable",IF(OR(BD627="Total splenectomy",BD627="Partial splenectomy +/- splenopexy"),"Non-viable","Review"),IF(BB627="NR",IF(OR(BD627="Total splenectomy",BD627="Partial splenectomy +/- splenopexy"),"NR - removed, check reason","NR"),"Not applicable")))))</f>
        <v/>
      </c>
    </row>
    <row r="628">
      <c r="D628" s="8" t="n"/>
      <c r="E628" s="9">
        <f>IF(B628="","",IF(B628="OWN","Yes","No"))</f>
        <v/>
      </c>
      <c r="AF628" s="9">
        <f>IF(ISNUMBER(Z628),IF(Z628&lt;=2,"&lt;=2 d",IF(Z628&lt;=7,"3-7 d",IF(Z628&lt;=30,"8-30 d","&gt;30 d"))),IF(AE628&lt;&gt;"",AE628,IF(Z628="NR","NR","")))</f>
        <v/>
      </c>
      <c r="AX628" s="9">
        <f>IF(ISNUMBER(AW628),IF(AW628&gt;450,"Yes","No"),IF(AW628="NR","NR",""))</f>
        <v/>
      </c>
      <c r="BJ628" s="9">
        <f>IF(BB628="","",IF(BB628="Non-viable","Non-viable",IF(BB628="Viable","Viable",IF(BB628="Partially non-viable",IF(OR(BD628="Total splenectomy",BD628="Partial splenectomy +/- splenopexy"),"Non-viable","Review"),IF(BB628="NR",IF(OR(BD628="Total splenectomy",BD628="Partial splenectomy +/- splenopexy"),"NR - removed, check reason","NR"),"Not applicable")))))</f>
        <v/>
      </c>
    </row>
    <row r="629">
      <c r="D629" s="8" t="n"/>
      <c r="E629" s="9">
        <f>IF(B629="","",IF(B629="OWN","Yes","No"))</f>
        <v/>
      </c>
      <c r="AF629" s="9">
        <f>IF(ISNUMBER(Z629),IF(Z629&lt;=2,"&lt;=2 d",IF(Z629&lt;=7,"3-7 d",IF(Z629&lt;=30,"8-30 d","&gt;30 d"))),IF(AE629&lt;&gt;"",AE629,IF(Z629="NR","NR","")))</f>
        <v/>
      </c>
      <c r="AX629" s="9">
        <f>IF(ISNUMBER(AW629),IF(AW629&gt;450,"Yes","No"),IF(AW629="NR","NR",""))</f>
        <v/>
      </c>
      <c r="BJ629" s="9">
        <f>IF(BB629="","",IF(BB629="Non-viable","Non-viable",IF(BB629="Viable","Viable",IF(BB629="Partially non-viable",IF(OR(BD629="Total splenectomy",BD629="Partial splenectomy +/- splenopexy"),"Non-viable","Review"),IF(BB629="NR",IF(OR(BD629="Total splenectomy",BD629="Partial splenectomy +/- splenopexy"),"NR - removed, check reason","NR"),"Not applicable")))))</f>
        <v/>
      </c>
    </row>
    <row r="630">
      <c r="D630" s="8" t="n"/>
      <c r="E630" s="9">
        <f>IF(B630="","",IF(B630="OWN","Yes","No"))</f>
        <v/>
      </c>
      <c r="AF630" s="9">
        <f>IF(ISNUMBER(Z630),IF(Z630&lt;=2,"&lt;=2 d",IF(Z630&lt;=7,"3-7 d",IF(Z630&lt;=30,"8-30 d","&gt;30 d"))),IF(AE630&lt;&gt;"",AE630,IF(Z630="NR","NR","")))</f>
        <v/>
      </c>
      <c r="AX630" s="9">
        <f>IF(ISNUMBER(AW630),IF(AW630&gt;450,"Yes","No"),IF(AW630="NR","NR",""))</f>
        <v/>
      </c>
      <c r="BJ630" s="9">
        <f>IF(BB630="","",IF(BB630="Non-viable","Non-viable",IF(BB630="Viable","Viable",IF(BB630="Partially non-viable",IF(OR(BD630="Total splenectomy",BD630="Partial splenectomy +/- splenopexy"),"Non-viable","Review"),IF(BB630="NR",IF(OR(BD630="Total splenectomy",BD630="Partial splenectomy +/- splenopexy"),"NR - removed, check reason","NR"),"Not applicable")))))</f>
        <v/>
      </c>
    </row>
    <row r="631">
      <c r="D631" s="8" t="n"/>
      <c r="E631" s="9">
        <f>IF(B631="","",IF(B631="OWN","Yes","No"))</f>
        <v/>
      </c>
      <c r="AF631" s="9">
        <f>IF(ISNUMBER(Z631),IF(Z631&lt;=2,"&lt;=2 d",IF(Z631&lt;=7,"3-7 d",IF(Z631&lt;=30,"8-30 d","&gt;30 d"))),IF(AE631&lt;&gt;"",AE631,IF(Z631="NR","NR","")))</f>
        <v/>
      </c>
      <c r="AX631" s="9">
        <f>IF(ISNUMBER(AW631),IF(AW631&gt;450,"Yes","No"),IF(AW631="NR","NR",""))</f>
        <v/>
      </c>
      <c r="BJ631" s="9">
        <f>IF(BB631="","",IF(BB631="Non-viable","Non-viable",IF(BB631="Viable","Viable",IF(BB631="Partially non-viable",IF(OR(BD631="Total splenectomy",BD631="Partial splenectomy +/- splenopexy"),"Non-viable","Review"),IF(BB631="NR",IF(OR(BD631="Total splenectomy",BD631="Partial splenectomy +/- splenopexy"),"NR - removed, check reason","NR"),"Not applicable")))))</f>
        <v/>
      </c>
    </row>
    <row r="632">
      <c r="D632" s="8" t="n"/>
      <c r="E632" s="9">
        <f>IF(B632="","",IF(B632="OWN","Yes","No"))</f>
        <v/>
      </c>
      <c r="AF632" s="9">
        <f>IF(ISNUMBER(Z632),IF(Z632&lt;=2,"&lt;=2 d",IF(Z632&lt;=7,"3-7 d",IF(Z632&lt;=30,"8-30 d","&gt;30 d"))),IF(AE632&lt;&gt;"",AE632,IF(Z632="NR","NR","")))</f>
        <v/>
      </c>
      <c r="AX632" s="9">
        <f>IF(ISNUMBER(AW632),IF(AW632&gt;450,"Yes","No"),IF(AW632="NR","NR",""))</f>
        <v/>
      </c>
      <c r="BJ632" s="9">
        <f>IF(BB632="","",IF(BB632="Non-viable","Non-viable",IF(BB632="Viable","Viable",IF(BB632="Partially non-viable",IF(OR(BD632="Total splenectomy",BD632="Partial splenectomy +/- splenopexy"),"Non-viable","Review"),IF(BB632="NR",IF(OR(BD632="Total splenectomy",BD632="Partial splenectomy +/- splenopexy"),"NR - removed, check reason","NR"),"Not applicable")))))</f>
        <v/>
      </c>
    </row>
    <row r="633">
      <c r="D633" s="8" t="n"/>
      <c r="E633" s="9">
        <f>IF(B633="","",IF(B633="OWN","Yes","No"))</f>
        <v/>
      </c>
      <c r="AF633" s="9">
        <f>IF(ISNUMBER(Z633),IF(Z633&lt;=2,"&lt;=2 d",IF(Z633&lt;=7,"3-7 d",IF(Z633&lt;=30,"8-30 d","&gt;30 d"))),IF(AE633&lt;&gt;"",AE633,IF(Z633="NR","NR","")))</f>
        <v/>
      </c>
      <c r="AX633" s="9">
        <f>IF(ISNUMBER(AW633),IF(AW633&gt;450,"Yes","No"),IF(AW633="NR","NR",""))</f>
        <v/>
      </c>
      <c r="BJ633" s="9">
        <f>IF(BB633="","",IF(BB633="Non-viable","Non-viable",IF(BB633="Viable","Viable",IF(BB633="Partially non-viable",IF(OR(BD633="Total splenectomy",BD633="Partial splenectomy +/- splenopexy"),"Non-viable","Review"),IF(BB633="NR",IF(OR(BD633="Total splenectomy",BD633="Partial splenectomy +/- splenopexy"),"NR - removed, check reason","NR"),"Not applicable")))))</f>
        <v/>
      </c>
    </row>
    <row r="634">
      <c r="D634" s="8" t="n"/>
      <c r="E634" s="9">
        <f>IF(B634="","",IF(B634="OWN","Yes","No"))</f>
        <v/>
      </c>
      <c r="AF634" s="9">
        <f>IF(ISNUMBER(Z634),IF(Z634&lt;=2,"&lt;=2 d",IF(Z634&lt;=7,"3-7 d",IF(Z634&lt;=30,"8-30 d","&gt;30 d"))),IF(AE634&lt;&gt;"",AE634,IF(Z634="NR","NR","")))</f>
        <v/>
      </c>
      <c r="AX634" s="9">
        <f>IF(ISNUMBER(AW634),IF(AW634&gt;450,"Yes","No"),IF(AW634="NR","NR",""))</f>
        <v/>
      </c>
      <c r="BJ634" s="9">
        <f>IF(BB634="","",IF(BB634="Non-viable","Non-viable",IF(BB634="Viable","Viable",IF(BB634="Partially non-viable",IF(OR(BD634="Total splenectomy",BD634="Partial splenectomy +/- splenopexy"),"Non-viable","Review"),IF(BB634="NR",IF(OR(BD634="Total splenectomy",BD634="Partial splenectomy +/- splenopexy"),"NR - removed, check reason","NR"),"Not applicable")))))</f>
        <v/>
      </c>
    </row>
    <row r="635">
      <c r="D635" s="8" t="n"/>
      <c r="E635" s="9">
        <f>IF(B635="","",IF(B635="OWN","Yes","No"))</f>
        <v/>
      </c>
      <c r="AF635" s="9">
        <f>IF(ISNUMBER(Z635),IF(Z635&lt;=2,"&lt;=2 d",IF(Z635&lt;=7,"3-7 d",IF(Z635&lt;=30,"8-30 d","&gt;30 d"))),IF(AE635&lt;&gt;"",AE635,IF(Z635="NR","NR","")))</f>
        <v/>
      </c>
      <c r="AX635" s="9">
        <f>IF(ISNUMBER(AW635),IF(AW635&gt;450,"Yes","No"),IF(AW635="NR","NR",""))</f>
        <v/>
      </c>
      <c r="BJ635" s="9">
        <f>IF(BB635="","",IF(BB635="Non-viable","Non-viable",IF(BB635="Viable","Viable",IF(BB635="Partially non-viable",IF(OR(BD635="Total splenectomy",BD635="Partial splenectomy +/- splenopexy"),"Non-viable","Review"),IF(BB635="NR",IF(OR(BD635="Total splenectomy",BD635="Partial splenectomy +/- splenopexy"),"NR - removed, check reason","NR"),"Not applicable")))))</f>
        <v/>
      </c>
    </row>
    <row r="636">
      <c r="D636" s="8" t="n"/>
      <c r="E636" s="9">
        <f>IF(B636="","",IF(B636="OWN","Yes","No"))</f>
        <v/>
      </c>
      <c r="AF636" s="9">
        <f>IF(ISNUMBER(Z636),IF(Z636&lt;=2,"&lt;=2 d",IF(Z636&lt;=7,"3-7 d",IF(Z636&lt;=30,"8-30 d","&gt;30 d"))),IF(AE636&lt;&gt;"",AE636,IF(Z636="NR","NR","")))</f>
        <v/>
      </c>
      <c r="AX636" s="9">
        <f>IF(ISNUMBER(AW636),IF(AW636&gt;450,"Yes","No"),IF(AW636="NR","NR",""))</f>
        <v/>
      </c>
      <c r="BJ636" s="9">
        <f>IF(BB636="","",IF(BB636="Non-viable","Non-viable",IF(BB636="Viable","Viable",IF(BB636="Partially non-viable",IF(OR(BD636="Total splenectomy",BD636="Partial splenectomy +/- splenopexy"),"Non-viable","Review"),IF(BB636="NR",IF(OR(BD636="Total splenectomy",BD636="Partial splenectomy +/- splenopexy"),"NR - removed, check reason","NR"),"Not applicable")))))</f>
        <v/>
      </c>
    </row>
    <row r="637">
      <c r="D637" s="8" t="n"/>
      <c r="E637" s="9">
        <f>IF(B637="","",IF(B637="OWN","Yes","No"))</f>
        <v/>
      </c>
      <c r="AF637" s="9">
        <f>IF(ISNUMBER(Z637),IF(Z637&lt;=2,"&lt;=2 d",IF(Z637&lt;=7,"3-7 d",IF(Z637&lt;=30,"8-30 d","&gt;30 d"))),IF(AE637&lt;&gt;"",AE637,IF(Z637="NR","NR","")))</f>
        <v/>
      </c>
      <c r="AX637" s="9">
        <f>IF(ISNUMBER(AW637),IF(AW637&gt;450,"Yes","No"),IF(AW637="NR","NR",""))</f>
        <v/>
      </c>
      <c r="BJ637" s="9">
        <f>IF(BB637="","",IF(BB637="Non-viable","Non-viable",IF(BB637="Viable","Viable",IF(BB637="Partially non-viable",IF(OR(BD637="Total splenectomy",BD637="Partial splenectomy +/- splenopexy"),"Non-viable","Review"),IF(BB637="NR",IF(OR(BD637="Total splenectomy",BD637="Partial splenectomy +/- splenopexy"),"NR - removed, check reason","NR"),"Not applicable")))))</f>
        <v/>
      </c>
    </row>
    <row r="638">
      <c r="D638" s="8" t="n"/>
      <c r="E638" s="9">
        <f>IF(B638="","",IF(B638="OWN","Yes","No"))</f>
        <v/>
      </c>
      <c r="AF638" s="9">
        <f>IF(ISNUMBER(Z638),IF(Z638&lt;=2,"&lt;=2 d",IF(Z638&lt;=7,"3-7 d",IF(Z638&lt;=30,"8-30 d","&gt;30 d"))),IF(AE638&lt;&gt;"",AE638,IF(Z638="NR","NR","")))</f>
        <v/>
      </c>
      <c r="AX638" s="9">
        <f>IF(ISNUMBER(AW638),IF(AW638&gt;450,"Yes","No"),IF(AW638="NR","NR",""))</f>
        <v/>
      </c>
      <c r="BJ638" s="9">
        <f>IF(BB638="","",IF(BB638="Non-viable","Non-viable",IF(BB638="Viable","Viable",IF(BB638="Partially non-viable",IF(OR(BD638="Total splenectomy",BD638="Partial splenectomy +/- splenopexy"),"Non-viable","Review"),IF(BB638="NR",IF(OR(BD638="Total splenectomy",BD638="Partial splenectomy +/- splenopexy"),"NR - removed, check reason","NR"),"Not applicable")))))</f>
        <v/>
      </c>
    </row>
    <row r="639">
      <c r="D639" s="8" t="n"/>
      <c r="E639" s="9">
        <f>IF(B639="","",IF(B639="OWN","Yes","No"))</f>
        <v/>
      </c>
      <c r="AF639" s="9">
        <f>IF(ISNUMBER(Z639),IF(Z639&lt;=2,"&lt;=2 d",IF(Z639&lt;=7,"3-7 d",IF(Z639&lt;=30,"8-30 d","&gt;30 d"))),IF(AE639&lt;&gt;"",AE639,IF(Z639="NR","NR","")))</f>
        <v/>
      </c>
      <c r="AX639" s="9">
        <f>IF(ISNUMBER(AW639),IF(AW639&gt;450,"Yes","No"),IF(AW639="NR","NR",""))</f>
        <v/>
      </c>
      <c r="BJ639" s="9">
        <f>IF(BB639="","",IF(BB639="Non-viable","Non-viable",IF(BB639="Viable","Viable",IF(BB639="Partially non-viable",IF(OR(BD639="Total splenectomy",BD639="Partial splenectomy +/- splenopexy"),"Non-viable","Review"),IF(BB639="NR",IF(OR(BD639="Total splenectomy",BD639="Partial splenectomy +/- splenopexy"),"NR - removed, check reason","NR"),"Not applicable")))))</f>
        <v/>
      </c>
    </row>
    <row r="640">
      <c r="D640" s="8" t="n"/>
      <c r="E640" s="9">
        <f>IF(B640="","",IF(B640="OWN","Yes","No"))</f>
        <v/>
      </c>
      <c r="AF640" s="9">
        <f>IF(ISNUMBER(Z640),IF(Z640&lt;=2,"&lt;=2 d",IF(Z640&lt;=7,"3-7 d",IF(Z640&lt;=30,"8-30 d","&gt;30 d"))),IF(AE640&lt;&gt;"",AE640,IF(Z640="NR","NR","")))</f>
        <v/>
      </c>
      <c r="AX640" s="9">
        <f>IF(ISNUMBER(AW640),IF(AW640&gt;450,"Yes","No"),IF(AW640="NR","NR",""))</f>
        <v/>
      </c>
      <c r="BJ640" s="9">
        <f>IF(BB640="","",IF(BB640="Non-viable","Non-viable",IF(BB640="Viable","Viable",IF(BB640="Partially non-viable",IF(OR(BD640="Total splenectomy",BD640="Partial splenectomy +/- splenopexy"),"Non-viable","Review"),IF(BB640="NR",IF(OR(BD640="Total splenectomy",BD640="Partial splenectomy +/- splenopexy"),"NR - removed, check reason","NR"),"Not applicable")))))</f>
        <v/>
      </c>
    </row>
    <row r="641">
      <c r="D641" s="8" t="n"/>
      <c r="E641" s="9">
        <f>IF(B641="","",IF(B641="OWN","Yes","No"))</f>
        <v/>
      </c>
      <c r="AF641" s="9">
        <f>IF(ISNUMBER(Z641),IF(Z641&lt;=2,"&lt;=2 d",IF(Z641&lt;=7,"3-7 d",IF(Z641&lt;=30,"8-30 d","&gt;30 d"))),IF(AE641&lt;&gt;"",AE641,IF(Z641="NR","NR","")))</f>
        <v/>
      </c>
      <c r="AX641" s="9">
        <f>IF(ISNUMBER(AW641),IF(AW641&gt;450,"Yes","No"),IF(AW641="NR","NR",""))</f>
        <v/>
      </c>
      <c r="BJ641" s="9">
        <f>IF(BB641="","",IF(BB641="Non-viable","Non-viable",IF(BB641="Viable","Viable",IF(BB641="Partially non-viable",IF(OR(BD641="Total splenectomy",BD641="Partial splenectomy +/- splenopexy"),"Non-viable","Review"),IF(BB641="NR",IF(OR(BD641="Total splenectomy",BD641="Partial splenectomy +/- splenopexy"),"NR - removed, check reason","NR"),"Not applicable")))))</f>
        <v/>
      </c>
    </row>
    <row r="642">
      <c r="D642" s="8" t="n"/>
      <c r="E642" s="9">
        <f>IF(B642="","",IF(B642="OWN","Yes","No"))</f>
        <v/>
      </c>
      <c r="AF642" s="9">
        <f>IF(ISNUMBER(Z642),IF(Z642&lt;=2,"&lt;=2 d",IF(Z642&lt;=7,"3-7 d",IF(Z642&lt;=30,"8-30 d","&gt;30 d"))),IF(AE642&lt;&gt;"",AE642,IF(Z642="NR","NR","")))</f>
        <v/>
      </c>
      <c r="AX642" s="9">
        <f>IF(ISNUMBER(AW642),IF(AW642&gt;450,"Yes","No"),IF(AW642="NR","NR",""))</f>
        <v/>
      </c>
      <c r="BJ642" s="9">
        <f>IF(BB642="","",IF(BB642="Non-viable","Non-viable",IF(BB642="Viable","Viable",IF(BB642="Partially non-viable",IF(OR(BD642="Total splenectomy",BD642="Partial splenectomy +/- splenopexy"),"Non-viable","Review"),IF(BB642="NR",IF(OR(BD642="Total splenectomy",BD642="Partial splenectomy +/- splenopexy"),"NR - removed, check reason","NR"),"Not applicable")))))</f>
        <v/>
      </c>
    </row>
    <row r="643">
      <c r="D643" s="8" t="n"/>
      <c r="E643" s="9">
        <f>IF(B643="","",IF(B643="OWN","Yes","No"))</f>
        <v/>
      </c>
      <c r="AF643" s="9">
        <f>IF(ISNUMBER(Z643),IF(Z643&lt;=2,"&lt;=2 d",IF(Z643&lt;=7,"3-7 d",IF(Z643&lt;=30,"8-30 d","&gt;30 d"))),IF(AE643&lt;&gt;"",AE643,IF(Z643="NR","NR","")))</f>
        <v/>
      </c>
      <c r="AX643" s="9">
        <f>IF(ISNUMBER(AW643),IF(AW643&gt;450,"Yes","No"),IF(AW643="NR","NR",""))</f>
        <v/>
      </c>
      <c r="BJ643" s="9">
        <f>IF(BB643="","",IF(BB643="Non-viable","Non-viable",IF(BB643="Viable","Viable",IF(BB643="Partially non-viable",IF(OR(BD643="Total splenectomy",BD643="Partial splenectomy +/- splenopexy"),"Non-viable","Review"),IF(BB643="NR",IF(OR(BD643="Total splenectomy",BD643="Partial splenectomy +/- splenopexy"),"NR - removed, check reason","NR"),"Not applicable")))))</f>
        <v/>
      </c>
    </row>
    <row r="644">
      <c r="D644" s="8" t="n"/>
      <c r="E644" s="9">
        <f>IF(B644="","",IF(B644="OWN","Yes","No"))</f>
        <v/>
      </c>
      <c r="AF644" s="9">
        <f>IF(ISNUMBER(Z644),IF(Z644&lt;=2,"&lt;=2 d",IF(Z644&lt;=7,"3-7 d",IF(Z644&lt;=30,"8-30 d","&gt;30 d"))),IF(AE644&lt;&gt;"",AE644,IF(Z644="NR","NR","")))</f>
        <v/>
      </c>
      <c r="AX644" s="9">
        <f>IF(ISNUMBER(AW644),IF(AW644&gt;450,"Yes","No"),IF(AW644="NR","NR",""))</f>
        <v/>
      </c>
      <c r="BJ644" s="9">
        <f>IF(BB644="","",IF(BB644="Non-viable","Non-viable",IF(BB644="Viable","Viable",IF(BB644="Partially non-viable",IF(OR(BD644="Total splenectomy",BD644="Partial splenectomy +/- splenopexy"),"Non-viable","Review"),IF(BB644="NR",IF(OR(BD644="Total splenectomy",BD644="Partial splenectomy +/- splenopexy"),"NR - removed, check reason","NR"),"Not applicable")))))</f>
        <v/>
      </c>
    </row>
    <row r="645">
      <c r="D645" s="8" t="n"/>
      <c r="E645" s="9">
        <f>IF(B645="","",IF(B645="OWN","Yes","No"))</f>
        <v/>
      </c>
      <c r="AF645" s="9">
        <f>IF(ISNUMBER(Z645),IF(Z645&lt;=2,"&lt;=2 d",IF(Z645&lt;=7,"3-7 d",IF(Z645&lt;=30,"8-30 d","&gt;30 d"))),IF(AE645&lt;&gt;"",AE645,IF(Z645="NR","NR","")))</f>
        <v/>
      </c>
      <c r="AX645" s="9">
        <f>IF(ISNUMBER(AW645),IF(AW645&gt;450,"Yes","No"),IF(AW645="NR","NR",""))</f>
        <v/>
      </c>
      <c r="BJ645" s="9">
        <f>IF(BB645="","",IF(BB645="Non-viable","Non-viable",IF(BB645="Viable","Viable",IF(BB645="Partially non-viable",IF(OR(BD645="Total splenectomy",BD645="Partial splenectomy +/- splenopexy"),"Non-viable","Review"),IF(BB645="NR",IF(OR(BD645="Total splenectomy",BD645="Partial splenectomy +/- splenopexy"),"NR - removed, check reason","NR"),"Not applicable")))))</f>
        <v/>
      </c>
    </row>
    <row r="646">
      <c r="D646" s="8" t="n"/>
      <c r="E646" s="9">
        <f>IF(B646="","",IF(B646="OWN","Yes","No"))</f>
        <v/>
      </c>
      <c r="AF646" s="9">
        <f>IF(ISNUMBER(Z646),IF(Z646&lt;=2,"&lt;=2 d",IF(Z646&lt;=7,"3-7 d",IF(Z646&lt;=30,"8-30 d","&gt;30 d"))),IF(AE646&lt;&gt;"",AE646,IF(Z646="NR","NR","")))</f>
        <v/>
      </c>
      <c r="AX646" s="9">
        <f>IF(ISNUMBER(AW646),IF(AW646&gt;450,"Yes","No"),IF(AW646="NR","NR",""))</f>
        <v/>
      </c>
      <c r="BJ646" s="9">
        <f>IF(BB646="","",IF(BB646="Non-viable","Non-viable",IF(BB646="Viable","Viable",IF(BB646="Partially non-viable",IF(OR(BD646="Total splenectomy",BD646="Partial splenectomy +/- splenopexy"),"Non-viable","Review"),IF(BB646="NR",IF(OR(BD646="Total splenectomy",BD646="Partial splenectomy +/- splenopexy"),"NR - removed, check reason","NR"),"Not applicable")))))</f>
        <v/>
      </c>
    </row>
    <row r="647">
      <c r="D647" s="8" t="n"/>
      <c r="E647" s="9">
        <f>IF(B647="","",IF(B647="OWN","Yes","No"))</f>
        <v/>
      </c>
      <c r="AF647" s="9">
        <f>IF(ISNUMBER(Z647),IF(Z647&lt;=2,"&lt;=2 d",IF(Z647&lt;=7,"3-7 d",IF(Z647&lt;=30,"8-30 d","&gt;30 d"))),IF(AE647&lt;&gt;"",AE647,IF(Z647="NR","NR","")))</f>
        <v/>
      </c>
      <c r="AX647" s="9">
        <f>IF(ISNUMBER(AW647),IF(AW647&gt;450,"Yes","No"),IF(AW647="NR","NR",""))</f>
        <v/>
      </c>
      <c r="BJ647" s="9">
        <f>IF(BB647="","",IF(BB647="Non-viable","Non-viable",IF(BB647="Viable","Viable",IF(BB647="Partially non-viable",IF(OR(BD647="Total splenectomy",BD647="Partial splenectomy +/- splenopexy"),"Non-viable","Review"),IF(BB647="NR",IF(OR(BD647="Total splenectomy",BD647="Partial splenectomy +/- splenopexy"),"NR - removed, check reason","NR"),"Not applicable")))))</f>
        <v/>
      </c>
    </row>
    <row r="648">
      <c r="D648" s="8" t="n"/>
      <c r="E648" s="9">
        <f>IF(B648="","",IF(B648="OWN","Yes","No"))</f>
        <v/>
      </c>
      <c r="AF648" s="9">
        <f>IF(ISNUMBER(Z648),IF(Z648&lt;=2,"&lt;=2 d",IF(Z648&lt;=7,"3-7 d",IF(Z648&lt;=30,"8-30 d","&gt;30 d"))),IF(AE648&lt;&gt;"",AE648,IF(Z648="NR","NR","")))</f>
        <v/>
      </c>
      <c r="AX648" s="9">
        <f>IF(ISNUMBER(AW648),IF(AW648&gt;450,"Yes","No"),IF(AW648="NR","NR",""))</f>
        <v/>
      </c>
      <c r="BJ648" s="9">
        <f>IF(BB648="","",IF(BB648="Non-viable","Non-viable",IF(BB648="Viable","Viable",IF(BB648="Partially non-viable",IF(OR(BD648="Total splenectomy",BD648="Partial splenectomy +/- splenopexy"),"Non-viable","Review"),IF(BB648="NR",IF(OR(BD648="Total splenectomy",BD648="Partial splenectomy +/- splenopexy"),"NR - removed, check reason","NR"),"Not applicable")))))</f>
        <v/>
      </c>
    </row>
    <row r="649">
      <c r="D649" s="8" t="n"/>
      <c r="E649" s="9">
        <f>IF(B649="","",IF(B649="OWN","Yes","No"))</f>
        <v/>
      </c>
      <c r="AF649" s="9">
        <f>IF(ISNUMBER(Z649),IF(Z649&lt;=2,"&lt;=2 d",IF(Z649&lt;=7,"3-7 d",IF(Z649&lt;=30,"8-30 d","&gt;30 d"))),IF(AE649&lt;&gt;"",AE649,IF(Z649="NR","NR","")))</f>
        <v/>
      </c>
      <c r="AX649" s="9">
        <f>IF(ISNUMBER(AW649),IF(AW649&gt;450,"Yes","No"),IF(AW649="NR","NR",""))</f>
        <v/>
      </c>
      <c r="BJ649" s="9">
        <f>IF(BB649="","",IF(BB649="Non-viable","Non-viable",IF(BB649="Viable","Viable",IF(BB649="Partially non-viable",IF(OR(BD649="Total splenectomy",BD649="Partial splenectomy +/- splenopexy"),"Non-viable","Review"),IF(BB649="NR",IF(OR(BD649="Total splenectomy",BD649="Partial splenectomy +/- splenopexy"),"NR - removed, check reason","NR"),"Not applicable")))))</f>
        <v/>
      </c>
    </row>
    <row r="650">
      <c r="D650" s="8" t="n"/>
      <c r="E650" s="9">
        <f>IF(B650="","",IF(B650="OWN","Yes","No"))</f>
        <v/>
      </c>
      <c r="AF650" s="9">
        <f>IF(ISNUMBER(Z650),IF(Z650&lt;=2,"&lt;=2 d",IF(Z650&lt;=7,"3-7 d",IF(Z650&lt;=30,"8-30 d","&gt;30 d"))),IF(AE650&lt;&gt;"",AE650,IF(Z650="NR","NR","")))</f>
        <v/>
      </c>
      <c r="AX650" s="9">
        <f>IF(ISNUMBER(AW650),IF(AW650&gt;450,"Yes","No"),IF(AW650="NR","NR",""))</f>
        <v/>
      </c>
      <c r="BJ650" s="9">
        <f>IF(BB650="","",IF(BB650="Non-viable","Non-viable",IF(BB650="Viable","Viable",IF(BB650="Partially non-viable",IF(OR(BD650="Total splenectomy",BD650="Partial splenectomy +/- splenopexy"),"Non-viable","Review"),IF(BB650="NR",IF(OR(BD650="Total splenectomy",BD650="Partial splenectomy +/- splenopexy"),"NR - removed, check reason","NR"),"Not applicable")))))</f>
        <v/>
      </c>
    </row>
    <row r="651">
      <c r="D651" s="8" t="n"/>
      <c r="E651" s="9">
        <f>IF(B651="","",IF(B651="OWN","Yes","No"))</f>
        <v/>
      </c>
      <c r="AF651" s="9">
        <f>IF(ISNUMBER(Z651),IF(Z651&lt;=2,"&lt;=2 d",IF(Z651&lt;=7,"3-7 d",IF(Z651&lt;=30,"8-30 d","&gt;30 d"))),IF(AE651&lt;&gt;"",AE651,IF(Z651="NR","NR","")))</f>
        <v/>
      </c>
      <c r="AX651" s="9">
        <f>IF(ISNUMBER(AW651),IF(AW651&gt;450,"Yes","No"),IF(AW651="NR","NR",""))</f>
        <v/>
      </c>
      <c r="BJ651" s="9">
        <f>IF(BB651="","",IF(BB651="Non-viable","Non-viable",IF(BB651="Viable","Viable",IF(BB651="Partially non-viable",IF(OR(BD651="Total splenectomy",BD651="Partial splenectomy +/- splenopexy"),"Non-viable","Review"),IF(BB651="NR",IF(OR(BD651="Total splenectomy",BD651="Partial splenectomy +/- splenopexy"),"NR - removed, check reason","NR"),"Not applicable")))))</f>
        <v/>
      </c>
    </row>
    <row r="652">
      <c r="D652" s="8" t="n"/>
      <c r="E652" s="9">
        <f>IF(B652="","",IF(B652="OWN","Yes","No"))</f>
        <v/>
      </c>
      <c r="AF652" s="9">
        <f>IF(ISNUMBER(Z652),IF(Z652&lt;=2,"&lt;=2 d",IF(Z652&lt;=7,"3-7 d",IF(Z652&lt;=30,"8-30 d","&gt;30 d"))),IF(AE652&lt;&gt;"",AE652,IF(Z652="NR","NR","")))</f>
        <v/>
      </c>
      <c r="AX652" s="9">
        <f>IF(ISNUMBER(AW652),IF(AW652&gt;450,"Yes","No"),IF(AW652="NR","NR",""))</f>
        <v/>
      </c>
      <c r="BJ652" s="9">
        <f>IF(BB652="","",IF(BB652="Non-viable","Non-viable",IF(BB652="Viable","Viable",IF(BB652="Partially non-viable",IF(OR(BD652="Total splenectomy",BD652="Partial splenectomy +/- splenopexy"),"Non-viable","Review"),IF(BB652="NR",IF(OR(BD652="Total splenectomy",BD652="Partial splenectomy +/- splenopexy"),"NR - removed, check reason","NR"),"Not applicable")))))</f>
        <v/>
      </c>
    </row>
    <row r="653">
      <c r="D653" s="8" t="n"/>
      <c r="E653" s="9">
        <f>IF(B653="","",IF(B653="OWN","Yes","No"))</f>
        <v/>
      </c>
      <c r="AF653" s="9">
        <f>IF(ISNUMBER(Z653),IF(Z653&lt;=2,"&lt;=2 d",IF(Z653&lt;=7,"3-7 d",IF(Z653&lt;=30,"8-30 d","&gt;30 d"))),IF(AE653&lt;&gt;"",AE653,IF(Z653="NR","NR","")))</f>
        <v/>
      </c>
      <c r="AX653" s="9">
        <f>IF(ISNUMBER(AW653),IF(AW653&gt;450,"Yes","No"),IF(AW653="NR","NR",""))</f>
        <v/>
      </c>
      <c r="BJ653" s="9">
        <f>IF(BB653="","",IF(BB653="Non-viable","Non-viable",IF(BB653="Viable","Viable",IF(BB653="Partially non-viable",IF(OR(BD653="Total splenectomy",BD653="Partial splenectomy +/- splenopexy"),"Non-viable","Review"),IF(BB653="NR",IF(OR(BD653="Total splenectomy",BD653="Partial splenectomy +/- splenopexy"),"NR - removed, check reason","NR"),"Not applicable")))))</f>
        <v/>
      </c>
    </row>
    <row r="654">
      <c r="D654" s="8" t="n"/>
      <c r="E654" s="9">
        <f>IF(B654="","",IF(B654="OWN","Yes","No"))</f>
        <v/>
      </c>
      <c r="AF654" s="9">
        <f>IF(ISNUMBER(Z654),IF(Z654&lt;=2,"&lt;=2 d",IF(Z654&lt;=7,"3-7 d",IF(Z654&lt;=30,"8-30 d","&gt;30 d"))),IF(AE654&lt;&gt;"",AE654,IF(Z654="NR","NR","")))</f>
        <v/>
      </c>
      <c r="AX654" s="9">
        <f>IF(ISNUMBER(AW654),IF(AW654&gt;450,"Yes","No"),IF(AW654="NR","NR",""))</f>
        <v/>
      </c>
      <c r="BJ654" s="9">
        <f>IF(BB654="","",IF(BB654="Non-viable","Non-viable",IF(BB654="Viable","Viable",IF(BB654="Partially non-viable",IF(OR(BD654="Total splenectomy",BD654="Partial splenectomy +/- splenopexy"),"Non-viable","Review"),IF(BB654="NR",IF(OR(BD654="Total splenectomy",BD654="Partial splenectomy +/- splenopexy"),"NR - removed, check reason","NR"),"Not applicable")))))</f>
        <v/>
      </c>
    </row>
    <row r="655">
      <c r="D655" s="8" t="n"/>
      <c r="E655" s="9">
        <f>IF(B655="","",IF(B655="OWN","Yes","No"))</f>
        <v/>
      </c>
      <c r="AF655" s="9">
        <f>IF(ISNUMBER(Z655),IF(Z655&lt;=2,"&lt;=2 d",IF(Z655&lt;=7,"3-7 d",IF(Z655&lt;=30,"8-30 d","&gt;30 d"))),IF(AE655&lt;&gt;"",AE655,IF(Z655="NR","NR","")))</f>
        <v/>
      </c>
      <c r="AX655" s="9">
        <f>IF(ISNUMBER(AW655),IF(AW655&gt;450,"Yes","No"),IF(AW655="NR","NR",""))</f>
        <v/>
      </c>
      <c r="BJ655" s="9">
        <f>IF(BB655="","",IF(BB655="Non-viable","Non-viable",IF(BB655="Viable","Viable",IF(BB655="Partially non-viable",IF(OR(BD655="Total splenectomy",BD655="Partial splenectomy +/- splenopexy"),"Non-viable","Review"),IF(BB655="NR",IF(OR(BD655="Total splenectomy",BD655="Partial splenectomy +/- splenopexy"),"NR - removed, check reason","NR"),"Not applicable")))))</f>
        <v/>
      </c>
    </row>
    <row r="656">
      <c r="D656" s="8" t="n"/>
      <c r="E656" s="9">
        <f>IF(B656="","",IF(B656="OWN","Yes","No"))</f>
        <v/>
      </c>
      <c r="AF656" s="9">
        <f>IF(ISNUMBER(Z656),IF(Z656&lt;=2,"&lt;=2 d",IF(Z656&lt;=7,"3-7 d",IF(Z656&lt;=30,"8-30 d","&gt;30 d"))),IF(AE656&lt;&gt;"",AE656,IF(Z656="NR","NR","")))</f>
        <v/>
      </c>
      <c r="AX656" s="9">
        <f>IF(ISNUMBER(AW656),IF(AW656&gt;450,"Yes","No"),IF(AW656="NR","NR",""))</f>
        <v/>
      </c>
      <c r="BJ656" s="9">
        <f>IF(BB656="","",IF(BB656="Non-viable","Non-viable",IF(BB656="Viable","Viable",IF(BB656="Partially non-viable",IF(OR(BD656="Total splenectomy",BD656="Partial splenectomy +/- splenopexy"),"Non-viable","Review"),IF(BB656="NR",IF(OR(BD656="Total splenectomy",BD656="Partial splenectomy +/- splenopexy"),"NR - removed, check reason","NR"),"Not applicable")))))</f>
        <v/>
      </c>
    </row>
    <row r="657">
      <c r="D657" s="8" t="n"/>
      <c r="E657" s="9">
        <f>IF(B657="","",IF(B657="OWN","Yes","No"))</f>
        <v/>
      </c>
      <c r="AF657" s="9">
        <f>IF(ISNUMBER(Z657),IF(Z657&lt;=2,"&lt;=2 d",IF(Z657&lt;=7,"3-7 d",IF(Z657&lt;=30,"8-30 d","&gt;30 d"))),IF(AE657&lt;&gt;"",AE657,IF(Z657="NR","NR","")))</f>
        <v/>
      </c>
      <c r="AX657" s="9">
        <f>IF(ISNUMBER(AW657),IF(AW657&gt;450,"Yes","No"),IF(AW657="NR","NR",""))</f>
        <v/>
      </c>
      <c r="BJ657" s="9">
        <f>IF(BB657="","",IF(BB657="Non-viable","Non-viable",IF(BB657="Viable","Viable",IF(BB657="Partially non-viable",IF(OR(BD657="Total splenectomy",BD657="Partial splenectomy +/- splenopexy"),"Non-viable","Review"),IF(BB657="NR",IF(OR(BD657="Total splenectomy",BD657="Partial splenectomy +/- splenopexy"),"NR - removed, check reason","NR"),"Not applicable")))))</f>
        <v/>
      </c>
    </row>
    <row r="658">
      <c r="D658" s="8" t="n"/>
      <c r="E658" s="9">
        <f>IF(B658="","",IF(B658="OWN","Yes","No"))</f>
        <v/>
      </c>
      <c r="AF658" s="9">
        <f>IF(ISNUMBER(Z658),IF(Z658&lt;=2,"&lt;=2 d",IF(Z658&lt;=7,"3-7 d",IF(Z658&lt;=30,"8-30 d","&gt;30 d"))),IF(AE658&lt;&gt;"",AE658,IF(Z658="NR","NR","")))</f>
        <v/>
      </c>
      <c r="AX658" s="9">
        <f>IF(ISNUMBER(AW658),IF(AW658&gt;450,"Yes","No"),IF(AW658="NR","NR",""))</f>
        <v/>
      </c>
      <c r="BJ658" s="9">
        <f>IF(BB658="","",IF(BB658="Non-viable","Non-viable",IF(BB658="Viable","Viable",IF(BB658="Partially non-viable",IF(OR(BD658="Total splenectomy",BD658="Partial splenectomy +/- splenopexy"),"Non-viable","Review"),IF(BB658="NR",IF(OR(BD658="Total splenectomy",BD658="Partial splenectomy +/- splenopexy"),"NR - removed, check reason","NR"),"Not applicable")))))</f>
        <v/>
      </c>
    </row>
    <row r="659">
      <c r="D659" s="8" t="n"/>
      <c r="E659" s="9">
        <f>IF(B659="","",IF(B659="OWN","Yes","No"))</f>
        <v/>
      </c>
      <c r="AF659" s="9">
        <f>IF(ISNUMBER(Z659),IF(Z659&lt;=2,"&lt;=2 d",IF(Z659&lt;=7,"3-7 d",IF(Z659&lt;=30,"8-30 d","&gt;30 d"))),IF(AE659&lt;&gt;"",AE659,IF(Z659="NR","NR","")))</f>
        <v/>
      </c>
      <c r="AX659" s="9">
        <f>IF(ISNUMBER(AW659),IF(AW659&gt;450,"Yes","No"),IF(AW659="NR","NR",""))</f>
        <v/>
      </c>
      <c r="BJ659" s="9">
        <f>IF(BB659="","",IF(BB659="Non-viable","Non-viable",IF(BB659="Viable","Viable",IF(BB659="Partially non-viable",IF(OR(BD659="Total splenectomy",BD659="Partial splenectomy +/- splenopexy"),"Non-viable","Review"),IF(BB659="NR",IF(OR(BD659="Total splenectomy",BD659="Partial splenectomy +/- splenopexy"),"NR - removed, check reason","NR"),"Not applicable")))))</f>
        <v/>
      </c>
    </row>
    <row r="660">
      <c r="D660" s="8" t="n"/>
      <c r="E660" s="9">
        <f>IF(B660="","",IF(B660="OWN","Yes","No"))</f>
        <v/>
      </c>
      <c r="AF660" s="9">
        <f>IF(ISNUMBER(Z660),IF(Z660&lt;=2,"&lt;=2 d",IF(Z660&lt;=7,"3-7 d",IF(Z660&lt;=30,"8-30 d","&gt;30 d"))),IF(AE660&lt;&gt;"",AE660,IF(Z660="NR","NR","")))</f>
        <v/>
      </c>
      <c r="AX660" s="9">
        <f>IF(ISNUMBER(AW660),IF(AW660&gt;450,"Yes","No"),IF(AW660="NR","NR",""))</f>
        <v/>
      </c>
      <c r="BJ660" s="9">
        <f>IF(BB660="","",IF(BB660="Non-viable","Non-viable",IF(BB660="Viable","Viable",IF(BB660="Partially non-viable",IF(OR(BD660="Total splenectomy",BD660="Partial splenectomy +/- splenopexy"),"Non-viable","Review"),IF(BB660="NR",IF(OR(BD660="Total splenectomy",BD660="Partial splenectomy +/- splenopexy"),"NR - removed, check reason","NR"),"Not applicable")))))</f>
        <v/>
      </c>
    </row>
    <row r="661">
      <c r="D661" s="8" t="n"/>
      <c r="E661" s="9">
        <f>IF(B661="","",IF(B661="OWN","Yes","No"))</f>
        <v/>
      </c>
      <c r="AF661" s="9">
        <f>IF(ISNUMBER(Z661),IF(Z661&lt;=2,"&lt;=2 d",IF(Z661&lt;=7,"3-7 d",IF(Z661&lt;=30,"8-30 d","&gt;30 d"))),IF(AE661&lt;&gt;"",AE661,IF(Z661="NR","NR","")))</f>
        <v/>
      </c>
      <c r="AX661" s="9">
        <f>IF(ISNUMBER(AW661),IF(AW661&gt;450,"Yes","No"),IF(AW661="NR","NR",""))</f>
        <v/>
      </c>
      <c r="BJ661" s="9">
        <f>IF(BB661="","",IF(BB661="Non-viable","Non-viable",IF(BB661="Viable","Viable",IF(BB661="Partially non-viable",IF(OR(BD661="Total splenectomy",BD661="Partial splenectomy +/- splenopexy"),"Non-viable","Review"),IF(BB661="NR",IF(OR(BD661="Total splenectomy",BD661="Partial splenectomy +/- splenopexy"),"NR - removed, check reason","NR"),"Not applicable")))))</f>
        <v/>
      </c>
    </row>
    <row r="662">
      <c r="D662" s="8" t="n"/>
      <c r="E662" s="9">
        <f>IF(B662="","",IF(B662="OWN","Yes","No"))</f>
        <v/>
      </c>
      <c r="AF662" s="9">
        <f>IF(ISNUMBER(Z662),IF(Z662&lt;=2,"&lt;=2 d",IF(Z662&lt;=7,"3-7 d",IF(Z662&lt;=30,"8-30 d","&gt;30 d"))),IF(AE662&lt;&gt;"",AE662,IF(Z662="NR","NR","")))</f>
        <v/>
      </c>
      <c r="AX662" s="9">
        <f>IF(ISNUMBER(AW662),IF(AW662&gt;450,"Yes","No"),IF(AW662="NR","NR",""))</f>
        <v/>
      </c>
      <c r="BJ662" s="9">
        <f>IF(BB662="","",IF(BB662="Non-viable","Non-viable",IF(BB662="Viable","Viable",IF(BB662="Partially non-viable",IF(OR(BD662="Total splenectomy",BD662="Partial splenectomy +/- splenopexy"),"Non-viable","Review"),IF(BB662="NR",IF(OR(BD662="Total splenectomy",BD662="Partial splenectomy +/- splenopexy"),"NR - removed, check reason","NR"),"Not applicable")))))</f>
        <v/>
      </c>
    </row>
    <row r="663">
      <c r="D663" s="8" t="n"/>
      <c r="E663" s="9">
        <f>IF(B663="","",IF(B663="OWN","Yes","No"))</f>
        <v/>
      </c>
      <c r="AF663" s="9">
        <f>IF(ISNUMBER(Z663),IF(Z663&lt;=2,"&lt;=2 d",IF(Z663&lt;=7,"3-7 d",IF(Z663&lt;=30,"8-30 d","&gt;30 d"))),IF(AE663&lt;&gt;"",AE663,IF(Z663="NR","NR","")))</f>
        <v/>
      </c>
      <c r="AX663" s="9">
        <f>IF(ISNUMBER(AW663),IF(AW663&gt;450,"Yes","No"),IF(AW663="NR","NR",""))</f>
        <v/>
      </c>
      <c r="BJ663" s="9">
        <f>IF(BB663="","",IF(BB663="Non-viable","Non-viable",IF(BB663="Viable","Viable",IF(BB663="Partially non-viable",IF(OR(BD663="Total splenectomy",BD663="Partial splenectomy +/- splenopexy"),"Non-viable","Review"),IF(BB663="NR",IF(OR(BD663="Total splenectomy",BD663="Partial splenectomy +/- splenopexy"),"NR - removed, check reason","NR"),"Not applicable")))))</f>
        <v/>
      </c>
    </row>
    <row r="664">
      <c r="D664" s="8" t="n"/>
      <c r="E664" s="9">
        <f>IF(B664="","",IF(B664="OWN","Yes","No"))</f>
        <v/>
      </c>
      <c r="AF664" s="9">
        <f>IF(ISNUMBER(Z664),IF(Z664&lt;=2,"&lt;=2 d",IF(Z664&lt;=7,"3-7 d",IF(Z664&lt;=30,"8-30 d","&gt;30 d"))),IF(AE664&lt;&gt;"",AE664,IF(Z664="NR","NR","")))</f>
        <v/>
      </c>
      <c r="AX664" s="9">
        <f>IF(ISNUMBER(AW664),IF(AW664&gt;450,"Yes","No"),IF(AW664="NR","NR",""))</f>
        <v/>
      </c>
      <c r="BJ664" s="9">
        <f>IF(BB664="","",IF(BB664="Non-viable","Non-viable",IF(BB664="Viable","Viable",IF(BB664="Partially non-viable",IF(OR(BD664="Total splenectomy",BD664="Partial splenectomy +/- splenopexy"),"Non-viable","Review"),IF(BB664="NR",IF(OR(BD664="Total splenectomy",BD664="Partial splenectomy +/- splenopexy"),"NR - removed, check reason","NR"),"Not applicable")))))</f>
        <v/>
      </c>
    </row>
    <row r="665">
      <c r="D665" s="8" t="n"/>
      <c r="E665" s="9">
        <f>IF(B665="","",IF(B665="OWN","Yes","No"))</f>
        <v/>
      </c>
      <c r="AF665" s="9">
        <f>IF(ISNUMBER(Z665),IF(Z665&lt;=2,"&lt;=2 d",IF(Z665&lt;=7,"3-7 d",IF(Z665&lt;=30,"8-30 d","&gt;30 d"))),IF(AE665&lt;&gt;"",AE665,IF(Z665="NR","NR","")))</f>
        <v/>
      </c>
      <c r="AX665" s="9">
        <f>IF(ISNUMBER(AW665),IF(AW665&gt;450,"Yes","No"),IF(AW665="NR","NR",""))</f>
        <v/>
      </c>
      <c r="BJ665" s="9">
        <f>IF(BB665="","",IF(BB665="Non-viable","Non-viable",IF(BB665="Viable","Viable",IF(BB665="Partially non-viable",IF(OR(BD665="Total splenectomy",BD665="Partial splenectomy +/- splenopexy"),"Non-viable","Review"),IF(BB665="NR",IF(OR(BD665="Total splenectomy",BD665="Partial splenectomy +/- splenopexy"),"NR - removed, check reason","NR"),"Not applicable")))))</f>
        <v/>
      </c>
    </row>
    <row r="666">
      <c r="D666" s="8" t="n"/>
      <c r="E666" s="9">
        <f>IF(B666="","",IF(B666="OWN","Yes","No"))</f>
        <v/>
      </c>
      <c r="AF666" s="9">
        <f>IF(ISNUMBER(Z666),IF(Z666&lt;=2,"&lt;=2 d",IF(Z666&lt;=7,"3-7 d",IF(Z666&lt;=30,"8-30 d","&gt;30 d"))),IF(AE666&lt;&gt;"",AE666,IF(Z666="NR","NR","")))</f>
        <v/>
      </c>
      <c r="AX666" s="9">
        <f>IF(ISNUMBER(AW666),IF(AW666&gt;450,"Yes","No"),IF(AW666="NR","NR",""))</f>
        <v/>
      </c>
      <c r="BJ666" s="9">
        <f>IF(BB666="","",IF(BB666="Non-viable","Non-viable",IF(BB666="Viable","Viable",IF(BB666="Partially non-viable",IF(OR(BD666="Total splenectomy",BD666="Partial splenectomy +/- splenopexy"),"Non-viable","Review"),IF(BB666="NR",IF(OR(BD666="Total splenectomy",BD666="Partial splenectomy +/- splenopexy"),"NR - removed, check reason","NR"),"Not applicable")))))</f>
        <v/>
      </c>
    </row>
    <row r="667">
      <c r="D667" s="8" t="n"/>
      <c r="E667" s="9">
        <f>IF(B667="","",IF(B667="OWN","Yes","No"))</f>
        <v/>
      </c>
      <c r="AF667" s="9">
        <f>IF(ISNUMBER(Z667),IF(Z667&lt;=2,"&lt;=2 d",IF(Z667&lt;=7,"3-7 d",IF(Z667&lt;=30,"8-30 d","&gt;30 d"))),IF(AE667&lt;&gt;"",AE667,IF(Z667="NR","NR","")))</f>
        <v/>
      </c>
      <c r="AX667" s="9">
        <f>IF(ISNUMBER(AW667),IF(AW667&gt;450,"Yes","No"),IF(AW667="NR","NR",""))</f>
        <v/>
      </c>
      <c r="BJ667" s="9">
        <f>IF(BB667="","",IF(BB667="Non-viable","Non-viable",IF(BB667="Viable","Viable",IF(BB667="Partially non-viable",IF(OR(BD667="Total splenectomy",BD667="Partial splenectomy +/- splenopexy"),"Non-viable","Review"),IF(BB667="NR",IF(OR(BD667="Total splenectomy",BD667="Partial splenectomy +/- splenopexy"),"NR - removed, check reason","NR"),"Not applicable")))))</f>
        <v/>
      </c>
    </row>
    <row r="668">
      <c r="D668" s="8" t="n"/>
      <c r="E668" s="9">
        <f>IF(B668="","",IF(B668="OWN","Yes","No"))</f>
        <v/>
      </c>
      <c r="AF668" s="9">
        <f>IF(ISNUMBER(Z668),IF(Z668&lt;=2,"&lt;=2 d",IF(Z668&lt;=7,"3-7 d",IF(Z668&lt;=30,"8-30 d","&gt;30 d"))),IF(AE668&lt;&gt;"",AE668,IF(Z668="NR","NR","")))</f>
        <v/>
      </c>
      <c r="AX668" s="9">
        <f>IF(ISNUMBER(AW668),IF(AW668&gt;450,"Yes","No"),IF(AW668="NR","NR",""))</f>
        <v/>
      </c>
      <c r="BJ668" s="9">
        <f>IF(BB668="","",IF(BB668="Non-viable","Non-viable",IF(BB668="Viable","Viable",IF(BB668="Partially non-viable",IF(OR(BD668="Total splenectomy",BD668="Partial splenectomy +/- splenopexy"),"Non-viable","Review"),IF(BB668="NR",IF(OR(BD668="Total splenectomy",BD668="Partial splenectomy +/- splenopexy"),"NR - removed, check reason","NR"),"Not applicable")))))</f>
        <v/>
      </c>
    </row>
    <row r="669">
      <c r="D669" s="8" t="n"/>
      <c r="E669" s="9">
        <f>IF(B669="","",IF(B669="OWN","Yes","No"))</f>
        <v/>
      </c>
      <c r="AF669" s="9">
        <f>IF(ISNUMBER(Z669),IF(Z669&lt;=2,"&lt;=2 d",IF(Z669&lt;=7,"3-7 d",IF(Z669&lt;=30,"8-30 d","&gt;30 d"))),IF(AE669&lt;&gt;"",AE669,IF(Z669="NR","NR","")))</f>
        <v/>
      </c>
      <c r="AX669" s="9">
        <f>IF(ISNUMBER(AW669),IF(AW669&gt;450,"Yes","No"),IF(AW669="NR","NR",""))</f>
        <v/>
      </c>
      <c r="BJ669" s="9">
        <f>IF(BB669="","",IF(BB669="Non-viable","Non-viable",IF(BB669="Viable","Viable",IF(BB669="Partially non-viable",IF(OR(BD669="Total splenectomy",BD669="Partial splenectomy +/- splenopexy"),"Non-viable","Review"),IF(BB669="NR",IF(OR(BD669="Total splenectomy",BD669="Partial splenectomy +/- splenopexy"),"NR - removed, check reason","NR"),"Not applicable")))))</f>
        <v/>
      </c>
    </row>
    <row r="670">
      <c r="D670" s="8" t="n"/>
      <c r="E670" s="9">
        <f>IF(B670="","",IF(B670="OWN","Yes","No"))</f>
        <v/>
      </c>
      <c r="AF670" s="9">
        <f>IF(ISNUMBER(Z670),IF(Z670&lt;=2,"&lt;=2 d",IF(Z670&lt;=7,"3-7 d",IF(Z670&lt;=30,"8-30 d","&gt;30 d"))),IF(AE670&lt;&gt;"",AE670,IF(Z670="NR","NR","")))</f>
        <v/>
      </c>
      <c r="AX670" s="9">
        <f>IF(ISNUMBER(AW670),IF(AW670&gt;450,"Yes","No"),IF(AW670="NR","NR",""))</f>
        <v/>
      </c>
      <c r="BJ670" s="9">
        <f>IF(BB670="","",IF(BB670="Non-viable","Non-viable",IF(BB670="Viable","Viable",IF(BB670="Partially non-viable",IF(OR(BD670="Total splenectomy",BD670="Partial splenectomy +/- splenopexy"),"Non-viable","Review"),IF(BB670="NR",IF(OR(BD670="Total splenectomy",BD670="Partial splenectomy +/- splenopexy"),"NR - removed, check reason","NR"),"Not applicable")))))</f>
        <v/>
      </c>
    </row>
    <row r="671">
      <c r="D671" s="8" t="n"/>
      <c r="E671" s="9">
        <f>IF(B671="","",IF(B671="OWN","Yes","No"))</f>
        <v/>
      </c>
      <c r="AF671" s="9">
        <f>IF(ISNUMBER(Z671),IF(Z671&lt;=2,"&lt;=2 d",IF(Z671&lt;=7,"3-7 d",IF(Z671&lt;=30,"8-30 d","&gt;30 d"))),IF(AE671&lt;&gt;"",AE671,IF(Z671="NR","NR","")))</f>
        <v/>
      </c>
      <c r="AX671" s="9">
        <f>IF(ISNUMBER(AW671),IF(AW671&gt;450,"Yes","No"),IF(AW671="NR","NR",""))</f>
        <v/>
      </c>
      <c r="BJ671" s="9">
        <f>IF(BB671="","",IF(BB671="Non-viable","Non-viable",IF(BB671="Viable","Viable",IF(BB671="Partially non-viable",IF(OR(BD671="Total splenectomy",BD671="Partial splenectomy +/- splenopexy"),"Non-viable","Review"),IF(BB671="NR",IF(OR(BD671="Total splenectomy",BD671="Partial splenectomy +/- splenopexy"),"NR - removed, check reason","NR"),"Not applicable")))))</f>
        <v/>
      </c>
    </row>
    <row r="672">
      <c r="D672" s="8" t="n"/>
      <c r="E672" s="9">
        <f>IF(B672="","",IF(B672="OWN","Yes","No"))</f>
        <v/>
      </c>
      <c r="AF672" s="9">
        <f>IF(ISNUMBER(Z672),IF(Z672&lt;=2,"&lt;=2 d",IF(Z672&lt;=7,"3-7 d",IF(Z672&lt;=30,"8-30 d","&gt;30 d"))),IF(AE672&lt;&gt;"",AE672,IF(Z672="NR","NR","")))</f>
        <v/>
      </c>
      <c r="AX672" s="9">
        <f>IF(ISNUMBER(AW672),IF(AW672&gt;450,"Yes","No"),IF(AW672="NR","NR",""))</f>
        <v/>
      </c>
      <c r="BJ672" s="9">
        <f>IF(BB672="","",IF(BB672="Non-viable","Non-viable",IF(BB672="Viable","Viable",IF(BB672="Partially non-viable",IF(OR(BD672="Total splenectomy",BD672="Partial splenectomy +/- splenopexy"),"Non-viable","Review"),IF(BB672="NR",IF(OR(BD672="Total splenectomy",BD672="Partial splenectomy +/- splenopexy"),"NR - removed, check reason","NR"),"Not applicable")))))</f>
        <v/>
      </c>
    </row>
    <row r="673">
      <c r="D673" s="8" t="n"/>
      <c r="E673" s="9">
        <f>IF(B673="","",IF(B673="OWN","Yes","No"))</f>
        <v/>
      </c>
      <c r="AF673" s="9">
        <f>IF(ISNUMBER(Z673),IF(Z673&lt;=2,"&lt;=2 d",IF(Z673&lt;=7,"3-7 d",IF(Z673&lt;=30,"8-30 d","&gt;30 d"))),IF(AE673&lt;&gt;"",AE673,IF(Z673="NR","NR","")))</f>
        <v/>
      </c>
      <c r="AX673" s="9">
        <f>IF(ISNUMBER(AW673),IF(AW673&gt;450,"Yes","No"),IF(AW673="NR","NR",""))</f>
        <v/>
      </c>
      <c r="BJ673" s="9">
        <f>IF(BB673="","",IF(BB673="Non-viable","Non-viable",IF(BB673="Viable","Viable",IF(BB673="Partially non-viable",IF(OR(BD673="Total splenectomy",BD673="Partial splenectomy +/- splenopexy"),"Non-viable","Review"),IF(BB673="NR",IF(OR(BD673="Total splenectomy",BD673="Partial splenectomy +/- splenopexy"),"NR - removed, check reason","NR"),"Not applicable")))))</f>
        <v/>
      </c>
    </row>
    <row r="674">
      <c r="D674" s="8" t="n"/>
      <c r="E674" s="9">
        <f>IF(B674="","",IF(B674="OWN","Yes","No"))</f>
        <v/>
      </c>
      <c r="AF674" s="9">
        <f>IF(ISNUMBER(Z674),IF(Z674&lt;=2,"&lt;=2 d",IF(Z674&lt;=7,"3-7 d",IF(Z674&lt;=30,"8-30 d","&gt;30 d"))),IF(AE674&lt;&gt;"",AE674,IF(Z674="NR","NR","")))</f>
        <v/>
      </c>
      <c r="AX674" s="9">
        <f>IF(ISNUMBER(AW674),IF(AW674&gt;450,"Yes","No"),IF(AW674="NR","NR",""))</f>
        <v/>
      </c>
      <c r="BJ674" s="9">
        <f>IF(BB674="","",IF(BB674="Non-viable","Non-viable",IF(BB674="Viable","Viable",IF(BB674="Partially non-viable",IF(OR(BD674="Total splenectomy",BD674="Partial splenectomy +/- splenopexy"),"Non-viable","Review"),IF(BB674="NR",IF(OR(BD674="Total splenectomy",BD674="Partial splenectomy +/- splenopexy"),"NR - removed, check reason","NR"),"Not applicable")))))</f>
        <v/>
      </c>
    </row>
    <row r="675">
      <c r="D675" s="8" t="n"/>
      <c r="E675" s="9">
        <f>IF(B675="","",IF(B675="OWN","Yes","No"))</f>
        <v/>
      </c>
      <c r="AF675" s="9">
        <f>IF(ISNUMBER(Z675),IF(Z675&lt;=2,"&lt;=2 d",IF(Z675&lt;=7,"3-7 d",IF(Z675&lt;=30,"8-30 d","&gt;30 d"))),IF(AE675&lt;&gt;"",AE675,IF(Z675="NR","NR","")))</f>
        <v/>
      </c>
      <c r="AX675" s="9">
        <f>IF(ISNUMBER(AW675),IF(AW675&gt;450,"Yes","No"),IF(AW675="NR","NR",""))</f>
        <v/>
      </c>
      <c r="BJ675" s="9">
        <f>IF(BB675="","",IF(BB675="Non-viable","Non-viable",IF(BB675="Viable","Viable",IF(BB675="Partially non-viable",IF(OR(BD675="Total splenectomy",BD675="Partial splenectomy +/- splenopexy"),"Non-viable","Review"),IF(BB675="NR",IF(OR(BD675="Total splenectomy",BD675="Partial splenectomy +/- splenopexy"),"NR - removed, check reason","NR"),"Not applicable")))))</f>
        <v/>
      </c>
    </row>
    <row r="676">
      <c r="D676" s="8" t="n"/>
      <c r="E676" s="9">
        <f>IF(B676="","",IF(B676="OWN","Yes","No"))</f>
        <v/>
      </c>
      <c r="AF676" s="9">
        <f>IF(ISNUMBER(Z676),IF(Z676&lt;=2,"&lt;=2 d",IF(Z676&lt;=7,"3-7 d",IF(Z676&lt;=30,"8-30 d","&gt;30 d"))),IF(AE676&lt;&gt;"",AE676,IF(Z676="NR","NR","")))</f>
        <v/>
      </c>
      <c r="AX676" s="9">
        <f>IF(ISNUMBER(AW676),IF(AW676&gt;450,"Yes","No"),IF(AW676="NR","NR",""))</f>
        <v/>
      </c>
      <c r="BJ676" s="9">
        <f>IF(BB676="","",IF(BB676="Non-viable","Non-viable",IF(BB676="Viable","Viable",IF(BB676="Partially non-viable",IF(OR(BD676="Total splenectomy",BD676="Partial splenectomy +/- splenopexy"),"Non-viable","Review"),IF(BB676="NR",IF(OR(BD676="Total splenectomy",BD676="Partial splenectomy +/- splenopexy"),"NR - removed, check reason","NR"),"Not applicable")))))</f>
        <v/>
      </c>
    </row>
    <row r="677">
      <c r="D677" s="8" t="n"/>
      <c r="E677" s="9">
        <f>IF(B677="","",IF(B677="OWN","Yes","No"))</f>
        <v/>
      </c>
      <c r="AF677" s="9">
        <f>IF(ISNUMBER(Z677),IF(Z677&lt;=2,"&lt;=2 d",IF(Z677&lt;=7,"3-7 d",IF(Z677&lt;=30,"8-30 d","&gt;30 d"))),IF(AE677&lt;&gt;"",AE677,IF(Z677="NR","NR","")))</f>
        <v/>
      </c>
      <c r="AX677" s="9">
        <f>IF(ISNUMBER(AW677),IF(AW677&gt;450,"Yes","No"),IF(AW677="NR","NR",""))</f>
        <v/>
      </c>
      <c r="BJ677" s="9">
        <f>IF(BB677="","",IF(BB677="Non-viable","Non-viable",IF(BB677="Viable","Viable",IF(BB677="Partially non-viable",IF(OR(BD677="Total splenectomy",BD677="Partial splenectomy +/- splenopexy"),"Non-viable","Review"),IF(BB677="NR",IF(OR(BD677="Total splenectomy",BD677="Partial splenectomy +/- splenopexy"),"NR - removed, check reason","NR"),"Not applicable")))))</f>
        <v/>
      </c>
    </row>
    <row r="678">
      <c r="D678" s="8" t="n"/>
      <c r="E678" s="9">
        <f>IF(B678="","",IF(B678="OWN","Yes","No"))</f>
        <v/>
      </c>
      <c r="AF678" s="9">
        <f>IF(ISNUMBER(Z678),IF(Z678&lt;=2,"&lt;=2 d",IF(Z678&lt;=7,"3-7 d",IF(Z678&lt;=30,"8-30 d","&gt;30 d"))),IF(AE678&lt;&gt;"",AE678,IF(Z678="NR","NR","")))</f>
        <v/>
      </c>
      <c r="AX678" s="9">
        <f>IF(ISNUMBER(AW678),IF(AW678&gt;450,"Yes","No"),IF(AW678="NR","NR",""))</f>
        <v/>
      </c>
      <c r="BJ678" s="9">
        <f>IF(BB678="","",IF(BB678="Non-viable","Non-viable",IF(BB678="Viable","Viable",IF(BB678="Partially non-viable",IF(OR(BD678="Total splenectomy",BD678="Partial splenectomy +/- splenopexy"),"Non-viable","Review"),IF(BB678="NR",IF(OR(BD678="Total splenectomy",BD678="Partial splenectomy +/- splenopexy"),"NR - removed, check reason","NR"),"Not applicable")))))</f>
        <v/>
      </c>
    </row>
    <row r="679">
      <c r="D679" s="8" t="n"/>
      <c r="E679" s="9">
        <f>IF(B679="","",IF(B679="OWN","Yes","No"))</f>
        <v/>
      </c>
      <c r="AF679" s="9">
        <f>IF(ISNUMBER(Z679),IF(Z679&lt;=2,"&lt;=2 d",IF(Z679&lt;=7,"3-7 d",IF(Z679&lt;=30,"8-30 d","&gt;30 d"))),IF(AE679&lt;&gt;"",AE679,IF(Z679="NR","NR","")))</f>
        <v/>
      </c>
      <c r="AX679" s="9">
        <f>IF(ISNUMBER(AW679),IF(AW679&gt;450,"Yes","No"),IF(AW679="NR","NR",""))</f>
        <v/>
      </c>
      <c r="BJ679" s="9">
        <f>IF(BB679="","",IF(BB679="Non-viable","Non-viable",IF(BB679="Viable","Viable",IF(BB679="Partially non-viable",IF(OR(BD679="Total splenectomy",BD679="Partial splenectomy +/- splenopexy"),"Non-viable","Review"),IF(BB679="NR",IF(OR(BD679="Total splenectomy",BD679="Partial splenectomy +/- splenopexy"),"NR - removed, check reason","NR"),"Not applicable")))))</f>
        <v/>
      </c>
    </row>
    <row r="680">
      <c r="D680" s="8" t="n"/>
      <c r="E680" s="9">
        <f>IF(B680="","",IF(B680="OWN","Yes","No"))</f>
        <v/>
      </c>
      <c r="AF680" s="9">
        <f>IF(ISNUMBER(Z680),IF(Z680&lt;=2,"&lt;=2 d",IF(Z680&lt;=7,"3-7 d",IF(Z680&lt;=30,"8-30 d","&gt;30 d"))),IF(AE680&lt;&gt;"",AE680,IF(Z680="NR","NR","")))</f>
        <v/>
      </c>
      <c r="AX680" s="9">
        <f>IF(ISNUMBER(AW680),IF(AW680&gt;450,"Yes","No"),IF(AW680="NR","NR",""))</f>
        <v/>
      </c>
      <c r="BJ680" s="9">
        <f>IF(BB680="","",IF(BB680="Non-viable","Non-viable",IF(BB680="Viable","Viable",IF(BB680="Partially non-viable",IF(OR(BD680="Total splenectomy",BD680="Partial splenectomy +/- splenopexy"),"Non-viable","Review"),IF(BB680="NR",IF(OR(BD680="Total splenectomy",BD680="Partial splenectomy +/- splenopexy"),"NR - removed, check reason","NR"),"Not applicable")))))</f>
        <v/>
      </c>
    </row>
    <row r="681">
      <c r="D681" s="8" t="n"/>
      <c r="E681" s="9">
        <f>IF(B681="","",IF(B681="OWN","Yes","No"))</f>
        <v/>
      </c>
      <c r="AF681" s="9">
        <f>IF(ISNUMBER(Z681),IF(Z681&lt;=2,"&lt;=2 d",IF(Z681&lt;=7,"3-7 d",IF(Z681&lt;=30,"8-30 d","&gt;30 d"))),IF(AE681&lt;&gt;"",AE681,IF(Z681="NR","NR","")))</f>
        <v/>
      </c>
      <c r="AX681" s="9">
        <f>IF(ISNUMBER(AW681),IF(AW681&gt;450,"Yes","No"),IF(AW681="NR","NR",""))</f>
        <v/>
      </c>
      <c r="BJ681" s="9">
        <f>IF(BB681="","",IF(BB681="Non-viable","Non-viable",IF(BB681="Viable","Viable",IF(BB681="Partially non-viable",IF(OR(BD681="Total splenectomy",BD681="Partial splenectomy +/- splenopexy"),"Non-viable","Review"),IF(BB681="NR",IF(OR(BD681="Total splenectomy",BD681="Partial splenectomy +/- splenopexy"),"NR - removed, check reason","NR"),"Not applicable")))))</f>
        <v/>
      </c>
    </row>
    <row r="682">
      <c r="D682" s="8" t="n"/>
      <c r="E682" s="9">
        <f>IF(B682="","",IF(B682="OWN","Yes","No"))</f>
        <v/>
      </c>
      <c r="AF682" s="9">
        <f>IF(ISNUMBER(Z682),IF(Z682&lt;=2,"&lt;=2 d",IF(Z682&lt;=7,"3-7 d",IF(Z682&lt;=30,"8-30 d","&gt;30 d"))),IF(AE682&lt;&gt;"",AE682,IF(Z682="NR","NR","")))</f>
        <v/>
      </c>
      <c r="AX682" s="9">
        <f>IF(ISNUMBER(AW682),IF(AW682&gt;450,"Yes","No"),IF(AW682="NR","NR",""))</f>
        <v/>
      </c>
      <c r="BJ682" s="9">
        <f>IF(BB682="","",IF(BB682="Non-viable","Non-viable",IF(BB682="Viable","Viable",IF(BB682="Partially non-viable",IF(OR(BD682="Total splenectomy",BD682="Partial splenectomy +/- splenopexy"),"Non-viable","Review"),IF(BB682="NR",IF(OR(BD682="Total splenectomy",BD682="Partial splenectomy +/- splenopexy"),"NR - removed, check reason","NR"),"Not applicable")))))</f>
        <v/>
      </c>
    </row>
    <row r="683">
      <c r="D683" s="8" t="n"/>
      <c r="E683" s="9">
        <f>IF(B683="","",IF(B683="OWN","Yes","No"))</f>
        <v/>
      </c>
      <c r="AF683" s="9">
        <f>IF(ISNUMBER(Z683),IF(Z683&lt;=2,"&lt;=2 d",IF(Z683&lt;=7,"3-7 d",IF(Z683&lt;=30,"8-30 d","&gt;30 d"))),IF(AE683&lt;&gt;"",AE683,IF(Z683="NR","NR","")))</f>
        <v/>
      </c>
      <c r="AX683" s="9">
        <f>IF(ISNUMBER(AW683),IF(AW683&gt;450,"Yes","No"),IF(AW683="NR","NR",""))</f>
        <v/>
      </c>
      <c r="BJ683" s="9">
        <f>IF(BB683="","",IF(BB683="Non-viable","Non-viable",IF(BB683="Viable","Viable",IF(BB683="Partially non-viable",IF(OR(BD683="Total splenectomy",BD683="Partial splenectomy +/- splenopexy"),"Non-viable","Review"),IF(BB683="NR",IF(OR(BD683="Total splenectomy",BD683="Partial splenectomy +/- splenopexy"),"NR - removed, check reason","NR"),"Not applicable")))))</f>
        <v/>
      </c>
    </row>
    <row r="684">
      <c r="D684" s="8" t="n"/>
      <c r="E684" s="9">
        <f>IF(B684="","",IF(B684="OWN","Yes","No"))</f>
        <v/>
      </c>
      <c r="AF684" s="9">
        <f>IF(ISNUMBER(Z684),IF(Z684&lt;=2,"&lt;=2 d",IF(Z684&lt;=7,"3-7 d",IF(Z684&lt;=30,"8-30 d","&gt;30 d"))),IF(AE684&lt;&gt;"",AE684,IF(Z684="NR","NR","")))</f>
        <v/>
      </c>
      <c r="AX684" s="9">
        <f>IF(ISNUMBER(AW684),IF(AW684&gt;450,"Yes","No"),IF(AW684="NR","NR",""))</f>
        <v/>
      </c>
      <c r="BJ684" s="9">
        <f>IF(BB684="","",IF(BB684="Non-viable","Non-viable",IF(BB684="Viable","Viable",IF(BB684="Partially non-viable",IF(OR(BD684="Total splenectomy",BD684="Partial splenectomy +/- splenopexy"),"Non-viable","Review"),IF(BB684="NR",IF(OR(BD684="Total splenectomy",BD684="Partial splenectomy +/- splenopexy"),"NR - removed, check reason","NR"),"Not applicable")))))</f>
        <v/>
      </c>
    </row>
    <row r="685">
      <c r="D685" s="8" t="n"/>
      <c r="E685" s="9">
        <f>IF(B685="","",IF(B685="OWN","Yes","No"))</f>
        <v/>
      </c>
      <c r="AF685" s="9">
        <f>IF(ISNUMBER(Z685),IF(Z685&lt;=2,"&lt;=2 d",IF(Z685&lt;=7,"3-7 d",IF(Z685&lt;=30,"8-30 d","&gt;30 d"))),IF(AE685&lt;&gt;"",AE685,IF(Z685="NR","NR","")))</f>
        <v/>
      </c>
      <c r="AX685" s="9">
        <f>IF(ISNUMBER(AW685),IF(AW685&gt;450,"Yes","No"),IF(AW685="NR","NR",""))</f>
        <v/>
      </c>
      <c r="BJ685" s="9">
        <f>IF(BB685="","",IF(BB685="Non-viable","Non-viable",IF(BB685="Viable","Viable",IF(BB685="Partially non-viable",IF(OR(BD685="Total splenectomy",BD685="Partial splenectomy +/- splenopexy"),"Non-viable","Review"),IF(BB685="NR",IF(OR(BD685="Total splenectomy",BD685="Partial splenectomy +/- splenopexy"),"NR - removed, check reason","NR"),"Not applicable")))))</f>
        <v/>
      </c>
    </row>
    <row r="686">
      <c r="D686" s="8" t="n"/>
      <c r="E686" s="9">
        <f>IF(B686="","",IF(B686="OWN","Yes","No"))</f>
        <v/>
      </c>
      <c r="AF686" s="9">
        <f>IF(ISNUMBER(Z686),IF(Z686&lt;=2,"&lt;=2 d",IF(Z686&lt;=7,"3-7 d",IF(Z686&lt;=30,"8-30 d","&gt;30 d"))),IF(AE686&lt;&gt;"",AE686,IF(Z686="NR","NR","")))</f>
        <v/>
      </c>
      <c r="AX686" s="9">
        <f>IF(ISNUMBER(AW686),IF(AW686&gt;450,"Yes","No"),IF(AW686="NR","NR",""))</f>
        <v/>
      </c>
      <c r="BJ686" s="9">
        <f>IF(BB686="","",IF(BB686="Non-viable","Non-viable",IF(BB686="Viable","Viable",IF(BB686="Partially non-viable",IF(OR(BD686="Total splenectomy",BD686="Partial splenectomy +/- splenopexy"),"Non-viable","Review"),IF(BB686="NR",IF(OR(BD686="Total splenectomy",BD686="Partial splenectomy +/- splenopexy"),"NR - removed, check reason","NR"),"Not applicable")))))</f>
        <v/>
      </c>
    </row>
    <row r="687">
      <c r="D687" s="8" t="n"/>
      <c r="E687" s="9">
        <f>IF(B687="","",IF(B687="OWN","Yes","No"))</f>
        <v/>
      </c>
      <c r="AF687" s="9">
        <f>IF(ISNUMBER(Z687),IF(Z687&lt;=2,"&lt;=2 d",IF(Z687&lt;=7,"3-7 d",IF(Z687&lt;=30,"8-30 d","&gt;30 d"))),IF(AE687&lt;&gt;"",AE687,IF(Z687="NR","NR","")))</f>
        <v/>
      </c>
      <c r="AX687" s="9">
        <f>IF(ISNUMBER(AW687),IF(AW687&gt;450,"Yes","No"),IF(AW687="NR","NR",""))</f>
        <v/>
      </c>
      <c r="BJ687" s="9">
        <f>IF(BB687="","",IF(BB687="Non-viable","Non-viable",IF(BB687="Viable","Viable",IF(BB687="Partially non-viable",IF(OR(BD687="Total splenectomy",BD687="Partial splenectomy +/- splenopexy"),"Non-viable","Review"),IF(BB687="NR",IF(OR(BD687="Total splenectomy",BD687="Partial splenectomy +/- splenopexy"),"NR - removed, check reason","NR"),"Not applicable")))))</f>
        <v/>
      </c>
    </row>
    <row r="688">
      <c r="D688" s="8" t="n"/>
      <c r="E688" s="9">
        <f>IF(B688="","",IF(B688="OWN","Yes","No"))</f>
        <v/>
      </c>
      <c r="AF688" s="9">
        <f>IF(ISNUMBER(Z688),IF(Z688&lt;=2,"&lt;=2 d",IF(Z688&lt;=7,"3-7 d",IF(Z688&lt;=30,"8-30 d","&gt;30 d"))),IF(AE688&lt;&gt;"",AE688,IF(Z688="NR","NR","")))</f>
        <v/>
      </c>
      <c r="AX688" s="9">
        <f>IF(ISNUMBER(AW688),IF(AW688&gt;450,"Yes","No"),IF(AW688="NR","NR",""))</f>
        <v/>
      </c>
      <c r="BJ688" s="9">
        <f>IF(BB688="","",IF(BB688="Non-viable","Non-viable",IF(BB688="Viable","Viable",IF(BB688="Partially non-viable",IF(OR(BD688="Total splenectomy",BD688="Partial splenectomy +/- splenopexy"),"Non-viable","Review"),IF(BB688="NR",IF(OR(BD688="Total splenectomy",BD688="Partial splenectomy +/- splenopexy"),"NR - removed, check reason","NR"),"Not applicable")))))</f>
        <v/>
      </c>
    </row>
    <row r="689">
      <c r="D689" s="8" t="n"/>
      <c r="E689" s="9">
        <f>IF(B689="","",IF(B689="OWN","Yes","No"))</f>
        <v/>
      </c>
      <c r="AF689" s="9">
        <f>IF(ISNUMBER(Z689),IF(Z689&lt;=2,"&lt;=2 d",IF(Z689&lt;=7,"3-7 d",IF(Z689&lt;=30,"8-30 d","&gt;30 d"))),IF(AE689&lt;&gt;"",AE689,IF(Z689="NR","NR","")))</f>
        <v/>
      </c>
      <c r="AX689" s="9">
        <f>IF(ISNUMBER(AW689),IF(AW689&gt;450,"Yes","No"),IF(AW689="NR","NR",""))</f>
        <v/>
      </c>
      <c r="BJ689" s="9">
        <f>IF(BB689="","",IF(BB689="Non-viable","Non-viable",IF(BB689="Viable","Viable",IF(BB689="Partially non-viable",IF(OR(BD689="Total splenectomy",BD689="Partial splenectomy +/- splenopexy"),"Non-viable","Review"),IF(BB689="NR",IF(OR(BD689="Total splenectomy",BD689="Partial splenectomy +/- splenopexy"),"NR - removed, check reason","NR"),"Not applicable")))))</f>
        <v/>
      </c>
    </row>
    <row r="690">
      <c r="D690" s="8" t="n"/>
      <c r="E690" s="9">
        <f>IF(B690="","",IF(B690="OWN","Yes","No"))</f>
        <v/>
      </c>
      <c r="AF690" s="9">
        <f>IF(ISNUMBER(Z690),IF(Z690&lt;=2,"&lt;=2 d",IF(Z690&lt;=7,"3-7 d",IF(Z690&lt;=30,"8-30 d","&gt;30 d"))),IF(AE690&lt;&gt;"",AE690,IF(Z690="NR","NR","")))</f>
        <v/>
      </c>
      <c r="AX690" s="9">
        <f>IF(ISNUMBER(AW690),IF(AW690&gt;450,"Yes","No"),IF(AW690="NR","NR",""))</f>
        <v/>
      </c>
      <c r="BJ690" s="9">
        <f>IF(BB690="","",IF(BB690="Non-viable","Non-viable",IF(BB690="Viable","Viable",IF(BB690="Partially non-viable",IF(OR(BD690="Total splenectomy",BD690="Partial splenectomy +/- splenopexy"),"Non-viable","Review"),IF(BB690="NR",IF(OR(BD690="Total splenectomy",BD690="Partial splenectomy +/- splenopexy"),"NR - removed, check reason","NR"),"Not applicable")))))</f>
        <v/>
      </c>
    </row>
    <row r="691">
      <c r="D691" s="8" t="n"/>
      <c r="E691" s="9">
        <f>IF(B691="","",IF(B691="OWN","Yes","No"))</f>
        <v/>
      </c>
      <c r="AF691" s="9">
        <f>IF(ISNUMBER(Z691),IF(Z691&lt;=2,"&lt;=2 d",IF(Z691&lt;=7,"3-7 d",IF(Z691&lt;=30,"8-30 d","&gt;30 d"))),IF(AE691&lt;&gt;"",AE691,IF(Z691="NR","NR","")))</f>
        <v/>
      </c>
      <c r="AX691" s="9">
        <f>IF(ISNUMBER(AW691),IF(AW691&gt;450,"Yes","No"),IF(AW691="NR","NR",""))</f>
        <v/>
      </c>
      <c r="BJ691" s="9">
        <f>IF(BB691="","",IF(BB691="Non-viable","Non-viable",IF(BB691="Viable","Viable",IF(BB691="Partially non-viable",IF(OR(BD691="Total splenectomy",BD691="Partial splenectomy +/- splenopexy"),"Non-viable","Review"),IF(BB691="NR",IF(OR(BD691="Total splenectomy",BD691="Partial splenectomy +/- splenopexy"),"NR - removed, check reason","NR"),"Not applicable")))))</f>
        <v/>
      </c>
    </row>
    <row r="692">
      <c r="D692" s="8" t="n"/>
      <c r="E692" s="9">
        <f>IF(B692="","",IF(B692="OWN","Yes","No"))</f>
        <v/>
      </c>
      <c r="AF692" s="9">
        <f>IF(ISNUMBER(Z692),IF(Z692&lt;=2,"&lt;=2 d",IF(Z692&lt;=7,"3-7 d",IF(Z692&lt;=30,"8-30 d","&gt;30 d"))),IF(AE692&lt;&gt;"",AE692,IF(Z692="NR","NR","")))</f>
        <v/>
      </c>
      <c r="AX692" s="9">
        <f>IF(ISNUMBER(AW692),IF(AW692&gt;450,"Yes","No"),IF(AW692="NR","NR",""))</f>
        <v/>
      </c>
      <c r="BJ692" s="9">
        <f>IF(BB692="","",IF(BB692="Non-viable","Non-viable",IF(BB692="Viable","Viable",IF(BB692="Partially non-viable",IF(OR(BD692="Total splenectomy",BD692="Partial splenectomy +/- splenopexy"),"Non-viable","Review"),IF(BB692="NR",IF(OR(BD692="Total splenectomy",BD692="Partial splenectomy +/- splenopexy"),"NR - removed, check reason","NR"),"Not applicable")))))</f>
        <v/>
      </c>
    </row>
    <row r="693">
      <c r="D693" s="8" t="n"/>
      <c r="E693" s="9">
        <f>IF(B693="","",IF(B693="OWN","Yes","No"))</f>
        <v/>
      </c>
      <c r="AF693" s="9">
        <f>IF(ISNUMBER(Z693),IF(Z693&lt;=2,"&lt;=2 d",IF(Z693&lt;=7,"3-7 d",IF(Z693&lt;=30,"8-30 d","&gt;30 d"))),IF(AE693&lt;&gt;"",AE693,IF(Z693="NR","NR","")))</f>
        <v/>
      </c>
      <c r="AX693" s="9">
        <f>IF(ISNUMBER(AW693),IF(AW693&gt;450,"Yes","No"),IF(AW693="NR","NR",""))</f>
        <v/>
      </c>
      <c r="BJ693" s="9">
        <f>IF(BB693="","",IF(BB693="Non-viable","Non-viable",IF(BB693="Viable","Viable",IF(BB693="Partially non-viable",IF(OR(BD693="Total splenectomy",BD693="Partial splenectomy +/- splenopexy"),"Non-viable","Review"),IF(BB693="NR",IF(OR(BD693="Total splenectomy",BD693="Partial splenectomy +/- splenopexy"),"NR - removed, check reason","NR"),"Not applicable")))))</f>
        <v/>
      </c>
    </row>
    <row r="694">
      <c r="D694" s="8" t="n"/>
      <c r="E694" s="9">
        <f>IF(B694="","",IF(B694="OWN","Yes","No"))</f>
        <v/>
      </c>
      <c r="AF694" s="9">
        <f>IF(ISNUMBER(Z694),IF(Z694&lt;=2,"&lt;=2 d",IF(Z694&lt;=7,"3-7 d",IF(Z694&lt;=30,"8-30 d","&gt;30 d"))),IF(AE694&lt;&gt;"",AE694,IF(Z694="NR","NR","")))</f>
        <v/>
      </c>
      <c r="AX694" s="9">
        <f>IF(ISNUMBER(AW694),IF(AW694&gt;450,"Yes","No"),IF(AW694="NR","NR",""))</f>
        <v/>
      </c>
      <c r="BJ694" s="9">
        <f>IF(BB694="","",IF(BB694="Non-viable","Non-viable",IF(BB694="Viable","Viable",IF(BB694="Partially non-viable",IF(OR(BD694="Total splenectomy",BD694="Partial splenectomy +/- splenopexy"),"Non-viable","Review"),IF(BB694="NR",IF(OR(BD694="Total splenectomy",BD694="Partial splenectomy +/- splenopexy"),"NR - removed, check reason","NR"),"Not applicable")))))</f>
        <v/>
      </c>
    </row>
    <row r="695">
      <c r="D695" s="8" t="n"/>
      <c r="E695" s="9">
        <f>IF(B695="","",IF(B695="OWN","Yes","No"))</f>
        <v/>
      </c>
      <c r="AF695" s="9">
        <f>IF(ISNUMBER(Z695),IF(Z695&lt;=2,"&lt;=2 d",IF(Z695&lt;=7,"3-7 d",IF(Z695&lt;=30,"8-30 d","&gt;30 d"))),IF(AE695&lt;&gt;"",AE695,IF(Z695="NR","NR","")))</f>
        <v/>
      </c>
      <c r="AX695" s="9">
        <f>IF(ISNUMBER(AW695),IF(AW695&gt;450,"Yes","No"),IF(AW695="NR","NR",""))</f>
        <v/>
      </c>
      <c r="BJ695" s="9">
        <f>IF(BB695="","",IF(BB695="Non-viable","Non-viable",IF(BB695="Viable","Viable",IF(BB695="Partially non-viable",IF(OR(BD695="Total splenectomy",BD695="Partial splenectomy +/- splenopexy"),"Non-viable","Review"),IF(BB695="NR",IF(OR(BD695="Total splenectomy",BD695="Partial splenectomy +/- splenopexy"),"NR - removed, check reason","NR"),"Not applicable")))))</f>
        <v/>
      </c>
    </row>
    <row r="696">
      <c r="D696" s="8" t="n"/>
      <c r="E696" s="9">
        <f>IF(B696="","",IF(B696="OWN","Yes","No"))</f>
        <v/>
      </c>
      <c r="AF696" s="9">
        <f>IF(ISNUMBER(Z696),IF(Z696&lt;=2,"&lt;=2 d",IF(Z696&lt;=7,"3-7 d",IF(Z696&lt;=30,"8-30 d","&gt;30 d"))),IF(AE696&lt;&gt;"",AE696,IF(Z696="NR","NR","")))</f>
        <v/>
      </c>
      <c r="AX696" s="9">
        <f>IF(ISNUMBER(AW696),IF(AW696&gt;450,"Yes","No"),IF(AW696="NR","NR",""))</f>
        <v/>
      </c>
      <c r="BJ696" s="9">
        <f>IF(BB696="","",IF(BB696="Non-viable","Non-viable",IF(BB696="Viable","Viable",IF(BB696="Partially non-viable",IF(OR(BD696="Total splenectomy",BD696="Partial splenectomy +/- splenopexy"),"Non-viable","Review"),IF(BB696="NR",IF(OR(BD696="Total splenectomy",BD696="Partial splenectomy +/- splenopexy"),"NR - removed, check reason","NR"),"Not applicable")))))</f>
        <v/>
      </c>
    </row>
    <row r="697">
      <c r="D697" s="8" t="n"/>
      <c r="E697" s="9">
        <f>IF(B697="","",IF(B697="OWN","Yes","No"))</f>
        <v/>
      </c>
      <c r="AF697" s="9">
        <f>IF(ISNUMBER(Z697),IF(Z697&lt;=2,"&lt;=2 d",IF(Z697&lt;=7,"3-7 d",IF(Z697&lt;=30,"8-30 d","&gt;30 d"))),IF(AE697&lt;&gt;"",AE697,IF(Z697="NR","NR","")))</f>
        <v/>
      </c>
      <c r="AX697" s="9">
        <f>IF(ISNUMBER(AW697),IF(AW697&gt;450,"Yes","No"),IF(AW697="NR","NR",""))</f>
        <v/>
      </c>
      <c r="BJ697" s="9">
        <f>IF(BB697="","",IF(BB697="Non-viable","Non-viable",IF(BB697="Viable","Viable",IF(BB697="Partially non-viable",IF(OR(BD697="Total splenectomy",BD697="Partial splenectomy +/- splenopexy"),"Non-viable","Review"),IF(BB697="NR",IF(OR(BD697="Total splenectomy",BD697="Partial splenectomy +/- splenopexy"),"NR - removed, check reason","NR"),"Not applicable")))))</f>
        <v/>
      </c>
    </row>
    <row r="698">
      <c r="D698" s="8" t="n"/>
      <c r="E698" s="9">
        <f>IF(B698="","",IF(B698="OWN","Yes","No"))</f>
        <v/>
      </c>
      <c r="AF698" s="9">
        <f>IF(ISNUMBER(Z698),IF(Z698&lt;=2,"&lt;=2 d",IF(Z698&lt;=7,"3-7 d",IF(Z698&lt;=30,"8-30 d","&gt;30 d"))),IF(AE698&lt;&gt;"",AE698,IF(Z698="NR","NR","")))</f>
        <v/>
      </c>
      <c r="AX698" s="9">
        <f>IF(ISNUMBER(AW698),IF(AW698&gt;450,"Yes","No"),IF(AW698="NR","NR",""))</f>
        <v/>
      </c>
      <c r="BJ698" s="9">
        <f>IF(BB698="","",IF(BB698="Non-viable","Non-viable",IF(BB698="Viable","Viable",IF(BB698="Partially non-viable",IF(OR(BD698="Total splenectomy",BD698="Partial splenectomy +/- splenopexy"),"Non-viable","Review"),IF(BB698="NR",IF(OR(BD698="Total splenectomy",BD698="Partial splenectomy +/- splenopexy"),"NR - removed, check reason","NR"),"Not applicable")))))</f>
        <v/>
      </c>
    </row>
    <row r="699">
      <c r="D699" s="8" t="n"/>
      <c r="E699" s="9">
        <f>IF(B699="","",IF(B699="OWN","Yes","No"))</f>
        <v/>
      </c>
      <c r="AF699" s="9">
        <f>IF(ISNUMBER(Z699),IF(Z699&lt;=2,"&lt;=2 d",IF(Z699&lt;=7,"3-7 d",IF(Z699&lt;=30,"8-30 d","&gt;30 d"))),IF(AE699&lt;&gt;"",AE699,IF(Z699="NR","NR","")))</f>
        <v/>
      </c>
      <c r="AX699" s="9">
        <f>IF(ISNUMBER(AW699),IF(AW699&gt;450,"Yes","No"),IF(AW699="NR","NR",""))</f>
        <v/>
      </c>
      <c r="BJ699" s="9">
        <f>IF(BB699="","",IF(BB699="Non-viable","Non-viable",IF(BB699="Viable","Viable",IF(BB699="Partially non-viable",IF(OR(BD699="Total splenectomy",BD699="Partial splenectomy +/- splenopexy"),"Non-viable","Review"),IF(BB699="NR",IF(OR(BD699="Total splenectomy",BD699="Partial splenectomy +/- splenopexy"),"NR - removed, check reason","NR"),"Not applicable")))))</f>
        <v/>
      </c>
    </row>
    <row r="700">
      <c r="D700" s="8" t="n"/>
      <c r="E700" s="9">
        <f>IF(B700="","",IF(B700="OWN","Yes","No"))</f>
        <v/>
      </c>
      <c r="AF700" s="9">
        <f>IF(ISNUMBER(Z700),IF(Z700&lt;=2,"&lt;=2 d",IF(Z700&lt;=7,"3-7 d",IF(Z700&lt;=30,"8-30 d","&gt;30 d"))),IF(AE700&lt;&gt;"",AE700,IF(Z700="NR","NR","")))</f>
        <v/>
      </c>
      <c r="AX700" s="9">
        <f>IF(ISNUMBER(AW700),IF(AW700&gt;450,"Yes","No"),IF(AW700="NR","NR",""))</f>
        <v/>
      </c>
      <c r="BJ700" s="9">
        <f>IF(BB700="","",IF(BB700="Non-viable","Non-viable",IF(BB700="Viable","Viable",IF(BB700="Partially non-viable",IF(OR(BD700="Total splenectomy",BD700="Partial splenectomy +/- splenopexy"),"Non-viable","Review"),IF(BB700="NR",IF(OR(BD700="Total splenectomy",BD700="Partial splenectomy +/- splenopexy"),"NR - removed, check reason","NR"),"Not applicable")))))</f>
        <v/>
      </c>
    </row>
    <row r="701">
      <c r="D701" s="8" t="n"/>
      <c r="E701" s="9">
        <f>IF(B701="","",IF(B701="OWN","Yes","No"))</f>
        <v/>
      </c>
      <c r="AF701" s="9">
        <f>IF(ISNUMBER(Z701),IF(Z701&lt;=2,"&lt;=2 d",IF(Z701&lt;=7,"3-7 d",IF(Z701&lt;=30,"8-30 d","&gt;30 d"))),IF(AE701&lt;&gt;"",AE701,IF(Z701="NR","NR","")))</f>
        <v/>
      </c>
      <c r="AX701" s="9">
        <f>IF(ISNUMBER(AW701),IF(AW701&gt;450,"Yes","No"),IF(AW701="NR","NR",""))</f>
        <v/>
      </c>
      <c r="BJ701" s="9">
        <f>IF(BB701="","",IF(BB701="Non-viable","Non-viable",IF(BB701="Viable","Viable",IF(BB701="Partially non-viable",IF(OR(BD701="Total splenectomy",BD701="Partial splenectomy +/- splenopexy"),"Non-viable","Review"),IF(BB701="NR",IF(OR(BD701="Total splenectomy",BD701="Partial splenectomy +/- splenopexy"),"NR - removed, check reason","NR"),"Not applicable")))))</f>
        <v/>
      </c>
    </row>
    <row r="702">
      <c r="D702" s="8" t="n"/>
      <c r="E702" s="9">
        <f>IF(B702="","",IF(B702="OWN","Yes","No"))</f>
        <v/>
      </c>
      <c r="AF702" s="9">
        <f>IF(ISNUMBER(Z702),IF(Z702&lt;=2,"&lt;=2 d",IF(Z702&lt;=7,"3-7 d",IF(Z702&lt;=30,"8-30 d","&gt;30 d"))),IF(AE702&lt;&gt;"",AE702,IF(Z702="NR","NR","")))</f>
        <v/>
      </c>
      <c r="AX702" s="9">
        <f>IF(ISNUMBER(AW702),IF(AW702&gt;450,"Yes","No"),IF(AW702="NR","NR",""))</f>
        <v/>
      </c>
      <c r="BJ702" s="9">
        <f>IF(BB702="","",IF(BB702="Non-viable","Non-viable",IF(BB702="Viable","Viable",IF(BB702="Partially non-viable",IF(OR(BD702="Total splenectomy",BD702="Partial splenectomy +/- splenopexy"),"Non-viable","Review"),IF(BB702="NR",IF(OR(BD702="Total splenectomy",BD702="Partial splenectomy +/- splenopexy"),"NR - removed, check reason","NR"),"Not applicable")))))</f>
        <v/>
      </c>
    </row>
    <row r="703">
      <c r="D703" s="8" t="n"/>
      <c r="E703" s="9">
        <f>IF(B703="","",IF(B703="OWN","Yes","No"))</f>
        <v/>
      </c>
      <c r="AF703" s="9">
        <f>IF(ISNUMBER(Z703),IF(Z703&lt;=2,"&lt;=2 d",IF(Z703&lt;=7,"3-7 d",IF(Z703&lt;=30,"8-30 d","&gt;30 d"))),IF(AE703&lt;&gt;"",AE703,IF(Z703="NR","NR","")))</f>
        <v/>
      </c>
      <c r="AX703" s="9">
        <f>IF(ISNUMBER(AW703),IF(AW703&gt;450,"Yes","No"),IF(AW703="NR","NR",""))</f>
        <v/>
      </c>
      <c r="BJ703" s="9">
        <f>IF(BB703="","",IF(BB703="Non-viable","Non-viable",IF(BB703="Viable","Viable",IF(BB703="Partially non-viable",IF(OR(BD703="Total splenectomy",BD703="Partial splenectomy +/- splenopexy"),"Non-viable","Review"),IF(BB703="NR",IF(OR(BD703="Total splenectomy",BD703="Partial splenectomy +/- splenopexy"),"NR - removed, check reason","NR"),"Not applicable")))))</f>
        <v/>
      </c>
    </row>
    <row r="704">
      <c r="D704" s="8" t="n"/>
      <c r="E704" s="9">
        <f>IF(B704="","",IF(B704="OWN","Yes","No"))</f>
        <v/>
      </c>
      <c r="AF704" s="9">
        <f>IF(ISNUMBER(Z704),IF(Z704&lt;=2,"&lt;=2 d",IF(Z704&lt;=7,"3-7 d",IF(Z704&lt;=30,"8-30 d","&gt;30 d"))),IF(AE704&lt;&gt;"",AE704,IF(Z704="NR","NR","")))</f>
        <v/>
      </c>
      <c r="AX704" s="9">
        <f>IF(ISNUMBER(AW704),IF(AW704&gt;450,"Yes","No"),IF(AW704="NR","NR",""))</f>
        <v/>
      </c>
      <c r="BJ704" s="9">
        <f>IF(BB704="","",IF(BB704="Non-viable","Non-viable",IF(BB704="Viable","Viable",IF(BB704="Partially non-viable",IF(OR(BD704="Total splenectomy",BD704="Partial splenectomy +/- splenopexy"),"Non-viable","Review"),IF(BB704="NR",IF(OR(BD704="Total splenectomy",BD704="Partial splenectomy +/- splenopexy"),"NR - removed, check reason","NR"),"Not applicable")))))</f>
        <v/>
      </c>
    </row>
    <row r="705">
      <c r="D705" s="8" t="n"/>
      <c r="E705" s="9">
        <f>IF(B705="","",IF(B705="OWN","Yes","No"))</f>
        <v/>
      </c>
      <c r="AF705" s="9">
        <f>IF(ISNUMBER(Z705),IF(Z705&lt;=2,"&lt;=2 d",IF(Z705&lt;=7,"3-7 d",IF(Z705&lt;=30,"8-30 d","&gt;30 d"))),IF(AE705&lt;&gt;"",AE705,IF(Z705="NR","NR","")))</f>
        <v/>
      </c>
      <c r="AX705" s="9">
        <f>IF(ISNUMBER(AW705),IF(AW705&gt;450,"Yes","No"),IF(AW705="NR","NR",""))</f>
        <v/>
      </c>
      <c r="BJ705" s="9">
        <f>IF(BB705="","",IF(BB705="Non-viable","Non-viable",IF(BB705="Viable","Viable",IF(BB705="Partially non-viable",IF(OR(BD705="Total splenectomy",BD705="Partial splenectomy +/- splenopexy"),"Non-viable","Review"),IF(BB705="NR",IF(OR(BD705="Total splenectomy",BD705="Partial splenectomy +/- splenopexy"),"NR - removed, check reason","NR"),"Not applicable")))))</f>
        <v/>
      </c>
    </row>
    <row r="706">
      <c r="D706" s="8" t="n"/>
      <c r="E706" s="9">
        <f>IF(B706="","",IF(B706="OWN","Yes","No"))</f>
        <v/>
      </c>
      <c r="AF706" s="9">
        <f>IF(ISNUMBER(Z706),IF(Z706&lt;=2,"&lt;=2 d",IF(Z706&lt;=7,"3-7 d",IF(Z706&lt;=30,"8-30 d","&gt;30 d"))),IF(AE706&lt;&gt;"",AE706,IF(Z706="NR","NR","")))</f>
        <v/>
      </c>
      <c r="AX706" s="9">
        <f>IF(ISNUMBER(AW706),IF(AW706&gt;450,"Yes","No"),IF(AW706="NR","NR",""))</f>
        <v/>
      </c>
      <c r="BJ706" s="9">
        <f>IF(BB706="","",IF(BB706="Non-viable","Non-viable",IF(BB706="Viable","Viable",IF(BB706="Partially non-viable",IF(OR(BD706="Total splenectomy",BD706="Partial splenectomy +/- splenopexy"),"Non-viable","Review"),IF(BB706="NR",IF(OR(BD706="Total splenectomy",BD706="Partial splenectomy +/- splenopexy"),"NR - removed, check reason","NR"),"Not applicable")))))</f>
        <v/>
      </c>
    </row>
    <row r="707">
      <c r="D707" s="8" t="n"/>
      <c r="E707" s="9">
        <f>IF(B707="","",IF(B707="OWN","Yes","No"))</f>
        <v/>
      </c>
      <c r="AF707" s="9">
        <f>IF(ISNUMBER(Z707),IF(Z707&lt;=2,"&lt;=2 d",IF(Z707&lt;=7,"3-7 d",IF(Z707&lt;=30,"8-30 d","&gt;30 d"))),IF(AE707&lt;&gt;"",AE707,IF(Z707="NR","NR","")))</f>
        <v/>
      </c>
      <c r="AX707" s="9">
        <f>IF(ISNUMBER(AW707),IF(AW707&gt;450,"Yes","No"),IF(AW707="NR","NR",""))</f>
        <v/>
      </c>
      <c r="BJ707" s="9">
        <f>IF(BB707="","",IF(BB707="Non-viable","Non-viable",IF(BB707="Viable","Viable",IF(BB707="Partially non-viable",IF(OR(BD707="Total splenectomy",BD707="Partial splenectomy +/- splenopexy"),"Non-viable","Review"),IF(BB707="NR",IF(OR(BD707="Total splenectomy",BD707="Partial splenectomy +/- splenopexy"),"NR - removed, check reason","NR"),"Not applicable")))))</f>
        <v/>
      </c>
    </row>
    <row r="708">
      <c r="D708" s="8" t="n"/>
      <c r="E708" s="9">
        <f>IF(B708="","",IF(B708="OWN","Yes","No"))</f>
        <v/>
      </c>
      <c r="AF708" s="9">
        <f>IF(ISNUMBER(Z708),IF(Z708&lt;=2,"&lt;=2 d",IF(Z708&lt;=7,"3-7 d",IF(Z708&lt;=30,"8-30 d","&gt;30 d"))),IF(AE708&lt;&gt;"",AE708,IF(Z708="NR","NR","")))</f>
        <v/>
      </c>
      <c r="AX708" s="9">
        <f>IF(ISNUMBER(AW708),IF(AW708&gt;450,"Yes","No"),IF(AW708="NR","NR",""))</f>
        <v/>
      </c>
      <c r="BJ708" s="9">
        <f>IF(BB708="","",IF(BB708="Non-viable","Non-viable",IF(BB708="Viable","Viable",IF(BB708="Partially non-viable",IF(OR(BD708="Total splenectomy",BD708="Partial splenectomy +/- splenopexy"),"Non-viable","Review"),IF(BB708="NR",IF(OR(BD708="Total splenectomy",BD708="Partial splenectomy +/- splenopexy"),"NR - removed, check reason","NR"),"Not applicable")))))</f>
        <v/>
      </c>
    </row>
    <row r="709">
      <c r="D709" s="8" t="n"/>
      <c r="E709" s="9">
        <f>IF(B709="","",IF(B709="OWN","Yes","No"))</f>
        <v/>
      </c>
      <c r="AF709" s="9">
        <f>IF(ISNUMBER(Z709),IF(Z709&lt;=2,"&lt;=2 d",IF(Z709&lt;=7,"3-7 d",IF(Z709&lt;=30,"8-30 d","&gt;30 d"))),IF(AE709&lt;&gt;"",AE709,IF(Z709="NR","NR","")))</f>
        <v/>
      </c>
      <c r="AX709" s="9">
        <f>IF(ISNUMBER(AW709),IF(AW709&gt;450,"Yes","No"),IF(AW709="NR","NR",""))</f>
        <v/>
      </c>
      <c r="BJ709" s="9">
        <f>IF(BB709="","",IF(BB709="Non-viable","Non-viable",IF(BB709="Viable","Viable",IF(BB709="Partially non-viable",IF(OR(BD709="Total splenectomy",BD709="Partial splenectomy +/- splenopexy"),"Non-viable","Review"),IF(BB709="NR",IF(OR(BD709="Total splenectomy",BD709="Partial splenectomy +/- splenopexy"),"NR - removed, check reason","NR"),"Not applicable")))))</f>
        <v/>
      </c>
    </row>
    <row r="710">
      <c r="D710" s="8" t="n"/>
      <c r="E710" s="9">
        <f>IF(B710="","",IF(B710="OWN","Yes","No"))</f>
        <v/>
      </c>
      <c r="AF710" s="9">
        <f>IF(ISNUMBER(Z710),IF(Z710&lt;=2,"&lt;=2 d",IF(Z710&lt;=7,"3-7 d",IF(Z710&lt;=30,"8-30 d","&gt;30 d"))),IF(AE710&lt;&gt;"",AE710,IF(Z710="NR","NR","")))</f>
        <v/>
      </c>
      <c r="AX710" s="9">
        <f>IF(ISNUMBER(AW710),IF(AW710&gt;450,"Yes","No"),IF(AW710="NR","NR",""))</f>
        <v/>
      </c>
      <c r="BJ710" s="9">
        <f>IF(BB710="","",IF(BB710="Non-viable","Non-viable",IF(BB710="Viable","Viable",IF(BB710="Partially non-viable",IF(OR(BD710="Total splenectomy",BD710="Partial splenectomy +/- splenopexy"),"Non-viable","Review"),IF(BB710="NR",IF(OR(BD710="Total splenectomy",BD710="Partial splenectomy +/- splenopexy"),"NR - removed, check reason","NR"),"Not applicable")))))</f>
        <v/>
      </c>
    </row>
    <row r="711">
      <c r="D711" s="8" t="n"/>
      <c r="E711" s="9">
        <f>IF(B711="","",IF(B711="OWN","Yes","No"))</f>
        <v/>
      </c>
      <c r="AF711" s="9">
        <f>IF(ISNUMBER(Z711),IF(Z711&lt;=2,"&lt;=2 d",IF(Z711&lt;=7,"3-7 d",IF(Z711&lt;=30,"8-30 d","&gt;30 d"))),IF(AE711&lt;&gt;"",AE711,IF(Z711="NR","NR","")))</f>
        <v/>
      </c>
      <c r="AX711" s="9">
        <f>IF(ISNUMBER(AW711),IF(AW711&gt;450,"Yes","No"),IF(AW711="NR","NR",""))</f>
        <v/>
      </c>
      <c r="BJ711" s="9">
        <f>IF(BB711="","",IF(BB711="Non-viable","Non-viable",IF(BB711="Viable","Viable",IF(BB711="Partially non-viable",IF(OR(BD711="Total splenectomy",BD711="Partial splenectomy +/- splenopexy"),"Non-viable","Review"),IF(BB711="NR",IF(OR(BD711="Total splenectomy",BD711="Partial splenectomy +/- splenopexy"),"NR - removed, check reason","NR"),"Not applicable")))))</f>
        <v/>
      </c>
    </row>
    <row r="712">
      <c r="D712" s="8" t="n"/>
      <c r="E712" s="9">
        <f>IF(B712="","",IF(B712="OWN","Yes","No"))</f>
        <v/>
      </c>
      <c r="AF712" s="9">
        <f>IF(ISNUMBER(Z712),IF(Z712&lt;=2,"&lt;=2 d",IF(Z712&lt;=7,"3-7 d",IF(Z712&lt;=30,"8-30 d","&gt;30 d"))),IF(AE712&lt;&gt;"",AE712,IF(Z712="NR","NR","")))</f>
        <v/>
      </c>
      <c r="AX712" s="9">
        <f>IF(ISNUMBER(AW712),IF(AW712&gt;450,"Yes","No"),IF(AW712="NR","NR",""))</f>
        <v/>
      </c>
      <c r="BJ712" s="9">
        <f>IF(BB712="","",IF(BB712="Non-viable","Non-viable",IF(BB712="Viable","Viable",IF(BB712="Partially non-viable",IF(OR(BD712="Total splenectomy",BD712="Partial splenectomy +/- splenopexy"),"Non-viable","Review"),IF(BB712="NR",IF(OR(BD712="Total splenectomy",BD712="Partial splenectomy +/- splenopexy"),"NR - removed, check reason","NR"),"Not applicable")))))</f>
        <v/>
      </c>
    </row>
    <row r="713">
      <c r="D713" s="8" t="n"/>
      <c r="E713" s="9">
        <f>IF(B713="","",IF(B713="OWN","Yes","No"))</f>
        <v/>
      </c>
      <c r="AF713" s="9">
        <f>IF(ISNUMBER(Z713),IF(Z713&lt;=2,"&lt;=2 d",IF(Z713&lt;=7,"3-7 d",IF(Z713&lt;=30,"8-30 d","&gt;30 d"))),IF(AE713&lt;&gt;"",AE713,IF(Z713="NR","NR","")))</f>
        <v/>
      </c>
      <c r="AX713" s="9">
        <f>IF(ISNUMBER(AW713),IF(AW713&gt;450,"Yes","No"),IF(AW713="NR","NR",""))</f>
        <v/>
      </c>
      <c r="BJ713" s="9">
        <f>IF(BB713="","",IF(BB713="Non-viable","Non-viable",IF(BB713="Viable","Viable",IF(BB713="Partially non-viable",IF(OR(BD713="Total splenectomy",BD713="Partial splenectomy +/- splenopexy"),"Non-viable","Review"),IF(BB713="NR",IF(OR(BD713="Total splenectomy",BD713="Partial splenectomy +/- splenopexy"),"NR - removed, check reason","NR"),"Not applicable")))))</f>
        <v/>
      </c>
    </row>
    <row r="714">
      <c r="D714" s="8" t="n"/>
      <c r="E714" s="9">
        <f>IF(B714="","",IF(B714="OWN","Yes","No"))</f>
        <v/>
      </c>
      <c r="AF714" s="9">
        <f>IF(ISNUMBER(Z714),IF(Z714&lt;=2,"&lt;=2 d",IF(Z714&lt;=7,"3-7 d",IF(Z714&lt;=30,"8-30 d","&gt;30 d"))),IF(AE714&lt;&gt;"",AE714,IF(Z714="NR","NR","")))</f>
        <v/>
      </c>
      <c r="AX714" s="9">
        <f>IF(ISNUMBER(AW714),IF(AW714&gt;450,"Yes","No"),IF(AW714="NR","NR",""))</f>
        <v/>
      </c>
      <c r="BJ714" s="9">
        <f>IF(BB714="","",IF(BB714="Non-viable","Non-viable",IF(BB714="Viable","Viable",IF(BB714="Partially non-viable",IF(OR(BD714="Total splenectomy",BD714="Partial splenectomy +/- splenopexy"),"Non-viable","Review"),IF(BB714="NR",IF(OR(BD714="Total splenectomy",BD714="Partial splenectomy +/- splenopexy"),"NR - removed, check reason","NR"),"Not applicable")))))</f>
        <v/>
      </c>
    </row>
    <row r="715">
      <c r="D715" s="8" t="n"/>
      <c r="E715" s="9">
        <f>IF(B715="","",IF(B715="OWN","Yes","No"))</f>
        <v/>
      </c>
      <c r="AF715" s="9">
        <f>IF(ISNUMBER(Z715),IF(Z715&lt;=2,"&lt;=2 d",IF(Z715&lt;=7,"3-7 d",IF(Z715&lt;=30,"8-30 d","&gt;30 d"))),IF(AE715&lt;&gt;"",AE715,IF(Z715="NR","NR","")))</f>
        <v/>
      </c>
      <c r="AX715" s="9">
        <f>IF(ISNUMBER(AW715),IF(AW715&gt;450,"Yes","No"),IF(AW715="NR","NR",""))</f>
        <v/>
      </c>
      <c r="BJ715" s="9">
        <f>IF(BB715="","",IF(BB715="Non-viable","Non-viable",IF(BB715="Viable","Viable",IF(BB715="Partially non-viable",IF(OR(BD715="Total splenectomy",BD715="Partial splenectomy +/- splenopexy"),"Non-viable","Review"),IF(BB715="NR",IF(OR(BD715="Total splenectomy",BD715="Partial splenectomy +/- splenopexy"),"NR - removed, check reason","NR"),"Not applicable")))))</f>
        <v/>
      </c>
    </row>
    <row r="716">
      <c r="D716" s="8" t="n"/>
      <c r="E716" s="9">
        <f>IF(B716="","",IF(B716="OWN","Yes","No"))</f>
        <v/>
      </c>
      <c r="AF716" s="9">
        <f>IF(ISNUMBER(Z716),IF(Z716&lt;=2,"&lt;=2 d",IF(Z716&lt;=7,"3-7 d",IF(Z716&lt;=30,"8-30 d","&gt;30 d"))),IF(AE716&lt;&gt;"",AE716,IF(Z716="NR","NR","")))</f>
        <v/>
      </c>
      <c r="AX716" s="9">
        <f>IF(ISNUMBER(AW716),IF(AW716&gt;450,"Yes","No"),IF(AW716="NR","NR",""))</f>
        <v/>
      </c>
      <c r="BJ716" s="9">
        <f>IF(BB716="","",IF(BB716="Non-viable","Non-viable",IF(BB716="Viable","Viable",IF(BB716="Partially non-viable",IF(OR(BD716="Total splenectomy",BD716="Partial splenectomy +/- splenopexy"),"Non-viable","Review"),IF(BB716="NR",IF(OR(BD716="Total splenectomy",BD716="Partial splenectomy +/- splenopexy"),"NR - removed, check reason","NR"),"Not applicable")))))</f>
        <v/>
      </c>
    </row>
    <row r="717">
      <c r="D717" s="8" t="n"/>
      <c r="E717" s="9">
        <f>IF(B717="","",IF(B717="OWN","Yes","No"))</f>
        <v/>
      </c>
      <c r="AF717" s="9">
        <f>IF(ISNUMBER(Z717),IF(Z717&lt;=2,"&lt;=2 d",IF(Z717&lt;=7,"3-7 d",IF(Z717&lt;=30,"8-30 d","&gt;30 d"))),IF(AE717&lt;&gt;"",AE717,IF(Z717="NR","NR","")))</f>
        <v/>
      </c>
      <c r="AX717" s="9">
        <f>IF(ISNUMBER(AW717),IF(AW717&gt;450,"Yes","No"),IF(AW717="NR","NR",""))</f>
        <v/>
      </c>
      <c r="BJ717" s="9">
        <f>IF(BB717="","",IF(BB717="Non-viable","Non-viable",IF(BB717="Viable","Viable",IF(BB717="Partially non-viable",IF(OR(BD717="Total splenectomy",BD717="Partial splenectomy +/- splenopexy"),"Non-viable","Review"),IF(BB717="NR",IF(OR(BD717="Total splenectomy",BD717="Partial splenectomy +/- splenopexy"),"NR - removed, check reason","NR"),"Not applicable")))))</f>
        <v/>
      </c>
    </row>
    <row r="718">
      <c r="D718" s="8" t="n"/>
      <c r="E718" s="9">
        <f>IF(B718="","",IF(B718="OWN","Yes","No"))</f>
        <v/>
      </c>
      <c r="AF718" s="9">
        <f>IF(ISNUMBER(Z718),IF(Z718&lt;=2,"&lt;=2 d",IF(Z718&lt;=7,"3-7 d",IF(Z718&lt;=30,"8-30 d","&gt;30 d"))),IF(AE718&lt;&gt;"",AE718,IF(Z718="NR","NR","")))</f>
        <v/>
      </c>
      <c r="AX718" s="9">
        <f>IF(ISNUMBER(AW718),IF(AW718&gt;450,"Yes","No"),IF(AW718="NR","NR",""))</f>
        <v/>
      </c>
      <c r="BJ718" s="9">
        <f>IF(BB718="","",IF(BB718="Non-viable","Non-viable",IF(BB718="Viable","Viable",IF(BB718="Partially non-viable",IF(OR(BD718="Total splenectomy",BD718="Partial splenectomy +/- splenopexy"),"Non-viable","Review"),IF(BB718="NR",IF(OR(BD718="Total splenectomy",BD718="Partial splenectomy +/- splenopexy"),"NR - removed, check reason","NR"),"Not applicable")))))</f>
        <v/>
      </c>
    </row>
    <row r="719">
      <c r="D719" s="8" t="n"/>
      <c r="E719" s="9">
        <f>IF(B719="","",IF(B719="OWN","Yes","No"))</f>
        <v/>
      </c>
      <c r="AF719" s="9">
        <f>IF(ISNUMBER(Z719),IF(Z719&lt;=2,"&lt;=2 d",IF(Z719&lt;=7,"3-7 d",IF(Z719&lt;=30,"8-30 d","&gt;30 d"))),IF(AE719&lt;&gt;"",AE719,IF(Z719="NR","NR","")))</f>
        <v/>
      </c>
      <c r="AX719" s="9">
        <f>IF(ISNUMBER(AW719),IF(AW719&gt;450,"Yes","No"),IF(AW719="NR","NR",""))</f>
        <v/>
      </c>
      <c r="BJ719" s="9">
        <f>IF(BB719="","",IF(BB719="Non-viable","Non-viable",IF(BB719="Viable","Viable",IF(BB719="Partially non-viable",IF(OR(BD719="Total splenectomy",BD719="Partial splenectomy +/- splenopexy"),"Non-viable","Review"),IF(BB719="NR",IF(OR(BD719="Total splenectomy",BD719="Partial splenectomy +/- splenopexy"),"NR - removed, check reason","NR"),"Not applicable")))))</f>
        <v/>
      </c>
    </row>
    <row r="720">
      <c r="D720" s="8" t="n"/>
      <c r="E720" s="9">
        <f>IF(B720="","",IF(B720="OWN","Yes","No"))</f>
        <v/>
      </c>
      <c r="AF720" s="9">
        <f>IF(ISNUMBER(Z720),IF(Z720&lt;=2,"&lt;=2 d",IF(Z720&lt;=7,"3-7 d",IF(Z720&lt;=30,"8-30 d","&gt;30 d"))),IF(AE720&lt;&gt;"",AE720,IF(Z720="NR","NR","")))</f>
        <v/>
      </c>
      <c r="AX720" s="9">
        <f>IF(ISNUMBER(AW720),IF(AW720&gt;450,"Yes","No"),IF(AW720="NR","NR",""))</f>
        <v/>
      </c>
      <c r="BJ720" s="9">
        <f>IF(BB720="","",IF(BB720="Non-viable","Non-viable",IF(BB720="Viable","Viable",IF(BB720="Partially non-viable",IF(OR(BD720="Total splenectomy",BD720="Partial splenectomy +/- splenopexy"),"Non-viable","Review"),IF(BB720="NR",IF(OR(BD720="Total splenectomy",BD720="Partial splenectomy +/- splenopexy"),"NR - removed, check reason","NR"),"Not applicable")))))</f>
        <v/>
      </c>
    </row>
    <row r="721">
      <c r="D721" s="8" t="n"/>
      <c r="E721" s="9">
        <f>IF(B721="","",IF(B721="OWN","Yes","No"))</f>
        <v/>
      </c>
      <c r="AF721" s="9">
        <f>IF(ISNUMBER(Z721),IF(Z721&lt;=2,"&lt;=2 d",IF(Z721&lt;=7,"3-7 d",IF(Z721&lt;=30,"8-30 d","&gt;30 d"))),IF(AE721&lt;&gt;"",AE721,IF(Z721="NR","NR","")))</f>
        <v/>
      </c>
      <c r="AX721" s="9">
        <f>IF(ISNUMBER(AW721),IF(AW721&gt;450,"Yes","No"),IF(AW721="NR","NR",""))</f>
        <v/>
      </c>
      <c r="BJ721" s="9">
        <f>IF(BB721="","",IF(BB721="Non-viable","Non-viable",IF(BB721="Viable","Viable",IF(BB721="Partially non-viable",IF(OR(BD721="Total splenectomy",BD721="Partial splenectomy +/- splenopexy"),"Non-viable","Review"),IF(BB721="NR",IF(OR(BD721="Total splenectomy",BD721="Partial splenectomy +/- splenopexy"),"NR - removed, check reason","NR"),"Not applicable")))))</f>
        <v/>
      </c>
    </row>
    <row r="722">
      <c r="D722" s="8" t="n"/>
      <c r="E722" s="9">
        <f>IF(B722="","",IF(B722="OWN","Yes","No"))</f>
        <v/>
      </c>
      <c r="AF722" s="9">
        <f>IF(ISNUMBER(Z722),IF(Z722&lt;=2,"&lt;=2 d",IF(Z722&lt;=7,"3-7 d",IF(Z722&lt;=30,"8-30 d","&gt;30 d"))),IF(AE722&lt;&gt;"",AE722,IF(Z722="NR","NR","")))</f>
        <v/>
      </c>
      <c r="AX722" s="9">
        <f>IF(ISNUMBER(AW722),IF(AW722&gt;450,"Yes","No"),IF(AW722="NR","NR",""))</f>
        <v/>
      </c>
      <c r="BJ722" s="9">
        <f>IF(BB722="","",IF(BB722="Non-viable","Non-viable",IF(BB722="Viable","Viable",IF(BB722="Partially non-viable",IF(OR(BD722="Total splenectomy",BD722="Partial splenectomy +/- splenopexy"),"Non-viable","Review"),IF(BB722="NR",IF(OR(BD722="Total splenectomy",BD722="Partial splenectomy +/- splenopexy"),"NR - removed, check reason","NR"),"Not applicable")))))</f>
        <v/>
      </c>
    </row>
    <row r="723">
      <c r="D723" s="8" t="n"/>
      <c r="E723" s="9">
        <f>IF(B723="","",IF(B723="OWN","Yes","No"))</f>
        <v/>
      </c>
      <c r="AF723" s="9">
        <f>IF(ISNUMBER(Z723),IF(Z723&lt;=2,"&lt;=2 d",IF(Z723&lt;=7,"3-7 d",IF(Z723&lt;=30,"8-30 d","&gt;30 d"))),IF(AE723&lt;&gt;"",AE723,IF(Z723="NR","NR","")))</f>
        <v/>
      </c>
      <c r="AX723" s="9">
        <f>IF(ISNUMBER(AW723),IF(AW723&gt;450,"Yes","No"),IF(AW723="NR","NR",""))</f>
        <v/>
      </c>
      <c r="BJ723" s="9">
        <f>IF(BB723="","",IF(BB723="Non-viable","Non-viable",IF(BB723="Viable","Viable",IF(BB723="Partially non-viable",IF(OR(BD723="Total splenectomy",BD723="Partial splenectomy +/- splenopexy"),"Non-viable","Review"),IF(BB723="NR",IF(OR(BD723="Total splenectomy",BD723="Partial splenectomy +/- splenopexy"),"NR - removed, check reason","NR"),"Not applicable")))))</f>
        <v/>
      </c>
    </row>
    <row r="724">
      <c r="D724" s="8" t="n"/>
      <c r="E724" s="9">
        <f>IF(B724="","",IF(B724="OWN","Yes","No"))</f>
        <v/>
      </c>
      <c r="AF724" s="9">
        <f>IF(ISNUMBER(Z724),IF(Z724&lt;=2,"&lt;=2 d",IF(Z724&lt;=7,"3-7 d",IF(Z724&lt;=30,"8-30 d","&gt;30 d"))),IF(AE724&lt;&gt;"",AE724,IF(Z724="NR","NR","")))</f>
        <v/>
      </c>
      <c r="AX724" s="9">
        <f>IF(ISNUMBER(AW724),IF(AW724&gt;450,"Yes","No"),IF(AW724="NR","NR",""))</f>
        <v/>
      </c>
      <c r="BJ724" s="9">
        <f>IF(BB724="","",IF(BB724="Non-viable","Non-viable",IF(BB724="Viable","Viable",IF(BB724="Partially non-viable",IF(OR(BD724="Total splenectomy",BD724="Partial splenectomy +/- splenopexy"),"Non-viable","Review"),IF(BB724="NR",IF(OR(BD724="Total splenectomy",BD724="Partial splenectomy +/- splenopexy"),"NR - removed, check reason","NR"),"Not applicable")))))</f>
        <v/>
      </c>
    </row>
    <row r="725">
      <c r="D725" s="8" t="n"/>
      <c r="E725" s="9">
        <f>IF(B725="","",IF(B725="OWN","Yes","No"))</f>
        <v/>
      </c>
      <c r="AF725" s="9">
        <f>IF(ISNUMBER(Z725),IF(Z725&lt;=2,"&lt;=2 d",IF(Z725&lt;=7,"3-7 d",IF(Z725&lt;=30,"8-30 d","&gt;30 d"))),IF(AE725&lt;&gt;"",AE725,IF(Z725="NR","NR","")))</f>
        <v/>
      </c>
      <c r="AX725" s="9">
        <f>IF(ISNUMBER(AW725),IF(AW725&gt;450,"Yes","No"),IF(AW725="NR","NR",""))</f>
        <v/>
      </c>
      <c r="BJ725" s="9">
        <f>IF(BB725="","",IF(BB725="Non-viable","Non-viable",IF(BB725="Viable","Viable",IF(BB725="Partially non-viable",IF(OR(BD725="Total splenectomy",BD725="Partial splenectomy +/- splenopexy"),"Non-viable","Review"),IF(BB725="NR",IF(OR(BD725="Total splenectomy",BD725="Partial splenectomy +/- splenopexy"),"NR - removed, check reason","NR"),"Not applicable")))))</f>
        <v/>
      </c>
    </row>
    <row r="726">
      <c r="D726" s="8" t="n"/>
      <c r="E726" s="9">
        <f>IF(B726="","",IF(B726="OWN","Yes","No"))</f>
        <v/>
      </c>
      <c r="AF726" s="9">
        <f>IF(ISNUMBER(Z726),IF(Z726&lt;=2,"&lt;=2 d",IF(Z726&lt;=7,"3-7 d",IF(Z726&lt;=30,"8-30 d","&gt;30 d"))),IF(AE726&lt;&gt;"",AE726,IF(Z726="NR","NR","")))</f>
        <v/>
      </c>
      <c r="AX726" s="9">
        <f>IF(ISNUMBER(AW726),IF(AW726&gt;450,"Yes","No"),IF(AW726="NR","NR",""))</f>
        <v/>
      </c>
      <c r="BJ726" s="9">
        <f>IF(BB726="","",IF(BB726="Non-viable","Non-viable",IF(BB726="Viable","Viable",IF(BB726="Partially non-viable",IF(OR(BD726="Total splenectomy",BD726="Partial splenectomy +/- splenopexy"),"Non-viable","Review"),IF(BB726="NR",IF(OR(BD726="Total splenectomy",BD726="Partial splenectomy +/- splenopexy"),"NR - removed, check reason","NR"),"Not applicable")))))</f>
        <v/>
      </c>
    </row>
    <row r="727">
      <c r="D727" s="8" t="n"/>
      <c r="E727" s="9">
        <f>IF(B727="","",IF(B727="OWN","Yes","No"))</f>
        <v/>
      </c>
      <c r="AF727" s="9">
        <f>IF(ISNUMBER(Z727),IF(Z727&lt;=2,"&lt;=2 d",IF(Z727&lt;=7,"3-7 d",IF(Z727&lt;=30,"8-30 d","&gt;30 d"))),IF(AE727&lt;&gt;"",AE727,IF(Z727="NR","NR","")))</f>
        <v/>
      </c>
      <c r="AX727" s="9">
        <f>IF(ISNUMBER(AW727),IF(AW727&gt;450,"Yes","No"),IF(AW727="NR","NR",""))</f>
        <v/>
      </c>
      <c r="BJ727" s="9">
        <f>IF(BB727="","",IF(BB727="Non-viable","Non-viable",IF(BB727="Viable","Viable",IF(BB727="Partially non-viable",IF(OR(BD727="Total splenectomy",BD727="Partial splenectomy +/- splenopexy"),"Non-viable","Review"),IF(BB727="NR",IF(OR(BD727="Total splenectomy",BD727="Partial splenectomy +/- splenopexy"),"NR - removed, check reason","NR"),"Not applicable")))))</f>
        <v/>
      </c>
    </row>
    <row r="728">
      <c r="D728" s="8" t="n"/>
      <c r="E728" s="9">
        <f>IF(B728="","",IF(B728="OWN","Yes","No"))</f>
        <v/>
      </c>
      <c r="AF728" s="9">
        <f>IF(ISNUMBER(Z728),IF(Z728&lt;=2,"&lt;=2 d",IF(Z728&lt;=7,"3-7 d",IF(Z728&lt;=30,"8-30 d","&gt;30 d"))),IF(AE728&lt;&gt;"",AE728,IF(Z728="NR","NR","")))</f>
        <v/>
      </c>
      <c r="AX728" s="9">
        <f>IF(ISNUMBER(AW728),IF(AW728&gt;450,"Yes","No"),IF(AW728="NR","NR",""))</f>
        <v/>
      </c>
      <c r="BJ728" s="9">
        <f>IF(BB728="","",IF(BB728="Non-viable","Non-viable",IF(BB728="Viable","Viable",IF(BB728="Partially non-viable",IF(OR(BD728="Total splenectomy",BD728="Partial splenectomy +/- splenopexy"),"Non-viable","Review"),IF(BB728="NR",IF(OR(BD728="Total splenectomy",BD728="Partial splenectomy +/- splenopexy"),"NR - removed, check reason","NR"),"Not applicable")))))</f>
        <v/>
      </c>
    </row>
    <row r="729">
      <c r="D729" s="8" t="n"/>
      <c r="E729" s="9">
        <f>IF(B729="","",IF(B729="OWN","Yes","No"))</f>
        <v/>
      </c>
      <c r="AF729" s="9">
        <f>IF(ISNUMBER(Z729),IF(Z729&lt;=2,"&lt;=2 d",IF(Z729&lt;=7,"3-7 d",IF(Z729&lt;=30,"8-30 d","&gt;30 d"))),IF(AE729&lt;&gt;"",AE729,IF(Z729="NR","NR","")))</f>
        <v/>
      </c>
      <c r="AX729" s="9">
        <f>IF(ISNUMBER(AW729),IF(AW729&gt;450,"Yes","No"),IF(AW729="NR","NR",""))</f>
        <v/>
      </c>
      <c r="BJ729" s="9">
        <f>IF(BB729="","",IF(BB729="Non-viable","Non-viable",IF(BB729="Viable","Viable",IF(BB729="Partially non-viable",IF(OR(BD729="Total splenectomy",BD729="Partial splenectomy +/- splenopexy"),"Non-viable","Review"),IF(BB729="NR",IF(OR(BD729="Total splenectomy",BD729="Partial splenectomy +/- splenopexy"),"NR - removed, check reason","NR"),"Not applicable")))))</f>
        <v/>
      </c>
    </row>
    <row r="730">
      <c r="D730" s="8" t="n"/>
      <c r="E730" s="9">
        <f>IF(B730="","",IF(B730="OWN","Yes","No"))</f>
        <v/>
      </c>
      <c r="AF730" s="9">
        <f>IF(ISNUMBER(Z730),IF(Z730&lt;=2,"&lt;=2 d",IF(Z730&lt;=7,"3-7 d",IF(Z730&lt;=30,"8-30 d","&gt;30 d"))),IF(AE730&lt;&gt;"",AE730,IF(Z730="NR","NR","")))</f>
        <v/>
      </c>
      <c r="AX730" s="9">
        <f>IF(ISNUMBER(AW730),IF(AW730&gt;450,"Yes","No"),IF(AW730="NR","NR",""))</f>
        <v/>
      </c>
      <c r="BJ730" s="9">
        <f>IF(BB730="","",IF(BB730="Non-viable","Non-viable",IF(BB730="Viable","Viable",IF(BB730="Partially non-viable",IF(OR(BD730="Total splenectomy",BD730="Partial splenectomy +/- splenopexy"),"Non-viable","Review"),IF(BB730="NR",IF(OR(BD730="Total splenectomy",BD730="Partial splenectomy +/- splenopexy"),"NR - removed, check reason","NR"),"Not applicable")))))</f>
        <v/>
      </c>
    </row>
    <row r="731">
      <c r="D731" s="8" t="n"/>
      <c r="E731" s="9">
        <f>IF(B731="","",IF(B731="OWN","Yes","No"))</f>
        <v/>
      </c>
      <c r="AF731" s="9">
        <f>IF(ISNUMBER(Z731),IF(Z731&lt;=2,"&lt;=2 d",IF(Z731&lt;=7,"3-7 d",IF(Z731&lt;=30,"8-30 d","&gt;30 d"))),IF(AE731&lt;&gt;"",AE731,IF(Z731="NR","NR","")))</f>
        <v/>
      </c>
      <c r="AX731" s="9">
        <f>IF(ISNUMBER(AW731),IF(AW731&gt;450,"Yes","No"),IF(AW731="NR","NR",""))</f>
        <v/>
      </c>
      <c r="BJ731" s="9">
        <f>IF(BB731="","",IF(BB731="Non-viable","Non-viable",IF(BB731="Viable","Viable",IF(BB731="Partially non-viable",IF(OR(BD731="Total splenectomy",BD731="Partial splenectomy +/- splenopexy"),"Non-viable","Review"),IF(BB731="NR",IF(OR(BD731="Total splenectomy",BD731="Partial splenectomy +/- splenopexy"),"NR - removed, check reason","NR"),"Not applicable")))))</f>
        <v/>
      </c>
    </row>
    <row r="732">
      <c r="D732" s="8" t="n"/>
      <c r="E732" s="9">
        <f>IF(B732="","",IF(B732="OWN","Yes","No"))</f>
        <v/>
      </c>
      <c r="AF732" s="9">
        <f>IF(ISNUMBER(Z732),IF(Z732&lt;=2,"&lt;=2 d",IF(Z732&lt;=7,"3-7 d",IF(Z732&lt;=30,"8-30 d","&gt;30 d"))),IF(AE732&lt;&gt;"",AE732,IF(Z732="NR","NR","")))</f>
        <v/>
      </c>
      <c r="AX732" s="9">
        <f>IF(ISNUMBER(AW732),IF(AW732&gt;450,"Yes","No"),IF(AW732="NR","NR",""))</f>
        <v/>
      </c>
      <c r="BJ732" s="9">
        <f>IF(BB732="","",IF(BB732="Non-viable","Non-viable",IF(BB732="Viable","Viable",IF(BB732="Partially non-viable",IF(OR(BD732="Total splenectomy",BD732="Partial splenectomy +/- splenopexy"),"Non-viable","Review"),IF(BB732="NR",IF(OR(BD732="Total splenectomy",BD732="Partial splenectomy +/- splenopexy"),"NR - removed, check reason","NR"),"Not applicable")))))</f>
        <v/>
      </c>
    </row>
    <row r="733">
      <c r="D733" s="8" t="n"/>
      <c r="E733" s="9">
        <f>IF(B733="","",IF(B733="OWN","Yes","No"))</f>
        <v/>
      </c>
      <c r="AF733" s="9">
        <f>IF(ISNUMBER(Z733),IF(Z733&lt;=2,"&lt;=2 d",IF(Z733&lt;=7,"3-7 d",IF(Z733&lt;=30,"8-30 d","&gt;30 d"))),IF(AE733&lt;&gt;"",AE733,IF(Z733="NR","NR","")))</f>
        <v/>
      </c>
      <c r="AX733" s="9">
        <f>IF(ISNUMBER(AW733),IF(AW733&gt;450,"Yes","No"),IF(AW733="NR","NR",""))</f>
        <v/>
      </c>
      <c r="BJ733" s="9">
        <f>IF(BB733="","",IF(BB733="Non-viable","Non-viable",IF(BB733="Viable","Viable",IF(BB733="Partially non-viable",IF(OR(BD733="Total splenectomy",BD733="Partial splenectomy +/- splenopexy"),"Non-viable","Review"),IF(BB733="NR",IF(OR(BD733="Total splenectomy",BD733="Partial splenectomy +/- splenopexy"),"NR - removed, check reason","NR"),"Not applicable")))))</f>
        <v/>
      </c>
    </row>
    <row r="734">
      <c r="D734" s="8" t="n"/>
      <c r="E734" s="9">
        <f>IF(B734="","",IF(B734="OWN","Yes","No"))</f>
        <v/>
      </c>
      <c r="AF734" s="9">
        <f>IF(ISNUMBER(Z734),IF(Z734&lt;=2,"&lt;=2 d",IF(Z734&lt;=7,"3-7 d",IF(Z734&lt;=30,"8-30 d","&gt;30 d"))),IF(AE734&lt;&gt;"",AE734,IF(Z734="NR","NR","")))</f>
        <v/>
      </c>
      <c r="AX734" s="9">
        <f>IF(ISNUMBER(AW734),IF(AW734&gt;450,"Yes","No"),IF(AW734="NR","NR",""))</f>
        <v/>
      </c>
      <c r="BJ734" s="9">
        <f>IF(BB734="","",IF(BB734="Non-viable","Non-viable",IF(BB734="Viable","Viable",IF(BB734="Partially non-viable",IF(OR(BD734="Total splenectomy",BD734="Partial splenectomy +/- splenopexy"),"Non-viable","Review"),IF(BB734="NR",IF(OR(BD734="Total splenectomy",BD734="Partial splenectomy +/- splenopexy"),"NR - removed, check reason","NR"),"Not applicable")))))</f>
        <v/>
      </c>
    </row>
    <row r="735">
      <c r="D735" s="8" t="n"/>
      <c r="E735" s="9">
        <f>IF(B735="","",IF(B735="OWN","Yes","No"))</f>
        <v/>
      </c>
      <c r="AF735" s="9">
        <f>IF(ISNUMBER(Z735),IF(Z735&lt;=2,"&lt;=2 d",IF(Z735&lt;=7,"3-7 d",IF(Z735&lt;=30,"8-30 d","&gt;30 d"))),IF(AE735&lt;&gt;"",AE735,IF(Z735="NR","NR","")))</f>
        <v/>
      </c>
      <c r="AX735" s="9">
        <f>IF(ISNUMBER(AW735),IF(AW735&gt;450,"Yes","No"),IF(AW735="NR","NR",""))</f>
        <v/>
      </c>
      <c r="BJ735" s="9">
        <f>IF(BB735="","",IF(BB735="Non-viable","Non-viable",IF(BB735="Viable","Viable",IF(BB735="Partially non-viable",IF(OR(BD735="Total splenectomy",BD735="Partial splenectomy +/- splenopexy"),"Non-viable","Review"),IF(BB735="NR",IF(OR(BD735="Total splenectomy",BD735="Partial splenectomy +/- splenopexy"),"NR - removed, check reason","NR"),"Not applicable")))))</f>
        <v/>
      </c>
    </row>
    <row r="736">
      <c r="D736" s="8" t="n"/>
      <c r="E736" s="9">
        <f>IF(B736="","",IF(B736="OWN","Yes","No"))</f>
        <v/>
      </c>
      <c r="AF736" s="9">
        <f>IF(ISNUMBER(Z736),IF(Z736&lt;=2,"&lt;=2 d",IF(Z736&lt;=7,"3-7 d",IF(Z736&lt;=30,"8-30 d","&gt;30 d"))),IF(AE736&lt;&gt;"",AE736,IF(Z736="NR","NR","")))</f>
        <v/>
      </c>
      <c r="AX736" s="9">
        <f>IF(ISNUMBER(AW736),IF(AW736&gt;450,"Yes","No"),IF(AW736="NR","NR",""))</f>
        <v/>
      </c>
      <c r="BJ736" s="9">
        <f>IF(BB736="","",IF(BB736="Non-viable","Non-viable",IF(BB736="Viable","Viable",IF(BB736="Partially non-viable",IF(OR(BD736="Total splenectomy",BD736="Partial splenectomy +/- splenopexy"),"Non-viable","Review"),IF(BB736="NR",IF(OR(BD736="Total splenectomy",BD736="Partial splenectomy +/- splenopexy"),"NR - removed, check reason","NR"),"Not applicable")))))</f>
        <v/>
      </c>
    </row>
    <row r="737">
      <c r="D737" s="8" t="n"/>
      <c r="E737" s="9">
        <f>IF(B737="","",IF(B737="OWN","Yes","No"))</f>
        <v/>
      </c>
      <c r="AF737" s="9">
        <f>IF(ISNUMBER(Z737),IF(Z737&lt;=2,"&lt;=2 d",IF(Z737&lt;=7,"3-7 d",IF(Z737&lt;=30,"8-30 d","&gt;30 d"))),IF(AE737&lt;&gt;"",AE737,IF(Z737="NR","NR","")))</f>
        <v/>
      </c>
      <c r="AX737" s="9">
        <f>IF(ISNUMBER(AW737),IF(AW737&gt;450,"Yes","No"),IF(AW737="NR","NR",""))</f>
        <v/>
      </c>
      <c r="BJ737" s="9">
        <f>IF(BB737="","",IF(BB737="Non-viable","Non-viable",IF(BB737="Viable","Viable",IF(BB737="Partially non-viable",IF(OR(BD737="Total splenectomy",BD737="Partial splenectomy +/- splenopexy"),"Non-viable","Review"),IF(BB737="NR",IF(OR(BD737="Total splenectomy",BD737="Partial splenectomy +/- splenopexy"),"NR - removed, check reason","NR"),"Not applicable")))))</f>
        <v/>
      </c>
    </row>
    <row r="738">
      <c r="D738" s="8" t="n"/>
      <c r="E738" s="9">
        <f>IF(B738="","",IF(B738="OWN","Yes","No"))</f>
        <v/>
      </c>
      <c r="AF738" s="9">
        <f>IF(ISNUMBER(Z738),IF(Z738&lt;=2,"&lt;=2 d",IF(Z738&lt;=7,"3-7 d",IF(Z738&lt;=30,"8-30 d","&gt;30 d"))),IF(AE738&lt;&gt;"",AE738,IF(Z738="NR","NR","")))</f>
        <v/>
      </c>
      <c r="AX738" s="9">
        <f>IF(ISNUMBER(AW738),IF(AW738&gt;450,"Yes","No"),IF(AW738="NR","NR",""))</f>
        <v/>
      </c>
      <c r="BJ738" s="9">
        <f>IF(BB738="","",IF(BB738="Non-viable","Non-viable",IF(BB738="Viable","Viable",IF(BB738="Partially non-viable",IF(OR(BD738="Total splenectomy",BD738="Partial splenectomy +/- splenopexy"),"Non-viable","Review"),IF(BB738="NR",IF(OR(BD738="Total splenectomy",BD738="Partial splenectomy +/- splenopexy"),"NR - removed, check reason","NR"),"Not applicable")))))</f>
        <v/>
      </c>
    </row>
    <row r="739">
      <c r="D739" s="8" t="n"/>
      <c r="E739" s="9">
        <f>IF(B739="","",IF(B739="OWN","Yes","No"))</f>
        <v/>
      </c>
      <c r="AF739" s="9">
        <f>IF(ISNUMBER(Z739),IF(Z739&lt;=2,"&lt;=2 d",IF(Z739&lt;=7,"3-7 d",IF(Z739&lt;=30,"8-30 d","&gt;30 d"))),IF(AE739&lt;&gt;"",AE739,IF(Z739="NR","NR","")))</f>
        <v/>
      </c>
      <c r="AX739" s="9">
        <f>IF(ISNUMBER(AW739),IF(AW739&gt;450,"Yes","No"),IF(AW739="NR","NR",""))</f>
        <v/>
      </c>
      <c r="BJ739" s="9">
        <f>IF(BB739="","",IF(BB739="Non-viable","Non-viable",IF(BB739="Viable","Viable",IF(BB739="Partially non-viable",IF(OR(BD739="Total splenectomy",BD739="Partial splenectomy +/- splenopexy"),"Non-viable","Review"),IF(BB739="NR",IF(OR(BD739="Total splenectomy",BD739="Partial splenectomy +/- splenopexy"),"NR - removed, check reason","NR"),"Not applicable")))))</f>
        <v/>
      </c>
    </row>
    <row r="740">
      <c r="D740" s="8" t="n"/>
      <c r="E740" s="9">
        <f>IF(B740="","",IF(B740="OWN","Yes","No"))</f>
        <v/>
      </c>
      <c r="AF740" s="9">
        <f>IF(ISNUMBER(Z740),IF(Z740&lt;=2,"&lt;=2 d",IF(Z740&lt;=7,"3-7 d",IF(Z740&lt;=30,"8-30 d","&gt;30 d"))),IF(AE740&lt;&gt;"",AE740,IF(Z740="NR","NR","")))</f>
        <v/>
      </c>
      <c r="AX740" s="9">
        <f>IF(ISNUMBER(AW740),IF(AW740&gt;450,"Yes","No"),IF(AW740="NR","NR",""))</f>
        <v/>
      </c>
      <c r="BJ740" s="9">
        <f>IF(BB740="","",IF(BB740="Non-viable","Non-viable",IF(BB740="Viable","Viable",IF(BB740="Partially non-viable",IF(OR(BD740="Total splenectomy",BD740="Partial splenectomy +/- splenopexy"),"Non-viable","Review"),IF(BB740="NR",IF(OR(BD740="Total splenectomy",BD740="Partial splenectomy +/- splenopexy"),"NR - removed, check reason","NR"),"Not applicable")))))</f>
        <v/>
      </c>
    </row>
    <row r="741">
      <c r="D741" s="8" t="n"/>
      <c r="E741" s="9">
        <f>IF(B741="","",IF(B741="OWN","Yes","No"))</f>
        <v/>
      </c>
      <c r="AF741" s="9">
        <f>IF(ISNUMBER(Z741),IF(Z741&lt;=2,"&lt;=2 d",IF(Z741&lt;=7,"3-7 d",IF(Z741&lt;=30,"8-30 d","&gt;30 d"))),IF(AE741&lt;&gt;"",AE741,IF(Z741="NR","NR","")))</f>
        <v/>
      </c>
      <c r="AX741" s="9">
        <f>IF(ISNUMBER(AW741),IF(AW741&gt;450,"Yes","No"),IF(AW741="NR","NR",""))</f>
        <v/>
      </c>
      <c r="BJ741" s="9">
        <f>IF(BB741="","",IF(BB741="Non-viable","Non-viable",IF(BB741="Viable","Viable",IF(BB741="Partially non-viable",IF(OR(BD741="Total splenectomy",BD741="Partial splenectomy +/- splenopexy"),"Non-viable","Review"),IF(BB741="NR",IF(OR(BD741="Total splenectomy",BD741="Partial splenectomy +/- splenopexy"),"NR - removed, check reason","NR"),"Not applicable")))))</f>
        <v/>
      </c>
    </row>
    <row r="742">
      <c r="D742" s="8" t="n"/>
      <c r="E742" s="9">
        <f>IF(B742="","",IF(B742="OWN","Yes","No"))</f>
        <v/>
      </c>
      <c r="AF742" s="9">
        <f>IF(ISNUMBER(Z742),IF(Z742&lt;=2,"&lt;=2 d",IF(Z742&lt;=7,"3-7 d",IF(Z742&lt;=30,"8-30 d","&gt;30 d"))),IF(AE742&lt;&gt;"",AE742,IF(Z742="NR","NR","")))</f>
        <v/>
      </c>
      <c r="AX742" s="9">
        <f>IF(ISNUMBER(AW742),IF(AW742&gt;450,"Yes","No"),IF(AW742="NR","NR",""))</f>
        <v/>
      </c>
      <c r="BJ742" s="9">
        <f>IF(BB742="","",IF(BB742="Non-viable","Non-viable",IF(BB742="Viable","Viable",IF(BB742="Partially non-viable",IF(OR(BD742="Total splenectomy",BD742="Partial splenectomy +/- splenopexy"),"Non-viable","Review"),IF(BB742="NR",IF(OR(BD742="Total splenectomy",BD742="Partial splenectomy +/- splenopexy"),"NR - removed, check reason","NR"),"Not applicable")))))</f>
        <v/>
      </c>
    </row>
    <row r="743">
      <c r="D743" s="8" t="n"/>
      <c r="E743" s="9">
        <f>IF(B743="","",IF(B743="OWN","Yes","No"))</f>
        <v/>
      </c>
      <c r="AF743" s="9">
        <f>IF(ISNUMBER(Z743),IF(Z743&lt;=2,"&lt;=2 d",IF(Z743&lt;=7,"3-7 d",IF(Z743&lt;=30,"8-30 d","&gt;30 d"))),IF(AE743&lt;&gt;"",AE743,IF(Z743="NR","NR","")))</f>
        <v/>
      </c>
      <c r="AX743" s="9">
        <f>IF(ISNUMBER(AW743),IF(AW743&gt;450,"Yes","No"),IF(AW743="NR","NR",""))</f>
        <v/>
      </c>
      <c r="BJ743" s="9">
        <f>IF(BB743="","",IF(BB743="Non-viable","Non-viable",IF(BB743="Viable","Viable",IF(BB743="Partially non-viable",IF(OR(BD743="Total splenectomy",BD743="Partial splenectomy +/- splenopexy"),"Non-viable","Review"),IF(BB743="NR",IF(OR(BD743="Total splenectomy",BD743="Partial splenectomy +/- splenopexy"),"NR - removed, check reason","NR"),"Not applicable")))))</f>
        <v/>
      </c>
    </row>
    <row r="744">
      <c r="D744" s="8" t="n"/>
      <c r="E744" s="9">
        <f>IF(B744="","",IF(B744="OWN","Yes","No"))</f>
        <v/>
      </c>
      <c r="AF744" s="9">
        <f>IF(ISNUMBER(Z744),IF(Z744&lt;=2,"&lt;=2 d",IF(Z744&lt;=7,"3-7 d",IF(Z744&lt;=30,"8-30 d","&gt;30 d"))),IF(AE744&lt;&gt;"",AE744,IF(Z744="NR","NR","")))</f>
        <v/>
      </c>
      <c r="AX744" s="9">
        <f>IF(ISNUMBER(AW744),IF(AW744&gt;450,"Yes","No"),IF(AW744="NR","NR",""))</f>
        <v/>
      </c>
      <c r="BJ744" s="9">
        <f>IF(BB744="","",IF(BB744="Non-viable","Non-viable",IF(BB744="Viable","Viable",IF(BB744="Partially non-viable",IF(OR(BD744="Total splenectomy",BD744="Partial splenectomy +/- splenopexy"),"Non-viable","Review"),IF(BB744="NR",IF(OR(BD744="Total splenectomy",BD744="Partial splenectomy +/- splenopexy"),"NR - removed, check reason","NR"),"Not applicable")))))</f>
        <v/>
      </c>
    </row>
    <row r="745">
      <c r="D745" s="8" t="n"/>
      <c r="E745" s="9">
        <f>IF(B745="","",IF(B745="OWN","Yes","No"))</f>
        <v/>
      </c>
      <c r="AF745" s="9">
        <f>IF(ISNUMBER(Z745),IF(Z745&lt;=2,"&lt;=2 d",IF(Z745&lt;=7,"3-7 d",IF(Z745&lt;=30,"8-30 d","&gt;30 d"))),IF(AE745&lt;&gt;"",AE745,IF(Z745="NR","NR","")))</f>
        <v/>
      </c>
      <c r="AX745" s="9">
        <f>IF(ISNUMBER(AW745),IF(AW745&gt;450,"Yes","No"),IF(AW745="NR","NR",""))</f>
        <v/>
      </c>
      <c r="BJ745" s="9">
        <f>IF(BB745="","",IF(BB745="Non-viable","Non-viable",IF(BB745="Viable","Viable",IF(BB745="Partially non-viable",IF(OR(BD745="Total splenectomy",BD745="Partial splenectomy +/- splenopexy"),"Non-viable","Review"),IF(BB745="NR",IF(OR(BD745="Total splenectomy",BD745="Partial splenectomy +/- splenopexy"),"NR - removed, check reason","NR"),"Not applicable")))))</f>
        <v/>
      </c>
    </row>
    <row r="746">
      <c r="D746" s="8" t="n"/>
      <c r="E746" s="9">
        <f>IF(B746="","",IF(B746="OWN","Yes","No"))</f>
        <v/>
      </c>
      <c r="AF746" s="9">
        <f>IF(ISNUMBER(Z746),IF(Z746&lt;=2,"&lt;=2 d",IF(Z746&lt;=7,"3-7 d",IF(Z746&lt;=30,"8-30 d","&gt;30 d"))),IF(AE746&lt;&gt;"",AE746,IF(Z746="NR","NR","")))</f>
        <v/>
      </c>
      <c r="AX746" s="9">
        <f>IF(ISNUMBER(AW746),IF(AW746&gt;450,"Yes","No"),IF(AW746="NR","NR",""))</f>
        <v/>
      </c>
      <c r="BJ746" s="9">
        <f>IF(BB746="","",IF(BB746="Non-viable","Non-viable",IF(BB746="Viable","Viable",IF(BB746="Partially non-viable",IF(OR(BD746="Total splenectomy",BD746="Partial splenectomy +/- splenopexy"),"Non-viable","Review"),IF(BB746="NR",IF(OR(BD746="Total splenectomy",BD746="Partial splenectomy +/- splenopexy"),"NR - removed, check reason","NR"),"Not applicable")))))</f>
        <v/>
      </c>
    </row>
    <row r="747">
      <c r="D747" s="8" t="n"/>
      <c r="E747" s="9">
        <f>IF(B747="","",IF(B747="OWN","Yes","No"))</f>
        <v/>
      </c>
      <c r="AF747" s="9">
        <f>IF(ISNUMBER(Z747),IF(Z747&lt;=2,"&lt;=2 d",IF(Z747&lt;=7,"3-7 d",IF(Z747&lt;=30,"8-30 d","&gt;30 d"))),IF(AE747&lt;&gt;"",AE747,IF(Z747="NR","NR","")))</f>
        <v/>
      </c>
      <c r="AX747" s="9">
        <f>IF(ISNUMBER(AW747),IF(AW747&gt;450,"Yes","No"),IF(AW747="NR","NR",""))</f>
        <v/>
      </c>
      <c r="BJ747" s="9">
        <f>IF(BB747="","",IF(BB747="Non-viable","Non-viable",IF(BB747="Viable","Viable",IF(BB747="Partially non-viable",IF(OR(BD747="Total splenectomy",BD747="Partial splenectomy +/- splenopexy"),"Non-viable","Review"),IF(BB747="NR",IF(OR(BD747="Total splenectomy",BD747="Partial splenectomy +/- splenopexy"),"NR - removed, check reason","NR"),"Not applicable")))))</f>
        <v/>
      </c>
    </row>
    <row r="748">
      <c r="D748" s="8" t="n"/>
      <c r="E748" s="9">
        <f>IF(B748="","",IF(B748="OWN","Yes","No"))</f>
        <v/>
      </c>
      <c r="AF748" s="9">
        <f>IF(ISNUMBER(Z748),IF(Z748&lt;=2,"&lt;=2 d",IF(Z748&lt;=7,"3-7 d",IF(Z748&lt;=30,"8-30 d","&gt;30 d"))),IF(AE748&lt;&gt;"",AE748,IF(Z748="NR","NR","")))</f>
        <v/>
      </c>
      <c r="AX748" s="9">
        <f>IF(ISNUMBER(AW748),IF(AW748&gt;450,"Yes","No"),IF(AW748="NR","NR",""))</f>
        <v/>
      </c>
      <c r="BJ748" s="9">
        <f>IF(BB748="","",IF(BB748="Non-viable","Non-viable",IF(BB748="Viable","Viable",IF(BB748="Partially non-viable",IF(OR(BD748="Total splenectomy",BD748="Partial splenectomy +/- splenopexy"),"Non-viable","Review"),IF(BB748="NR",IF(OR(BD748="Total splenectomy",BD748="Partial splenectomy +/- splenopexy"),"NR - removed, check reason","NR"),"Not applicable")))))</f>
        <v/>
      </c>
    </row>
    <row r="749">
      <c r="D749" s="8" t="n"/>
      <c r="E749" s="9">
        <f>IF(B749="","",IF(B749="OWN","Yes","No"))</f>
        <v/>
      </c>
      <c r="AF749" s="9">
        <f>IF(ISNUMBER(Z749),IF(Z749&lt;=2,"&lt;=2 d",IF(Z749&lt;=7,"3-7 d",IF(Z749&lt;=30,"8-30 d","&gt;30 d"))),IF(AE749&lt;&gt;"",AE749,IF(Z749="NR","NR","")))</f>
        <v/>
      </c>
      <c r="AX749" s="9">
        <f>IF(ISNUMBER(AW749),IF(AW749&gt;450,"Yes","No"),IF(AW749="NR","NR",""))</f>
        <v/>
      </c>
      <c r="BJ749" s="9">
        <f>IF(BB749="","",IF(BB749="Non-viable","Non-viable",IF(BB749="Viable","Viable",IF(BB749="Partially non-viable",IF(OR(BD749="Total splenectomy",BD749="Partial splenectomy +/- splenopexy"),"Non-viable","Review"),IF(BB749="NR",IF(OR(BD749="Total splenectomy",BD749="Partial splenectomy +/- splenopexy"),"NR - removed, check reason","NR"),"Not applicable")))))</f>
        <v/>
      </c>
    </row>
    <row r="750">
      <c r="D750" s="8" t="n"/>
      <c r="E750" s="9">
        <f>IF(B750="","",IF(B750="OWN","Yes","No"))</f>
        <v/>
      </c>
      <c r="AF750" s="9">
        <f>IF(ISNUMBER(Z750),IF(Z750&lt;=2,"&lt;=2 d",IF(Z750&lt;=7,"3-7 d",IF(Z750&lt;=30,"8-30 d","&gt;30 d"))),IF(AE750&lt;&gt;"",AE750,IF(Z750="NR","NR","")))</f>
        <v/>
      </c>
      <c r="AX750" s="9">
        <f>IF(ISNUMBER(AW750),IF(AW750&gt;450,"Yes","No"),IF(AW750="NR","NR",""))</f>
        <v/>
      </c>
      <c r="BJ750" s="9">
        <f>IF(BB750="","",IF(BB750="Non-viable","Non-viable",IF(BB750="Viable","Viable",IF(BB750="Partially non-viable",IF(OR(BD750="Total splenectomy",BD750="Partial splenectomy +/- splenopexy"),"Non-viable","Review"),IF(BB750="NR",IF(OR(BD750="Total splenectomy",BD750="Partial splenectomy +/- splenopexy"),"NR - removed, check reason","NR"),"Not applicable")))))</f>
        <v/>
      </c>
    </row>
    <row r="751">
      <c r="D751" s="8" t="n"/>
      <c r="E751" s="9">
        <f>IF(B751="","",IF(B751="OWN","Yes","No"))</f>
        <v/>
      </c>
      <c r="AF751" s="9">
        <f>IF(ISNUMBER(Z751),IF(Z751&lt;=2,"&lt;=2 d",IF(Z751&lt;=7,"3-7 d",IF(Z751&lt;=30,"8-30 d","&gt;30 d"))),IF(AE751&lt;&gt;"",AE751,IF(Z751="NR","NR","")))</f>
        <v/>
      </c>
      <c r="AX751" s="9">
        <f>IF(ISNUMBER(AW751),IF(AW751&gt;450,"Yes","No"),IF(AW751="NR","NR",""))</f>
        <v/>
      </c>
      <c r="BJ751" s="9">
        <f>IF(BB751="","",IF(BB751="Non-viable","Non-viable",IF(BB751="Viable","Viable",IF(BB751="Partially non-viable",IF(OR(BD751="Total splenectomy",BD751="Partial splenectomy +/- splenopexy"),"Non-viable","Review"),IF(BB751="NR",IF(OR(BD751="Total splenectomy",BD751="Partial splenectomy +/- splenopexy"),"NR - removed, check reason","NR"),"Not applicable")))))</f>
        <v/>
      </c>
    </row>
    <row r="752">
      <c r="D752" s="8" t="n"/>
      <c r="E752" s="9">
        <f>IF(B752="","",IF(B752="OWN","Yes","No"))</f>
        <v/>
      </c>
      <c r="AF752" s="9">
        <f>IF(ISNUMBER(Z752),IF(Z752&lt;=2,"&lt;=2 d",IF(Z752&lt;=7,"3-7 d",IF(Z752&lt;=30,"8-30 d","&gt;30 d"))),IF(AE752&lt;&gt;"",AE752,IF(Z752="NR","NR","")))</f>
        <v/>
      </c>
      <c r="AX752" s="9">
        <f>IF(ISNUMBER(AW752),IF(AW752&gt;450,"Yes","No"),IF(AW752="NR","NR",""))</f>
        <v/>
      </c>
      <c r="BJ752" s="9">
        <f>IF(BB752="","",IF(BB752="Non-viable","Non-viable",IF(BB752="Viable","Viable",IF(BB752="Partially non-viable",IF(OR(BD752="Total splenectomy",BD752="Partial splenectomy +/- splenopexy"),"Non-viable","Review"),IF(BB752="NR",IF(OR(BD752="Total splenectomy",BD752="Partial splenectomy +/- splenopexy"),"NR - removed, check reason","NR"),"Not applicable")))))</f>
        <v/>
      </c>
    </row>
    <row r="753">
      <c r="D753" s="8" t="n"/>
      <c r="E753" s="9">
        <f>IF(B753="","",IF(B753="OWN","Yes","No"))</f>
        <v/>
      </c>
      <c r="AF753" s="9">
        <f>IF(ISNUMBER(Z753),IF(Z753&lt;=2,"&lt;=2 d",IF(Z753&lt;=7,"3-7 d",IF(Z753&lt;=30,"8-30 d","&gt;30 d"))),IF(AE753&lt;&gt;"",AE753,IF(Z753="NR","NR","")))</f>
        <v/>
      </c>
      <c r="AX753" s="9">
        <f>IF(ISNUMBER(AW753),IF(AW753&gt;450,"Yes","No"),IF(AW753="NR","NR",""))</f>
        <v/>
      </c>
      <c r="BJ753" s="9">
        <f>IF(BB753="","",IF(BB753="Non-viable","Non-viable",IF(BB753="Viable","Viable",IF(BB753="Partially non-viable",IF(OR(BD753="Total splenectomy",BD753="Partial splenectomy +/- splenopexy"),"Non-viable","Review"),IF(BB753="NR",IF(OR(BD753="Total splenectomy",BD753="Partial splenectomy +/- splenopexy"),"NR - removed, check reason","NR"),"Not applicable")))))</f>
        <v/>
      </c>
    </row>
    <row r="754">
      <c r="D754" s="8" t="n"/>
      <c r="E754" s="9">
        <f>IF(B754="","",IF(B754="OWN","Yes","No"))</f>
        <v/>
      </c>
      <c r="AF754" s="9">
        <f>IF(ISNUMBER(Z754),IF(Z754&lt;=2,"&lt;=2 d",IF(Z754&lt;=7,"3-7 d",IF(Z754&lt;=30,"8-30 d","&gt;30 d"))),IF(AE754&lt;&gt;"",AE754,IF(Z754="NR","NR","")))</f>
        <v/>
      </c>
      <c r="AX754" s="9">
        <f>IF(ISNUMBER(AW754),IF(AW754&gt;450,"Yes","No"),IF(AW754="NR","NR",""))</f>
        <v/>
      </c>
      <c r="BJ754" s="9">
        <f>IF(BB754="","",IF(BB754="Non-viable","Non-viable",IF(BB754="Viable","Viable",IF(BB754="Partially non-viable",IF(OR(BD754="Total splenectomy",BD754="Partial splenectomy +/- splenopexy"),"Non-viable","Review"),IF(BB754="NR",IF(OR(BD754="Total splenectomy",BD754="Partial splenectomy +/- splenopexy"),"NR - removed, check reason","NR"),"Not applicable")))))</f>
        <v/>
      </c>
    </row>
    <row r="755">
      <c r="D755" s="8" t="n"/>
      <c r="E755" s="9">
        <f>IF(B755="","",IF(B755="OWN","Yes","No"))</f>
        <v/>
      </c>
      <c r="AF755" s="9">
        <f>IF(ISNUMBER(Z755),IF(Z755&lt;=2,"&lt;=2 d",IF(Z755&lt;=7,"3-7 d",IF(Z755&lt;=30,"8-30 d","&gt;30 d"))),IF(AE755&lt;&gt;"",AE755,IF(Z755="NR","NR","")))</f>
        <v/>
      </c>
      <c r="AX755" s="9">
        <f>IF(ISNUMBER(AW755),IF(AW755&gt;450,"Yes","No"),IF(AW755="NR","NR",""))</f>
        <v/>
      </c>
      <c r="BJ755" s="9">
        <f>IF(BB755="","",IF(BB755="Non-viable","Non-viable",IF(BB755="Viable","Viable",IF(BB755="Partially non-viable",IF(OR(BD755="Total splenectomy",BD755="Partial splenectomy +/- splenopexy"),"Non-viable","Review"),IF(BB755="NR",IF(OR(BD755="Total splenectomy",BD755="Partial splenectomy +/- splenopexy"),"NR - removed, check reason","NR"),"Not applicable")))))</f>
        <v/>
      </c>
    </row>
    <row r="756">
      <c r="D756" s="8" t="n"/>
      <c r="E756" s="9">
        <f>IF(B756="","",IF(B756="OWN","Yes","No"))</f>
        <v/>
      </c>
      <c r="AF756" s="9">
        <f>IF(ISNUMBER(Z756),IF(Z756&lt;=2,"&lt;=2 d",IF(Z756&lt;=7,"3-7 d",IF(Z756&lt;=30,"8-30 d","&gt;30 d"))),IF(AE756&lt;&gt;"",AE756,IF(Z756="NR","NR","")))</f>
        <v/>
      </c>
      <c r="AX756" s="9">
        <f>IF(ISNUMBER(AW756),IF(AW756&gt;450,"Yes","No"),IF(AW756="NR","NR",""))</f>
        <v/>
      </c>
      <c r="BJ756" s="9">
        <f>IF(BB756="","",IF(BB756="Non-viable","Non-viable",IF(BB756="Viable","Viable",IF(BB756="Partially non-viable",IF(OR(BD756="Total splenectomy",BD756="Partial splenectomy +/- splenopexy"),"Non-viable","Review"),IF(BB756="NR",IF(OR(BD756="Total splenectomy",BD756="Partial splenectomy +/- splenopexy"),"NR - removed, check reason","NR"),"Not applicable")))))</f>
        <v/>
      </c>
    </row>
    <row r="757">
      <c r="D757" s="8" t="n"/>
      <c r="E757" s="9">
        <f>IF(B757="","",IF(B757="OWN","Yes","No"))</f>
        <v/>
      </c>
      <c r="AF757" s="9">
        <f>IF(ISNUMBER(Z757),IF(Z757&lt;=2,"&lt;=2 d",IF(Z757&lt;=7,"3-7 d",IF(Z757&lt;=30,"8-30 d","&gt;30 d"))),IF(AE757&lt;&gt;"",AE757,IF(Z757="NR","NR","")))</f>
        <v/>
      </c>
      <c r="AX757" s="9">
        <f>IF(ISNUMBER(AW757),IF(AW757&gt;450,"Yes","No"),IF(AW757="NR","NR",""))</f>
        <v/>
      </c>
      <c r="BJ757" s="9">
        <f>IF(BB757="","",IF(BB757="Non-viable","Non-viable",IF(BB757="Viable","Viable",IF(BB757="Partially non-viable",IF(OR(BD757="Total splenectomy",BD757="Partial splenectomy +/- splenopexy"),"Non-viable","Review"),IF(BB757="NR",IF(OR(BD757="Total splenectomy",BD757="Partial splenectomy +/- splenopexy"),"NR - removed, check reason","NR"),"Not applicable")))))</f>
        <v/>
      </c>
    </row>
    <row r="758">
      <c r="D758" s="8" t="n"/>
      <c r="E758" s="9">
        <f>IF(B758="","",IF(B758="OWN","Yes","No"))</f>
        <v/>
      </c>
      <c r="AF758" s="9">
        <f>IF(ISNUMBER(Z758),IF(Z758&lt;=2,"&lt;=2 d",IF(Z758&lt;=7,"3-7 d",IF(Z758&lt;=30,"8-30 d","&gt;30 d"))),IF(AE758&lt;&gt;"",AE758,IF(Z758="NR","NR","")))</f>
        <v/>
      </c>
      <c r="AX758" s="9">
        <f>IF(ISNUMBER(AW758),IF(AW758&gt;450,"Yes","No"),IF(AW758="NR","NR",""))</f>
        <v/>
      </c>
      <c r="BJ758" s="9">
        <f>IF(BB758="","",IF(BB758="Non-viable","Non-viable",IF(BB758="Viable","Viable",IF(BB758="Partially non-viable",IF(OR(BD758="Total splenectomy",BD758="Partial splenectomy +/- splenopexy"),"Non-viable","Review"),IF(BB758="NR",IF(OR(BD758="Total splenectomy",BD758="Partial splenectomy +/- splenopexy"),"NR - removed, check reason","NR"),"Not applicable")))))</f>
        <v/>
      </c>
    </row>
    <row r="759">
      <c r="D759" s="8" t="n"/>
      <c r="E759" s="9">
        <f>IF(B759="","",IF(B759="OWN","Yes","No"))</f>
        <v/>
      </c>
      <c r="AF759" s="9">
        <f>IF(ISNUMBER(Z759),IF(Z759&lt;=2,"&lt;=2 d",IF(Z759&lt;=7,"3-7 d",IF(Z759&lt;=30,"8-30 d","&gt;30 d"))),IF(AE759&lt;&gt;"",AE759,IF(Z759="NR","NR","")))</f>
        <v/>
      </c>
      <c r="AX759" s="9">
        <f>IF(ISNUMBER(AW759),IF(AW759&gt;450,"Yes","No"),IF(AW759="NR","NR",""))</f>
        <v/>
      </c>
      <c r="BJ759" s="9">
        <f>IF(BB759="","",IF(BB759="Non-viable","Non-viable",IF(BB759="Viable","Viable",IF(BB759="Partially non-viable",IF(OR(BD759="Total splenectomy",BD759="Partial splenectomy +/- splenopexy"),"Non-viable","Review"),IF(BB759="NR",IF(OR(BD759="Total splenectomy",BD759="Partial splenectomy +/- splenopexy"),"NR - removed, check reason","NR"),"Not applicable")))))</f>
        <v/>
      </c>
    </row>
    <row r="760">
      <c r="D760" s="8" t="n"/>
      <c r="E760" s="9">
        <f>IF(B760="","",IF(B760="OWN","Yes","No"))</f>
        <v/>
      </c>
      <c r="AF760" s="9">
        <f>IF(ISNUMBER(Z760),IF(Z760&lt;=2,"&lt;=2 d",IF(Z760&lt;=7,"3-7 d",IF(Z760&lt;=30,"8-30 d","&gt;30 d"))),IF(AE760&lt;&gt;"",AE760,IF(Z760="NR","NR","")))</f>
        <v/>
      </c>
      <c r="AX760" s="9">
        <f>IF(ISNUMBER(AW760),IF(AW760&gt;450,"Yes","No"),IF(AW760="NR","NR",""))</f>
        <v/>
      </c>
      <c r="BJ760" s="9">
        <f>IF(BB760="","",IF(BB760="Non-viable","Non-viable",IF(BB760="Viable","Viable",IF(BB760="Partially non-viable",IF(OR(BD760="Total splenectomy",BD760="Partial splenectomy +/- splenopexy"),"Non-viable","Review"),IF(BB760="NR",IF(OR(BD760="Total splenectomy",BD760="Partial splenectomy +/- splenopexy"),"NR - removed, check reason","NR"),"Not applicable")))))</f>
        <v/>
      </c>
    </row>
    <row r="761">
      <c r="D761" s="8" t="n"/>
      <c r="E761" s="9">
        <f>IF(B761="","",IF(B761="OWN","Yes","No"))</f>
        <v/>
      </c>
      <c r="AF761" s="9">
        <f>IF(ISNUMBER(Z761),IF(Z761&lt;=2,"&lt;=2 d",IF(Z761&lt;=7,"3-7 d",IF(Z761&lt;=30,"8-30 d","&gt;30 d"))),IF(AE761&lt;&gt;"",AE761,IF(Z761="NR","NR","")))</f>
        <v/>
      </c>
      <c r="AX761" s="9">
        <f>IF(ISNUMBER(AW761),IF(AW761&gt;450,"Yes","No"),IF(AW761="NR","NR",""))</f>
        <v/>
      </c>
      <c r="BJ761" s="9">
        <f>IF(BB761="","",IF(BB761="Non-viable","Non-viable",IF(BB761="Viable","Viable",IF(BB761="Partially non-viable",IF(OR(BD761="Total splenectomy",BD761="Partial splenectomy +/- splenopexy"),"Non-viable","Review"),IF(BB761="NR",IF(OR(BD761="Total splenectomy",BD761="Partial splenectomy +/- splenopexy"),"NR - removed, check reason","NR"),"Not applicable")))))</f>
        <v/>
      </c>
    </row>
    <row r="762">
      <c r="D762" s="8" t="n"/>
      <c r="E762" s="9">
        <f>IF(B762="","",IF(B762="OWN","Yes","No"))</f>
        <v/>
      </c>
      <c r="AF762" s="9">
        <f>IF(ISNUMBER(Z762),IF(Z762&lt;=2,"&lt;=2 d",IF(Z762&lt;=7,"3-7 d",IF(Z762&lt;=30,"8-30 d","&gt;30 d"))),IF(AE762&lt;&gt;"",AE762,IF(Z762="NR","NR","")))</f>
        <v/>
      </c>
      <c r="AX762" s="9">
        <f>IF(ISNUMBER(AW762),IF(AW762&gt;450,"Yes","No"),IF(AW762="NR","NR",""))</f>
        <v/>
      </c>
      <c r="BJ762" s="9">
        <f>IF(BB762="","",IF(BB762="Non-viable","Non-viable",IF(BB762="Viable","Viable",IF(BB762="Partially non-viable",IF(OR(BD762="Total splenectomy",BD762="Partial splenectomy +/- splenopexy"),"Non-viable","Review"),IF(BB762="NR",IF(OR(BD762="Total splenectomy",BD762="Partial splenectomy +/- splenopexy"),"NR - removed, check reason","NR"),"Not applicable")))))</f>
        <v/>
      </c>
    </row>
    <row r="763">
      <c r="D763" s="8" t="n"/>
      <c r="E763" s="9">
        <f>IF(B763="","",IF(B763="OWN","Yes","No"))</f>
        <v/>
      </c>
      <c r="AF763" s="9">
        <f>IF(ISNUMBER(Z763),IF(Z763&lt;=2,"&lt;=2 d",IF(Z763&lt;=7,"3-7 d",IF(Z763&lt;=30,"8-30 d","&gt;30 d"))),IF(AE763&lt;&gt;"",AE763,IF(Z763="NR","NR","")))</f>
        <v/>
      </c>
      <c r="AX763" s="9">
        <f>IF(ISNUMBER(AW763),IF(AW763&gt;450,"Yes","No"),IF(AW763="NR","NR",""))</f>
        <v/>
      </c>
      <c r="BJ763" s="9">
        <f>IF(BB763="","",IF(BB763="Non-viable","Non-viable",IF(BB763="Viable","Viable",IF(BB763="Partially non-viable",IF(OR(BD763="Total splenectomy",BD763="Partial splenectomy +/- splenopexy"),"Non-viable","Review"),IF(BB763="NR",IF(OR(BD763="Total splenectomy",BD763="Partial splenectomy +/- splenopexy"),"NR - removed, check reason","NR"),"Not applicable")))))</f>
        <v/>
      </c>
    </row>
    <row r="764">
      <c r="D764" s="8" t="n"/>
      <c r="E764" s="9">
        <f>IF(B764="","",IF(B764="OWN","Yes","No"))</f>
        <v/>
      </c>
      <c r="AF764" s="9">
        <f>IF(ISNUMBER(Z764),IF(Z764&lt;=2,"&lt;=2 d",IF(Z764&lt;=7,"3-7 d",IF(Z764&lt;=30,"8-30 d","&gt;30 d"))),IF(AE764&lt;&gt;"",AE764,IF(Z764="NR","NR","")))</f>
        <v/>
      </c>
      <c r="AX764" s="9">
        <f>IF(ISNUMBER(AW764),IF(AW764&gt;450,"Yes","No"),IF(AW764="NR","NR",""))</f>
        <v/>
      </c>
      <c r="BJ764" s="9">
        <f>IF(BB764="","",IF(BB764="Non-viable","Non-viable",IF(BB764="Viable","Viable",IF(BB764="Partially non-viable",IF(OR(BD764="Total splenectomy",BD764="Partial splenectomy +/- splenopexy"),"Non-viable","Review"),IF(BB764="NR",IF(OR(BD764="Total splenectomy",BD764="Partial splenectomy +/- splenopexy"),"NR - removed, check reason","NR"),"Not applicable")))))</f>
        <v/>
      </c>
    </row>
    <row r="765">
      <c r="D765" s="8" t="n"/>
      <c r="E765" s="9">
        <f>IF(B765="","",IF(B765="OWN","Yes","No"))</f>
        <v/>
      </c>
      <c r="AF765" s="9">
        <f>IF(ISNUMBER(Z765),IF(Z765&lt;=2,"&lt;=2 d",IF(Z765&lt;=7,"3-7 d",IF(Z765&lt;=30,"8-30 d","&gt;30 d"))),IF(AE765&lt;&gt;"",AE765,IF(Z765="NR","NR","")))</f>
        <v/>
      </c>
      <c r="AX765" s="9">
        <f>IF(ISNUMBER(AW765),IF(AW765&gt;450,"Yes","No"),IF(AW765="NR","NR",""))</f>
        <v/>
      </c>
      <c r="BJ765" s="9">
        <f>IF(BB765="","",IF(BB765="Non-viable","Non-viable",IF(BB765="Viable","Viable",IF(BB765="Partially non-viable",IF(OR(BD765="Total splenectomy",BD765="Partial splenectomy +/- splenopexy"),"Non-viable","Review"),IF(BB765="NR",IF(OR(BD765="Total splenectomy",BD765="Partial splenectomy +/- splenopexy"),"NR - removed, check reason","NR"),"Not applicable")))))</f>
        <v/>
      </c>
    </row>
    <row r="766">
      <c r="D766" s="8" t="n"/>
      <c r="E766" s="9">
        <f>IF(B766="","",IF(B766="OWN","Yes","No"))</f>
        <v/>
      </c>
      <c r="AF766" s="9">
        <f>IF(ISNUMBER(Z766),IF(Z766&lt;=2,"&lt;=2 d",IF(Z766&lt;=7,"3-7 d",IF(Z766&lt;=30,"8-30 d","&gt;30 d"))),IF(AE766&lt;&gt;"",AE766,IF(Z766="NR","NR","")))</f>
        <v/>
      </c>
      <c r="AX766" s="9">
        <f>IF(ISNUMBER(AW766),IF(AW766&gt;450,"Yes","No"),IF(AW766="NR","NR",""))</f>
        <v/>
      </c>
      <c r="BJ766" s="9">
        <f>IF(BB766="","",IF(BB766="Non-viable","Non-viable",IF(BB766="Viable","Viable",IF(BB766="Partially non-viable",IF(OR(BD766="Total splenectomy",BD766="Partial splenectomy +/- splenopexy"),"Non-viable","Review"),IF(BB766="NR",IF(OR(BD766="Total splenectomy",BD766="Partial splenectomy +/- splenopexy"),"NR - removed, check reason","NR"),"Not applicable")))))</f>
        <v/>
      </c>
    </row>
    <row r="767">
      <c r="D767" s="8" t="n"/>
      <c r="E767" s="9">
        <f>IF(B767="","",IF(B767="OWN","Yes","No"))</f>
        <v/>
      </c>
      <c r="AF767" s="9">
        <f>IF(ISNUMBER(Z767),IF(Z767&lt;=2,"&lt;=2 d",IF(Z767&lt;=7,"3-7 d",IF(Z767&lt;=30,"8-30 d","&gt;30 d"))),IF(AE767&lt;&gt;"",AE767,IF(Z767="NR","NR","")))</f>
        <v/>
      </c>
      <c r="AX767" s="9">
        <f>IF(ISNUMBER(AW767),IF(AW767&gt;450,"Yes","No"),IF(AW767="NR","NR",""))</f>
        <v/>
      </c>
      <c r="BJ767" s="9">
        <f>IF(BB767="","",IF(BB767="Non-viable","Non-viable",IF(BB767="Viable","Viable",IF(BB767="Partially non-viable",IF(OR(BD767="Total splenectomy",BD767="Partial splenectomy +/- splenopexy"),"Non-viable","Review"),IF(BB767="NR",IF(OR(BD767="Total splenectomy",BD767="Partial splenectomy +/- splenopexy"),"NR - removed, check reason","NR"),"Not applicable")))))</f>
        <v/>
      </c>
    </row>
    <row r="768">
      <c r="D768" s="8" t="n"/>
      <c r="E768" s="9">
        <f>IF(B768="","",IF(B768="OWN","Yes","No"))</f>
        <v/>
      </c>
      <c r="AF768" s="9">
        <f>IF(ISNUMBER(Z768),IF(Z768&lt;=2,"&lt;=2 d",IF(Z768&lt;=7,"3-7 d",IF(Z768&lt;=30,"8-30 d","&gt;30 d"))),IF(AE768&lt;&gt;"",AE768,IF(Z768="NR","NR","")))</f>
        <v/>
      </c>
      <c r="AX768" s="9">
        <f>IF(ISNUMBER(AW768),IF(AW768&gt;450,"Yes","No"),IF(AW768="NR","NR",""))</f>
        <v/>
      </c>
      <c r="BJ768" s="9">
        <f>IF(BB768="","",IF(BB768="Non-viable","Non-viable",IF(BB768="Viable","Viable",IF(BB768="Partially non-viable",IF(OR(BD768="Total splenectomy",BD768="Partial splenectomy +/- splenopexy"),"Non-viable","Review"),IF(BB768="NR",IF(OR(BD768="Total splenectomy",BD768="Partial splenectomy +/- splenopexy"),"NR - removed, check reason","NR"),"Not applicable")))))</f>
        <v/>
      </c>
    </row>
    <row r="769">
      <c r="D769" s="8" t="n"/>
      <c r="E769" s="9">
        <f>IF(B769="","",IF(B769="OWN","Yes","No"))</f>
        <v/>
      </c>
      <c r="AF769" s="9">
        <f>IF(ISNUMBER(Z769),IF(Z769&lt;=2,"&lt;=2 d",IF(Z769&lt;=7,"3-7 d",IF(Z769&lt;=30,"8-30 d","&gt;30 d"))),IF(AE769&lt;&gt;"",AE769,IF(Z769="NR","NR","")))</f>
        <v/>
      </c>
      <c r="AX769" s="9">
        <f>IF(ISNUMBER(AW769),IF(AW769&gt;450,"Yes","No"),IF(AW769="NR","NR",""))</f>
        <v/>
      </c>
      <c r="BJ769" s="9">
        <f>IF(BB769="","",IF(BB769="Non-viable","Non-viable",IF(BB769="Viable","Viable",IF(BB769="Partially non-viable",IF(OR(BD769="Total splenectomy",BD769="Partial splenectomy +/- splenopexy"),"Non-viable","Review"),IF(BB769="NR",IF(OR(BD769="Total splenectomy",BD769="Partial splenectomy +/- splenopexy"),"NR - removed, check reason","NR"),"Not applicable")))))</f>
        <v/>
      </c>
    </row>
    <row r="770">
      <c r="D770" s="8" t="n"/>
      <c r="E770" s="9">
        <f>IF(B770="","",IF(B770="OWN","Yes","No"))</f>
        <v/>
      </c>
      <c r="AF770" s="9">
        <f>IF(ISNUMBER(Z770),IF(Z770&lt;=2,"&lt;=2 d",IF(Z770&lt;=7,"3-7 d",IF(Z770&lt;=30,"8-30 d","&gt;30 d"))),IF(AE770&lt;&gt;"",AE770,IF(Z770="NR","NR","")))</f>
        <v/>
      </c>
      <c r="AX770" s="9">
        <f>IF(ISNUMBER(AW770),IF(AW770&gt;450,"Yes","No"),IF(AW770="NR","NR",""))</f>
        <v/>
      </c>
      <c r="BJ770" s="9">
        <f>IF(BB770="","",IF(BB770="Non-viable","Non-viable",IF(BB770="Viable","Viable",IF(BB770="Partially non-viable",IF(OR(BD770="Total splenectomy",BD770="Partial splenectomy +/- splenopexy"),"Non-viable","Review"),IF(BB770="NR",IF(OR(BD770="Total splenectomy",BD770="Partial splenectomy +/- splenopexy"),"NR - removed, check reason","NR"),"Not applicable")))))</f>
        <v/>
      </c>
    </row>
    <row r="771">
      <c r="D771" s="8" t="n"/>
      <c r="E771" s="9">
        <f>IF(B771="","",IF(B771="OWN","Yes","No"))</f>
        <v/>
      </c>
      <c r="AF771" s="9">
        <f>IF(ISNUMBER(Z771),IF(Z771&lt;=2,"&lt;=2 d",IF(Z771&lt;=7,"3-7 d",IF(Z771&lt;=30,"8-30 d","&gt;30 d"))),IF(AE771&lt;&gt;"",AE771,IF(Z771="NR","NR","")))</f>
        <v/>
      </c>
      <c r="AX771" s="9">
        <f>IF(ISNUMBER(AW771),IF(AW771&gt;450,"Yes","No"),IF(AW771="NR","NR",""))</f>
        <v/>
      </c>
      <c r="BJ771" s="9">
        <f>IF(BB771="","",IF(BB771="Non-viable","Non-viable",IF(BB771="Viable","Viable",IF(BB771="Partially non-viable",IF(OR(BD771="Total splenectomy",BD771="Partial splenectomy +/- splenopexy"),"Non-viable","Review"),IF(BB771="NR",IF(OR(BD771="Total splenectomy",BD771="Partial splenectomy +/- splenopexy"),"NR - removed, check reason","NR"),"Not applicable")))))</f>
        <v/>
      </c>
    </row>
    <row r="772">
      <c r="D772" s="8" t="n"/>
      <c r="E772" s="9">
        <f>IF(B772="","",IF(B772="OWN","Yes","No"))</f>
        <v/>
      </c>
      <c r="AF772" s="9">
        <f>IF(ISNUMBER(Z772),IF(Z772&lt;=2,"&lt;=2 d",IF(Z772&lt;=7,"3-7 d",IF(Z772&lt;=30,"8-30 d","&gt;30 d"))),IF(AE772&lt;&gt;"",AE772,IF(Z772="NR","NR","")))</f>
        <v/>
      </c>
      <c r="AX772" s="9">
        <f>IF(ISNUMBER(AW772),IF(AW772&gt;450,"Yes","No"),IF(AW772="NR","NR",""))</f>
        <v/>
      </c>
      <c r="BJ772" s="9">
        <f>IF(BB772="","",IF(BB772="Non-viable","Non-viable",IF(BB772="Viable","Viable",IF(BB772="Partially non-viable",IF(OR(BD772="Total splenectomy",BD772="Partial splenectomy +/- splenopexy"),"Non-viable","Review"),IF(BB772="NR",IF(OR(BD772="Total splenectomy",BD772="Partial splenectomy +/- splenopexy"),"NR - removed, check reason","NR"),"Not applicable")))))</f>
        <v/>
      </c>
    </row>
    <row r="773">
      <c r="D773" s="8" t="n"/>
      <c r="E773" s="9">
        <f>IF(B773="","",IF(B773="OWN","Yes","No"))</f>
        <v/>
      </c>
      <c r="AF773" s="9">
        <f>IF(ISNUMBER(Z773),IF(Z773&lt;=2,"&lt;=2 d",IF(Z773&lt;=7,"3-7 d",IF(Z773&lt;=30,"8-30 d","&gt;30 d"))),IF(AE773&lt;&gt;"",AE773,IF(Z773="NR","NR","")))</f>
        <v/>
      </c>
      <c r="AX773" s="9">
        <f>IF(ISNUMBER(AW773),IF(AW773&gt;450,"Yes","No"),IF(AW773="NR","NR",""))</f>
        <v/>
      </c>
      <c r="BJ773" s="9">
        <f>IF(BB773="","",IF(BB773="Non-viable","Non-viable",IF(BB773="Viable","Viable",IF(BB773="Partially non-viable",IF(OR(BD773="Total splenectomy",BD773="Partial splenectomy +/- splenopexy"),"Non-viable","Review"),IF(BB773="NR",IF(OR(BD773="Total splenectomy",BD773="Partial splenectomy +/- splenopexy"),"NR - removed, check reason","NR"),"Not applicable")))))</f>
        <v/>
      </c>
    </row>
    <row r="774">
      <c r="D774" s="8" t="n"/>
      <c r="E774" s="9">
        <f>IF(B774="","",IF(B774="OWN","Yes","No"))</f>
        <v/>
      </c>
      <c r="AF774" s="9">
        <f>IF(ISNUMBER(Z774),IF(Z774&lt;=2,"&lt;=2 d",IF(Z774&lt;=7,"3-7 d",IF(Z774&lt;=30,"8-30 d","&gt;30 d"))),IF(AE774&lt;&gt;"",AE774,IF(Z774="NR","NR","")))</f>
        <v/>
      </c>
      <c r="AX774" s="9">
        <f>IF(ISNUMBER(AW774),IF(AW774&gt;450,"Yes","No"),IF(AW774="NR","NR",""))</f>
        <v/>
      </c>
      <c r="BJ774" s="9">
        <f>IF(BB774="","",IF(BB774="Non-viable","Non-viable",IF(BB774="Viable","Viable",IF(BB774="Partially non-viable",IF(OR(BD774="Total splenectomy",BD774="Partial splenectomy +/- splenopexy"),"Non-viable","Review"),IF(BB774="NR",IF(OR(BD774="Total splenectomy",BD774="Partial splenectomy +/- splenopexy"),"NR - removed, check reason","NR"),"Not applicable")))))</f>
        <v/>
      </c>
    </row>
    <row r="775">
      <c r="D775" s="8" t="n"/>
      <c r="E775" s="9">
        <f>IF(B775="","",IF(B775="OWN","Yes","No"))</f>
        <v/>
      </c>
      <c r="AF775" s="9">
        <f>IF(ISNUMBER(Z775),IF(Z775&lt;=2,"&lt;=2 d",IF(Z775&lt;=7,"3-7 d",IF(Z775&lt;=30,"8-30 d","&gt;30 d"))),IF(AE775&lt;&gt;"",AE775,IF(Z775="NR","NR","")))</f>
        <v/>
      </c>
      <c r="AX775" s="9">
        <f>IF(ISNUMBER(AW775),IF(AW775&gt;450,"Yes","No"),IF(AW775="NR","NR",""))</f>
        <v/>
      </c>
      <c r="BJ775" s="9">
        <f>IF(BB775="","",IF(BB775="Non-viable","Non-viable",IF(BB775="Viable","Viable",IF(BB775="Partially non-viable",IF(OR(BD775="Total splenectomy",BD775="Partial splenectomy +/- splenopexy"),"Non-viable","Review"),IF(BB775="NR",IF(OR(BD775="Total splenectomy",BD775="Partial splenectomy +/- splenopexy"),"NR - removed, check reason","NR"),"Not applicable")))))</f>
        <v/>
      </c>
    </row>
    <row r="776">
      <c r="D776" s="8" t="n"/>
      <c r="E776" s="9">
        <f>IF(B776="","",IF(B776="OWN","Yes","No"))</f>
        <v/>
      </c>
      <c r="AF776" s="9">
        <f>IF(ISNUMBER(Z776),IF(Z776&lt;=2,"&lt;=2 d",IF(Z776&lt;=7,"3-7 d",IF(Z776&lt;=30,"8-30 d","&gt;30 d"))),IF(AE776&lt;&gt;"",AE776,IF(Z776="NR","NR","")))</f>
        <v/>
      </c>
      <c r="AX776" s="9">
        <f>IF(ISNUMBER(AW776),IF(AW776&gt;450,"Yes","No"),IF(AW776="NR","NR",""))</f>
        <v/>
      </c>
      <c r="BJ776" s="9">
        <f>IF(BB776="","",IF(BB776="Non-viable","Non-viable",IF(BB776="Viable","Viable",IF(BB776="Partially non-viable",IF(OR(BD776="Total splenectomy",BD776="Partial splenectomy +/- splenopexy"),"Non-viable","Review"),IF(BB776="NR",IF(OR(BD776="Total splenectomy",BD776="Partial splenectomy +/- splenopexy"),"NR - removed, check reason","NR"),"Not applicable")))))</f>
        <v/>
      </c>
    </row>
    <row r="777">
      <c r="D777" s="8" t="n"/>
      <c r="E777" s="9">
        <f>IF(B777="","",IF(B777="OWN","Yes","No"))</f>
        <v/>
      </c>
      <c r="AF777" s="9">
        <f>IF(ISNUMBER(Z777),IF(Z777&lt;=2,"&lt;=2 d",IF(Z777&lt;=7,"3-7 d",IF(Z777&lt;=30,"8-30 d","&gt;30 d"))),IF(AE777&lt;&gt;"",AE777,IF(Z777="NR","NR","")))</f>
        <v/>
      </c>
      <c r="AX777" s="9">
        <f>IF(ISNUMBER(AW777),IF(AW777&gt;450,"Yes","No"),IF(AW777="NR","NR",""))</f>
        <v/>
      </c>
      <c r="BJ777" s="9">
        <f>IF(BB777="","",IF(BB777="Non-viable","Non-viable",IF(BB777="Viable","Viable",IF(BB777="Partially non-viable",IF(OR(BD777="Total splenectomy",BD777="Partial splenectomy +/- splenopexy"),"Non-viable","Review"),IF(BB777="NR",IF(OR(BD777="Total splenectomy",BD777="Partial splenectomy +/- splenopexy"),"NR - removed, check reason","NR"),"Not applicable")))))</f>
        <v/>
      </c>
    </row>
    <row r="778">
      <c r="D778" s="8" t="n"/>
      <c r="E778" s="9">
        <f>IF(B778="","",IF(B778="OWN","Yes","No"))</f>
        <v/>
      </c>
      <c r="AF778" s="9">
        <f>IF(ISNUMBER(Z778),IF(Z778&lt;=2,"&lt;=2 d",IF(Z778&lt;=7,"3-7 d",IF(Z778&lt;=30,"8-30 d","&gt;30 d"))),IF(AE778&lt;&gt;"",AE778,IF(Z778="NR","NR","")))</f>
        <v/>
      </c>
      <c r="AX778" s="9">
        <f>IF(ISNUMBER(AW778),IF(AW778&gt;450,"Yes","No"),IF(AW778="NR","NR",""))</f>
        <v/>
      </c>
      <c r="BJ778" s="9">
        <f>IF(BB778="","",IF(BB778="Non-viable","Non-viable",IF(BB778="Viable","Viable",IF(BB778="Partially non-viable",IF(OR(BD778="Total splenectomy",BD778="Partial splenectomy +/- splenopexy"),"Non-viable","Review"),IF(BB778="NR",IF(OR(BD778="Total splenectomy",BD778="Partial splenectomy +/- splenopexy"),"NR - removed, check reason","NR"),"Not applicable")))))</f>
        <v/>
      </c>
    </row>
    <row r="779">
      <c r="D779" s="8" t="n"/>
      <c r="E779" s="9">
        <f>IF(B779="","",IF(B779="OWN","Yes","No"))</f>
        <v/>
      </c>
      <c r="AF779" s="9">
        <f>IF(ISNUMBER(Z779),IF(Z779&lt;=2,"&lt;=2 d",IF(Z779&lt;=7,"3-7 d",IF(Z779&lt;=30,"8-30 d","&gt;30 d"))),IF(AE779&lt;&gt;"",AE779,IF(Z779="NR","NR","")))</f>
        <v/>
      </c>
      <c r="AX779" s="9">
        <f>IF(ISNUMBER(AW779),IF(AW779&gt;450,"Yes","No"),IF(AW779="NR","NR",""))</f>
        <v/>
      </c>
      <c r="BJ779" s="9">
        <f>IF(BB779="","",IF(BB779="Non-viable","Non-viable",IF(BB779="Viable","Viable",IF(BB779="Partially non-viable",IF(OR(BD779="Total splenectomy",BD779="Partial splenectomy +/- splenopexy"),"Non-viable","Review"),IF(BB779="NR",IF(OR(BD779="Total splenectomy",BD779="Partial splenectomy +/- splenopexy"),"NR - removed, check reason","NR"),"Not applicable")))))</f>
        <v/>
      </c>
    </row>
    <row r="780">
      <c r="D780" s="8" t="n"/>
      <c r="E780" s="9">
        <f>IF(B780="","",IF(B780="OWN","Yes","No"))</f>
        <v/>
      </c>
      <c r="AF780" s="9">
        <f>IF(ISNUMBER(Z780),IF(Z780&lt;=2,"&lt;=2 d",IF(Z780&lt;=7,"3-7 d",IF(Z780&lt;=30,"8-30 d","&gt;30 d"))),IF(AE780&lt;&gt;"",AE780,IF(Z780="NR","NR","")))</f>
        <v/>
      </c>
      <c r="AX780" s="9">
        <f>IF(ISNUMBER(AW780),IF(AW780&gt;450,"Yes","No"),IF(AW780="NR","NR",""))</f>
        <v/>
      </c>
      <c r="BJ780" s="9">
        <f>IF(BB780="","",IF(BB780="Non-viable","Non-viable",IF(BB780="Viable","Viable",IF(BB780="Partially non-viable",IF(OR(BD780="Total splenectomy",BD780="Partial splenectomy +/- splenopexy"),"Non-viable","Review"),IF(BB780="NR",IF(OR(BD780="Total splenectomy",BD780="Partial splenectomy +/- splenopexy"),"NR - removed, check reason","NR"),"Not applicable")))))</f>
        <v/>
      </c>
    </row>
    <row r="781">
      <c r="D781" s="8" t="n"/>
      <c r="E781" s="9">
        <f>IF(B781="","",IF(B781="OWN","Yes","No"))</f>
        <v/>
      </c>
      <c r="AF781" s="9">
        <f>IF(ISNUMBER(Z781),IF(Z781&lt;=2,"&lt;=2 d",IF(Z781&lt;=7,"3-7 d",IF(Z781&lt;=30,"8-30 d","&gt;30 d"))),IF(AE781&lt;&gt;"",AE781,IF(Z781="NR","NR","")))</f>
        <v/>
      </c>
      <c r="AX781" s="9">
        <f>IF(ISNUMBER(AW781),IF(AW781&gt;450,"Yes","No"),IF(AW781="NR","NR",""))</f>
        <v/>
      </c>
      <c r="BJ781" s="9">
        <f>IF(BB781="","",IF(BB781="Non-viable","Non-viable",IF(BB781="Viable","Viable",IF(BB781="Partially non-viable",IF(OR(BD781="Total splenectomy",BD781="Partial splenectomy +/- splenopexy"),"Non-viable","Review"),IF(BB781="NR",IF(OR(BD781="Total splenectomy",BD781="Partial splenectomy +/- splenopexy"),"NR - removed, check reason","NR"),"Not applicable")))))</f>
        <v/>
      </c>
    </row>
    <row r="782">
      <c r="D782" s="8" t="n"/>
      <c r="E782" s="9">
        <f>IF(B782="","",IF(B782="OWN","Yes","No"))</f>
        <v/>
      </c>
      <c r="AF782" s="9">
        <f>IF(ISNUMBER(Z782),IF(Z782&lt;=2,"&lt;=2 d",IF(Z782&lt;=7,"3-7 d",IF(Z782&lt;=30,"8-30 d","&gt;30 d"))),IF(AE782&lt;&gt;"",AE782,IF(Z782="NR","NR","")))</f>
        <v/>
      </c>
      <c r="AX782" s="9">
        <f>IF(ISNUMBER(AW782),IF(AW782&gt;450,"Yes","No"),IF(AW782="NR","NR",""))</f>
        <v/>
      </c>
      <c r="BJ782" s="9">
        <f>IF(BB782="","",IF(BB782="Non-viable","Non-viable",IF(BB782="Viable","Viable",IF(BB782="Partially non-viable",IF(OR(BD782="Total splenectomy",BD782="Partial splenectomy +/- splenopexy"),"Non-viable","Review"),IF(BB782="NR",IF(OR(BD782="Total splenectomy",BD782="Partial splenectomy +/- splenopexy"),"NR - removed, check reason","NR"),"Not applicable")))))</f>
        <v/>
      </c>
    </row>
    <row r="783">
      <c r="D783" s="8" t="n"/>
      <c r="E783" s="9">
        <f>IF(B783="","",IF(B783="OWN","Yes","No"))</f>
        <v/>
      </c>
      <c r="AF783" s="9">
        <f>IF(ISNUMBER(Z783),IF(Z783&lt;=2,"&lt;=2 d",IF(Z783&lt;=7,"3-7 d",IF(Z783&lt;=30,"8-30 d","&gt;30 d"))),IF(AE783&lt;&gt;"",AE783,IF(Z783="NR","NR","")))</f>
        <v/>
      </c>
      <c r="AX783" s="9">
        <f>IF(ISNUMBER(AW783),IF(AW783&gt;450,"Yes","No"),IF(AW783="NR","NR",""))</f>
        <v/>
      </c>
      <c r="BJ783" s="9">
        <f>IF(BB783="","",IF(BB783="Non-viable","Non-viable",IF(BB783="Viable","Viable",IF(BB783="Partially non-viable",IF(OR(BD783="Total splenectomy",BD783="Partial splenectomy +/- splenopexy"),"Non-viable","Review"),IF(BB783="NR",IF(OR(BD783="Total splenectomy",BD783="Partial splenectomy +/- splenopexy"),"NR - removed, check reason","NR"),"Not applicable")))))</f>
        <v/>
      </c>
    </row>
    <row r="784">
      <c r="D784" s="8" t="n"/>
      <c r="E784" s="9">
        <f>IF(B784="","",IF(B784="OWN","Yes","No"))</f>
        <v/>
      </c>
      <c r="AF784" s="9">
        <f>IF(ISNUMBER(Z784),IF(Z784&lt;=2,"&lt;=2 d",IF(Z784&lt;=7,"3-7 d",IF(Z784&lt;=30,"8-30 d","&gt;30 d"))),IF(AE784&lt;&gt;"",AE784,IF(Z784="NR","NR","")))</f>
        <v/>
      </c>
      <c r="AX784" s="9">
        <f>IF(ISNUMBER(AW784),IF(AW784&gt;450,"Yes","No"),IF(AW784="NR","NR",""))</f>
        <v/>
      </c>
      <c r="BJ784" s="9">
        <f>IF(BB784="","",IF(BB784="Non-viable","Non-viable",IF(BB784="Viable","Viable",IF(BB784="Partially non-viable",IF(OR(BD784="Total splenectomy",BD784="Partial splenectomy +/- splenopexy"),"Non-viable","Review"),IF(BB784="NR",IF(OR(BD784="Total splenectomy",BD784="Partial splenectomy +/- splenopexy"),"NR - removed, check reason","NR"),"Not applicable")))))</f>
        <v/>
      </c>
    </row>
    <row r="785">
      <c r="D785" s="8" t="n"/>
      <c r="E785" s="9">
        <f>IF(B785="","",IF(B785="OWN","Yes","No"))</f>
        <v/>
      </c>
      <c r="AF785" s="9">
        <f>IF(ISNUMBER(Z785),IF(Z785&lt;=2,"&lt;=2 d",IF(Z785&lt;=7,"3-7 d",IF(Z785&lt;=30,"8-30 d","&gt;30 d"))),IF(AE785&lt;&gt;"",AE785,IF(Z785="NR","NR","")))</f>
        <v/>
      </c>
      <c r="AX785" s="9">
        <f>IF(ISNUMBER(AW785),IF(AW785&gt;450,"Yes","No"),IF(AW785="NR","NR",""))</f>
        <v/>
      </c>
      <c r="BJ785" s="9">
        <f>IF(BB785="","",IF(BB785="Non-viable","Non-viable",IF(BB785="Viable","Viable",IF(BB785="Partially non-viable",IF(OR(BD785="Total splenectomy",BD785="Partial splenectomy +/- splenopexy"),"Non-viable","Review"),IF(BB785="NR",IF(OR(BD785="Total splenectomy",BD785="Partial splenectomy +/- splenopexy"),"NR - removed, check reason","NR"),"Not applicable")))))</f>
        <v/>
      </c>
    </row>
    <row r="786">
      <c r="D786" s="8" t="n"/>
      <c r="E786" s="9">
        <f>IF(B786="","",IF(B786="OWN","Yes","No"))</f>
        <v/>
      </c>
      <c r="AF786" s="9">
        <f>IF(ISNUMBER(Z786),IF(Z786&lt;=2,"&lt;=2 d",IF(Z786&lt;=7,"3-7 d",IF(Z786&lt;=30,"8-30 d","&gt;30 d"))),IF(AE786&lt;&gt;"",AE786,IF(Z786="NR","NR","")))</f>
        <v/>
      </c>
      <c r="AX786" s="9">
        <f>IF(ISNUMBER(AW786),IF(AW786&gt;450,"Yes","No"),IF(AW786="NR","NR",""))</f>
        <v/>
      </c>
      <c r="BJ786" s="9">
        <f>IF(BB786="","",IF(BB786="Non-viable","Non-viable",IF(BB786="Viable","Viable",IF(BB786="Partially non-viable",IF(OR(BD786="Total splenectomy",BD786="Partial splenectomy +/- splenopexy"),"Non-viable","Review"),IF(BB786="NR",IF(OR(BD786="Total splenectomy",BD786="Partial splenectomy +/- splenopexy"),"NR - removed, check reason","NR"),"Not applicable")))))</f>
        <v/>
      </c>
    </row>
    <row r="787">
      <c r="D787" s="8" t="n"/>
      <c r="E787" s="9">
        <f>IF(B787="","",IF(B787="OWN","Yes","No"))</f>
        <v/>
      </c>
      <c r="AF787" s="9">
        <f>IF(ISNUMBER(Z787),IF(Z787&lt;=2,"&lt;=2 d",IF(Z787&lt;=7,"3-7 d",IF(Z787&lt;=30,"8-30 d","&gt;30 d"))),IF(AE787&lt;&gt;"",AE787,IF(Z787="NR","NR","")))</f>
        <v/>
      </c>
      <c r="AX787" s="9">
        <f>IF(ISNUMBER(AW787),IF(AW787&gt;450,"Yes","No"),IF(AW787="NR","NR",""))</f>
        <v/>
      </c>
      <c r="BJ787" s="9">
        <f>IF(BB787="","",IF(BB787="Non-viable","Non-viable",IF(BB787="Viable","Viable",IF(BB787="Partially non-viable",IF(OR(BD787="Total splenectomy",BD787="Partial splenectomy +/- splenopexy"),"Non-viable","Review"),IF(BB787="NR",IF(OR(BD787="Total splenectomy",BD787="Partial splenectomy +/- splenopexy"),"NR - removed, check reason","NR"),"Not applicable")))))</f>
        <v/>
      </c>
    </row>
    <row r="788">
      <c r="D788" s="8" t="n"/>
      <c r="E788" s="9">
        <f>IF(B788="","",IF(B788="OWN","Yes","No"))</f>
        <v/>
      </c>
      <c r="AF788" s="9">
        <f>IF(ISNUMBER(Z788),IF(Z788&lt;=2,"&lt;=2 d",IF(Z788&lt;=7,"3-7 d",IF(Z788&lt;=30,"8-30 d","&gt;30 d"))),IF(AE788&lt;&gt;"",AE788,IF(Z788="NR","NR","")))</f>
        <v/>
      </c>
      <c r="AX788" s="9">
        <f>IF(ISNUMBER(AW788),IF(AW788&gt;450,"Yes","No"),IF(AW788="NR","NR",""))</f>
        <v/>
      </c>
      <c r="BJ788" s="9">
        <f>IF(BB788="","",IF(BB788="Non-viable","Non-viable",IF(BB788="Viable","Viable",IF(BB788="Partially non-viable",IF(OR(BD788="Total splenectomy",BD788="Partial splenectomy +/- splenopexy"),"Non-viable","Review"),IF(BB788="NR",IF(OR(BD788="Total splenectomy",BD788="Partial splenectomy +/- splenopexy"),"NR - removed, check reason","NR"),"Not applicable")))))</f>
        <v/>
      </c>
    </row>
    <row r="789">
      <c r="D789" s="8" t="n"/>
      <c r="E789" s="9">
        <f>IF(B789="","",IF(B789="OWN","Yes","No"))</f>
        <v/>
      </c>
      <c r="AF789" s="9">
        <f>IF(ISNUMBER(Z789),IF(Z789&lt;=2,"&lt;=2 d",IF(Z789&lt;=7,"3-7 d",IF(Z789&lt;=30,"8-30 d","&gt;30 d"))),IF(AE789&lt;&gt;"",AE789,IF(Z789="NR","NR","")))</f>
        <v/>
      </c>
      <c r="AX789" s="9">
        <f>IF(ISNUMBER(AW789),IF(AW789&gt;450,"Yes","No"),IF(AW789="NR","NR",""))</f>
        <v/>
      </c>
      <c r="BJ789" s="9">
        <f>IF(BB789="","",IF(BB789="Non-viable","Non-viable",IF(BB789="Viable","Viable",IF(BB789="Partially non-viable",IF(OR(BD789="Total splenectomy",BD789="Partial splenectomy +/- splenopexy"),"Non-viable","Review"),IF(BB789="NR",IF(OR(BD789="Total splenectomy",BD789="Partial splenectomy +/- splenopexy"),"NR - removed, check reason","NR"),"Not applicable")))))</f>
        <v/>
      </c>
    </row>
    <row r="790">
      <c r="D790" s="8" t="n"/>
      <c r="E790" s="9">
        <f>IF(B790="","",IF(B790="OWN","Yes","No"))</f>
        <v/>
      </c>
      <c r="AF790" s="9">
        <f>IF(ISNUMBER(Z790),IF(Z790&lt;=2,"&lt;=2 d",IF(Z790&lt;=7,"3-7 d",IF(Z790&lt;=30,"8-30 d","&gt;30 d"))),IF(AE790&lt;&gt;"",AE790,IF(Z790="NR","NR","")))</f>
        <v/>
      </c>
      <c r="AX790" s="9">
        <f>IF(ISNUMBER(AW790),IF(AW790&gt;450,"Yes","No"),IF(AW790="NR","NR",""))</f>
        <v/>
      </c>
      <c r="BJ790" s="9">
        <f>IF(BB790="","",IF(BB790="Non-viable","Non-viable",IF(BB790="Viable","Viable",IF(BB790="Partially non-viable",IF(OR(BD790="Total splenectomy",BD790="Partial splenectomy +/- splenopexy"),"Non-viable","Review"),IF(BB790="NR",IF(OR(BD790="Total splenectomy",BD790="Partial splenectomy +/- splenopexy"),"NR - removed, check reason","NR"),"Not applicable")))))</f>
        <v/>
      </c>
    </row>
    <row r="791">
      <c r="D791" s="8" t="n"/>
      <c r="E791" s="9">
        <f>IF(B791="","",IF(B791="OWN","Yes","No"))</f>
        <v/>
      </c>
      <c r="AF791" s="9">
        <f>IF(ISNUMBER(Z791),IF(Z791&lt;=2,"&lt;=2 d",IF(Z791&lt;=7,"3-7 d",IF(Z791&lt;=30,"8-30 d","&gt;30 d"))),IF(AE791&lt;&gt;"",AE791,IF(Z791="NR","NR","")))</f>
        <v/>
      </c>
      <c r="AX791" s="9">
        <f>IF(ISNUMBER(AW791),IF(AW791&gt;450,"Yes","No"),IF(AW791="NR","NR",""))</f>
        <v/>
      </c>
      <c r="BJ791" s="9">
        <f>IF(BB791="","",IF(BB791="Non-viable","Non-viable",IF(BB791="Viable","Viable",IF(BB791="Partially non-viable",IF(OR(BD791="Total splenectomy",BD791="Partial splenectomy +/- splenopexy"),"Non-viable","Review"),IF(BB791="NR",IF(OR(BD791="Total splenectomy",BD791="Partial splenectomy +/- splenopexy"),"NR - removed, check reason","NR"),"Not applicable")))))</f>
        <v/>
      </c>
    </row>
    <row r="792">
      <c r="D792" s="8" t="n"/>
      <c r="E792" s="9">
        <f>IF(B792="","",IF(B792="OWN","Yes","No"))</f>
        <v/>
      </c>
      <c r="AF792" s="9">
        <f>IF(ISNUMBER(Z792),IF(Z792&lt;=2,"&lt;=2 d",IF(Z792&lt;=7,"3-7 d",IF(Z792&lt;=30,"8-30 d","&gt;30 d"))),IF(AE792&lt;&gt;"",AE792,IF(Z792="NR","NR","")))</f>
        <v/>
      </c>
      <c r="AX792" s="9">
        <f>IF(ISNUMBER(AW792),IF(AW792&gt;450,"Yes","No"),IF(AW792="NR","NR",""))</f>
        <v/>
      </c>
      <c r="BJ792" s="9">
        <f>IF(BB792="","",IF(BB792="Non-viable","Non-viable",IF(BB792="Viable","Viable",IF(BB792="Partially non-viable",IF(OR(BD792="Total splenectomy",BD792="Partial splenectomy +/- splenopexy"),"Non-viable","Review"),IF(BB792="NR",IF(OR(BD792="Total splenectomy",BD792="Partial splenectomy +/- splenopexy"),"NR - removed, check reason","NR"),"Not applicable")))))</f>
        <v/>
      </c>
    </row>
    <row r="793">
      <c r="D793" s="8" t="n"/>
      <c r="E793" s="9">
        <f>IF(B793="","",IF(B793="OWN","Yes","No"))</f>
        <v/>
      </c>
      <c r="AF793" s="9">
        <f>IF(ISNUMBER(Z793),IF(Z793&lt;=2,"&lt;=2 d",IF(Z793&lt;=7,"3-7 d",IF(Z793&lt;=30,"8-30 d","&gt;30 d"))),IF(AE793&lt;&gt;"",AE793,IF(Z793="NR","NR","")))</f>
        <v/>
      </c>
      <c r="AX793" s="9">
        <f>IF(ISNUMBER(AW793),IF(AW793&gt;450,"Yes","No"),IF(AW793="NR","NR",""))</f>
        <v/>
      </c>
      <c r="BJ793" s="9">
        <f>IF(BB793="","",IF(BB793="Non-viable","Non-viable",IF(BB793="Viable","Viable",IF(BB793="Partially non-viable",IF(OR(BD793="Total splenectomy",BD793="Partial splenectomy +/- splenopexy"),"Non-viable","Review"),IF(BB793="NR",IF(OR(BD793="Total splenectomy",BD793="Partial splenectomy +/- splenopexy"),"NR - removed, check reason","NR"),"Not applicable")))))</f>
        <v/>
      </c>
    </row>
    <row r="794">
      <c r="D794" s="8" t="n"/>
      <c r="E794" s="9">
        <f>IF(B794="","",IF(B794="OWN","Yes","No"))</f>
        <v/>
      </c>
      <c r="AF794" s="9">
        <f>IF(ISNUMBER(Z794),IF(Z794&lt;=2,"&lt;=2 d",IF(Z794&lt;=7,"3-7 d",IF(Z794&lt;=30,"8-30 d","&gt;30 d"))),IF(AE794&lt;&gt;"",AE794,IF(Z794="NR","NR","")))</f>
        <v/>
      </c>
      <c r="AX794" s="9">
        <f>IF(ISNUMBER(AW794),IF(AW794&gt;450,"Yes","No"),IF(AW794="NR","NR",""))</f>
        <v/>
      </c>
      <c r="BJ794" s="9">
        <f>IF(BB794="","",IF(BB794="Non-viable","Non-viable",IF(BB794="Viable","Viable",IF(BB794="Partially non-viable",IF(OR(BD794="Total splenectomy",BD794="Partial splenectomy +/- splenopexy"),"Non-viable","Review"),IF(BB794="NR",IF(OR(BD794="Total splenectomy",BD794="Partial splenectomy +/- splenopexy"),"NR - removed, check reason","NR"),"Not applicable")))))</f>
        <v/>
      </c>
    </row>
    <row r="795">
      <c r="D795" s="8" t="n"/>
      <c r="E795" s="9">
        <f>IF(B795="","",IF(B795="OWN","Yes","No"))</f>
        <v/>
      </c>
      <c r="AF795" s="9">
        <f>IF(ISNUMBER(Z795),IF(Z795&lt;=2,"&lt;=2 d",IF(Z795&lt;=7,"3-7 d",IF(Z795&lt;=30,"8-30 d","&gt;30 d"))),IF(AE795&lt;&gt;"",AE795,IF(Z795="NR","NR","")))</f>
        <v/>
      </c>
      <c r="AX795" s="9">
        <f>IF(ISNUMBER(AW795),IF(AW795&gt;450,"Yes","No"),IF(AW795="NR","NR",""))</f>
        <v/>
      </c>
      <c r="BJ795" s="9">
        <f>IF(BB795="","",IF(BB795="Non-viable","Non-viable",IF(BB795="Viable","Viable",IF(BB795="Partially non-viable",IF(OR(BD795="Total splenectomy",BD795="Partial splenectomy +/- splenopexy"),"Non-viable","Review"),IF(BB795="NR",IF(OR(BD795="Total splenectomy",BD795="Partial splenectomy +/- splenopexy"),"NR - removed, check reason","NR"),"Not applicable")))))</f>
        <v/>
      </c>
    </row>
    <row r="796">
      <c r="D796" s="8" t="n"/>
      <c r="E796" s="9">
        <f>IF(B796="","",IF(B796="OWN","Yes","No"))</f>
        <v/>
      </c>
      <c r="AF796" s="9">
        <f>IF(ISNUMBER(Z796),IF(Z796&lt;=2,"&lt;=2 d",IF(Z796&lt;=7,"3-7 d",IF(Z796&lt;=30,"8-30 d","&gt;30 d"))),IF(AE796&lt;&gt;"",AE796,IF(Z796="NR","NR","")))</f>
        <v/>
      </c>
      <c r="AX796" s="9">
        <f>IF(ISNUMBER(AW796),IF(AW796&gt;450,"Yes","No"),IF(AW796="NR","NR",""))</f>
        <v/>
      </c>
      <c r="BJ796" s="9">
        <f>IF(BB796="","",IF(BB796="Non-viable","Non-viable",IF(BB796="Viable","Viable",IF(BB796="Partially non-viable",IF(OR(BD796="Total splenectomy",BD796="Partial splenectomy +/- splenopexy"),"Non-viable","Review"),IF(BB796="NR",IF(OR(BD796="Total splenectomy",BD796="Partial splenectomy +/- splenopexy"),"NR - removed, check reason","NR"),"Not applicable")))))</f>
        <v/>
      </c>
    </row>
    <row r="797">
      <c r="D797" s="8" t="n"/>
      <c r="E797" s="9">
        <f>IF(B797="","",IF(B797="OWN","Yes","No"))</f>
        <v/>
      </c>
      <c r="AF797" s="9">
        <f>IF(ISNUMBER(Z797),IF(Z797&lt;=2,"&lt;=2 d",IF(Z797&lt;=7,"3-7 d",IF(Z797&lt;=30,"8-30 d","&gt;30 d"))),IF(AE797&lt;&gt;"",AE797,IF(Z797="NR","NR","")))</f>
        <v/>
      </c>
      <c r="AX797" s="9">
        <f>IF(ISNUMBER(AW797),IF(AW797&gt;450,"Yes","No"),IF(AW797="NR","NR",""))</f>
        <v/>
      </c>
      <c r="BJ797" s="9">
        <f>IF(BB797="","",IF(BB797="Non-viable","Non-viable",IF(BB797="Viable","Viable",IF(BB797="Partially non-viable",IF(OR(BD797="Total splenectomy",BD797="Partial splenectomy +/- splenopexy"),"Non-viable","Review"),IF(BB797="NR",IF(OR(BD797="Total splenectomy",BD797="Partial splenectomy +/- splenopexy"),"NR - removed, check reason","NR"),"Not applicable")))))</f>
        <v/>
      </c>
    </row>
    <row r="798">
      <c r="D798" s="8" t="n"/>
      <c r="E798" s="9">
        <f>IF(B798="","",IF(B798="OWN","Yes","No"))</f>
        <v/>
      </c>
      <c r="AF798" s="9">
        <f>IF(ISNUMBER(Z798),IF(Z798&lt;=2,"&lt;=2 d",IF(Z798&lt;=7,"3-7 d",IF(Z798&lt;=30,"8-30 d","&gt;30 d"))),IF(AE798&lt;&gt;"",AE798,IF(Z798="NR","NR","")))</f>
        <v/>
      </c>
      <c r="AX798" s="9">
        <f>IF(ISNUMBER(AW798),IF(AW798&gt;450,"Yes","No"),IF(AW798="NR","NR",""))</f>
        <v/>
      </c>
      <c r="BJ798" s="9">
        <f>IF(BB798="","",IF(BB798="Non-viable","Non-viable",IF(BB798="Viable","Viable",IF(BB798="Partially non-viable",IF(OR(BD798="Total splenectomy",BD798="Partial splenectomy +/- splenopexy"),"Non-viable","Review"),IF(BB798="NR",IF(OR(BD798="Total splenectomy",BD798="Partial splenectomy +/- splenopexy"),"NR - removed, check reason","NR"),"Not applicable")))))</f>
        <v/>
      </c>
    </row>
    <row r="799">
      <c r="D799" s="8" t="n"/>
      <c r="E799" s="9">
        <f>IF(B799="","",IF(B799="OWN","Yes","No"))</f>
        <v/>
      </c>
      <c r="AF799" s="9">
        <f>IF(ISNUMBER(Z799),IF(Z799&lt;=2,"&lt;=2 d",IF(Z799&lt;=7,"3-7 d",IF(Z799&lt;=30,"8-30 d","&gt;30 d"))),IF(AE799&lt;&gt;"",AE799,IF(Z799="NR","NR","")))</f>
        <v/>
      </c>
      <c r="AX799" s="9">
        <f>IF(ISNUMBER(AW799),IF(AW799&gt;450,"Yes","No"),IF(AW799="NR","NR",""))</f>
        <v/>
      </c>
      <c r="BJ799" s="9">
        <f>IF(BB799="","",IF(BB799="Non-viable","Non-viable",IF(BB799="Viable","Viable",IF(BB799="Partially non-viable",IF(OR(BD799="Total splenectomy",BD799="Partial splenectomy +/- splenopexy"),"Non-viable","Review"),IF(BB799="NR",IF(OR(BD799="Total splenectomy",BD799="Partial splenectomy +/- splenopexy"),"NR - removed, check reason","NR"),"Not applicable")))))</f>
        <v/>
      </c>
    </row>
    <row r="800">
      <c r="D800" s="8" t="n"/>
      <c r="E800" s="9">
        <f>IF(B800="","",IF(B800="OWN","Yes","No"))</f>
        <v/>
      </c>
      <c r="AF800" s="9">
        <f>IF(ISNUMBER(Z800),IF(Z800&lt;=2,"&lt;=2 d",IF(Z800&lt;=7,"3-7 d",IF(Z800&lt;=30,"8-30 d","&gt;30 d"))),IF(AE800&lt;&gt;"",AE800,IF(Z800="NR","NR","")))</f>
        <v/>
      </c>
      <c r="AX800" s="9">
        <f>IF(ISNUMBER(AW800),IF(AW800&gt;450,"Yes","No"),IF(AW800="NR","NR",""))</f>
        <v/>
      </c>
      <c r="BJ800" s="9">
        <f>IF(BB800="","",IF(BB800="Non-viable","Non-viable",IF(BB800="Viable","Viable",IF(BB800="Partially non-viable",IF(OR(BD800="Total splenectomy",BD800="Partial splenectomy +/- splenopexy"),"Non-viable","Review"),IF(BB800="NR",IF(OR(BD800="Total splenectomy",BD800="Partial splenectomy +/- splenopexy"),"NR - removed, check reason","NR"),"Not applicable")))))</f>
        <v/>
      </c>
    </row>
    <row r="801">
      <c r="D801" s="8" t="n"/>
      <c r="E801" s="9">
        <f>IF(B801="","",IF(B801="OWN","Yes","No"))</f>
        <v/>
      </c>
      <c r="AF801" s="9">
        <f>IF(ISNUMBER(Z801),IF(Z801&lt;=2,"&lt;=2 d",IF(Z801&lt;=7,"3-7 d",IF(Z801&lt;=30,"8-30 d","&gt;30 d"))),IF(AE801&lt;&gt;"",AE801,IF(Z801="NR","NR","")))</f>
        <v/>
      </c>
      <c r="AX801" s="9">
        <f>IF(ISNUMBER(AW801),IF(AW801&gt;450,"Yes","No"),IF(AW801="NR","NR",""))</f>
        <v/>
      </c>
      <c r="BJ801" s="9">
        <f>IF(BB801="","",IF(BB801="Non-viable","Non-viable",IF(BB801="Viable","Viable",IF(BB801="Partially non-viable",IF(OR(BD801="Total splenectomy",BD801="Partial splenectomy +/- splenopexy"),"Non-viable","Review"),IF(BB801="NR",IF(OR(BD801="Total splenectomy",BD801="Partial splenectomy +/- splenopexy"),"NR - removed, check reason","NR"),"Not applicable")))))</f>
        <v/>
      </c>
    </row>
    <row r="802">
      <c r="D802" s="8" t="n"/>
      <c r="E802" s="9">
        <f>IF(B802="","",IF(B802="OWN","Yes","No"))</f>
        <v/>
      </c>
      <c r="AF802" s="9">
        <f>IF(ISNUMBER(Z802),IF(Z802&lt;=2,"&lt;=2 d",IF(Z802&lt;=7,"3-7 d",IF(Z802&lt;=30,"8-30 d","&gt;30 d"))),IF(AE802&lt;&gt;"",AE802,IF(Z802="NR","NR","")))</f>
        <v/>
      </c>
      <c r="AX802" s="9">
        <f>IF(ISNUMBER(AW802),IF(AW802&gt;450,"Yes","No"),IF(AW802="NR","NR",""))</f>
        <v/>
      </c>
      <c r="BJ802" s="9">
        <f>IF(BB802="","",IF(BB802="Non-viable","Non-viable",IF(BB802="Viable","Viable",IF(BB802="Partially non-viable",IF(OR(BD802="Total splenectomy",BD802="Partial splenectomy +/- splenopexy"),"Non-viable","Review"),IF(BB802="NR",IF(OR(BD802="Total splenectomy",BD802="Partial splenectomy +/- splenopexy"),"NR - removed, check reason","NR"),"Not applicable")))))</f>
        <v/>
      </c>
    </row>
    <row r="803">
      <c r="D803" s="8" t="n"/>
      <c r="E803" s="9">
        <f>IF(B803="","",IF(B803="OWN","Yes","No"))</f>
        <v/>
      </c>
      <c r="AF803" s="9">
        <f>IF(ISNUMBER(Z803),IF(Z803&lt;=2,"&lt;=2 d",IF(Z803&lt;=7,"3-7 d",IF(Z803&lt;=30,"8-30 d","&gt;30 d"))),IF(AE803&lt;&gt;"",AE803,IF(Z803="NR","NR","")))</f>
        <v/>
      </c>
      <c r="AX803" s="9">
        <f>IF(ISNUMBER(AW803),IF(AW803&gt;450,"Yes","No"),IF(AW803="NR","NR",""))</f>
        <v/>
      </c>
      <c r="BJ803" s="9">
        <f>IF(BB803="","",IF(BB803="Non-viable","Non-viable",IF(BB803="Viable","Viable",IF(BB803="Partially non-viable",IF(OR(BD803="Total splenectomy",BD803="Partial splenectomy +/- splenopexy"),"Non-viable","Review"),IF(BB803="NR",IF(OR(BD803="Total splenectomy",BD803="Partial splenectomy +/- splenopexy"),"NR - removed, check reason","NR"),"Not applicable")))))</f>
        <v/>
      </c>
    </row>
    <row r="804">
      <c r="D804" s="8" t="n"/>
      <c r="E804" s="9">
        <f>IF(B804="","",IF(B804="OWN","Yes","No"))</f>
        <v/>
      </c>
      <c r="AF804" s="9">
        <f>IF(ISNUMBER(Z804),IF(Z804&lt;=2,"&lt;=2 d",IF(Z804&lt;=7,"3-7 d",IF(Z804&lt;=30,"8-30 d","&gt;30 d"))),IF(AE804&lt;&gt;"",AE804,IF(Z804="NR","NR","")))</f>
        <v/>
      </c>
      <c r="AX804" s="9">
        <f>IF(ISNUMBER(AW804),IF(AW804&gt;450,"Yes","No"),IF(AW804="NR","NR",""))</f>
        <v/>
      </c>
      <c r="BJ804" s="9">
        <f>IF(BB804="","",IF(BB804="Non-viable","Non-viable",IF(BB804="Viable","Viable",IF(BB804="Partially non-viable",IF(OR(BD804="Total splenectomy",BD804="Partial splenectomy +/- splenopexy"),"Non-viable","Review"),IF(BB804="NR",IF(OR(BD804="Total splenectomy",BD804="Partial splenectomy +/- splenopexy"),"NR - removed, check reason","NR"),"Not applicable")))))</f>
        <v/>
      </c>
    </row>
    <row r="805">
      <c r="D805" s="8" t="n"/>
      <c r="E805" s="9">
        <f>IF(B805="","",IF(B805="OWN","Yes","No"))</f>
        <v/>
      </c>
      <c r="AF805" s="9">
        <f>IF(ISNUMBER(Z805),IF(Z805&lt;=2,"&lt;=2 d",IF(Z805&lt;=7,"3-7 d",IF(Z805&lt;=30,"8-30 d","&gt;30 d"))),IF(AE805&lt;&gt;"",AE805,IF(Z805="NR","NR","")))</f>
        <v/>
      </c>
      <c r="AX805" s="9">
        <f>IF(ISNUMBER(AW805),IF(AW805&gt;450,"Yes","No"),IF(AW805="NR","NR",""))</f>
        <v/>
      </c>
      <c r="BJ805" s="9">
        <f>IF(BB805="","",IF(BB805="Non-viable","Non-viable",IF(BB805="Viable","Viable",IF(BB805="Partially non-viable",IF(OR(BD805="Total splenectomy",BD805="Partial splenectomy +/- splenopexy"),"Non-viable","Review"),IF(BB805="NR",IF(OR(BD805="Total splenectomy",BD805="Partial splenectomy +/- splenopexy"),"NR - removed, check reason","NR"),"Not applicable")))))</f>
        <v/>
      </c>
    </row>
    <row r="806">
      <c r="D806" s="8" t="n"/>
      <c r="E806" s="9">
        <f>IF(B806="","",IF(B806="OWN","Yes","No"))</f>
        <v/>
      </c>
      <c r="AF806" s="9">
        <f>IF(ISNUMBER(Z806),IF(Z806&lt;=2,"&lt;=2 d",IF(Z806&lt;=7,"3-7 d",IF(Z806&lt;=30,"8-30 d","&gt;30 d"))),IF(AE806&lt;&gt;"",AE806,IF(Z806="NR","NR","")))</f>
        <v/>
      </c>
      <c r="AX806" s="9">
        <f>IF(ISNUMBER(AW806),IF(AW806&gt;450,"Yes","No"),IF(AW806="NR","NR",""))</f>
        <v/>
      </c>
      <c r="BJ806" s="9">
        <f>IF(BB806="","",IF(BB806="Non-viable","Non-viable",IF(BB806="Viable","Viable",IF(BB806="Partially non-viable",IF(OR(BD806="Total splenectomy",BD806="Partial splenectomy +/- splenopexy"),"Non-viable","Review"),IF(BB806="NR",IF(OR(BD806="Total splenectomy",BD806="Partial splenectomy +/- splenopexy"),"NR - removed, check reason","NR"),"Not applicable")))))</f>
        <v/>
      </c>
    </row>
    <row r="807">
      <c r="D807" s="8" t="n"/>
      <c r="E807" s="9">
        <f>IF(B807="","",IF(B807="OWN","Yes","No"))</f>
        <v/>
      </c>
      <c r="AF807" s="9">
        <f>IF(ISNUMBER(Z807),IF(Z807&lt;=2,"&lt;=2 d",IF(Z807&lt;=7,"3-7 d",IF(Z807&lt;=30,"8-30 d","&gt;30 d"))),IF(AE807&lt;&gt;"",AE807,IF(Z807="NR","NR","")))</f>
        <v/>
      </c>
      <c r="AX807" s="9">
        <f>IF(ISNUMBER(AW807),IF(AW807&gt;450,"Yes","No"),IF(AW807="NR","NR",""))</f>
        <v/>
      </c>
      <c r="BJ807" s="9">
        <f>IF(BB807="","",IF(BB807="Non-viable","Non-viable",IF(BB807="Viable","Viable",IF(BB807="Partially non-viable",IF(OR(BD807="Total splenectomy",BD807="Partial splenectomy +/- splenopexy"),"Non-viable","Review"),IF(BB807="NR",IF(OR(BD807="Total splenectomy",BD807="Partial splenectomy +/- splenopexy"),"NR - removed, check reason","NR"),"Not applicable")))))</f>
        <v/>
      </c>
    </row>
    <row r="808">
      <c r="D808" s="8" t="n"/>
      <c r="E808" s="9">
        <f>IF(B808="","",IF(B808="OWN","Yes","No"))</f>
        <v/>
      </c>
      <c r="AF808" s="9">
        <f>IF(ISNUMBER(Z808),IF(Z808&lt;=2,"&lt;=2 d",IF(Z808&lt;=7,"3-7 d",IF(Z808&lt;=30,"8-30 d","&gt;30 d"))),IF(AE808&lt;&gt;"",AE808,IF(Z808="NR","NR","")))</f>
        <v/>
      </c>
      <c r="AX808" s="9">
        <f>IF(ISNUMBER(AW808),IF(AW808&gt;450,"Yes","No"),IF(AW808="NR","NR",""))</f>
        <v/>
      </c>
      <c r="BJ808" s="9">
        <f>IF(BB808="","",IF(BB808="Non-viable","Non-viable",IF(BB808="Viable","Viable",IF(BB808="Partially non-viable",IF(OR(BD808="Total splenectomy",BD808="Partial splenectomy +/- splenopexy"),"Non-viable","Review"),IF(BB808="NR",IF(OR(BD808="Total splenectomy",BD808="Partial splenectomy +/- splenopexy"),"NR - removed, check reason","NR"),"Not applicable")))))</f>
        <v/>
      </c>
    </row>
    <row r="809">
      <c r="D809" s="8" t="n"/>
      <c r="E809" s="9">
        <f>IF(B809="","",IF(B809="OWN","Yes","No"))</f>
        <v/>
      </c>
      <c r="AF809" s="9">
        <f>IF(ISNUMBER(Z809),IF(Z809&lt;=2,"&lt;=2 d",IF(Z809&lt;=7,"3-7 d",IF(Z809&lt;=30,"8-30 d","&gt;30 d"))),IF(AE809&lt;&gt;"",AE809,IF(Z809="NR","NR","")))</f>
        <v/>
      </c>
      <c r="AX809" s="9">
        <f>IF(ISNUMBER(AW809),IF(AW809&gt;450,"Yes","No"),IF(AW809="NR","NR",""))</f>
        <v/>
      </c>
      <c r="BJ809" s="9">
        <f>IF(BB809="","",IF(BB809="Non-viable","Non-viable",IF(BB809="Viable","Viable",IF(BB809="Partially non-viable",IF(OR(BD809="Total splenectomy",BD809="Partial splenectomy +/- splenopexy"),"Non-viable","Review"),IF(BB809="NR",IF(OR(BD809="Total splenectomy",BD809="Partial splenectomy +/- splenopexy"),"NR - removed, check reason","NR"),"Not applicable")))))</f>
        <v/>
      </c>
    </row>
    <row r="810">
      <c r="D810" s="8" t="n"/>
      <c r="E810" s="9">
        <f>IF(B810="","",IF(B810="OWN","Yes","No"))</f>
        <v/>
      </c>
      <c r="AF810" s="9">
        <f>IF(ISNUMBER(Z810),IF(Z810&lt;=2,"&lt;=2 d",IF(Z810&lt;=7,"3-7 d",IF(Z810&lt;=30,"8-30 d","&gt;30 d"))),IF(AE810&lt;&gt;"",AE810,IF(Z810="NR","NR","")))</f>
        <v/>
      </c>
      <c r="AX810" s="9">
        <f>IF(ISNUMBER(AW810),IF(AW810&gt;450,"Yes","No"),IF(AW810="NR","NR",""))</f>
        <v/>
      </c>
      <c r="BJ810" s="9">
        <f>IF(BB810="","",IF(BB810="Non-viable","Non-viable",IF(BB810="Viable","Viable",IF(BB810="Partially non-viable",IF(OR(BD810="Total splenectomy",BD810="Partial splenectomy +/- splenopexy"),"Non-viable","Review"),IF(BB810="NR",IF(OR(BD810="Total splenectomy",BD810="Partial splenectomy +/- splenopexy"),"NR - removed, check reason","NR"),"Not applicable")))))</f>
        <v/>
      </c>
    </row>
    <row r="811">
      <c r="D811" s="8" t="n"/>
      <c r="E811" s="9">
        <f>IF(B811="","",IF(B811="OWN","Yes","No"))</f>
        <v/>
      </c>
      <c r="AF811" s="9">
        <f>IF(ISNUMBER(Z811),IF(Z811&lt;=2,"&lt;=2 d",IF(Z811&lt;=7,"3-7 d",IF(Z811&lt;=30,"8-30 d","&gt;30 d"))),IF(AE811&lt;&gt;"",AE811,IF(Z811="NR","NR","")))</f>
        <v/>
      </c>
      <c r="AX811" s="9">
        <f>IF(ISNUMBER(AW811),IF(AW811&gt;450,"Yes","No"),IF(AW811="NR","NR",""))</f>
        <v/>
      </c>
      <c r="BJ811" s="9">
        <f>IF(BB811="","",IF(BB811="Non-viable","Non-viable",IF(BB811="Viable","Viable",IF(BB811="Partially non-viable",IF(OR(BD811="Total splenectomy",BD811="Partial splenectomy +/- splenopexy"),"Non-viable","Review"),IF(BB811="NR",IF(OR(BD811="Total splenectomy",BD811="Partial splenectomy +/- splenopexy"),"NR - removed, check reason","NR"),"Not applicable")))))</f>
        <v/>
      </c>
    </row>
    <row r="812">
      <c r="D812" s="8" t="n"/>
      <c r="E812" s="9">
        <f>IF(B812="","",IF(B812="OWN","Yes","No"))</f>
        <v/>
      </c>
      <c r="AF812" s="9">
        <f>IF(ISNUMBER(Z812),IF(Z812&lt;=2,"&lt;=2 d",IF(Z812&lt;=7,"3-7 d",IF(Z812&lt;=30,"8-30 d","&gt;30 d"))),IF(AE812&lt;&gt;"",AE812,IF(Z812="NR","NR","")))</f>
        <v/>
      </c>
      <c r="AX812" s="9">
        <f>IF(ISNUMBER(AW812),IF(AW812&gt;450,"Yes","No"),IF(AW812="NR","NR",""))</f>
        <v/>
      </c>
      <c r="BJ812" s="9">
        <f>IF(BB812="","",IF(BB812="Non-viable","Non-viable",IF(BB812="Viable","Viable",IF(BB812="Partially non-viable",IF(OR(BD812="Total splenectomy",BD812="Partial splenectomy +/- splenopexy"),"Non-viable","Review"),IF(BB812="NR",IF(OR(BD812="Total splenectomy",BD812="Partial splenectomy +/- splenopexy"),"NR - removed, check reason","NR"),"Not applicable")))))</f>
        <v/>
      </c>
    </row>
    <row r="813">
      <c r="D813" s="8" t="n"/>
      <c r="E813" s="9">
        <f>IF(B813="","",IF(B813="OWN","Yes","No"))</f>
        <v/>
      </c>
      <c r="AF813" s="9">
        <f>IF(ISNUMBER(Z813),IF(Z813&lt;=2,"&lt;=2 d",IF(Z813&lt;=7,"3-7 d",IF(Z813&lt;=30,"8-30 d","&gt;30 d"))),IF(AE813&lt;&gt;"",AE813,IF(Z813="NR","NR","")))</f>
        <v/>
      </c>
      <c r="AX813" s="9">
        <f>IF(ISNUMBER(AW813),IF(AW813&gt;450,"Yes","No"),IF(AW813="NR","NR",""))</f>
        <v/>
      </c>
      <c r="BJ813" s="9">
        <f>IF(BB813="","",IF(BB813="Non-viable","Non-viable",IF(BB813="Viable","Viable",IF(BB813="Partially non-viable",IF(OR(BD813="Total splenectomy",BD813="Partial splenectomy +/- splenopexy"),"Non-viable","Review"),IF(BB813="NR",IF(OR(BD813="Total splenectomy",BD813="Partial splenectomy +/- splenopexy"),"NR - removed, check reason","NR"),"Not applicable")))))</f>
        <v/>
      </c>
    </row>
    <row r="814">
      <c r="D814" s="8" t="n"/>
      <c r="E814" s="9">
        <f>IF(B814="","",IF(B814="OWN","Yes","No"))</f>
        <v/>
      </c>
      <c r="AF814" s="9">
        <f>IF(ISNUMBER(Z814),IF(Z814&lt;=2,"&lt;=2 d",IF(Z814&lt;=7,"3-7 d",IF(Z814&lt;=30,"8-30 d","&gt;30 d"))),IF(AE814&lt;&gt;"",AE814,IF(Z814="NR","NR","")))</f>
        <v/>
      </c>
      <c r="AX814" s="9">
        <f>IF(ISNUMBER(AW814),IF(AW814&gt;450,"Yes","No"),IF(AW814="NR","NR",""))</f>
        <v/>
      </c>
      <c r="BJ814" s="9">
        <f>IF(BB814="","",IF(BB814="Non-viable","Non-viable",IF(BB814="Viable","Viable",IF(BB814="Partially non-viable",IF(OR(BD814="Total splenectomy",BD814="Partial splenectomy +/- splenopexy"),"Non-viable","Review"),IF(BB814="NR",IF(OR(BD814="Total splenectomy",BD814="Partial splenectomy +/- splenopexy"),"NR - removed, check reason","NR"),"Not applicable")))))</f>
        <v/>
      </c>
    </row>
    <row r="815">
      <c r="D815" s="8" t="n"/>
      <c r="E815" s="9">
        <f>IF(B815="","",IF(B815="OWN","Yes","No"))</f>
        <v/>
      </c>
      <c r="AF815" s="9">
        <f>IF(ISNUMBER(Z815),IF(Z815&lt;=2,"&lt;=2 d",IF(Z815&lt;=7,"3-7 d",IF(Z815&lt;=30,"8-30 d","&gt;30 d"))),IF(AE815&lt;&gt;"",AE815,IF(Z815="NR","NR","")))</f>
        <v/>
      </c>
      <c r="AX815" s="9">
        <f>IF(ISNUMBER(AW815),IF(AW815&gt;450,"Yes","No"),IF(AW815="NR","NR",""))</f>
        <v/>
      </c>
      <c r="BJ815" s="9">
        <f>IF(BB815="","",IF(BB815="Non-viable","Non-viable",IF(BB815="Viable","Viable",IF(BB815="Partially non-viable",IF(OR(BD815="Total splenectomy",BD815="Partial splenectomy +/- splenopexy"),"Non-viable","Review"),IF(BB815="NR",IF(OR(BD815="Total splenectomy",BD815="Partial splenectomy +/- splenopexy"),"NR - removed, check reason","NR"),"Not applicable")))))</f>
        <v/>
      </c>
    </row>
    <row r="816">
      <c r="D816" s="8" t="n"/>
      <c r="E816" s="9">
        <f>IF(B816="","",IF(B816="OWN","Yes","No"))</f>
        <v/>
      </c>
      <c r="AF816" s="9">
        <f>IF(ISNUMBER(Z816),IF(Z816&lt;=2,"&lt;=2 d",IF(Z816&lt;=7,"3-7 d",IF(Z816&lt;=30,"8-30 d","&gt;30 d"))),IF(AE816&lt;&gt;"",AE816,IF(Z816="NR","NR","")))</f>
        <v/>
      </c>
      <c r="AX816" s="9">
        <f>IF(ISNUMBER(AW816),IF(AW816&gt;450,"Yes","No"),IF(AW816="NR","NR",""))</f>
        <v/>
      </c>
      <c r="BJ816" s="9">
        <f>IF(BB816="","",IF(BB816="Non-viable","Non-viable",IF(BB816="Viable","Viable",IF(BB816="Partially non-viable",IF(OR(BD816="Total splenectomy",BD816="Partial splenectomy +/- splenopexy"),"Non-viable","Review"),IF(BB816="NR",IF(OR(BD816="Total splenectomy",BD816="Partial splenectomy +/- splenopexy"),"NR - removed, check reason","NR"),"Not applicable")))))</f>
        <v/>
      </c>
    </row>
    <row r="817">
      <c r="D817" s="8" t="n"/>
      <c r="E817" s="9">
        <f>IF(B817="","",IF(B817="OWN","Yes","No"))</f>
        <v/>
      </c>
      <c r="AF817" s="9">
        <f>IF(ISNUMBER(Z817),IF(Z817&lt;=2,"&lt;=2 d",IF(Z817&lt;=7,"3-7 d",IF(Z817&lt;=30,"8-30 d","&gt;30 d"))),IF(AE817&lt;&gt;"",AE817,IF(Z817="NR","NR","")))</f>
        <v/>
      </c>
      <c r="AX817" s="9">
        <f>IF(ISNUMBER(AW817),IF(AW817&gt;450,"Yes","No"),IF(AW817="NR","NR",""))</f>
        <v/>
      </c>
      <c r="BJ817" s="9">
        <f>IF(BB817="","",IF(BB817="Non-viable","Non-viable",IF(BB817="Viable","Viable",IF(BB817="Partially non-viable",IF(OR(BD817="Total splenectomy",BD817="Partial splenectomy +/- splenopexy"),"Non-viable","Review"),IF(BB817="NR",IF(OR(BD817="Total splenectomy",BD817="Partial splenectomy +/- splenopexy"),"NR - removed, check reason","NR"),"Not applicable")))))</f>
        <v/>
      </c>
    </row>
    <row r="818">
      <c r="D818" s="8" t="n"/>
      <c r="E818" s="9">
        <f>IF(B818="","",IF(B818="OWN","Yes","No"))</f>
        <v/>
      </c>
      <c r="AF818" s="9">
        <f>IF(ISNUMBER(Z818),IF(Z818&lt;=2,"&lt;=2 d",IF(Z818&lt;=7,"3-7 d",IF(Z818&lt;=30,"8-30 d","&gt;30 d"))),IF(AE818&lt;&gt;"",AE818,IF(Z818="NR","NR","")))</f>
        <v/>
      </c>
      <c r="AX818" s="9">
        <f>IF(ISNUMBER(AW818),IF(AW818&gt;450,"Yes","No"),IF(AW818="NR","NR",""))</f>
        <v/>
      </c>
      <c r="BJ818" s="9">
        <f>IF(BB818="","",IF(BB818="Non-viable","Non-viable",IF(BB818="Viable","Viable",IF(BB818="Partially non-viable",IF(OR(BD818="Total splenectomy",BD818="Partial splenectomy +/- splenopexy"),"Non-viable","Review"),IF(BB818="NR",IF(OR(BD818="Total splenectomy",BD818="Partial splenectomy +/- splenopexy"),"NR - removed, check reason","NR"),"Not applicable")))))</f>
        <v/>
      </c>
    </row>
    <row r="819">
      <c r="D819" s="8" t="n"/>
      <c r="E819" s="9">
        <f>IF(B819="","",IF(B819="OWN","Yes","No"))</f>
        <v/>
      </c>
      <c r="AF819" s="9">
        <f>IF(ISNUMBER(Z819),IF(Z819&lt;=2,"&lt;=2 d",IF(Z819&lt;=7,"3-7 d",IF(Z819&lt;=30,"8-30 d","&gt;30 d"))),IF(AE819&lt;&gt;"",AE819,IF(Z819="NR","NR","")))</f>
        <v/>
      </c>
      <c r="AX819" s="9">
        <f>IF(ISNUMBER(AW819),IF(AW819&gt;450,"Yes","No"),IF(AW819="NR","NR",""))</f>
        <v/>
      </c>
      <c r="BJ819" s="9">
        <f>IF(BB819="","",IF(BB819="Non-viable","Non-viable",IF(BB819="Viable","Viable",IF(BB819="Partially non-viable",IF(OR(BD819="Total splenectomy",BD819="Partial splenectomy +/- splenopexy"),"Non-viable","Review"),IF(BB819="NR",IF(OR(BD819="Total splenectomy",BD819="Partial splenectomy +/- splenopexy"),"NR - removed, check reason","NR"),"Not applicable")))))</f>
        <v/>
      </c>
    </row>
    <row r="820">
      <c r="D820" s="8" t="n"/>
      <c r="E820" s="9">
        <f>IF(B820="","",IF(B820="OWN","Yes","No"))</f>
        <v/>
      </c>
      <c r="AF820" s="9">
        <f>IF(ISNUMBER(Z820),IF(Z820&lt;=2,"&lt;=2 d",IF(Z820&lt;=7,"3-7 d",IF(Z820&lt;=30,"8-30 d","&gt;30 d"))),IF(AE820&lt;&gt;"",AE820,IF(Z820="NR","NR","")))</f>
        <v/>
      </c>
      <c r="AX820" s="9">
        <f>IF(ISNUMBER(AW820),IF(AW820&gt;450,"Yes","No"),IF(AW820="NR","NR",""))</f>
        <v/>
      </c>
      <c r="BJ820" s="9">
        <f>IF(BB820="","",IF(BB820="Non-viable","Non-viable",IF(BB820="Viable","Viable",IF(BB820="Partially non-viable",IF(OR(BD820="Total splenectomy",BD820="Partial splenectomy +/- splenopexy"),"Non-viable","Review"),IF(BB820="NR",IF(OR(BD820="Total splenectomy",BD820="Partial splenectomy +/- splenopexy"),"NR - removed, check reason","NR"),"Not applicable")))))</f>
        <v/>
      </c>
    </row>
    <row r="821">
      <c r="D821" s="8" t="n"/>
      <c r="E821" s="9">
        <f>IF(B821="","",IF(B821="OWN","Yes","No"))</f>
        <v/>
      </c>
      <c r="AF821" s="9">
        <f>IF(ISNUMBER(Z821),IF(Z821&lt;=2,"&lt;=2 d",IF(Z821&lt;=7,"3-7 d",IF(Z821&lt;=30,"8-30 d","&gt;30 d"))),IF(AE821&lt;&gt;"",AE821,IF(Z821="NR","NR","")))</f>
        <v/>
      </c>
      <c r="AX821" s="9">
        <f>IF(ISNUMBER(AW821),IF(AW821&gt;450,"Yes","No"),IF(AW821="NR","NR",""))</f>
        <v/>
      </c>
      <c r="BJ821" s="9">
        <f>IF(BB821="","",IF(BB821="Non-viable","Non-viable",IF(BB821="Viable","Viable",IF(BB821="Partially non-viable",IF(OR(BD821="Total splenectomy",BD821="Partial splenectomy +/- splenopexy"),"Non-viable","Review"),IF(BB821="NR",IF(OR(BD821="Total splenectomy",BD821="Partial splenectomy +/- splenopexy"),"NR - removed, check reason","NR"),"Not applicable")))))</f>
        <v/>
      </c>
    </row>
    <row r="822">
      <c r="D822" s="8" t="n"/>
      <c r="E822" s="9">
        <f>IF(B822="","",IF(B822="OWN","Yes","No"))</f>
        <v/>
      </c>
      <c r="AF822" s="9">
        <f>IF(ISNUMBER(Z822),IF(Z822&lt;=2,"&lt;=2 d",IF(Z822&lt;=7,"3-7 d",IF(Z822&lt;=30,"8-30 d","&gt;30 d"))),IF(AE822&lt;&gt;"",AE822,IF(Z822="NR","NR","")))</f>
        <v/>
      </c>
      <c r="AX822" s="9">
        <f>IF(ISNUMBER(AW822),IF(AW822&gt;450,"Yes","No"),IF(AW822="NR","NR",""))</f>
        <v/>
      </c>
      <c r="BJ822" s="9">
        <f>IF(BB822="","",IF(BB822="Non-viable","Non-viable",IF(BB822="Viable","Viable",IF(BB822="Partially non-viable",IF(OR(BD822="Total splenectomy",BD822="Partial splenectomy +/- splenopexy"),"Non-viable","Review"),IF(BB822="NR",IF(OR(BD822="Total splenectomy",BD822="Partial splenectomy +/- splenopexy"),"NR - removed, check reason","NR"),"Not applicable")))))</f>
        <v/>
      </c>
    </row>
    <row r="823">
      <c r="D823" s="8" t="n"/>
      <c r="E823" s="9">
        <f>IF(B823="","",IF(B823="OWN","Yes","No"))</f>
        <v/>
      </c>
      <c r="AF823" s="9">
        <f>IF(ISNUMBER(Z823),IF(Z823&lt;=2,"&lt;=2 d",IF(Z823&lt;=7,"3-7 d",IF(Z823&lt;=30,"8-30 d","&gt;30 d"))),IF(AE823&lt;&gt;"",AE823,IF(Z823="NR","NR","")))</f>
        <v/>
      </c>
      <c r="AX823" s="9">
        <f>IF(ISNUMBER(AW823),IF(AW823&gt;450,"Yes","No"),IF(AW823="NR","NR",""))</f>
        <v/>
      </c>
      <c r="BJ823" s="9">
        <f>IF(BB823="","",IF(BB823="Non-viable","Non-viable",IF(BB823="Viable","Viable",IF(BB823="Partially non-viable",IF(OR(BD823="Total splenectomy",BD823="Partial splenectomy +/- splenopexy"),"Non-viable","Review"),IF(BB823="NR",IF(OR(BD823="Total splenectomy",BD823="Partial splenectomy +/- splenopexy"),"NR - removed, check reason","NR"),"Not applicable")))))</f>
        <v/>
      </c>
    </row>
    <row r="824">
      <c r="D824" s="8" t="n"/>
      <c r="E824" s="9">
        <f>IF(B824="","",IF(B824="OWN","Yes","No"))</f>
        <v/>
      </c>
      <c r="AF824" s="9">
        <f>IF(ISNUMBER(Z824),IF(Z824&lt;=2,"&lt;=2 d",IF(Z824&lt;=7,"3-7 d",IF(Z824&lt;=30,"8-30 d","&gt;30 d"))),IF(AE824&lt;&gt;"",AE824,IF(Z824="NR","NR","")))</f>
        <v/>
      </c>
      <c r="AX824" s="9">
        <f>IF(ISNUMBER(AW824),IF(AW824&gt;450,"Yes","No"),IF(AW824="NR","NR",""))</f>
        <v/>
      </c>
      <c r="BJ824" s="9">
        <f>IF(BB824="","",IF(BB824="Non-viable","Non-viable",IF(BB824="Viable","Viable",IF(BB824="Partially non-viable",IF(OR(BD824="Total splenectomy",BD824="Partial splenectomy +/- splenopexy"),"Non-viable","Review"),IF(BB824="NR",IF(OR(BD824="Total splenectomy",BD824="Partial splenectomy +/- splenopexy"),"NR - removed, check reason","NR"),"Not applicable")))))</f>
        <v/>
      </c>
    </row>
    <row r="825">
      <c r="D825" s="8" t="n"/>
      <c r="E825" s="9">
        <f>IF(B825="","",IF(B825="OWN","Yes","No"))</f>
        <v/>
      </c>
      <c r="AF825" s="9">
        <f>IF(ISNUMBER(Z825),IF(Z825&lt;=2,"&lt;=2 d",IF(Z825&lt;=7,"3-7 d",IF(Z825&lt;=30,"8-30 d","&gt;30 d"))),IF(AE825&lt;&gt;"",AE825,IF(Z825="NR","NR","")))</f>
        <v/>
      </c>
      <c r="AX825" s="9">
        <f>IF(ISNUMBER(AW825),IF(AW825&gt;450,"Yes","No"),IF(AW825="NR","NR",""))</f>
        <v/>
      </c>
      <c r="BJ825" s="9">
        <f>IF(BB825="","",IF(BB825="Non-viable","Non-viable",IF(BB825="Viable","Viable",IF(BB825="Partially non-viable",IF(OR(BD825="Total splenectomy",BD825="Partial splenectomy +/- splenopexy"),"Non-viable","Review"),IF(BB825="NR",IF(OR(BD825="Total splenectomy",BD825="Partial splenectomy +/- splenopexy"),"NR - removed, check reason","NR"),"Not applicable")))))</f>
        <v/>
      </c>
    </row>
    <row r="826">
      <c r="D826" s="8" t="n"/>
      <c r="E826" s="9">
        <f>IF(B826="","",IF(B826="OWN","Yes","No"))</f>
        <v/>
      </c>
      <c r="AF826" s="9">
        <f>IF(ISNUMBER(Z826),IF(Z826&lt;=2,"&lt;=2 d",IF(Z826&lt;=7,"3-7 d",IF(Z826&lt;=30,"8-30 d","&gt;30 d"))),IF(AE826&lt;&gt;"",AE826,IF(Z826="NR","NR","")))</f>
        <v/>
      </c>
      <c r="AX826" s="9">
        <f>IF(ISNUMBER(AW826),IF(AW826&gt;450,"Yes","No"),IF(AW826="NR","NR",""))</f>
        <v/>
      </c>
      <c r="BJ826" s="9">
        <f>IF(BB826="","",IF(BB826="Non-viable","Non-viable",IF(BB826="Viable","Viable",IF(BB826="Partially non-viable",IF(OR(BD826="Total splenectomy",BD826="Partial splenectomy +/- splenopexy"),"Non-viable","Review"),IF(BB826="NR",IF(OR(BD826="Total splenectomy",BD826="Partial splenectomy +/- splenopexy"),"NR - removed, check reason","NR"),"Not applicable")))))</f>
        <v/>
      </c>
    </row>
    <row r="827">
      <c r="D827" s="8" t="n"/>
      <c r="E827" s="9">
        <f>IF(B827="","",IF(B827="OWN","Yes","No"))</f>
        <v/>
      </c>
      <c r="AF827" s="9">
        <f>IF(ISNUMBER(Z827),IF(Z827&lt;=2,"&lt;=2 d",IF(Z827&lt;=7,"3-7 d",IF(Z827&lt;=30,"8-30 d","&gt;30 d"))),IF(AE827&lt;&gt;"",AE827,IF(Z827="NR","NR","")))</f>
        <v/>
      </c>
      <c r="AX827" s="9">
        <f>IF(ISNUMBER(AW827),IF(AW827&gt;450,"Yes","No"),IF(AW827="NR","NR",""))</f>
        <v/>
      </c>
      <c r="BJ827" s="9">
        <f>IF(BB827="","",IF(BB827="Non-viable","Non-viable",IF(BB827="Viable","Viable",IF(BB827="Partially non-viable",IF(OR(BD827="Total splenectomy",BD827="Partial splenectomy +/- splenopexy"),"Non-viable","Review"),IF(BB827="NR",IF(OR(BD827="Total splenectomy",BD827="Partial splenectomy +/- splenopexy"),"NR - removed, check reason","NR"),"Not applicable")))))</f>
        <v/>
      </c>
    </row>
    <row r="828">
      <c r="D828" s="8" t="n"/>
      <c r="E828" s="9">
        <f>IF(B828="","",IF(B828="OWN","Yes","No"))</f>
        <v/>
      </c>
      <c r="AF828" s="9">
        <f>IF(ISNUMBER(Z828),IF(Z828&lt;=2,"&lt;=2 d",IF(Z828&lt;=7,"3-7 d",IF(Z828&lt;=30,"8-30 d","&gt;30 d"))),IF(AE828&lt;&gt;"",AE828,IF(Z828="NR","NR","")))</f>
        <v/>
      </c>
      <c r="AX828" s="9">
        <f>IF(ISNUMBER(AW828),IF(AW828&gt;450,"Yes","No"),IF(AW828="NR","NR",""))</f>
        <v/>
      </c>
      <c r="BJ828" s="9">
        <f>IF(BB828="","",IF(BB828="Non-viable","Non-viable",IF(BB828="Viable","Viable",IF(BB828="Partially non-viable",IF(OR(BD828="Total splenectomy",BD828="Partial splenectomy +/- splenopexy"),"Non-viable","Review"),IF(BB828="NR",IF(OR(BD828="Total splenectomy",BD828="Partial splenectomy +/- splenopexy"),"NR - removed, check reason","NR"),"Not applicable")))))</f>
        <v/>
      </c>
    </row>
    <row r="829">
      <c r="D829" s="8" t="n"/>
      <c r="E829" s="9">
        <f>IF(B829="","",IF(B829="OWN","Yes","No"))</f>
        <v/>
      </c>
      <c r="AF829" s="9">
        <f>IF(ISNUMBER(Z829),IF(Z829&lt;=2,"&lt;=2 d",IF(Z829&lt;=7,"3-7 d",IF(Z829&lt;=30,"8-30 d","&gt;30 d"))),IF(AE829&lt;&gt;"",AE829,IF(Z829="NR","NR","")))</f>
        <v/>
      </c>
      <c r="AX829" s="9">
        <f>IF(ISNUMBER(AW829),IF(AW829&gt;450,"Yes","No"),IF(AW829="NR","NR",""))</f>
        <v/>
      </c>
      <c r="BJ829" s="9">
        <f>IF(BB829="","",IF(BB829="Non-viable","Non-viable",IF(BB829="Viable","Viable",IF(BB829="Partially non-viable",IF(OR(BD829="Total splenectomy",BD829="Partial splenectomy +/- splenopexy"),"Non-viable","Review"),IF(BB829="NR",IF(OR(BD829="Total splenectomy",BD829="Partial splenectomy +/- splenopexy"),"NR - removed, check reason","NR"),"Not applicable")))))</f>
        <v/>
      </c>
    </row>
    <row r="830">
      <c r="D830" s="8" t="n"/>
      <c r="E830" s="9">
        <f>IF(B830="","",IF(B830="OWN","Yes","No"))</f>
        <v/>
      </c>
      <c r="AF830" s="9">
        <f>IF(ISNUMBER(Z830),IF(Z830&lt;=2,"&lt;=2 d",IF(Z830&lt;=7,"3-7 d",IF(Z830&lt;=30,"8-30 d","&gt;30 d"))),IF(AE830&lt;&gt;"",AE830,IF(Z830="NR","NR","")))</f>
        <v/>
      </c>
      <c r="AX830" s="9">
        <f>IF(ISNUMBER(AW830),IF(AW830&gt;450,"Yes","No"),IF(AW830="NR","NR",""))</f>
        <v/>
      </c>
      <c r="BJ830" s="9">
        <f>IF(BB830="","",IF(BB830="Non-viable","Non-viable",IF(BB830="Viable","Viable",IF(BB830="Partially non-viable",IF(OR(BD830="Total splenectomy",BD830="Partial splenectomy +/- splenopexy"),"Non-viable","Review"),IF(BB830="NR",IF(OR(BD830="Total splenectomy",BD830="Partial splenectomy +/- splenopexy"),"NR - removed, check reason","NR"),"Not applicable")))))</f>
        <v/>
      </c>
    </row>
    <row r="831">
      <c r="D831" s="8" t="n"/>
      <c r="E831" s="9">
        <f>IF(B831="","",IF(B831="OWN","Yes","No"))</f>
        <v/>
      </c>
      <c r="AF831" s="9">
        <f>IF(ISNUMBER(Z831),IF(Z831&lt;=2,"&lt;=2 d",IF(Z831&lt;=7,"3-7 d",IF(Z831&lt;=30,"8-30 d","&gt;30 d"))),IF(AE831&lt;&gt;"",AE831,IF(Z831="NR","NR","")))</f>
        <v/>
      </c>
      <c r="AX831" s="9">
        <f>IF(ISNUMBER(AW831),IF(AW831&gt;450,"Yes","No"),IF(AW831="NR","NR",""))</f>
        <v/>
      </c>
      <c r="BJ831" s="9">
        <f>IF(BB831="","",IF(BB831="Non-viable","Non-viable",IF(BB831="Viable","Viable",IF(BB831="Partially non-viable",IF(OR(BD831="Total splenectomy",BD831="Partial splenectomy +/- splenopexy"),"Non-viable","Review"),IF(BB831="NR",IF(OR(BD831="Total splenectomy",BD831="Partial splenectomy +/- splenopexy"),"NR - removed, check reason","NR"),"Not applicable")))))</f>
        <v/>
      </c>
    </row>
    <row r="832">
      <c r="D832" s="8" t="n"/>
      <c r="E832" s="9">
        <f>IF(B832="","",IF(B832="OWN","Yes","No"))</f>
        <v/>
      </c>
      <c r="AF832" s="9">
        <f>IF(ISNUMBER(Z832),IF(Z832&lt;=2,"&lt;=2 d",IF(Z832&lt;=7,"3-7 d",IF(Z832&lt;=30,"8-30 d","&gt;30 d"))),IF(AE832&lt;&gt;"",AE832,IF(Z832="NR","NR","")))</f>
        <v/>
      </c>
      <c r="AX832" s="9">
        <f>IF(ISNUMBER(AW832),IF(AW832&gt;450,"Yes","No"),IF(AW832="NR","NR",""))</f>
        <v/>
      </c>
      <c r="BJ832" s="9">
        <f>IF(BB832="","",IF(BB832="Non-viable","Non-viable",IF(BB832="Viable","Viable",IF(BB832="Partially non-viable",IF(OR(BD832="Total splenectomy",BD832="Partial splenectomy +/- splenopexy"),"Non-viable","Review"),IF(BB832="NR",IF(OR(BD832="Total splenectomy",BD832="Partial splenectomy +/- splenopexy"),"NR - removed, check reason","NR"),"Not applicable")))))</f>
        <v/>
      </c>
    </row>
    <row r="833">
      <c r="D833" s="8" t="n"/>
      <c r="E833" s="9">
        <f>IF(B833="","",IF(B833="OWN","Yes","No"))</f>
        <v/>
      </c>
      <c r="AF833" s="9">
        <f>IF(ISNUMBER(Z833),IF(Z833&lt;=2,"&lt;=2 d",IF(Z833&lt;=7,"3-7 d",IF(Z833&lt;=30,"8-30 d","&gt;30 d"))),IF(AE833&lt;&gt;"",AE833,IF(Z833="NR","NR","")))</f>
        <v/>
      </c>
      <c r="AX833" s="9">
        <f>IF(ISNUMBER(AW833),IF(AW833&gt;450,"Yes","No"),IF(AW833="NR","NR",""))</f>
        <v/>
      </c>
      <c r="BJ833" s="9">
        <f>IF(BB833="","",IF(BB833="Non-viable","Non-viable",IF(BB833="Viable","Viable",IF(BB833="Partially non-viable",IF(OR(BD833="Total splenectomy",BD833="Partial splenectomy +/- splenopexy"),"Non-viable","Review"),IF(BB833="NR",IF(OR(BD833="Total splenectomy",BD833="Partial splenectomy +/- splenopexy"),"NR - removed, check reason","NR"),"Not applicable")))))</f>
        <v/>
      </c>
    </row>
    <row r="834">
      <c r="D834" s="8" t="n"/>
      <c r="E834" s="9">
        <f>IF(B834="","",IF(B834="OWN","Yes","No"))</f>
        <v/>
      </c>
      <c r="AF834" s="9">
        <f>IF(ISNUMBER(Z834),IF(Z834&lt;=2,"&lt;=2 d",IF(Z834&lt;=7,"3-7 d",IF(Z834&lt;=30,"8-30 d","&gt;30 d"))),IF(AE834&lt;&gt;"",AE834,IF(Z834="NR","NR","")))</f>
        <v/>
      </c>
      <c r="AX834" s="9">
        <f>IF(ISNUMBER(AW834),IF(AW834&gt;450,"Yes","No"),IF(AW834="NR","NR",""))</f>
        <v/>
      </c>
      <c r="BJ834" s="9">
        <f>IF(BB834="","",IF(BB834="Non-viable","Non-viable",IF(BB834="Viable","Viable",IF(BB834="Partially non-viable",IF(OR(BD834="Total splenectomy",BD834="Partial splenectomy +/- splenopexy"),"Non-viable","Review"),IF(BB834="NR",IF(OR(BD834="Total splenectomy",BD834="Partial splenectomy +/- splenopexy"),"NR - removed, check reason","NR"),"Not applicable")))))</f>
        <v/>
      </c>
    </row>
    <row r="835">
      <c r="D835" s="8" t="n"/>
      <c r="E835" s="9">
        <f>IF(B835="","",IF(B835="OWN","Yes","No"))</f>
        <v/>
      </c>
      <c r="AF835" s="9">
        <f>IF(ISNUMBER(Z835),IF(Z835&lt;=2,"&lt;=2 d",IF(Z835&lt;=7,"3-7 d",IF(Z835&lt;=30,"8-30 d","&gt;30 d"))),IF(AE835&lt;&gt;"",AE835,IF(Z835="NR","NR","")))</f>
        <v/>
      </c>
      <c r="AX835" s="9">
        <f>IF(ISNUMBER(AW835),IF(AW835&gt;450,"Yes","No"),IF(AW835="NR","NR",""))</f>
        <v/>
      </c>
      <c r="BJ835" s="9">
        <f>IF(BB835="","",IF(BB835="Non-viable","Non-viable",IF(BB835="Viable","Viable",IF(BB835="Partially non-viable",IF(OR(BD835="Total splenectomy",BD835="Partial splenectomy +/- splenopexy"),"Non-viable","Review"),IF(BB835="NR",IF(OR(BD835="Total splenectomy",BD835="Partial splenectomy +/- splenopexy"),"NR - removed, check reason","NR"),"Not applicable")))))</f>
        <v/>
      </c>
    </row>
    <row r="836">
      <c r="D836" s="8" t="n"/>
      <c r="E836" s="9">
        <f>IF(B836="","",IF(B836="OWN","Yes","No"))</f>
        <v/>
      </c>
      <c r="AF836" s="9">
        <f>IF(ISNUMBER(Z836),IF(Z836&lt;=2,"&lt;=2 d",IF(Z836&lt;=7,"3-7 d",IF(Z836&lt;=30,"8-30 d","&gt;30 d"))),IF(AE836&lt;&gt;"",AE836,IF(Z836="NR","NR","")))</f>
        <v/>
      </c>
      <c r="AX836" s="9">
        <f>IF(ISNUMBER(AW836),IF(AW836&gt;450,"Yes","No"),IF(AW836="NR","NR",""))</f>
        <v/>
      </c>
      <c r="BJ836" s="9">
        <f>IF(BB836="","",IF(BB836="Non-viable","Non-viable",IF(BB836="Viable","Viable",IF(BB836="Partially non-viable",IF(OR(BD836="Total splenectomy",BD836="Partial splenectomy +/- splenopexy"),"Non-viable","Review"),IF(BB836="NR",IF(OR(BD836="Total splenectomy",BD836="Partial splenectomy +/- splenopexy"),"NR - removed, check reason","NR"),"Not applicable")))))</f>
        <v/>
      </c>
    </row>
    <row r="837">
      <c r="D837" s="8" t="n"/>
      <c r="E837" s="9">
        <f>IF(B837="","",IF(B837="OWN","Yes","No"))</f>
        <v/>
      </c>
      <c r="AF837" s="9">
        <f>IF(ISNUMBER(Z837),IF(Z837&lt;=2,"&lt;=2 d",IF(Z837&lt;=7,"3-7 d",IF(Z837&lt;=30,"8-30 d","&gt;30 d"))),IF(AE837&lt;&gt;"",AE837,IF(Z837="NR","NR","")))</f>
        <v/>
      </c>
      <c r="AX837" s="9">
        <f>IF(ISNUMBER(AW837),IF(AW837&gt;450,"Yes","No"),IF(AW837="NR","NR",""))</f>
        <v/>
      </c>
      <c r="BJ837" s="9">
        <f>IF(BB837="","",IF(BB837="Non-viable","Non-viable",IF(BB837="Viable","Viable",IF(BB837="Partially non-viable",IF(OR(BD837="Total splenectomy",BD837="Partial splenectomy +/- splenopexy"),"Non-viable","Review"),IF(BB837="NR",IF(OR(BD837="Total splenectomy",BD837="Partial splenectomy +/- splenopexy"),"NR - removed, check reason","NR"),"Not applicable")))))</f>
        <v/>
      </c>
    </row>
    <row r="838">
      <c r="D838" s="8" t="n"/>
      <c r="E838" s="9">
        <f>IF(B838="","",IF(B838="OWN","Yes","No"))</f>
        <v/>
      </c>
      <c r="AF838" s="9">
        <f>IF(ISNUMBER(Z838),IF(Z838&lt;=2,"&lt;=2 d",IF(Z838&lt;=7,"3-7 d",IF(Z838&lt;=30,"8-30 d","&gt;30 d"))),IF(AE838&lt;&gt;"",AE838,IF(Z838="NR","NR","")))</f>
        <v/>
      </c>
      <c r="AX838" s="9">
        <f>IF(ISNUMBER(AW838),IF(AW838&gt;450,"Yes","No"),IF(AW838="NR","NR",""))</f>
        <v/>
      </c>
      <c r="BJ838" s="9">
        <f>IF(BB838="","",IF(BB838="Non-viable","Non-viable",IF(BB838="Viable","Viable",IF(BB838="Partially non-viable",IF(OR(BD838="Total splenectomy",BD838="Partial splenectomy +/- splenopexy"),"Non-viable","Review"),IF(BB838="NR",IF(OR(BD838="Total splenectomy",BD838="Partial splenectomy +/- splenopexy"),"NR - removed, check reason","NR"),"Not applicable")))))</f>
        <v/>
      </c>
    </row>
    <row r="839">
      <c r="D839" s="8" t="n"/>
      <c r="E839" s="9">
        <f>IF(B839="","",IF(B839="OWN","Yes","No"))</f>
        <v/>
      </c>
      <c r="AF839" s="9">
        <f>IF(ISNUMBER(Z839),IF(Z839&lt;=2,"&lt;=2 d",IF(Z839&lt;=7,"3-7 d",IF(Z839&lt;=30,"8-30 d","&gt;30 d"))),IF(AE839&lt;&gt;"",AE839,IF(Z839="NR","NR","")))</f>
        <v/>
      </c>
      <c r="AX839" s="9">
        <f>IF(ISNUMBER(AW839),IF(AW839&gt;450,"Yes","No"),IF(AW839="NR","NR",""))</f>
        <v/>
      </c>
      <c r="BJ839" s="9">
        <f>IF(BB839="","",IF(BB839="Non-viable","Non-viable",IF(BB839="Viable","Viable",IF(BB839="Partially non-viable",IF(OR(BD839="Total splenectomy",BD839="Partial splenectomy +/- splenopexy"),"Non-viable","Review"),IF(BB839="NR",IF(OR(BD839="Total splenectomy",BD839="Partial splenectomy +/- splenopexy"),"NR - removed, check reason","NR"),"Not applicable")))))</f>
        <v/>
      </c>
    </row>
    <row r="840">
      <c r="D840" s="8" t="n"/>
      <c r="E840" s="9">
        <f>IF(B840="","",IF(B840="OWN","Yes","No"))</f>
        <v/>
      </c>
      <c r="AF840" s="9">
        <f>IF(ISNUMBER(Z840),IF(Z840&lt;=2,"&lt;=2 d",IF(Z840&lt;=7,"3-7 d",IF(Z840&lt;=30,"8-30 d","&gt;30 d"))),IF(AE840&lt;&gt;"",AE840,IF(Z840="NR","NR","")))</f>
        <v/>
      </c>
      <c r="AX840" s="9">
        <f>IF(ISNUMBER(AW840),IF(AW840&gt;450,"Yes","No"),IF(AW840="NR","NR",""))</f>
        <v/>
      </c>
      <c r="BJ840" s="9">
        <f>IF(BB840="","",IF(BB840="Non-viable","Non-viable",IF(BB840="Viable","Viable",IF(BB840="Partially non-viable",IF(OR(BD840="Total splenectomy",BD840="Partial splenectomy +/- splenopexy"),"Non-viable","Review"),IF(BB840="NR",IF(OR(BD840="Total splenectomy",BD840="Partial splenectomy +/- splenopexy"),"NR - removed, check reason","NR"),"Not applicable")))))</f>
        <v/>
      </c>
    </row>
    <row r="841">
      <c r="D841" s="8" t="n"/>
      <c r="E841" s="9">
        <f>IF(B841="","",IF(B841="OWN","Yes","No"))</f>
        <v/>
      </c>
      <c r="AF841" s="9">
        <f>IF(ISNUMBER(Z841),IF(Z841&lt;=2,"&lt;=2 d",IF(Z841&lt;=7,"3-7 d",IF(Z841&lt;=30,"8-30 d","&gt;30 d"))),IF(AE841&lt;&gt;"",AE841,IF(Z841="NR","NR","")))</f>
        <v/>
      </c>
      <c r="AX841" s="9">
        <f>IF(ISNUMBER(AW841),IF(AW841&gt;450,"Yes","No"),IF(AW841="NR","NR",""))</f>
        <v/>
      </c>
      <c r="BJ841" s="9">
        <f>IF(BB841="","",IF(BB841="Non-viable","Non-viable",IF(BB841="Viable","Viable",IF(BB841="Partially non-viable",IF(OR(BD841="Total splenectomy",BD841="Partial splenectomy +/- splenopexy"),"Non-viable","Review"),IF(BB841="NR",IF(OR(BD841="Total splenectomy",BD841="Partial splenectomy +/- splenopexy"),"NR - removed, check reason","NR"),"Not applicable")))))</f>
        <v/>
      </c>
    </row>
    <row r="842">
      <c r="D842" s="8" t="n"/>
      <c r="E842" s="9">
        <f>IF(B842="","",IF(B842="OWN","Yes","No"))</f>
        <v/>
      </c>
      <c r="AF842" s="9">
        <f>IF(ISNUMBER(Z842),IF(Z842&lt;=2,"&lt;=2 d",IF(Z842&lt;=7,"3-7 d",IF(Z842&lt;=30,"8-30 d","&gt;30 d"))),IF(AE842&lt;&gt;"",AE842,IF(Z842="NR","NR","")))</f>
        <v/>
      </c>
      <c r="AX842" s="9">
        <f>IF(ISNUMBER(AW842),IF(AW842&gt;450,"Yes","No"),IF(AW842="NR","NR",""))</f>
        <v/>
      </c>
      <c r="BJ842" s="9">
        <f>IF(BB842="","",IF(BB842="Non-viable","Non-viable",IF(BB842="Viable","Viable",IF(BB842="Partially non-viable",IF(OR(BD842="Total splenectomy",BD842="Partial splenectomy +/- splenopexy"),"Non-viable","Review"),IF(BB842="NR",IF(OR(BD842="Total splenectomy",BD842="Partial splenectomy +/- splenopexy"),"NR - removed, check reason","NR"),"Not applicable")))))</f>
        <v/>
      </c>
    </row>
    <row r="843">
      <c r="D843" s="8" t="n"/>
      <c r="E843" s="9">
        <f>IF(B843="","",IF(B843="OWN","Yes","No"))</f>
        <v/>
      </c>
      <c r="AF843" s="9">
        <f>IF(ISNUMBER(Z843),IF(Z843&lt;=2,"&lt;=2 d",IF(Z843&lt;=7,"3-7 d",IF(Z843&lt;=30,"8-30 d","&gt;30 d"))),IF(AE843&lt;&gt;"",AE843,IF(Z843="NR","NR","")))</f>
        <v/>
      </c>
      <c r="AX843" s="9">
        <f>IF(ISNUMBER(AW843),IF(AW843&gt;450,"Yes","No"),IF(AW843="NR","NR",""))</f>
        <v/>
      </c>
      <c r="BJ843" s="9">
        <f>IF(BB843="","",IF(BB843="Non-viable","Non-viable",IF(BB843="Viable","Viable",IF(BB843="Partially non-viable",IF(OR(BD843="Total splenectomy",BD843="Partial splenectomy +/- splenopexy"),"Non-viable","Review"),IF(BB843="NR",IF(OR(BD843="Total splenectomy",BD843="Partial splenectomy +/- splenopexy"),"NR - removed, check reason","NR"),"Not applicable")))))</f>
        <v/>
      </c>
    </row>
    <row r="844">
      <c r="D844" s="8" t="n"/>
      <c r="E844" s="9">
        <f>IF(B844="","",IF(B844="OWN","Yes","No"))</f>
        <v/>
      </c>
      <c r="AF844" s="9">
        <f>IF(ISNUMBER(Z844),IF(Z844&lt;=2,"&lt;=2 d",IF(Z844&lt;=7,"3-7 d",IF(Z844&lt;=30,"8-30 d","&gt;30 d"))),IF(AE844&lt;&gt;"",AE844,IF(Z844="NR","NR","")))</f>
        <v/>
      </c>
      <c r="AX844" s="9">
        <f>IF(ISNUMBER(AW844),IF(AW844&gt;450,"Yes","No"),IF(AW844="NR","NR",""))</f>
        <v/>
      </c>
      <c r="BJ844" s="9">
        <f>IF(BB844="","",IF(BB844="Non-viable","Non-viable",IF(BB844="Viable","Viable",IF(BB844="Partially non-viable",IF(OR(BD844="Total splenectomy",BD844="Partial splenectomy +/- splenopexy"),"Non-viable","Review"),IF(BB844="NR",IF(OR(BD844="Total splenectomy",BD844="Partial splenectomy +/- splenopexy"),"NR - removed, check reason","NR"),"Not applicable")))))</f>
        <v/>
      </c>
    </row>
    <row r="845">
      <c r="D845" s="8" t="n"/>
      <c r="E845" s="9">
        <f>IF(B845="","",IF(B845="OWN","Yes","No"))</f>
        <v/>
      </c>
      <c r="AF845" s="9">
        <f>IF(ISNUMBER(Z845),IF(Z845&lt;=2,"&lt;=2 d",IF(Z845&lt;=7,"3-7 d",IF(Z845&lt;=30,"8-30 d","&gt;30 d"))),IF(AE845&lt;&gt;"",AE845,IF(Z845="NR","NR","")))</f>
        <v/>
      </c>
      <c r="AX845" s="9">
        <f>IF(ISNUMBER(AW845),IF(AW845&gt;450,"Yes","No"),IF(AW845="NR","NR",""))</f>
        <v/>
      </c>
      <c r="BJ845" s="9">
        <f>IF(BB845="","",IF(BB845="Non-viable","Non-viable",IF(BB845="Viable","Viable",IF(BB845="Partially non-viable",IF(OR(BD845="Total splenectomy",BD845="Partial splenectomy +/- splenopexy"),"Non-viable","Review"),IF(BB845="NR",IF(OR(BD845="Total splenectomy",BD845="Partial splenectomy +/- splenopexy"),"NR - removed, check reason","NR"),"Not applicable")))))</f>
        <v/>
      </c>
    </row>
    <row r="846">
      <c r="D846" s="8" t="n"/>
      <c r="E846" s="9">
        <f>IF(B846="","",IF(B846="OWN","Yes","No"))</f>
        <v/>
      </c>
      <c r="AF846" s="9">
        <f>IF(ISNUMBER(Z846),IF(Z846&lt;=2,"&lt;=2 d",IF(Z846&lt;=7,"3-7 d",IF(Z846&lt;=30,"8-30 d","&gt;30 d"))),IF(AE846&lt;&gt;"",AE846,IF(Z846="NR","NR","")))</f>
        <v/>
      </c>
      <c r="AX846" s="9">
        <f>IF(ISNUMBER(AW846),IF(AW846&gt;450,"Yes","No"),IF(AW846="NR","NR",""))</f>
        <v/>
      </c>
      <c r="BJ846" s="9">
        <f>IF(BB846="","",IF(BB846="Non-viable","Non-viable",IF(BB846="Viable","Viable",IF(BB846="Partially non-viable",IF(OR(BD846="Total splenectomy",BD846="Partial splenectomy +/- splenopexy"),"Non-viable","Review"),IF(BB846="NR",IF(OR(BD846="Total splenectomy",BD846="Partial splenectomy +/- splenopexy"),"NR - removed, check reason","NR"),"Not applicable")))))</f>
        <v/>
      </c>
    </row>
    <row r="847">
      <c r="D847" s="8" t="n"/>
      <c r="E847" s="9">
        <f>IF(B847="","",IF(B847="OWN","Yes","No"))</f>
        <v/>
      </c>
      <c r="AF847" s="9">
        <f>IF(ISNUMBER(Z847),IF(Z847&lt;=2,"&lt;=2 d",IF(Z847&lt;=7,"3-7 d",IF(Z847&lt;=30,"8-30 d","&gt;30 d"))),IF(AE847&lt;&gt;"",AE847,IF(Z847="NR","NR","")))</f>
        <v/>
      </c>
      <c r="AX847" s="9">
        <f>IF(ISNUMBER(AW847),IF(AW847&gt;450,"Yes","No"),IF(AW847="NR","NR",""))</f>
        <v/>
      </c>
      <c r="BJ847" s="9">
        <f>IF(BB847="","",IF(BB847="Non-viable","Non-viable",IF(BB847="Viable","Viable",IF(BB847="Partially non-viable",IF(OR(BD847="Total splenectomy",BD847="Partial splenectomy +/- splenopexy"),"Non-viable","Review"),IF(BB847="NR",IF(OR(BD847="Total splenectomy",BD847="Partial splenectomy +/- splenopexy"),"NR - removed, check reason","NR"),"Not applicable")))))</f>
        <v/>
      </c>
    </row>
    <row r="848">
      <c r="D848" s="8" t="n"/>
      <c r="E848" s="9">
        <f>IF(B848="","",IF(B848="OWN","Yes","No"))</f>
        <v/>
      </c>
      <c r="AF848" s="9">
        <f>IF(ISNUMBER(Z848),IF(Z848&lt;=2,"&lt;=2 d",IF(Z848&lt;=7,"3-7 d",IF(Z848&lt;=30,"8-30 d","&gt;30 d"))),IF(AE848&lt;&gt;"",AE848,IF(Z848="NR","NR","")))</f>
        <v/>
      </c>
      <c r="AX848" s="9">
        <f>IF(ISNUMBER(AW848),IF(AW848&gt;450,"Yes","No"),IF(AW848="NR","NR",""))</f>
        <v/>
      </c>
      <c r="BJ848" s="9">
        <f>IF(BB848="","",IF(BB848="Non-viable","Non-viable",IF(BB848="Viable","Viable",IF(BB848="Partially non-viable",IF(OR(BD848="Total splenectomy",BD848="Partial splenectomy +/- splenopexy"),"Non-viable","Review"),IF(BB848="NR",IF(OR(BD848="Total splenectomy",BD848="Partial splenectomy +/- splenopexy"),"NR - removed, check reason","NR"),"Not applicable")))))</f>
        <v/>
      </c>
    </row>
    <row r="849">
      <c r="D849" s="8" t="n"/>
      <c r="E849" s="9">
        <f>IF(B849="","",IF(B849="OWN","Yes","No"))</f>
        <v/>
      </c>
      <c r="AF849" s="9">
        <f>IF(ISNUMBER(Z849),IF(Z849&lt;=2,"&lt;=2 d",IF(Z849&lt;=7,"3-7 d",IF(Z849&lt;=30,"8-30 d","&gt;30 d"))),IF(AE849&lt;&gt;"",AE849,IF(Z849="NR","NR","")))</f>
        <v/>
      </c>
      <c r="AX849" s="9">
        <f>IF(ISNUMBER(AW849),IF(AW849&gt;450,"Yes","No"),IF(AW849="NR","NR",""))</f>
        <v/>
      </c>
      <c r="BJ849" s="9">
        <f>IF(BB849="","",IF(BB849="Non-viable","Non-viable",IF(BB849="Viable","Viable",IF(BB849="Partially non-viable",IF(OR(BD849="Total splenectomy",BD849="Partial splenectomy +/- splenopexy"),"Non-viable","Review"),IF(BB849="NR",IF(OR(BD849="Total splenectomy",BD849="Partial splenectomy +/- splenopexy"),"NR - removed, check reason","NR"),"Not applicable")))))</f>
        <v/>
      </c>
    </row>
    <row r="850">
      <c r="D850" s="8" t="n"/>
      <c r="E850" s="9">
        <f>IF(B850="","",IF(B850="OWN","Yes","No"))</f>
        <v/>
      </c>
      <c r="AF850" s="9">
        <f>IF(ISNUMBER(Z850),IF(Z850&lt;=2,"&lt;=2 d",IF(Z850&lt;=7,"3-7 d",IF(Z850&lt;=30,"8-30 d","&gt;30 d"))),IF(AE850&lt;&gt;"",AE850,IF(Z850="NR","NR","")))</f>
        <v/>
      </c>
      <c r="AX850" s="9">
        <f>IF(ISNUMBER(AW850),IF(AW850&gt;450,"Yes","No"),IF(AW850="NR","NR",""))</f>
        <v/>
      </c>
      <c r="BJ850" s="9">
        <f>IF(BB850="","",IF(BB850="Non-viable","Non-viable",IF(BB850="Viable","Viable",IF(BB850="Partially non-viable",IF(OR(BD850="Total splenectomy",BD850="Partial splenectomy +/- splenopexy"),"Non-viable","Review"),IF(BB850="NR",IF(OR(BD850="Total splenectomy",BD850="Partial splenectomy +/- splenopexy"),"NR - removed, check reason","NR"),"Not applicable")))))</f>
        <v/>
      </c>
    </row>
    <row r="851">
      <c r="D851" s="8" t="n"/>
      <c r="E851" s="9">
        <f>IF(B851="","",IF(B851="OWN","Yes","No"))</f>
        <v/>
      </c>
      <c r="AF851" s="9">
        <f>IF(ISNUMBER(Z851),IF(Z851&lt;=2,"&lt;=2 d",IF(Z851&lt;=7,"3-7 d",IF(Z851&lt;=30,"8-30 d","&gt;30 d"))),IF(AE851&lt;&gt;"",AE851,IF(Z851="NR","NR","")))</f>
        <v/>
      </c>
      <c r="AX851" s="9">
        <f>IF(ISNUMBER(AW851),IF(AW851&gt;450,"Yes","No"),IF(AW851="NR","NR",""))</f>
        <v/>
      </c>
      <c r="BJ851" s="9">
        <f>IF(BB851="","",IF(BB851="Non-viable","Non-viable",IF(BB851="Viable","Viable",IF(BB851="Partially non-viable",IF(OR(BD851="Total splenectomy",BD851="Partial splenectomy +/- splenopexy"),"Non-viable","Review"),IF(BB851="NR",IF(OR(BD851="Total splenectomy",BD851="Partial splenectomy +/- splenopexy"),"NR - removed, check reason","NR"),"Not applicable")))))</f>
        <v/>
      </c>
    </row>
    <row r="852">
      <c r="D852" s="8" t="n"/>
      <c r="E852" s="9">
        <f>IF(B852="","",IF(B852="OWN","Yes","No"))</f>
        <v/>
      </c>
      <c r="AF852" s="9">
        <f>IF(ISNUMBER(Z852),IF(Z852&lt;=2,"&lt;=2 d",IF(Z852&lt;=7,"3-7 d",IF(Z852&lt;=30,"8-30 d","&gt;30 d"))),IF(AE852&lt;&gt;"",AE852,IF(Z852="NR","NR","")))</f>
        <v/>
      </c>
      <c r="AX852" s="9">
        <f>IF(ISNUMBER(AW852),IF(AW852&gt;450,"Yes","No"),IF(AW852="NR","NR",""))</f>
        <v/>
      </c>
      <c r="BJ852" s="9">
        <f>IF(BB852="","",IF(BB852="Non-viable","Non-viable",IF(BB852="Viable","Viable",IF(BB852="Partially non-viable",IF(OR(BD852="Total splenectomy",BD852="Partial splenectomy +/- splenopexy"),"Non-viable","Review"),IF(BB852="NR",IF(OR(BD852="Total splenectomy",BD852="Partial splenectomy +/- splenopexy"),"NR - removed, check reason","NR"),"Not applicable")))))</f>
        <v/>
      </c>
    </row>
    <row r="853">
      <c r="D853" s="8" t="n"/>
      <c r="E853" s="9">
        <f>IF(B853="","",IF(B853="OWN","Yes","No"))</f>
        <v/>
      </c>
      <c r="AF853" s="9">
        <f>IF(ISNUMBER(Z853),IF(Z853&lt;=2,"&lt;=2 d",IF(Z853&lt;=7,"3-7 d",IF(Z853&lt;=30,"8-30 d","&gt;30 d"))),IF(AE853&lt;&gt;"",AE853,IF(Z853="NR","NR","")))</f>
        <v/>
      </c>
      <c r="AX853" s="9">
        <f>IF(ISNUMBER(AW853),IF(AW853&gt;450,"Yes","No"),IF(AW853="NR","NR",""))</f>
        <v/>
      </c>
      <c r="BJ853" s="9">
        <f>IF(BB853="","",IF(BB853="Non-viable","Non-viable",IF(BB853="Viable","Viable",IF(BB853="Partially non-viable",IF(OR(BD853="Total splenectomy",BD853="Partial splenectomy +/- splenopexy"),"Non-viable","Review"),IF(BB853="NR",IF(OR(BD853="Total splenectomy",BD853="Partial splenectomy +/- splenopexy"),"NR - removed, check reason","NR"),"Not applicable")))))</f>
        <v/>
      </c>
    </row>
    <row r="854">
      <c r="D854" s="8" t="n"/>
      <c r="E854" s="9">
        <f>IF(B854="","",IF(B854="OWN","Yes","No"))</f>
        <v/>
      </c>
      <c r="AF854" s="9">
        <f>IF(ISNUMBER(Z854),IF(Z854&lt;=2,"&lt;=2 d",IF(Z854&lt;=7,"3-7 d",IF(Z854&lt;=30,"8-30 d","&gt;30 d"))),IF(AE854&lt;&gt;"",AE854,IF(Z854="NR","NR","")))</f>
        <v/>
      </c>
      <c r="AX854" s="9">
        <f>IF(ISNUMBER(AW854),IF(AW854&gt;450,"Yes","No"),IF(AW854="NR","NR",""))</f>
        <v/>
      </c>
      <c r="BJ854" s="9">
        <f>IF(BB854="","",IF(BB854="Non-viable","Non-viable",IF(BB854="Viable","Viable",IF(BB854="Partially non-viable",IF(OR(BD854="Total splenectomy",BD854="Partial splenectomy +/- splenopexy"),"Non-viable","Review"),IF(BB854="NR",IF(OR(BD854="Total splenectomy",BD854="Partial splenectomy +/- splenopexy"),"NR - removed, check reason","NR"),"Not applicable")))))</f>
        <v/>
      </c>
    </row>
    <row r="855">
      <c r="D855" s="8" t="n"/>
      <c r="E855" s="9">
        <f>IF(B855="","",IF(B855="OWN","Yes","No"))</f>
        <v/>
      </c>
      <c r="AF855" s="9">
        <f>IF(ISNUMBER(Z855),IF(Z855&lt;=2,"&lt;=2 d",IF(Z855&lt;=7,"3-7 d",IF(Z855&lt;=30,"8-30 d","&gt;30 d"))),IF(AE855&lt;&gt;"",AE855,IF(Z855="NR","NR","")))</f>
        <v/>
      </c>
      <c r="AX855" s="9">
        <f>IF(ISNUMBER(AW855),IF(AW855&gt;450,"Yes","No"),IF(AW855="NR","NR",""))</f>
        <v/>
      </c>
      <c r="BJ855" s="9">
        <f>IF(BB855="","",IF(BB855="Non-viable","Non-viable",IF(BB855="Viable","Viable",IF(BB855="Partially non-viable",IF(OR(BD855="Total splenectomy",BD855="Partial splenectomy +/- splenopexy"),"Non-viable","Review"),IF(BB855="NR",IF(OR(BD855="Total splenectomy",BD855="Partial splenectomy +/- splenopexy"),"NR - removed, check reason","NR"),"Not applicable")))))</f>
        <v/>
      </c>
    </row>
    <row r="856">
      <c r="D856" s="8" t="n"/>
      <c r="E856" s="9">
        <f>IF(B856="","",IF(B856="OWN","Yes","No"))</f>
        <v/>
      </c>
      <c r="AF856" s="9">
        <f>IF(ISNUMBER(Z856),IF(Z856&lt;=2,"&lt;=2 d",IF(Z856&lt;=7,"3-7 d",IF(Z856&lt;=30,"8-30 d","&gt;30 d"))),IF(AE856&lt;&gt;"",AE856,IF(Z856="NR","NR","")))</f>
        <v/>
      </c>
      <c r="AX856" s="9">
        <f>IF(ISNUMBER(AW856),IF(AW856&gt;450,"Yes","No"),IF(AW856="NR","NR",""))</f>
        <v/>
      </c>
      <c r="BJ856" s="9">
        <f>IF(BB856="","",IF(BB856="Non-viable","Non-viable",IF(BB856="Viable","Viable",IF(BB856="Partially non-viable",IF(OR(BD856="Total splenectomy",BD856="Partial splenectomy +/- splenopexy"),"Non-viable","Review"),IF(BB856="NR",IF(OR(BD856="Total splenectomy",BD856="Partial splenectomy +/- splenopexy"),"NR - removed, check reason","NR"),"Not applicable")))))</f>
        <v/>
      </c>
    </row>
    <row r="857">
      <c r="D857" s="8" t="n"/>
      <c r="E857" s="9">
        <f>IF(B857="","",IF(B857="OWN","Yes","No"))</f>
        <v/>
      </c>
      <c r="AF857" s="9">
        <f>IF(ISNUMBER(Z857),IF(Z857&lt;=2,"&lt;=2 d",IF(Z857&lt;=7,"3-7 d",IF(Z857&lt;=30,"8-30 d","&gt;30 d"))),IF(AE857&lt;&gt;"",AE857,IF(Z857="NR","NR","")))</f>
        <v/>
      </c>
      <c r="AX857" s="9">
        <f>IF(ISNUMBER(AW857),IF(AW857&gt;450,"Yes","No"),IF(AW857="NR","NR",""))</f>
        <v/>
      </c>
      <c r="BJ857" s="9">
        <f>IF(BB857="","",IF(BB857="Non-viable","Non-viable",IF(BB857="Viable","Viable",IF(BB857="Partially non-viable",IF(OR(BD857="Total splenectomy",BD857="Partial splenectomy +/- splenopexy"),"Non-viable","Review"),IF(BB857="NR",IF(OR(BD857="Total splenectomy",BD857="Partial splenectomy +/- splenopexy"),"NR - removed, check reason","NR"),"Not applicable")))))</f>
        <v/>
      </c>
    </row>
    <row r="858">
      <c r="D858" s="8" t="n"/>
      <c r="E858" s="9">
        <f>IF(B858="","",IF(B858="OWN","Yes","No"))</f>
        <v/>
      </c>
      <c r="AF858" s="9">
        <f>IF(ISNUMBER(Z858),IF(Z858&lt;=2,"&lt;=2 d",IF(Z858&lt;=7,"3-7 d",IF(Z858&lt;=30,"8-30 d","&gt;30 d"))),IF(AE858&lt;&gt;"",AE858,IF(Z858="NR","NR","")))</f>
        <v/>
      </c>
      <c r="AX858" s="9">
        <f>IF(ISNUMBER(AW858),IF(AW858&gt;450,"Yes","No"),IF(AW858="NR","NR",""))</f>
        <v/>
      </c>
      <c r="BJ858" s="9">
        <f>IF(BB858="","",IF(BB858="Non-viable","Non-viable",IF(BB858="Viable","Viable",IF(BB858="Partially non-viable",IF(OR(BD858="Total splenectomy",BD858="Partial splenectomy +/- splenopexy"),"Non-viable","Review"),IF(BB858="NR",IF(OR(BD858="Total splenectomy",BD858="Partial splenectomy +/- splenopexy"),"NR - removed, check reason","NR"),"Not applicable")))))</f>
        <v/>
      </c>
    </row>
    <row r="859">
      <c r="D859" s="8" t="n"/>
      <c r="E859" s="9">
        <f>IF(B859="","",IF(B859="OWN","Yes","No"))</f>
        <v/>
      </c>
      <c r="AF859" s="9">
        <f>IF(ISNUMBER(Z859),IF(Z859&lt;=2,"&lt;=2 d",IF(Z859&lt;=7,"3-7 d",IF(Z859&lt;=30,"8-30 d","&gt;30 d"))),IF(AE859&lt;&gt;"",AE859,IF(Z859="NR","NR","")))</f>
        <v/>
      </c>
      <c r="AX859" s="9">
        <f>IF(ISNUMBER(AW859),IF(AW859&gt;450,"Yes","No"),IF(AW859="NR","NR",""))</f>
        <v/>
      </c>
      <c r="BJ859" s="9">
        <f>IF(BB859="","",IF(BB859="Non-viable","Non-viable",IF(BB859="Viable","Viable",IF(BB859="Partially non-viable",IF(OR(BD859="Total splenectomy",BD859="Partial splenectomy +/- splenopexy"),"Non-viable","Review"),IF(BB859="NR",IF(OR(BD859="Total splenectomy",BD859="Partial splenectomy +/- splenopexy"),"NR - removed, check reason","NR"),"Not applicable")))))</f>
        <v/>
      </c>
    </row>
    <row r="860">
      <c r="D860" s="8" t="n"/>
      <c r="E860" s="9">
        <f>IF(B860="","",IF(B860="OWN","Yes","No"))</f>
        <v/>
      </c>
      <c r="AF860" s="9">
        <f>IF(ISNUMBER(Z860),IF(Z860&lt;=2,"&lt;=2 d",IF(Z860&lt;=7,"3-7 d",IF(Z860&lt;=30,"8-30 d","&gt;30 d"))),IF(AE860&lt;&gt;"",AE860,IF(Z860="NR","NR","")))</f>
        <v/>
      </c>
      <c r="AX860" s="9">
        <f>IF(ISNUMBER(AW860),IF(AW860&gt;450,"Yes","No"),IF(AW860="NR","NR",""))</f>
        <v/>
      </c>
      <c r="BJ860" s="9">
        <f>IF(BB860="","",IF(BB860="Non-viable","Non-viable",IF(BB860="Viable","Viable",IF(BB860="Partially non-viable",IF(OR(BD860="Total splenectomy",BD860="Partial splenectomy +/- splenopexy"),"Non-viable","Review"),IF(BB860="NR",IF(OR(BD860="Total splenectomy",BD860="Partial splenectomy +/- splenopexy"),"NR - removed, check reason","NR"),"Not applicable")))))</f>
        <v/>
      </c>
    </row>
    <row r="861">
      <c r="D861" s="8" t="n"/>
      <c r="E861" s="9">
        <f>IF(B861="","",IF(B861="OWN","Yes","No"))</f>
        <v/>
      </c>
      <c r="AF861" s="9">
        <f>IF(ISNUMBER(Z861),IF(Z861&lt;=2,"&lt;=2 d",IF(Z861&lt;=7,"3-7 d",IF(Z861&lt;=30,"8-30 d","&gt;30 d"))),IF(AE861&lt;&gt;"",AE861,IF(Z861="NR","NR","")))</f>
        <v/>
      </c>
      <c r="AX861" s="9">
        <f>IF(ISNUMBER(AW861),IF(AW861&gt;450,"Yes","No"),IF(AW861="NR","NR",""))</f>
        <v/>
      </c>
      <c r="BJ861" s="9">
        <f>IF(BB861="","",IF(BB861="Non-viable","Non-viable",IF(BB861="Viable","Viable",IF(BB861="Partially non-viable",IF(OR(BD861="Total splenectomy",BD861="Partial splenectomy +/- splenopexy"),"Non-viable","Review"),IF(BB861="NR",IF(OR(BD861="Total splenectomy",BD861="Partial splenectomy +/- splenopexy"),"NR - removed, check reason","NR"),"Not applicable")))))</f>
        <v/>
      </c>
    </row>
    <row r="862">
      <c r="D862" s="8" t="n"/>
      <c r="E862" s="9">
        <f>IF(B862="","",IF(B862="OWN","Yes","No"))</f>
        <v/>
      </c>
      <c r="AF862" s="9">
        <f>IF(ISNUMBER(Z862),IF(Z862&lt;=2,"&lt;=2 d",IF(Z862&lt;=7,"3-7 d",IF(Z862&lt;=30,"8-30 d","&gt;30 d"))),IF(AE862&lt;&gt;"",AE862,IF(Z862="NR","NR","")))</f>
        <v/>
      </c>
      <c r="AX862" s="9">
        <f>IF(ISNUMBER(AW862),IF(AW862&gt;450,"Yes","No"),IF(AW862="NR","NR",""))</f>
        <v/>
      </c>
      <c r="BJ862" s="9">
        <f>IF(BB862="","",IF(BB862="Non-viable","Non-viable",IF(BB862="Viable","Viable",IF(BB862="Partially non-viable",IF(OR(BD862="Total splenectomy",BD862="Partial splenectomy +/- splenopexy"),"Non-viable","Review"),IF(BB862="NR",IF(OR(BD862="Total splenectomy",BD862="Partial splenectomy +/- splenopexy"),"NR - removed, check reason","NR"),"Not applicable")))))</f>
        <v/>
      </c>
    </row>
    <row r="863">
      <c r="D863" s="8" t="n"/>
      <c r="E863" s="9">
        <f>IF(B863="","",IF(B863="OWN","Yes","No"))</f>
        <v/>
      </c>
      <c r="AF863" s="9">
        <f>IF(ISNUMBER(Z863),IF(Z863&lt;=2,"&lt;=2 d",IF(Z863&lt;=7,"3-7 d",IF(Z863&lt;=30,"8-30 d","&gt;30 d"))),IF(AE863&lt;&gt;"",AE863,IF(Z863="NR","NR","")))</f>
        <v/>
      </c>
      <c r="AX863" s="9">
        <f>IF(ISNUMBER(AW863),IF(AW863&gt;450,"Yes","No"),IF(AW863="NR","NR",""))</f>
        <v/>
      </c>
      <c r="BJ863" s="9">
        <f>IF(BB863="","",IF(BB863="Non-viable","Non-viable",IF(BB863="Viable","Viable",IF(BB863="Partially non-viable",IF(OR(BD863="Total splenectomy",BD863="Partial splenectomy +/- splenopexy"),"Non-viable","Review"),IF(BB863="NR",IF(OR(BD863="Total splenectomy",BD863="Partial splenectomy +/- splenopexy"),"NR - removed, check reason","NR"),"Not applicable")))))</f>
        <v/>
      </c>
    </row>
    <row r="864">
      <c r="D864" s="8" t="n"/>
      <c r="E864" s="9">
        <f>IF(B864="","",IF(B864="OWN","Yes","No"))</f>
        <v/>
      </c>
      <c r="AF864" s="9">
        <f>IF(ISNUMBER(Z864),IF(Z864&lt;=2,"&lt;=2 d",IF(Z864&lt;=7,"3-7 d",IF(Z864&lt;=30,"8-30 d","&gt;30 d"))),IF(AE864&lt;&gt;"",AE864,IF(Z864="NR","NR","")))</f>
        <v/>
      </c>
      <c r="AX864" s="9">
        <f>IF(ISNUMBER(AW864),IF(AW864&gt;450,"Yes","No"),IF(AW864="NR","NR",""))</f>
        <v/>
      </c>
      <c r="BJ864" s="9">
        <f>IF(BB864="","",IF(BB864="Non-viable","Non-viable",IF(BB864="Viable","Viable",IF(BB864="Partially non-viable",IF(OR(BD864="Total splenectomy",BD864="Partial splenectomy +/- splenopexy"),"Non-viable","Review"),IF(BB864="NR",IF(OR(BD864="Total splenectomy",BD864="Partial splenectomy +/- splenopexy"),"NR - removed, check reason","NR"),"Not applicable")))))</f>
        <v/>
      </c>
    </row>
    <row r="865">
      <c r="D865" s="8" t="n"/>
      <c r="E865" s="9">
        <f>IF(B865="","",IF(B865="OWN","Yes","No"))</f>
        <v/>
      </c>
      <c r="AF865" s="9">
        <f>IF(ISNUMBER(Z865),IF(Z865&lt;=2,"&lt;=2 d",IF(Z865&lt;=7,"3-7 d",IF(Z865&lt;=30,"8-30 d","&gt;30 d"))),IF(AE865&lt;&gt;"",AE865,IF(Z865="NR","NR","")))</f>
        <v/>
      </c>
      <c r="AX865" s="9">
        <f>IF(ISNUMBER(AW865),IF(AW865&gt;450,"Yes","No"),IF(AW865="NR","NR",""))</f>
        <v/>
      </c>
      <c r="BJ865" s="9">
        <f>IF(BB865="","",IF(BB865="Non-viable","Non-viable",IF(BB865="Viable","Viable",IF(BB865="Partially non-viable",IF(OR(BD865="Total splenectomy",BD865="Partial splenectomy +/- splenopexy"),"Non-viable","Review"),IF(BB865="NR",IF(OR(BD865="Total splenectomy",BD865="Partial splenectomy +/- splenopexy"),"NR - removed, check reason","NR"),"Not applicable")))))</f>
        <v/>
      </c>
    </row>
    <row r="866">
      <c r="D866" s="8" t="n"/>
      <c r="E866" s="9">
        <f>IF(B866="","",IF(B866="OWN","Yes","No"))</f>
        <v/>
      </c>
      <c r="AF866" s="9">
        <f>IF(ISNUMBER(Z866),IF(Z866&lt;=2,"&lt;=2 d",IF(Z866&lt;=7,"3-7 d",IF(Z866&lt;=30,"8-30 d","&gt;30 d"))),IF(AE866&lt;&gt;"",AE866,IF(Z866="NR","NR","")))</f>
        <v/>
      </c>
      <c r="AX866" s="9">
        <f>IF(ISNUMBER(AW866),IF(AW866&gt;450,"Yes","No"),IF(AW866="NR","NR",""))</f>
        <v/>
      </c>
      <c r="BJ866" s="9">
        <f>IF(BB866="","",IF(BB866="Non-viable","Non-viable",IF(BB866="Viable","Viable",IF(BB866="Partially non-viable",IF(OR(BD866="Total splenectomy",BD866="Partial splenectomy +/- splenopexy"),"Non-viable","Review"),IF(BB866="NR",IF(OR(BD866="Total splenectomy",BD866="Partial splenectomy +/- splenopexy"),"NR - removed, check reason","NR"),"Not applicable")))))</f>
        <v/>
      </c>
    </row>
    <row r="867">
      <c r="D867" s="8" t="n"/>
      <c r="E867" s="9">
        <f>IF(B867="","",IF(B867="OWN","Yes","No"))</f>
        <v/>
      </c>
      <c r="AF867" s="9">
        <f>IF(ISNUMBER(Z867),IF(Z867&lt;=2,"&lt;=2 d",IF(Z867&lt;=7,"3-7 d",IF(Z867&lt;=30,"8-30 d","&gt;30 d"))),IF(AE867&lt;&gt;"",AE867,IF(Z867="NR","NR","")))</f>
        <v/>
      </c>
      <c r="AX867" s="9">
        <f>IF(ISNUMBER(AW867),IF(AW867&gt;450,"Yes","No"),IF(AW867="NR","NR",""))</f>
        <v/>
      </c>
      <c r="BJ867" s="9">
        <f>IF(BB867="","",IF(BB867="Non-viable","Non-viable",IF(BB867="Viable","Viable",IF(BB867="Partially non-viable",IF(OR(BD867="Total splenectomy",BD867="Partial splenectomy +/- splenopexy"),"Non-viable","Review"),IF(BB867="NR",IF(OR(BD867="Total splenectomy",BD867="Partial splenectomy +/- splenopexy"),"NR - removed, check reason","NR"),"Not applicable")))))</f>
        <v/>
      </c>
    </row>
    <row r="868">
      <c r="D868" s="8" t="n"/>
      <c r="E868" s="9">
        <f>IF(B868="","",IF(B868="OWN","Yes","No"))</f>
        <v/>
      </c>
      <c r="AF868" s="9">
        <f>IF(ISNUMBER(Z868),IF(Z868&lt;=2,"&lt;=2 d",IF(Z868&lt;=7,"3-7 d",IF(Z868&lt;=30,"8-30 d","&gt;30 d"))),IF(AE868&lt;&gt;"",AE868,IF(Z868="NR","NR","")))</f>
        <v/>
      </c>
      <c r="AX868" s="9">
        <f>IF(ISNUMBER(AW868),IF(AW868&gt;450,"Yes","No"),IF(AW868="NR","NR",""))</f>
        <v/>
      </c>
      <c r="BJ868" s="9">
        <f>IF(BB868="","",IF(BB868="Non-viable","Non-viable",IF(BB868="Viable","Viable",IF(BB868="Partially non-viable",IF(OR(BD868="Total splenectomy",BD868="Partial splenectomy +/- splenopexy"),"Non-viable","Review"),IF(BB868="NR",IF(OR(BD868="Total splenectomy",BD868="Partial splenectomy +/- splenopexy"),"NR - removed, check reason","NR"),"Not applicable")))))</f>
        <v/>
      </c>
    </row>
    <row r="869">
      <c r="D869" s="8" t="n"/>
      <c r="E869" s="9">
        <f>IF(B869="","",IF(B869="OWN","Yes","No"))</f>
        <v/>
      </c>
      <c r="AF869" s="9">
        <f>IF(ISNUMBER(Z869),IF(Z869&lt;=2,"&lt;=2 d",IF(Z869&lt;=7,"3-7 d",IF(Z869&lt;=30,"8-30 d","&gt;30 d"))),IF(AE869&lt;&gt;"",AE869,IF(Z869="NR","NR","")))</f>
        <v/>
      </c>
      <c r="AX869" s="9">
        <f>IF(ISNUMBER(AW869),IF(AW869&gt;450,"Yes","No"),IF(AW869="NR","NR",""))</f>
        <v/>
      </c>
      <c r="BJ869" s="9">
        <f>IF(BB869="","",IF(BB869="Non-viable","Non-viable",IF(BB869="Viable","Viable",IF(BB869="Partially non-viable",IF(OR(BD869="Total splenectomy",BD869="Partial splenectomy +/- splenopexy"),"Non-viable","Review"),IF(BB869="NR",IF(OR(BD869="Total splenectomy",BD869="Partial splenectomy +/- splenopexy"),"NR - removed, check reason","NR"),"Not applicable")))))</f>
        <v/>
      </c>
    </row>
    <row r="870">
      <c r="D870" s="8" t="n"/>
      <c r="E870" s="9">
        <f>IF(B870="","",IF(B870="OWN","Yes","No"))</f>
        <v/>
      </c>
      <c r="AF870" s="9">
        <f>IF(ISNUMBER(Z870),IF(Z870&lt;=2,"&lt;=2 d",IF(Z870&lt;=7,"3-7 d",IF(Z870&lt;=30,"8-30 d","&gt;30 d"))),IF(AE870&lt;&gt;"",AE870,IF(Z870="NR","NR","")))</f>
        <v/>
      </c>
      <c r="AX870" s="9">
        <f>IF(ISNUMBER(AW870),IF(AW870&gt;450,"Yes","No"),IF(AW870="NR","NR",""))</f>
        <v/>
      </c>
      <c r="BJ870" s="9">
        <f>IF(BB870="","",IF(BB870="Non-viable","Non-viable",IF(BB870="Viable","Viable",IF(BB870="Partially non-viable",IF(OR(BD870="Total splenectomy",BD870="Partial splenectomy +/- splenopexy"),"Non-viable","Review"),IF(BB870="NR",IF(OR(BD870="Total splenectomy",BD870="Partial splenectomy +/- splenopexy"),"NR - removed, check reason","NR"),"Not applicable")))))</f>
        <v/>
      </c>
    </row>
    <row r="871">
      <c r="D871" s="8" t="n"/>
      <c r="E871" s="9">
        <f>IF(B871="","",IF(B871="OWN","Yes","No"))</f>
        <v/>
      </c>
      <c r="AF871" s="9">
        <f>IF(ISNUMBER(Z871),IF(Z871&lt;=2,"&lt;=2 d",IF(Z871&lt;=7,"3-7 d",IF(Z871&lt;=30,"8-30 d","&gt;30 d"))),IF(AE871&lt;&gt;"",AE871,IF(Z871="NR","NR","")))</f>
        <v/>
      </c>
      <c r="AX871" s="9">
        <f>IF(ISNUMBER(AW871),IF(AW871&gt;450,"Yes","No"),IF(AW871="NR","NR",""))</f>
        <v/>
      </c>
      <c r="BJ871" s="9">
        <f>IF(BB871="","",IF(BB871="Non-viable","Non-viable",IF(BB871="Viable","Viable",IF(BB871="Partially non-viable",IF(OR(BD871="Total splenectomy",BD871="Partial splenectomy +/- splenopexy"),"Non-viable","Review"),IF(BB871="NR",IF(OR(BD871="Total splenectomy",BD871="Partial splenectomy +/- splenopexy"),"NR - removed, check reason","NR"),"Not applicable")))))</f>
        <v/>
      </c>
    </row>
    <row r="872">
      <c r="D872" s="8" t="n"/>
      <c r="E872" s="9">
        <f>IF(B872="","",IF(B872="OWN","Yes","No"))</f>
        <v/>
      </c>
      <c r="AF872" s="9">
        <f>IF(ISNUMBER(Z872),IF(Z872&lt;=2,"&lt;=2 d",IF(Z872&lt;=7,"3-7 d",IF(Z872&lt;=30,"8-30 d","&gt;30 d"))),IF(AE872&lt;&gt;"",AE872,IF(Z872="NR","NR","")))</f>
        <v/>
      </c>
      <c r="AX872" s="9">
        <f>IF(ISNUMBER(AW872),IF(AW872&gt;450,"Yes","No"),IF(AW872="NR","NR",""))</f>
        <v/>
      </c>
      <c r="BJ872" s="9">
        <f>IF(BB872="","",IF(BB872="Non-viable","Non-viable",IF(BB872="Viable","Viable",IF(BB872="Partially non-viable",IF(OR(BD872="Total splenectomy",BD872="Partial splenectomy +/- splenopexy"),"Non-viable","Review"),IF(BB872="NR",IF(OR(BD872="Total splenectomy",BD872="Partial splenectomy +/- splenopexy"),"NR - removed, check reason","NR"),"Not applicable")))))</f>
        <v/>
      </c>
    </row>
    <row r="873">
      <c r="D873" s="8" t="n"/>
      <c r="E873" s="9">
        <f>IF(B873="","",IF(B873="OWN","Yes","No"))</f>
        <v/>
      </c>
      <c r="AF873" s="9">
        <f>IF(ISNUMBER(Z873),IF(Z873&lt;=2,"&lt;=2 d",IF(Z873&lt;=7,"3-7 d",IF(Z873&lt;=30,"8-30 d","&gt;30 d"))),IF(AE873&lt;&gt;"",AE873,IF(Z873="NR","NR","")))</f>
        <v/>
      </c>
      <c r="AX873" s="9">
        <f>IF(ISNUMBER(AW873),IF(AW873&gt;450,"Yes","No"),IF(AW873="NR","NR",""))</f>
        <v/>
      </c>
      <c r="BJ873" s="9">
        <f>IF(BB873="","",IF(BB873="Non-viable","Non-viable",IF(BB873="Viable","Viable",IF(BB873="Partially non-viable",IF(OR(BD873="Total splenectomy",BD873="Partial splenectomy +/- splenopexy"),"Non-viable","Review"),IF(BB873="NR",IF(OR(BD873="Total splenectomy",BD873="Partial splenectomy +/- splenopexy"),"NR - removed, check reason","NR"),"Not applicable")))))</f>
        <v/>
      </c>
    </row>
    <row r="874">
      <c r="D874" s="8" t="n"/>
      <c r="E874" s="9">
        <f>IF(B874="","",IF(B874="OWN","Yes","No"))</f>
        <v/>
      </c>
      <c r="AF874" s="9">
        <f>IF(ISNUMBER(Z874),IF(Z874&lt;=2,"&lt;=2 d",IF(Z874&lt;=7,"3-7 d",IF(Z874&lt;=30,"8-30 d","&gt;30 d"))),IF(AE874&lt;&gt;"",AE874,IF(Z874="NR","NR","")))</f>
        <v/>
      </c>
      <c r="AX874" s="9">
        <f>IF(ISNUMBER(AW874),IF(AW874&gt;450,"Yes","No"),IF(AW874="NR","NR",""))</f>
        <v/>
      </c>
      <c r="BJ874" s="9">
        <f>IF(BB874="","",IF(BB874="Non-viable","Non-viable",IF(BB874="Viable","Viable",IF(BB874="Partially non-viable",IF(OR(BD874="Total splenectomy",BD874="Partial splenectomy +/- splenopexy"),"Non-viable","Review"),IF(BB874="NR",IF(OR(BD874="Total splenectomy",BD874="Partial splenectomy +/- splenopexy"),"NR - removed, check reason","NR"),"Not applicable")))))</f>
        <v/>
      </c>
    </row>
    <row r="875">
      <c r="D875" s="8" t="n"/>
      <c r="E875" s="9">
        <f>IF(B875="","",IF(B875="OWN","Yes","No"))</f>
        <v/>
      </c>
      <c r="AF875" s="9">
        <f>IF(ISNUMBER(Z875),IF(Z875&lt;=2,"&lt;=2 d",IF(Z875&lt;=7,"3-7 d",IF(Z875&lt;=30,"8-30 d","&gt;30 d"))),IF(AE875&lt;&gt;"",AE875,IF(Z875="NR","NR","")))</f>
        <v/>
      </c>
      <c r="AX875" s="9">
        <f>IF(ISNUMBER(AW875),IF(AW875&gt;450,"Yes","No"),IF(AW875="NR","NR",""))</f>
        <v/>
      </c>
      <c r="BJ875" s="9">
        <f>IF(BB875="","",IF(BB875="Non-viable","Non-viable",IF(BB875="Viable","Viable",IF(BB875="Partially non-viable",IF(OR(BD875="Total splenectomy",BD875="Partial splenectomy +/- splenopexy"),"Non-viable","Review"),IF(BB875="NR",IF(OR(BD875="Total splenectomy",BD875="Partial splenectomy +/- splenopexy"),"NR - removed, check reason","NR"),"Not applicable")))))</f>
        <v/>
      </c>
    </row>
    <row r="876">
      <c r="D876" s="8" t="n"/>
      <c r="E876" s="9">
        <f>IF(B876="","",IF(B876="OWN","Yes","No"))</f>
        <v/>
      </c>
      <c r="AF876" s="9">
        <f>IF(ISNUMBER(Z876),IF(Z876&lt;=2,"&lt;=2 d",IF(Z876&lt;=7,"3-7 d",IF(Z876&lt;=30,"8-30 d","&gt;30 d"))),IF(AE876&lt;&gt;"",AE876,IF(Z876="NR","NR","")))</f>
        <v/>
      </c>
      <c r="AX876" s="9">
        <f>IF(ISNUMBER(AW876),IF(AW876&gt;450,"Yes","No"),IF(AW876="NR","NR",""))</f>
        <v/>
      </c>
      <c r="BJ876" s="9">
        <f>IF(BB876="","",IF(BB876="Non-viable","Non-viable",IF(BB876="Viable","Viable",IF(BB876="Partially non-viable",IF(OR(BD876="Total splenectomy",BD876="Partial splenectomy +/- splenopexy"),"Non-viable","Review"),IF(BB876="NR",IF(OR(BD876="Total splenectomy",BD876="Partial splenectomy +/- splenopexy"),"NR - removed, check reason","NR"),"Not applicable")))))</f>
        <v/>
      </c>
    </row>
    <row r="877">
      <c r="D877" s="8" t="n"/>
      <c r="E877" s="9">
        <f>IF(B877="","",IF(B877="OWN","Yes","No"))</f>
        <v/>
      </c>
      <c r="AF877" s="9">
        <f>IF(ISNUMBER(Z877),IF(Z877&lt;=2,"&lt;=2 d",IF(Z877&lt;=7,"3-7 d",IF(Z877&lt;=30,"8-30 d","&gt;30 d"))),IF(AE877&lt;&gt;"",AE877,IF(Z877="NR","NR","")))</f>
        <v/>
      </c>
      <c r="AX877" s="9">
        <f>IF(ISNUMBER(AW877),IF(AW877&gt;450,"Yes","No"),IF(AW877="NR","NR",""))</f>
        <v/>
      </c>
      <c r="BJ877" s="9">
        <f>IF(BB877="","",IF(BB877="Non-viable","Non-viable",IF(BB877="Viable","Viable",IF(BB877="Partially non-viable",IF(OR(BD877="Total splenectomy",BD877="Partial splenectomy +/- splenopexy"),"Non-viable","Review"),IF(BB877="NR",IF(OR(BD877="Total splenectomy",BD877="Partial splenectomy +/- splenopexy"),"NR - removed, check reason","NR"),"Not applicable")))))</f>
        <v/>
      </c>
    </row>
    <row r="878">
      <c r="D878" s="8" t="n"/>
      <c r="E878" s="9">
        <f>IF(B878="","",IF(B878="OWN","Yes","No"))</f>
        <v/>
      </c>
      <c r="AF878" s="9">
        <f>IF(ISNUMBER(Z878),IF(Z878&lt;=2,"&lt;=2 d",IF(Z878&lt;=7,"3-7 d",IF(Z878&lt;=30,"8-30 d","&gt;30 d"))),IF(AE878&lt;&gt;"",AE878,IF(Z878="NR","NR","")))</f>
        <v/>
      </c>
      <c r="AX878" s="9">
        <f>IF(ISNUMBER(AW878),IF(AW878&gt;450,"Yes","No"),IF(AW878="NR","NR",""))</f>
        <v/>
      </c>
      <c r="BJ878" s="9">
        <f>IF(BB878="","",IF(BB878="Non-viable","Non-viable",IF(BB878="Viable","Viable",IF(BB878="Partially non-viable",IF(OR(BD878="Total splenectomy",BD878="Partial splenectomy +/- splenopexy"),"Non-viable","Review"),IF(BB878="NR",IF(OR(BD878="Total splenectomy",BD878="Partial splenectomy +/- splenopexy"),"NR - removed, check reason","NR"),"Not applicable")))))</f>
        <v/>
      </c>
    </row>
    <row r="879">
      <c r="D879" s="8" t="n"/>
      <c r="E879" s="9">
        <f>IF(B879="","",IF(B879="OWN","Yes","No"))</f>
        <v/>
      </c>
      <c r="AF879" s="9">
        <f>IF(ISNUMBER(Z879),IF(Z879&lt;=2,"&lt;=2 d",IF(Z879&lt;=7,"3-7 d",IF(Z879&lt;=30,"8-30 d","&gt;30 d"))),IF(AE879&lt;&gt;"",AE879,IF(Z879="NR","NR","")))</f>
        <v/>
      </c>
      <c r="AX879" s="9">
        <f>IF(ISNUMBER(AW879),IF(AW879&gt;450,"Yes","No"),IF(AW879="NR","NR",""))</f>
        <v/>
      </c>
      <c r="BJ879" s="9">
        <f>IF(BB879="","",IF(BB879="Non-viable","Non-viable",IF(BB879="Viable","Viable",IF(BB879="Partially non-viable",IF(OR(BD879="Total splenectomy",BD879="Partial splenectomy +/- splenopexy"),"Non-viable","Review"),IF(BB879="NR",IF(OR(BD879="Total splenectomy",BD879="Partial splenectomy +/- splenopexy"),"NR - removed, check reason","NR"),"Not applicable")))))</f>
        <v/>
      </c>
    </row>
    <row r="880">
      <c r="D880" s="8" t="n"/>
      <c r="E880" s="9">
        <f>IF(B880="","",IF(B880="OWN","Yes","No"))</f>
        <v/>
      </c>
      <c r="AF880" s="9">
        <f>IF(ISNUMBER(Z880),IF(Z880&lt;=2,"&lt;=2 d",IF(Z880&lt;=7,"3-7 d",IF(Z880&lt;=30,"8-30 d","&gt;30 d"))),IF(AE880&lt;&gt;"",AE880,IF(Z880="NR","NR","")))</f>
        <v/>
      </c>
      <c r="AX880" s="9">
        <f>IF(ISNUMBER(AW880),IF(AW880&gt;450,"Yes","No"),IF(AW880="NR","NR",""))</f>
        <v/>
      </c>
      <c r="BJ880" s="9">
        <f>IF(BB880="","",IF(BB880="Non-viable","Non-viable",IF(BB880="Viable","Viable",IF(BB880="Partially non-viable",IF(OR(BD880="Total splenectomy",BD880="Partial splenectomy +/- splenopexy"),"Non-viable","Review"),IF(BB880="NR",IF(OR(BD880="Total splenectomy",BD880="Partial splenectomy +/- splenopexy"),"NR - removed, check reason","NR"),"Not applicable")))))</f>
        <v/>
      </c>
    </row>
    <row r="881">
      <c r="D881" s="8" t="n"/>
      <c r="E881" s="9">
        <f>IF(B881="","",IF(B881="OWN","Yes","No"))</f>
        <v/>
      </c>
      <c r="AF881" s="9">
        <f>IF(ISNUMBER(Z881),IF(Z881&lt;=2,"&lt;=2 d",IF(Z881&lt;=7,"3-7 d",IF(Z881&lt;=30,"8-30 d","&gt;30 d"))),IF(AE881&lt;&gt;"",AE881,IF(Z881="NR","NR","")))</f>
        <v/>
      </c>
      <c r="AX881" s="9">
        <f>IF(ISNUMBER(AW881),IF(AW881&gt;450,"Yes","No"),IF(AW881="NR","NR",""))</f>
        <v/>
      </c>
      <c r="BJ881" s="9">
        <f>IF(BB881="","",IF(BB881="Non-viable","Non-viable",IF(BB881="Viable","Viable",IF(BB881="Partially non-viable",IF(OR(BD881="Total splenectomy",BD881="Partial splenectomy +/- splenopexy"),"Non-viable","Review"),IF(BB881="NR",IF(OR(BD881="Total splenectomy",BD881="Partial splenectomy +/- splenopexy"),"NR - removed, check reason","NR"),"Not applicable")))))</f>
        <v/>
      </c>
    </row>
    <row r="882">
      <c r="D882" s="8" t="n"/>
      <c r="E882" s="9">
        <f>IF(B882="","",IF(B882="OWN","Yes","No"))</f>
        <v/>
      </c>
      <c r="AF882" s="9">
        <f>IF(ISNUMBER(Z882),IF(Z882&lt;=2,"&lt;=2 d",IF(Z882&lt;=7,"3-7 d",IF(Z882&lt;=30,"8-30 d","&gt;30 d"))),IF(AE882&lt;&gt;"",AE882,IF(Z882="NR","NR","")))</f>
        <v/>
      </c>
      <c r="AX882" s="9">
        <f>IF(ISNUMBER(AW882),IF(AW882&gt;450,"Yes","No"),IF(AW882="NR","NR",""))</f>
        <v/>
      </c>
      <c r="BJ882" s="9">
        <f>IF(BB882="","",IF(BB882="Non-viable","Non-viable",IF(BB882="Viable","Viable",IF(BB882="Partially non-viable",IF(OR(BD882="Total splenectomy",BD882="Partial splenectomy +/- splenopexy"),"Non-viable","Review"),IF(BB882="NR",IF(OR(BD882="Total splenectomy",BD882="Partial splenectomy +/- splenopexy"),"NR - removed, check reason","NR"),"Not applicable")))))</f>
        <v/>
      </c>
    </row>
    <row r="883">
      <c r="D883" s="8" t="n"/>
      <c r="E883" s="9">
        <f>IF(B883="","",IF(B883="OWN","Yes","No"))</f>
        <v/>
      </c>
      <c r="AF883" s="9">
        <f>IF(ISNUMBER(Z883),IF(Z883&lt;=2,"&lt;=2 d",IF(Z883&lt;=7,"3-7 d",IF(Z883&lt;=30,"8-30 d","&gt;30 d"))),IF(AE883&lt;&gt;"",AE883,IF(Z883="NR","NR","")))</f>
        <v/>
      </c>
      <c r="AX883" s="9">
        <f>IF(ISNUMBER(AW883),IF(AW883&gt;450,"Yes","No"),IF(AW883="NR","NR",""))</f>
        <v/>
      </c>
      <c r="BJ883" s="9">
        <f>IF(BB883="","",IF(BB883="Non-viable","Non-viable",IF(BB883="Viable","Viable",IF(BB883="Partially non-viable",IF(OR(BD883="Total splenectomy",BD883="Partial splenectomy +/- splenopexy"),"Non-viable","Review"),IF(BB883="NR",IF(OR(BD883="Total splenectomy",BD883="Partial splenectomy +/- splenopexy"),"NR - removed, check reason","NR"),"Not applicable")))))</f>
        <v/>
      </c>
    </row>
    <row r="884">
      <c r="D884" s="8" t="n"/>
      <c r="E884" s="9">
        <f>IF(B884="","",IF(B884="OWN","Yes","No"))</f>
        <v/>
      </c>
      <c r="AF884" s="9">
        <f>IF(ISNUMBER(Z884),IF(Z884&lt;=2,"&lt;=2 d",IF(Z884&lt;=7,"3-7 d",IF(Z884&lt;=30,"8-30 d","&gt;30 d"))),IF(AE884&lt;&gt;"",AE884,IF(Z884="NR","NR","")))</f>
        <v/>
      </c>
      <c r="AX884" s="9">
        <f>IF(ISNUMBER(AW884),IF(AW884&gt;450,"Yes","No"),IF(AW884="NR","NR",""))</f>
        <v/>
      </c>
      <c r="BJ884" s="9">
        <f>IF(BB884="","",IF(BB884="Non-viable","Non-viable",IF(BB884="Viable","Viable",IF(BB884="Partially non-viable",IF(OR(BD884="Total splenectomy",BD884="Partial splenectomy +/- splenopexy"),"Non-viable","Review"),IF(BB884="NR",IF(OR(BD884="Total splenectomy",BD884="Partial splenectomy +/- splenopexy"),"NR - removed, check reason","NR"),"Not applicable")))))</f>
        <v/>
      </c>
    </row>
    <row r="885">
      <c r="D885" s="8" t="n"/>
      <c r="E885" s="9">
        <f>IF(B885="","",IF(B885="OWN","Yes","No"))</f>
        <v/>
      </c>
      <c r="AF885" s="9">
        <f>IF(ISNUMBER(Z885),IF(Z885&lt;=2,"&lt;=2 d",IF(Z885&lt;=7,"3-7 d",IF(Z885&lt;=30,"8-30 d","&gt;30 d"))),IF(AE885&lt;&gt;"",AE885,IF(Z885="NR","NR","")))</f>
        <v/>
      </c>
      <c r="AX885" s="9">
        <f>IF(ISNUMBER(AW885),IF(AW885&gt;450,"Yes","No"),IF(AW885="NR","NR",""))</f>
        <v/>
      </c>
      <c r="BJ885" s="9">
        <f>IF(BB885="","",IF(BB885="Non-viable","Non-viable",IF(BB885="Viable","Viable",IF(BB885="Partially non-viable",IF(OR(BD885="Total splenectomy",BD885="Partial splenectomy +/- splenopexy"),"Non-viable","Review"),IF(BB885="NR",IF(OR(BD885="Total splenectomy",BD885="Partial splenectomy +/- splenopexy"),"NR - removed, check reason","NR"),"Not applicable")))))</f>
        <v/>
      </c>
    </row>
    <row r="886">
      <c r="D886" s="8" t="n"/>
      <c r="E886" s="9">
        <f>IF(B886="","",IF(B886="OWN","Yes","No"))</f>
        <v/>
      </c>
      <c r="AF886" s="9">
        <f>IF(ISNUMBER(Z886),IF(Z886&lt;=2,"&lt;=2 d",IF(Z886&lt;=7,"3-7 d",IF(Z886&lt;=30,"8-30 d","&gt;30 d"))),IF(AE886&lt;&gt;"",AE886,IF(Z886="NR","NR","")))</f>
        <v/>
      </c>
      <c r="AX886" s="9">
        <f>IF(ISNUMBER(AW886),IF(AW886&gt;450,"Yes","No"),IF(AW886="NR","NR",""))</f>
        <v/>
      </c>
      <c r="BJ886" s="9">
        <f>IF(BB886="","",IF(BB886="Non-viable","Non-viable",IF(BB886="Viable","Viable",IF(BB886="Partially non-viable",IF(OR(BD886="Total splenectomy",BD886="Partial splenectomy +/- splenopexy"),"Non-viable","Review"),IF(BB886="NR",IF(OR(BD886="Total splenectomy",BD886="Partial splenectomy +/- splenopexy"),"NR - removed, check reason","NR"),"Not applicable")))))</f>
        <v/>
      </c>
    </row>
    <row r="887">
      <c r="D887" s="8" t="n"/>
      <c r="E887" s="9">
        <f>IF(B887="","",IF(B887="OWN","Yes","No"))</f>
        <v/>
      </c>
      <c r="AF887" s="9">
        <f>IF(ISNUMBER(Z887),IF(Z887&lt;=2,"&lt;=2 d",IF(Z887&lt;=7,"3-7 d",IF(Z887&lt;=30,"8-30 d","&gt;30 d"))),IF(AE887&lt;&gt;"",AE887,IF(Z887="NR","NR","")))</f>
        <v/>
      </c>
      <c r="AX887" s="9">
        <f>IF(ISNUMBER(AW887),IF(AW887&gt;450,"Yes","No"),IF(AW887="NR","NR",""))</f>
        <v/>
      </c>
      <c r="BJ887" s="9">
        <f>IF(BB887="","",IF(BB887="Non-viable","Non-viable",IF(BB887="Viable","Viable",IF(BB887="Partially non-viable",IF(OR(BD887="Total splenectomy",BD887="Partial splenectomy +/- splenopexy"),"Non-viable","Review"),IF(BB887="NR",IF(OR(BD887="Total splenectomy",BD887="Partial splenectomy +/- splenopexy"),"NR - removed, check reason","NR"),"Not applicable")))))</f>
        <v/>
      </c>
    </row>
    <row r="888">
      <c r="D888" s="8" t="n"/>
      <c r="E888" s="9">
        <f>IF(B888="","",IF(B888="OWN","Yes","No"))</f>
        <v/>
      </c>
      <c r="AF888" s="9">
        <f>IF(ISNUMBER(Z888),IF(Z888&lt;=2,"&lt;=2 d",IF(Z888&lt;=7,"3-7 d",IF(Z888&lt;=30,"8-30 d","&gt;30 d"))),IF(AE888&lt;&gt;"",AE888,IF(Z888="NR","NR","")))</f>
        <v/>
      </c>
      <c r="AX888" s="9">
        <f>IF(ISNUMBER(AW888),IF(AW888&gt;450,"Yes","No"),IF(AW888="NR","NR",""))</f>
        <v/>
      </c>
      <c r="BJ888" s="9">
        <f>IF(BB888="","",IF(BB888="Non-viable","Non-viable",IF(BB888="Viable","Viable",IF(BB888="Partially non-viable",IF(OR(BD888="Total splenectomy",BD888="Partial splenectomy +/- splenopexy"),"Non-viable","Review"),IF(BB888="NR",IF(OR(BD888="Total splenectomy",BD888="Partial splenectomy +/- splenopexy"),"NR - removed, check reason","NR"),"Not applicable")))))</f>
        <v/>
      </c>
    </row>
    <row r="889">
      <c r="D889" s="8" t="n"/>
      <c r="E889" s="9">
        <f>IF(B889="","",IF(B889="OWN","Yes","No"))</f>
        <v/>
      </c>
      <c r="AF889" s="9">
        <f>IF(ISNUMBER(Z889),IF(Z889&lt;=2,"&lt;=2 d",IF(Z889&lt;=7,"3-7 d",IF(Z889&lt;=30,"8-30 d","&gt;30 d"))),IF(AE889&lt;&gt;"",AE889,IF(Z889="NR","NR","")))</f>
        <v/>
      </c>
      <c r="AX889" s="9">
        <f>IF(ISNUMBER(AW889),IF(AW889&gt;450,"Yes","No"),IF(AW889="NR","NR",""))</f>
        <v/>
      </c>
      <c r="BJ889" s="9">
        <f>IF(BB889="","",IF(BB889="Non-viable","Non-viable",IF(BB889="Viable","Viable",IF(BB889="Partially non-viable",IF(OR(BD889="Total splenectomy",BD889="Partial splenectomy +/- splenopexy"),"Non-viable","Review"),IF(BB889="NR",IF(OR(BD889="Total splenectomy",BD889="Partial splenectomy +/- splenopexy"),"NR - removed, check reason","NR"),"Not applicable")))))</f>
        <v/>
      </c>
    </row>
    <row r="890">
      <c r="D890" s="8" t="n"/>
      <c r="E890" s="9">
        <f>IF(B890="","",IF(B890="OWN","Yes","No"))</f>
        <v/>
      </c>
      <c r="AF890" s="9">
        <f>IF(ISNUMBER(Z890),IF(Z890&lt;=2,"&lt;=2 d",IF(Z890&lt;=7,"3-7 d",IF(Z890&lt;=30,"8-30 d","&gt;30 d"))),IF(AE890&lt;&gt;"",AE890,IF(Z890="NR","NR","")))</f>
        <v/>
      </c>
      <c r="AX890" s="9">
        <f>IF(ISNUMBER(AW890),IF(AW890&gt;450,"Yes","No"),IF(AW890="NR","NR",""))</f>
        <v/>
      </c>
      <c r="BJ890" s="9">
        <f>IF(BB890="","",IF(BB890="Non-viable","Non-viable",IF(BB890="Viable","Viable",IF(BB890="Partially non-viable",IF(OR(BD890="Total splenectomy",BD890="Partial splenectomy +/- splenopexy"),"Non-viable","Review"),IF(BB890="NR",IF(OR(BD890="Total splenectomy",BD890="Partial splenectomy +/- splenopexy"),"NR - removed, check reason","NR"),"Not applicable")))))</f>
        <v/>
      </c>
    </row>
    <row r="891">
      <c r="D891" s="8" t="n"/>
      <c r="E891" s="9">
        <f>IF(B891="","",IF(B891="OWN","Yes","No"))</f>
        <v/>
      </c>
      <c r="AF891" s="9">
        <f>IF(ISNUMBER(Z891),IF(Z891&lt;=2,"&lt;=2 d",IF(Z891&lt;=7,"3-7 d",IF(Z891&lt;=30,"8-30 d","&gt;30 d"))),IF(AE891&lt;&gt;"",AE891,IF(Z891="NR","NR","")))</f>
        <v/>
      </c>
      <c r="AX891" s="9">
        <f>IF(ISNUMBER(AW891),IF(AW891&gt;450,"Yes","No"),IF(AW891="NR","NR",""))</f>
        <v/>
      </c>
      <c r="BJ891" s="9">
        <f>IF(BB891="","",IF(BB891="Non-viable","Non-viable",IF(BB891="Viable","Viable",IF(BB891="Partially non-viable",IF(OR(BD891="Total splenectomy",BD891="Partial splenectomy +/- splenopexy"),"Non-viable","Review"),IF(BB891="NR",IF(OR(BD891="Total splenectomy",BD891="Partial splenectomy +/- splenopexy"),"NR - removed, check reason","NR"),"Not applicable")))))</f>
        <v/>
      </c>
    </row>
    <row r="892">
      <c r="D892" s="8" t="n"/>
      <c r="E892" s="9">
        <f>IF(B892="","",IF(B892="OWN","Yes","No"))</f>
        <v/>
      </c>
      <c r="AF892" s="9">
        <f>IF(ISNUMBER(Z892),IF(Z892&lt;=2,"&lt;=2 d",IF(Z892&lt;=7,"3-7 d",IF(Z892&lt;=30,"8-30 d","&gt;30 d"))),IF(AE892&lt;&gt;"",AE892,IF(Z892="NR","NR","")))</f>
        <v/>
      </c>
      <c r="AX892" s="9">
        <f>IF(ISNUMBER(AW892),IF(AW892&gt;450,"Yes","No"),IF(AW892="NR","NR",""))</f>
        <v/>
      </c>
      <c r="BJ892" s="9">
        <f>IF(BB892="","",IF(BB892="Non-viable","Non-viable",IF(BB892="Viable","Viable",IF(BB892="Partially non-viable",IF(OR(BD892="Total splenectomy",BD892="Partial splenectomy +/- splenopexy"),"Non-viable","Review"),IF(BB892="NR",IF(OR(BD892="Total splenectomy",BD892="Partial splenectomy +/- splenopexy"),"NR - removed, check reason","NR"),"Not applicable")))))</f>
        <v/>
      </c>
    </row>
    <row r="893">
      <c r="D893" s="8" t="n"/>
      <c r="E893" s="9">
        <f>IF(B893="","",IF(B893="OWN","Yes","No"))</f>
        <v/>
      </c>
      <c r="AF893" s="9">
        <f>IF(ISNUMBER(Z893),IF(Z893&lt;=2,"&lt;=2 d",IF(Z893&lt;=7,"3-7 d",IF(Z893&lt;=30,"8-30 d","&gt;30 d"))),IF(AE893&lt;&gt;"",AE893,IF(Z893="NR","NR","")))</f>
        <v/>
      </c>
      <c r="AX893" s="9">
        <f>IF(ISNUMBER(AW893),IF(AW893&gt;450,"Yes","No"),IF(AW893="NR","NR",""))</f>
        <v/>
      </c>
      <c r="BJ893" s="9">
        <f>IF(BB893="","",IF(BB893="Non-viable","Non-viable",IF(BB893="Viable","Viable",IF(BB893="Partially non-viable",IF(OR(BD893="Total splenectomy",BD893="Partial splenectomy +/- splenopexy"),"Non-viable","Review"),IF(BB893="NR",IF(OR(BD893="Total splenectomy",BD893="Partial splenectomy +/- splenopexy"),"NR - removed, check reason","NR"),"Not applicable")))))</f>
        <v/>
      </c>
    </row>
    <row r="894">
      <c r="D894" s="8" t="n"/>
      <c r="E894" s="9">
        <f>IF(B894="","",IF(B894="OWN","Yes","No"))</f>
        <v/>
      </c>
      <c r="AF894" s="9">
        <f>IF(ISNUMBER(Z894),IF(Z894&lt;=2,"&lt;=2 d",IF(Z894&lt;=7,"3-7 d",IF(Z894&lt;=30,"8-30 d","&gt;30 d"))),IF(AE894&lt;&gt;"",AE894,IF(Z894="NR","NR","")))</f>
        <v/>
      </c>
      <c r="AX894" s="9">
        <f>IF(ISNUMBER(AW894),IF(AW894&gt;450,"Yes","No"),IF(AW894="NR","NR",""))</f>
        <v/>
      </c>
      <c r="BJ894" s="9">
        <f>IF(BB894="","",IF(BB894="Non-viable","Non-viable",IF(BB894="Viable","Viable",IF(BB894="Partially non-viable",IF(OR(BD894="Total splenectomy",BD894="Partial splenectomy +/- splenopexy"),"Non-viable","Review"),IF(BB894="NR",IF(OR(BD894="Total splenectomy",BD894="Partial splenectomy +/- splenopexy"),"NR - removed, check reason","NR"),"Not applicable")))))</f>
        <v/>
      </c>
    </row>
    <row r="895">
      <c r="D895" s="8" t="n"/>
      <c r="E895" s="9">
        <f>IF(B895="","",IF(B895="OWN","Yes","No"))</f>
        <v/>
      </c>
      <c r="AF895" s="9">
        <f>IF(ISNUMBER(Z895),IF(Z895&lt;=2,"&lt;=2 d",IF(Z895&lt;=7,"3-7 d",IF(Z895&lt;=30,"8-30 d","&gt;30 d"))),IF(AE895&lt;&gt;"",AE895,IF(Z895="NR","NR","")))</f>
        <v/>
      </c>
      <c r="AX895" s="9">
        <f>IF(ISNUMBER(AW895),IF(AW895&gt;450,"Yes","No"),IF(AW895="NR","NR",""))</f>
        <v/>
      </c>
      <c r="BJ895" s="9">
        <f>IF(BB895="","",IF(BB895="Non-viable","Non-viable",IF(BB895="Viable","Viable",IF(BB895="Partially non-viable",IF(OR(BD895="Total splenectomy",BD895="Partial splenectomy +/- splenopexy"),"Non-viable","Review"),IF(BB895="NR",IF(OR(BD895="Total splenectomy",BD895="Partial splenectomy +/- splenopexy"),"NR - removed, check reason","NR"),"Not applicable")))))</f>
        <v/>
      </c>
    </row>
    <row r="896">
      <c r="D896" s="8" t="n"/>
      <c r="E896" s="9">
        <f>IF(B896="","",IF(B896="OWN","Yes","No"))</f>
        <v/>
      </c>
      <c r="AF896" s="9">
        <f>IF(ISNUMBER(Z896),IF(Z896&lt;=2,"&lt;=2 d",IF(Z896&lt;=7,"3-7 d",IF(Z896&lt;=30,"8-30 d","&gt;30 d"))),IF(AE896&lt;&gt;"",AE896,IF(Z896="NR","NR","")))</f>
        <v/>
      </c>
      <c r="AX896" s="9">
        <f>IF(ISNUMBER(AW896),IF(AW896&gt;450,"Yes","No"),IF(AW896="NR","NR",""))</f>
        <v/>
      </c>
      <c r="BJ896" s="9">
        <f>IF(BB896="","",IF(BB896="Non-viable","Non-viable",IF(BB896="Viable","Viable",IF(BB896="Partially non-viable",IF(OR(BD896="Total splenectomy",BD896="Partial splenectomy +/- splenopexy"),"Non-viable","Review"),IF(BB896="NR",IF(OR(BD896="Total splenectomy",BD896="Partial splenectomy +/- splenopexy"),"NR - removed, check reason","NR"),"Not applicable")))))</f>
        <v/>
      </c>
    </row>
    <row r="897">
      <c r="D897" s="8" t="n"/>
      <c r="E897" s="9">
        <f>IF(B897="","",IF(B897="OWN","Yes","No"))</f>
        <v/>
      </c>
      <c r="AF897" s="9">
        <f>IF(ISNUMBER(Z897),IF(Z897&lt;=2,"&lt;=2 d",IF(Z897&lt;=7,"3-7 d",IF(Z897&lt;=30,"8-30 d","&gt;30 d"))),IF(AE897&lt;&gt;"",AE897,IF(Z897="NR","NR","")))</f>
        <v/>
      </c>
      <c r="AX897" s="9">
        <f>IF(ISNUMBER(AW897),IF(AW897&gt;450,"Yes","No"),IF(AW897="NR","NR",""))</f>
        <v/>
      </c>
      <c r="BJ897" s="9">
        <f>IF(BB897="","",IF(BB897="Non-viable","Non-viable",IF(BB897="Viable","Viable",IF(BB897="Partially non-viable",IF(OR(BD897="Total splenectomy",BD897="Partial splenectomy +/- splenopexy"),"Non-viable","Review"),IF(BB897="NR",IF(OR(BD897="Total splenectomy",BD897="Partial splenectomy +/- splenopexy"),"NR - removed, check reason","NR"),"Not applicable")))))</f>
        <v/>
      </c>
    </row>
    <row r="898">
      <c r="D898" s="8" t="n"/>
      <c r="E898" s="9">
        <f>IF(B898="","",IF(B898="OWN","Yes","No"))</f>
        <v/>
      </c>
      <c r="AF898" s="9">
        <f>IF(ISNUMBER(Z898),IF(Z898&lt;=2,"&lt;=2 d",IF(Z898&lt;=7,"3-7 d",IF(Z898&lt;=30,"8-30 d","&gt;30 d"))),IF(AE898&lt;&gt;"",AE898,IF(Z898="NR","NR","")))</f>
        <v/>
      </c>
      <c r="AX898" s="9">
        <f>IF(ISNUMBER(AW898),IF(AW898&gt;450,"Yes","No"),IF(AW898="NR","NR",""))</f>
        <v/>
      </c>
      <c r="BJ898" s="9">
        <f>IF(BB898="","",IF(BB898="Non-viable","Non-viable",IF(BB898="Viable","Viable",IF(BB898="Partially non-viable",IF(OR(BD898="Total splenectomy",BD898="Partial splenectomy +/- splenopexy"),"Non-viable","Review"),IF(BB898="NR",IF(OR(BD898="Total splenectomy",BD898="Partial splenectomy +/- splenopexy"),"NR - removed, check reason","NR"),"Not applicable")))))</f>
        <v/>
      </c>
    </row>
    <row r="899">
      <c r="D899" s="8" t="n"/>
      <c r="E899" s="9">
        <f>IF(B899="","",IF(B899="OWN","Yes","No"))</f>
        <v/>
      </c>
      <c r="AF899" s="9">
        <f>IF(ISNUMBER(Z899),IF(Z899&lt;=2,"&lt;=2 d",IF(Z899&lt;=7,"3-7 d",IF(Z899&lt;=30,"8-30 d","&gt;30 d"))),IF(AE899&lt;&gt;"",AE899,IF(Z899="NR","NR","")))</f>
        <v/>
      </c>
      <c r="AX899" s="9">
        <f>IF(ISNUMBER(AW899),IF(AW899&gt;450,"Yes","No"),IF(AW899="NR","NR",""))</f>
        <v/>
      </c>
      <c r="BJ899" s="9">
        <f>IF(BB899="","",IF(BB899="Non-viable","Non-viable",IF(BB899="Viable","Viable",IF(BB899="Partially non-viable",IF(OR(BD899="Total splenectomy",BD899="Partial splenectomy +/- splenopexy"),"Non-viable","Review"),IF(BB899="NR",IF(OR(BD899="Total splenectomy",BD899="Partial splenectomy +/- splenopexy"),"NR - removed, check reason","NR"),"Not applicable")))))</f>
        <v/>
      </c>
    </row>
    <row r="900">
      <c r="D900" s="8" t="n"/>
      <c r="E900" s="9">
        <f>IF(B900="","",IF(B900="OWN","Yes","No"))</f>
        <v/>
      </c>
      <c r="AF900" s="9">
        <f>IF(ISNUMBER(Z900),IF(Z900&lt;=2,"&lt;=2 d",IF(Z900&lt;=7,"3-7 d",IF(Z900&lt;=30,"8-30 d","&gt;30 d"))),IF(AE900&lt;&gt;"",AE900,IF(Z900="NR","NR","")))</f>
        <v/>
      </c>
      <c r="AX900" s="9">
        <f>IF(ISNUMBER(AW900),IF(AW900&gt;450,"Yes","No"),IF(AW900="NR","NR",""))</f>
        <v/>
      </c>
      <c r="BJ900" s="9">
        <f>IF(BB900="","",IF(BB900="Non-viable","Non-viable",IF(BB900="Viable","Viable",IF(BB900="Partially non-viable",IF(OR(BD900="Total splenectomy",BD900="Partial splenectomy +/- splenopexy"),"Non-viable","Review"),IF(BB900="NR",IF(OR(BD900="Total splenectomy",BD900="Partial splenectomy +/- splenopexy"),"NR - removed, check reason","NR"),"Not applicable")))))</f>
        <v/>
      </c>
    </row>
    <row r="901">
      <c r="D901" s="8" t="n"/>
      <c r="E901" s="9">
        <f>IF(B901="","",IF(B901="OWN","Yes","No"))</f>
        <v/>
      </c>
      <c r="AF901" s="9">
        <f>IF(ISNUMBER(Z901),IF(Z901&lt;=2,"&lt;=2 d",IF(Z901&lt;=7,"3-7 d",IF(Z901&lt;=30,"8-30 d","&gt;30 d"))),IF(AE901&lt;&gt;"",AE901,IF(Z901="NR","NR","")))</f>
        <v/>
      </c>
      <c r="AX901" s="9">
        <f>IF(ISNUMBER(AW901),IF(AW901&gt;450,"Yes","No"),IF(AW901="NR","NR",""))</f>
        <v/>
      </c>
      <c r="BJ901" s="9">
        <f>IF(BB901="","",IF(BB901="Non-viable","Non-viable",IF(BB901="Viable","Viable",IF(BB901="Partially non-viable",IF(OR(BD901="Total splenectomy",BD901="Partial splenectomy +/- splenopexy"),"Non-viable","Review"),IF(BB901="NR",IF(OR(BD901="Total splenectomy",BD901="Partial splenectomy +/- splenopexy"),"NR - removed, check reason","NR"),"Not applicable")))))</f>
        <v/>
      </c>
    </row>
    <row r="902">
      <c r="D902" s="8" t="n"/>
      <c r="E902" s="9">
        <f>IF(B902="","",IF(B902="OWN","Yes","No"))</f>
        <v/>
      </c>
      <c r="AF902" s="9">
        <f>IF(ISNUMBER(Z902),IF(Z902&lt;=2,"&lt;=2 d",IF(Z902&lt;=7,"3-7 d",IF(Z902&lt;=30,"8-30 d","&gt;30 d"))),IF(AE902&lt;&gt;"",AE902,IF(Z902="NR","NR","")))</f>
        <v/>
      </c>
      <c r="AX902" s="9">
        <f>IF(ISNUMBER(AW902),IF(AW902&gt;450,"Yes","No"),IF(AW902="NR","NR",""))</f>
        <v/>
      </c>
      <c r="BJ902" s="9">
        <f>IF(BB902="","",IF(BB902="Non-viable","Non-viable",IF(BB902="Viable","Viable",IF(BB902="Partially non-viable",IF(OR(BD902="Total splenectomy",BD902="Partial splenectomy +/- splenopexy"),"Non-viable","Review"),IF(BB902="NR",IF(OR(BD902="Total splenectomy",BD902="Partial splenectomy +/- splenopexy"),"NR - removed, check reason","NR"),"Not applicable")))))</f>
        <v/>
      </c>
    </row>
    <row r="903">
      <c r="D903" s="8" t="n"/>
      <c r="E903" s="9">
        <f>IF(B903="","",IF(B903="OWN","Yes","No"))</f>
        <v/>
      </c>
      <c r="AF903" s="9">
        <f>IF(ISNUMBER(Z903),IF(Z903&lt;=2,"&lt;=2 d",IF(Z903&lt;=7,"3-7 d",IF(Z903&lt;=30,"8-30 d","&gt;30 d"))),IF(AE903&lt;&gt;"",AE903,IF(Z903="NR","NR","")))</f>
        <v/>
      </c>
      <c r="AX903" s="9">
        <f>IF(ISNUMBER(AW903),IF(AW903&gt;450,"Yes","No"),IF(AW903="NR","NR",""))</f>
        <v/>
      </c>
      <c r="BJ903" s="9">
        <f>IF(BB903="","",IF(BB903="Non-viable","Non-viable",IF(BB903="Viable","Viable",IF(BB903="Partially non-viable",IF(OR(BD903="Total splenectomy",BD903="Partial splenectomy +/- splenopexy"),"Non-viable","Review"),IF(BB903="NR",IF(OR(BD903="Total splenectomy",BD903="Partial splenectomy +/- splenopexy"),"NR - removed, check reason","NR"),"Not applicable")))))</f>
        <v/>
      </c>
    </row>
    <row r="904">
      <c r="D904" s="8" t="n"/>
      <c r="E904" s="9">
        <f>IF(B904="","",IF(B904="OWN","Yes","No"))</f>
        <v/>
      </c>
      <c r="AF904" s="9">
        <f>IF(ISNUMBER(Z904),IF(Z904&lt;=2,"&lt;=2 d",IF(Z904&lt;=7,"3-7 d",IF(Z904&lt;=30,"8-30 d","&gt;30 d"))),IF(AE904&lt;&gt;"",AE904,IF(Z904="NR","NR","")))</f>
        <v/>
      </c>
      <c r="AX904" s="9">
        <f>IF(ISNUMBER(AW904),IF(AW904&gt;450,"Yes","No"),IF(AW904="NR","NR",""))</f>
        <v/>
      </c>
      <c r="BJ904" s="9">
        <f>IF(BB904="","",IF(BB904="Non-viable","Non-viable",IF(BB904="Viable","Viable",IF(BB904="Partially non-viable",IF(OR(BD904="Total splenectomy",BD904="Partial splenectomy +/- splenopexy"),"Non-viable","Review"),IF(BB904="NR",IF(OR(BD904="Total splenectomy",BD904="Partial splenectomy +/- splenopexy"),"NR - removed, check reason","NR"),"Not applicable")))))</f>
        <v/>
      </c>
    </row>
    <row r="905">
      <c r="D905" s="8" t="n"/>
      <c r="E905" s="9">
        <f>IF(B905="","",IF(B905="OWN","Yes","No"))</f>
        <v/>
      </c>
      <c r="AF905" s="9">
        <f>IF(ISNUMBER(Z905),IF(Z905&lt;=2,"&lt;=2 d",IF(Z905&lt;=7,"3-7 d",IF(Z905&lt;=30,"8-30 d","&gt;30 d"))),IF(AE905&lt;&gt;"",AE905,IF(Z905="NR","NR","")))</f>
        <v/>
      </c>
      <c r="AX905" s="9">
        <f>IF(ISNUMBER(AW905),IF(AW905&gt;450,"Yes","No"),IF(AW905="NR","NR",""))</f>
        <v/>
      </c>
      <c r="BJ905" s="9">
        <f>IF(BB905="","",IF(BB905="Non-viable","Non-viable",IF(BB905="Viable","Viable",IF(BB905="Partially non-viable",IF(OR(BD905="Total splenectomy",BD905="Partial splenectomy +/- splenopexy"),"Non-viable","Review"),IF(BB905="NR",IF(OR(BD905="Total splenectomy",BD905="Partial splenectomy +/- splenopexy"),"NR - removed, check reason","NR"),"Not applicable")))))</f>
        <v/>
      </c>
    </row>
    <row r="906">
      <c r="D906" s="8" t="n"/>
      <c r="E906" s="9">
        <f>IF(B906="","",IF(B906="OWN","Yes","No"))</f>
        <v/>
      </c>
      <c r="AF906" s="9">
        <f>IF(ISNUMBER(Z906),IF(Z906&lt;=2,"&lt;=2 d",IF(Z906&lt;=7,"3-7 d",IF(Z906&lt;=30,"8-30 d","&gt;30 d"))),IF(AE906&lt;&gt;"",AE906,IF(Z906="NR","NR","")))</f>
        <v/>
      </c>
      <c r="AX906" s="9">
        <f>IF(ISNUMBER(AW906),IF(AW906&gt;450,"Yes","No"),IF(AW906="NR","NR",""))</f>
        <v/>
      </c>
      <c r="BJ906" s="9">
        <f>IF(BB906="","",IF(BB906="Non-viable","Non-viable",IF(BB906="Viable","Viable",IF(BB906="Partially non-viable",IF(OR(BD906="Total splenectomy",BD906="Partial splenectomy +/- splenopexy"),"Non-viable","Review"),IF(BB906="NR",IF(OR(BD906="Total splenectomy",BD906="Partial splenectomy +/- splenopexy"),"NR - removed, check reason","NR"),"Not applicable")))))</f>
        <v/>
      </c>
    </row>
    <row r="907">
      <c r="D907" s="8" t="n"/>
      <c r="E907" s="9">
        <f>IF(B907="","",IF(B907="OWN","Yes","No"))</f>
        <v/>
      </c>
      <c r="AF907" s="9">
        <f>IF(ISNUMBER(Z907),IF(Z907&lt;=2,"&lt;=2 d",IF(Z907&lt;=7,"3-7 d",IF(Z907&lt;=30,"8-30 d","&gt;30 d"))),IF(AE907&lt;&gt;"",AE907,IF(Z907="NR","NR","")))</f>
        <v/>
      </c>
      <c r="AX907" s="9">
        <f>IF(ISNUMBER(AW907),IF(AW907&gt;450,"Yes","No"),IF(AW907="NR","NR",""))</f>
        <v/>
      </c>
      <c r="BJ907" s="9">
        <f>IF(BB907="","",IF(BB907="Non-viable","Non-viable",IF(BB907="Viable","Viable",IF(BB907="Partially non-viable",IF(OR(BD907="Total splenectomy",BD907="Partial splenectomy +/- splenopexy"),"Non-viable","Review"),IF(BB907="NR",IF(OR(BD907="Total splenectomy",BD907="Partial splenectomy +/- splenopexy"),"NR - removed, check reason","NR"),"Not applicable")))))</f>
        <v/>
      </c>
    </row>
    <row r="908">
      <c r="D908" s="8" t="n"/>
      <c r="E908" s="9">
        <f>IF(B908="","",IF(B908="OWN","Yes","No"))</f>
        <v/>
      </c>
      <c r="AF908" s="9">
        <f>IF(ISNUMBER(Z908),IF(Z908&lt;=2,"&lt;=2 d",IF(Z908&lt;=7,"3-7 d",IF(Z908&lt;=30,"8-30 d","&gt;30 d"))),IF(AE908&lt;&gt;"",AE908,IF(Z908="NR","NR","")))</f>
        <v/>
      </c>
      <c r="AX908" s="9">
        <f>IF(ISNUMBER(AW908),IF(AW908&gt;450,"Yes","No"),IF(AW908="NR","NR",""))</f>
        <v/>
      </c>
      <c r="BJ908" s="9">
        <f>IF(BB908="","",IF(BB908="Non-viable","Non-viable",IF(BB908="Viable","Viable",IF(BB908="Partially non-viable",IF(OR(BD908="Total splenectomy",BD908="Partial splenectomy +/- splenopexy"),"Non-viable","Review"),IF(BB908="NR",IF(OR(BD908="Total splenectomy",BD908="Partial splenectomy +/- splenopexy"),"NR - removed, check reason","NR"),"Not applicable")))))</f>
        <v/>
      </c>
    </row>
    <row r="909">
      <c r="D909" s="8" t="n"/>
      <c r="E909" s="9">
        <f>IF(B909="","",IF(B909="OWN","Yes","No"))</f>
        <v/>
      </c>
      <c r="AF909" s="9">
        <f>IF(ISNUMBER(Z909),IF(Z909&lt;=2,"&lt;=2 d",IF(Z909&lt;=7,"3-7 d",IF(Z909&lt;=30,"8-30 d","&gt;30 d"))),IF(AE909&lt;&gt;"",AE909,IF(Z909="NR","NR","")))</f>
        <v/>
      </c>
      <c r="AX909" s="9">
        <f>IF(ISNUMBER(AW909),IF(AW909&gt;450,"Yes","No"),IF(AW909="NR","NR",""))</f>
        <v/>
      </c>
      <c r="BJ909" s="9">
        <f>IF(BB909="","",IF(BB909="Non-viable","Non-viable",IF(BB909="Viable","Viable",IF(BB909="Partially non-viable",IF(OR(BD909="Total splenectomy",BD909="Partial splenectomy +/- splenopexy"),"Non-viable","Review"),IF(BB909="NR",IF(OR(BD909="Total splenectomy",BD909="Partial splenectomy +/- splenopexy"),"NR - removed, check reason","NR"),"Not applicable")))))</f>
        <v/>
      </c>
    </row>
    <row r="910">
      <c r="D910" s="8" t="n"/>
      <c r="E910" s="9">
        <f>IF(B910="","",IF(B910="OWN","Yes","No"))</f>
        <v/>
      </c>
      <c r="AF910" s="9">
        <f>IF(ISNUMBER(Z910),IF(Z910&lt;=2,"&lt;=2 d",IF(Z910&lt;=7,"3-7 d",IF(Z910&lt;=30,"8-30 d","&gt;30 d"))),IF(AE910&lt;&gt;"",AE910,IF(Z910="NR","NR","")))</f>
        <v/>
      </c>
      <c r="AX910" s="9">
        <f>IF(ISNUMBER(AW910),IF(AW910&gt;450,"Yes","No"),IF(AW910="NR","NR",""))</f>
        <v/>
      </c>
      <c r="BJ910" s="9">
        <f>IF(BB910="","",IF(BB910="Non-viable","Non-viable",IF(BB910="Viable","Viable",IF(BB910="Partially non-viable",IF(OR(BD910="Total splenectomy",BD910="Partial splenectomy +/- splenopexy"),"Non-viable","Review"),IF(BB910="NR",IF(OR(BD910="Total splenectomy",BD910="Partial splenectomy +/- splenopexy"),"NR - removed, check reason","NR"),"Not applicable")))))</f>
        <v/>
      </c>
    </row>
    <row r="911">
      <c r="D911" s="8" t="n"/>
      <c r="E911" s="9">
        <f>IF(B911="","",IF(B911="OWN","Yes","No"))</f>
        <v/>
      </c>
      <c r="AF911" s="9">
        <f>IF(ISNUMBER(Z911),IF(Z911&lt;=2,"&lt;=2 d",IF(Z911&lt;=7,"3-7 d",IF(Z911&lt;=30,"8-30 d","&gt;30 d"))),IF(AE911&lt;&gt;"",AE911,IF(Z911="NR","NR","")))</f>
        <v/>
      </c>
      <c r="AX911" s="9">
        <f>IF(ISNUMBER(AW911),IF(AW911&gt;450,"Yes","No"),IF(AW911="NR","NR",""))</f>
        <v/>
      </c>
      <c r="BJ911" s="9">
        <f>IF(BB911="","",IF(BB911="Non-viable","Non-viable",IF(BB911="Viable","Viable",IF(BB911="Partially non-viable",IF(OR(BD911="Total splenectomy",BD911="Partial splenectomy +/- splenopexy"),"Non-viable","Review"),IF(BB911="NR",IF(OR(BD911="Total splenectomy",BD911="Partial splenectomy +/- splenopexy"),"NR - removed, check reason","NR"),"Not applicable")))))</f>
        <v/>
      </c>
    </row>
    <row r="912">
      <c r="D912" s="8" t="n"/>
      <c r="E912" s="9">
        <f>IF(B912="","",IF(B912="OWN","Yes","No"))</f>
        <v/>
      </c>
      <c r="AF912" s="9">
        <f>IF(ISNUMBER(Z912),IF(Z912&lt;=2,"&lt;=2 d",IF(Z912&lt;=7,"3-7 d",IF(Z912&lt;=30,"8-30 d","&gt;30 d"))),IF(AE912&lt;&gt;"",AE912,IF(Z912="NR","NR","")))</f>
        <v/>
      </c>
      <c r="AX912" s="9">
        <f>IF(ISNUMBER(AW912),IF(AW912&gt;450,"Yes","No"),IF(AW912="NR","NR",""))</f>
        <v/>
      </c>
      <c r="BJ912" s="9">
        <f>IF(BB912="","",IF(BB912="Non-viable","Non-viable",IF(BB912="Viable","Viable",IF(BB912="Partially non-viable",IF(OR(BD912="Total splenectomy",BD912="Partial splenectomy +/- splenopexy"),"Non-viable","Review"),IF(BB912="NR",IF(OR(BD912="Total splenectomy",BD912="Partial splenectomy +/- splenopexy"),"NR - removed, check reason","NR"),"Not applicable")))))</f>
        <v/>
      </c>
    </row>
    <row r="913">
      <c r="D913" s="8" t="n"/>
      <c r="E913" s="9">
        <f>IF(B913="","",IF(B913="OWN","Yes","No"))</f>
        <v/>
      </c>
      <c r="AF913" s="9">
        <f>IF(ISNUMBER(Z913),IF(Z913&lt;=2,"&lt;=2 d",IF(Z913&lt;=7,"3-7 d",IF(Z913&lt;=30,"8-30 d","&gt;30 d"))),IF(AE913&lt;&gt;"",AE913,IF(Z913="NR","NR","")))</f>
        <v/>
      </c>
      <c r="AX913" s="9">
        <f>IF(ISNUMBER(AW913),IF(AW913&gt;450,"Yes","No"),IF(AW913="NR","NR",""))</f>
        <v/>
      </c>
      <c r="BJ913" s="9">
        <f>IF(BB913="","",IF(BB913="Non-viable","Non-viable",IF(BB913="Viable","Viable",IF(BB913="Partially non-viable",IF(OR(BD913="Total splenectomy",BD913="Partial splenectomy +/- splenopexy"),"Non-viable","Review"),IF(BB913="NR",IF(OR(BD913="Total splenectomy",BD913="Partial splenectomy +/- splenopexy"),"NR - removed, check reason","NR"),"Not applicable")))))</f>
        <v/>
      </c>
    </row>
    <row r="914">
      <c r="D914" s="8" t="n"/>
      <c r="E914" s="9">
        <f>IF(B914="","",IF(B914="OWN","Yes","No"))</f>
        <v/>
      </c>
      <c r="AF914" s="9">
        <f>IF(ISNUMBER(Z914),IF(Z914&lt;=2,"&lt;=2 d",IF(Z914&lt;=7,"3-7 d",IF(Z914&lt;=30,"8-30 d","&gt;30 d"))),IF(AE914&lt;&gt;"",AE914,IF(Z914="NR","NR","")))</f>
        <v/>
      </c>
      <c r="AX914" s="9">
        <f>IF(ISNUMBER(AW914),IF(AW914&gt;450,"Yes","No"),IF(AW914="NR","NR",""))</f>
        <v/>
      </c>
      <c r="BJ914" s="9">
        <f>IF(BB914="","",IF(BB914="Non-viable","Non-viable",IF(BB914="Viable","Viable",IF(BB914="Partially non-viable",IF(OR(BD914="Total splenectomy",BD914="Partial splenectomy +/- splenopexy"),"Non-viable","Review"),IF(BB914="NR",IF(OR(BD914="Total splenectomy",BD914="Partial splenectomy +/- splenopexy"),"NR - removed, check reason","NR"),"Not applicable")))))</f>
        <v/>
      </c>
    </row>
    <row r="915">
      <c r="D915" s="8" t="n"/>
      <c r="E915" s="9">
        <f>IF(B915="","",IF(B915="OWN","Yes","No"))</f>
        <v/>
      </c>
      <c r="AF915" s="9">
        <f>IF(ISNUMBER(Z915),IF(Z915&lt;=2,"&lt;=2 d",IF(Z915&lt;=7,"3-7 d",IF(Z915&lt;=30,"8-30 d","&gt;30 d"))),IF(AE915&lt;&gt;"",AE915,IF(Z915="NR","NR","")))</f>
        <v/>
      </c>
      <c r="AX915" s="9">
        <f>IF(ISNUMBER(AW915),IF(AW915&gt;450,"Yes","No"),IF(AW915="NR","NR",""))</f>
        <v/>
      </c>
      <c r="BJ915" s="9">
        <f>IF(BB915="","",IF(BB915="Non-viable","Non-viable",IF(BB915="Viable","Viable",IF(BB915="Partially non-viable",IF(OR(BD915="Total splenectomy",BD915="Partial splenectomy +/- splenopexy"),"Non-viable","Review"),IF(BB915="NR",IF(OR(BD915="Total splenectomy",BD915="Partial splenectomy +/- splenopexy"),"NR - removed, check reason","NR"),"Not applicable")))))</f>
        <v/>
      </c>
    </row>
    <row r="916">
      <c r="D916" s="8" t="n"/>
      <c r="E916" s="9">
        <f>IF(B916="","",IF(B916="OWN","Yes","No"))</f>
        <v/>
      </c>
      <c r="AF916" s="9">
        <f>IF(ISNUMBER(Z916),IF(Z916&lt;=2,"&lt;=2 d",IF(Z916&lt;=7,"3-7 d",IF(Z916&lt;=30,"8-30 d","&gt;30 d"))),IF(AE916&lt;&gt;"",AE916,IF(Z916="NR","NR","")))</f>
        <v/>
      </c>
      <c r="AX916" s="9">
        <f>IF(ISNUMBER(AW916),IF(AW916&gt;450,"Yes","No"),IF(AW916="NR","NR",""))</f>
        <v/>
      </c>
      <c r="BJ916" s="9">
        <f>IF(BB916="","",IF(BB916="Non-viable","Non-viable",IF(BB916="Viable","Viable",IF(BB916="Partially non-viable",IF(OR(BD916="Total splenectomy",BD916="Partial splenectomy +/- splenopexy"),"Non-viable","Review"),IF(BB916="NR",IF(OR(BD916="Total splenectomy",BD916="Partial splenectomy +/- splenopexy"),"NR - removed, check reason","NR"),"Not applicable")))))</f>
        <v/>
      </c>
    </row>
    <row r="917">
      <c r="D917" s="8" t="n"/>
      <c r="E917" s="9">
        <f>IF(B917="","",IF(B917="OWN","Yes","No"))</f>
        <v/>
      </c>
      <c r="AF917" s="9">
        <f>IF(ISNUMBER(Z917),IF(Z917&lt;=2,"&lt;=2 d",IF(Z917&lt;=7,"3-7 d",IF(Z917&lt;=30,"8-30 d","&gt;30 d"))),IF(AE917&lt;&gt;"",AE917,IF(Z917="NR","NR","")))</f>
        <v/>
      </c>
      <c r="AX917" s="9">
        <f>IF(ISNUMBER(AW917),IF(AW917&gt;450,"Yes","No"),IF(AW917="NR","NR",""))</f>
        <v/>
      </c>
      <c r="BJ917" s="9">
        <f>IF(BB917="","",IF(BB917="Non-viable","Non-viable",IF(BB917="Viable","Viable",IF(BB917="Partially non-viable",IF(OR(BD917="Total splenectomy",BD917="Partial splenectomy +/- splenopexy"),"Non-viable","Review"),IF(BB917="NR",IF(OR(BD917="Total splenectomy",BD917="Partial splenectomy +/- splenopexy"),"NR - removed, check reason","NR"),"Not applicable")))))</f>
        <v/>
      </c>
    </row>
    <row r="918">
      <c r="D918" s="8" t="n"/>
      <c r="E918" s="9">
        <f>IF(B918="","",IF(B918="OWN","Yes","No"))</f>
        <v/>
      </c>
      <c r="AF918" s="9">
        <f>IF(ISNUMBER(Z918),IF(Z918&lt;=2,"&lt;=2 d",IF(Z918&lt;=7,"3-7 d",IF(Z918&lt;=30,"8-30 d","&gt;30 d"))),IF(AE918&lt;&gt;"",AE918,IF(Z918="NR","NR","")))</f>
        <v/>
      </c>
      <c r="AX918" s="9">
        <f>IF(ISNUMBER(AW918),IF(AW918&gt;450,"Yes","No"),IF(AW918="NR","NR",""))</f>
        <v/>
      </c>
      <c r="BJ918" s="9">
        <f>IF(BB918="","",IF(BB918="Non-viable","Non-viable",IF(BB918="Viable","Viable",IF(BB918="Partially non-viable",IF(OR(BD918="Total splenectomy",BD918="Partial splenectomy +/- splenopexy"),"Non-viable","Review"),IF(BB918="NR",IF(OR(BD918="Total splenectomy",BD918="Partial splenectomy +/- splenopexy"),"NR - removed, check reason","NR"),"Not applicable")))))</f>
        <v/>
      </c>
    </row>
    <row r="919">
      <c r="D919" s="8" t="n"/>
      <c r="E919" s="9">
        <f>IF(B919="","",IF(B919="OWN","Yes","No"))</f>
        <v/>
      </c>
      <c r="AF919" s="9">
        <f>IF(ISNUMBER(Z919),IF(Z919&lt;=2,"&lt;=2 d",IF(Z919&lt;=7,"3-7 d",IF(Z919&lt;=30,"8-30 d","&gt;30 d"))),IF(AE919&lt;&gt;"",AE919,IF(Z919="NR","NR","")))</f>
        <v/>
      </c>
      <c r="AX919" s="9">
        <f>IF(ISNUMBER(AW919),IF(AW919&gt;450,"Yes","No"),IF(AW919="NR","NR",""))</f>
        <v/>
      </c>
      <c r="BJ919" s="9">
        <f>IF(BB919="","",IF(BB919="Non-viable","Non-viable",IF(BB919="Viable","Viable",IF(BB919="Partially non-viable",IF(OR(BD919="Total splenectomy",BD919="Partial splenectomy +/- splenopexy"),"Non-viable","Review"),IF(BB919="NR",IF(OR(BD919="Total splenectomy",BD919="Partial splenectomy +/- splenopexy"),"NR - removed, check reason","NR"),"Not applicable")))))</f>
        <v/>
      </c>
    </row>
    <row r="920">
      <c r="D920" s="8" t="n"/>
      <c r="E920" s="9">
        <f>IF(B920="","",IF(B920="OWN","Yes","No"))</f>
        <v/>
      </c>
      <c r="AF920" s="9">
        <f>IF(ISNUMBER(Z920),IF(Z920&lt;=2,"&lt;=2 d",IF(Z920&lt;=7,"3-7 d",IF(Z920&lt;=30,"8-30 d","&gt;30 d"))),IF(AE920&lt;&gt;"",AE920,IF(Z920="NR","NR","")))</f>
        <v/>
      </c>
      <c r="AX920" s="9">
        <f>IF(ISNUMBER(AW920),IF(AW920&gt;450,"Yes","No"),IF(AW920="NR","NR",""))</f>
        <v/>
      </c>
      <c r="BJ920" s="9">
        <f>IF(BB920="","",IF(BB920="Non-viable","Non-viable",IF(BB920="Viable","Viable",IF(BB920="Partially non-viable",IF(OR(BD920="Total splenectomy",BD920="Partial splenectomy +/- splenopexy"),"Non-viable","Review"),IF(BB920="NR",IF(OR(BD920="Total splenectomy",BD920="Partial splenectomy +/- splenopexy"),"NR - removed, check reason","NR"),"Not applicable")))))</f>
        <v/>
      </c>
    </row>
    <row r="921">
      <c r="D921" s="8" t="n"/>
      <c r="E921" s="9">
        <f>IF(B921="","",IF(B921="OWN","Yes","No"))</f>
        <v/>
      </c>
      <c r="AF921" s="9">
        <f>IF(ISNUMBER(Z921),IF(Z921&lt;=2,"&lt;=2 d",IF(Z921&lt;=7,"3-7 d",IF(Z921&lt;=30,"8-30 d","&gt;30 d"))),IF(AE921&lt;&gt;"",AE921,IF(Z921="NR","NR","")))</f>
        <v/>
      </c>
      <c r="AX921" s="9">
        <f>IF(ISNUMBER(AW921),IF(AW921&gt;450,"Yes","No"),IF(AW921="NR","NR",""))</f>
        <v/>
      </c>
      <c r="BJ921" s="9">
        <f>IF(BB921="","",IF(BB921="Non-viable","Non-viable",IF(BB921="Viable","Viable",IF(BB921="Partially non-viable",IF(OR(BD921="Total splenectomy",BD921="Partial splenectomy +/- splenopexy"),"Non-viable","Review"),IF(BB921="NR",IF(OR(BD921="Total splenectomy",BD921="Partial splenectomy +/- splenopexy"),"NR - removed, check reason","NR"),"Not applicable")))))</f>
        <v/>
      </c>
    </row>
    <row r="922">
      <c r="D922" s="8" t="n"/>
      <c r="E922" s="9">
        <f>IF(B922="","",IF(B922="OWN","Yes","No"))</f>
        <v/>
      </c>
      <c r="AF922" s="9">
        <f>IF(ISNUMBER(Z922),IF(Z922&lt;=2,"&lt;=2 d",IF(Z922&lt;=7,"3-7 d",IF(Z922&lt;=30,"8-30 d","&gt;30 d"))),IF(AE922&lt;&gt;"",AE922,IF(Z922="NR","NR","")))</f>
        <v/>
      </c>
      <c r="AX922" s="9">
        <f>IF(ISNUMBER(AW922),IF(AW922&gt;450,"Yes","No"),IF(AW922="NR","NR",""))</f>
        <v/>
      </c>
      <c r="BJ922" s="9">
        <f>IF(BB922="","",IF(BB922="Non-viable","Non-viable",IF(BB922="Viable","Viable",IF(BB922="Partially non-viable",IF(OR(BD922="Total splenectomy",BD922="Partial splenectomy +/- splenopexy"),"Non-viable","Review"),IF(BB922="NR",IF(OR(BD922="Total splenectomy",BD922="Partial splenectomy +/- splenopexy"),"NR - removed, check reason","NR"),"Not applicable")))))</f>
        <v/>
      </c>
    </row>
    <row r="923">
      <c r="D923" s="8" t="n"/>
      <c r="E923" s="9">
        <f>IF(B923="","",IF(B923="OWN","Yes","No"))</f>
        <v/>
      </c>
      <c r="AF923" s="9">
        <f>IF(ISNUMBER(Z923),IF(Z923&lt;=2,"&lt;=2 d",IF(Z923&lt;=7,"3-7 d",IF(Z923&lt;=30,"8-30 d","&gt;30 d"))),IF(AE923&lt;&gt;"",AE923,IF(Z923="NR","NR","")))</f>
        <v/>
      </c>
      <c r="AX923" s="9">
        <f>IF(ISNUMBER(AW923),IF(AW923&gt;450,"Yes","No"),IF(AW923="NR","NR",""))</f>
        <v/>
      </c>
      <c r="BJ923" s="9">
        <f>IF(BB923="","",IF(BB923="Non-viable","Non-viable",IF(BB923="Viable","Viable",IF(BB923="Partially non-viable",IF(OR(BD923="Total splenectomy",BD923="Partial splenectomy +/- splenopexy"),"Non-viable","Review"),IF(BB923="NR",IF(OR(BD923="Total splenectomy",BD923="Partial splenectomy +/- splenopexy"),"NR - removed, check reason","NR"),"Not applicable")))))</f>
        <v/>
      </c>
    </row>
    <row r="924">
      <c r="D924" s="8" t="n"/>
      <c r="E924" s="9">
        <f>IF(B924="","",IF(B924="OWN","Yes","No"))</f>
        <v/>
      </c>
      <c r="AF924" s="9">
        <f>IF(ISNUMBER(Z924),IF(Z924&lt;=2,"&lt;=2 d",IF(Z924&lt;=7,"3-7 d",IF(Z924&lt;=30,"8-30 d","&gt;30 d"))),IF(AE924&lt;&gt;"",AE924,IF(Z924="NR","NR","")))</f>
        <v/>
      </c>
      <c r="AX924" s="9">
        <f>IF(ISNUMBER(AW924),IF(AW924&gt;450,"Yes","No"),IF(AW924="NR","NR",""))</f>
        <v/>
      </c>
      <c r="BJ924" s="9">
        <f>IF(BB924="","",IF(BB924="Non-viable","Non-viable",IF(BB924="Viable","Viable",IF(BB924="Partially non-viable",IF(OR(BD924="Total splenectomy",BD924="Partial splenectomy +/- splenopexy"),"Non-viable","Review"),IF(BB924="NR",IF(OR(BD924="Total splenectomy",BD924="Partial splenectomy +/- splenopexy"),"NR - removed, check reason","NR"),"Not applicable")))))</f>
        <v/>
      </c>
    </row>
    <row r="925">
      <c r="D925" s="8" t="n"/>
      <c r="E925" s="9">
        <f>IF(B925="","",IF(B925="OWN","Yes","No"))</f>
        <v/>
      </c>
      <c r="AF925" s="9">
        <f>IF(ISNUMBER(Z925),IF(Z925&lt;=2,"&lt;=2 d",IF(Z925&lt;=7,"3-7 d",IF(Z925&lt;=30,"8-30 d","&gt;30 d"))),IF(AE925&lt;&gt;"",AE925,IF(Z925="NR","NR","")))</f>
        <v/>
      </c>
      <c r="AX925" s="9">
        <f>IF(ISNUMBER(AW925),IF(AW925&gt;450,"Yes","No"),IF(AW925="NR","NR",""))</f>
        <v/>
      </c>
      <c r="BJ925" s="9">
        <f>IF(BB925="","",IF(BB925="Non-viable","Non-viable",IF(BB925="Viable","Viable",IF(BB925="Partially non-viable",IF(OR(BD925="Total splenectomy",BD925="Partial splenectomy +/- splenopexy"),"Non-viable","Review"),IF(BB925="NR",IF(OR(BD925="Total splenectomy",BD925="Partial splenectomy +/- splenopexy"),"NR - removed, check reason","NR"),"Not applicable")))))</f>
        <v/>
      </c>
    </row>
    <row r="926">
      <c r="D926" s="8" t="n"/>
      <c r="E926" s="9">
        <f>IF(B926="","",IF(B926="OWN","Yes","No"))</f>
        <v/>
      </c>
      <c r="AF926" s="9">
        <f>IF(ISNUMBER(Z926),IF(Z926&lt;=2,"&lt;=2 d",IF(Z926&lt;=7,"3-7 d",IF(Z926&lt;=30,"8-30 d","&gt;30 d"))),IF(AE926&lt;&gt;"",AE926,IF(Z926="NR","NR","")))</f>
        <v/>
      </c>
      <c r="AX926" s="9">
        <f>IF(ISNUMBER(AW926),IF(AW926&gt;450,"Yes","No"),IF(AW926="NR","NR",""))</f>
        <v/>
      </c>
      <c r="BJ926" s="9">
        <f>IF(BB926="","",IF(BB926="Non-viable","Non-viable",IF(BB926="Viable","Viable",IF(BB926="Partially non-viable",IF(OR(BD926="Total splenectomy",BD926="Partial splenectomy +/- splenopexy"),"Non-viable","Review"),IF(BB926="NR",IF(OR(BD926="Total splenectomy",BD926="Partial splenectomy +/- splenopexy"),"NR - removed, check reason","NR"),"Not applicable")))))</f>
        <v/>
      </c>
    </row>
    <row r="927">
      <c r="D927" s="8" t="n"/>
      <c r="E927" s="9">
        <f>IF(B927="","",IF(B927="OWN","Yes","No"))</f>
        <v/>
      </c>
      <c r="AF927" s="9">
        <f>IF(ISNUMBER(Z927),IF(Z927&lt;=2,"&lt;=2 d",IF(Z927&lt;=7,"3-7 d",IF(Z927&lt;=30,"8-30 d","&gt;30 d"))),IF(AE927&lt;&gt;"",AE927,IF(Z927="NR","NR","")))</f>
        <v/>
      </c>
      <c r="AX927" s="9">
        <f>IF(ISNUMBER(AW927),IF(AW927&gt;450,"Yes","No"),IF(AW927="NR","NR",""))</f>
        <v/>
      </c>
      <c r="BJ927" s="9">
        <f>IF(BB927="","",IF(BB927="Non-viable","Non-viable",IF(BB927="Viable","Viable",IF(BB927="Partially non-viable",IF(OR(BD927="Total splenectomy",BD927="Partial splenectomy +/- splenopexy"),"Non-viable","Review"),IF(BB927="NR",IF(OR(BD927="Total splenectomy",BD927="Partial splenectomy +/- splenopexy"),"NR - removed, check reason","NR"),"Not applicable")))))</f>
        <v/>
      </c>
    </row>
    <row r="928">
      <c r="D928" s="8" t="n"/>
      <c r="E928" s="9">
        <f>IF(B928="","",IF(B928="OWN","Yes","No"))</f>
        <v/>
      </c>
      <c r="AF928" s="9">
        <f>IF(ISNUMBER(Z928),IF(Z928&lt;=2,"&lt;=2 d",IF(Z928&lt;=7,"3-7 d",IF(Z928&lt;=30,"8-30 d","&gt;30 d"))),IF(AE928&lt;&gt;"",AE928,IF(Z928="NR","NR","")))</f>
        <v/>
      </c>
      <c r="AX928" s="9">
        <f>IF(ISNUMBER(AW928),IF(AW928&gt;450,"Yes","No"),IF(AW928="NR","NR",""))</f>
        <v/>
      </c>
      <c r="BJ928" s="9">
        <f>IF(BB928="","",IF(BB928="Non-viable","Non-viable",IF(BB928="Viable","Viable",IF(BB928="Partially non-viable",IF(OR(BD928="Total splenectomy",BD928="Partial splenectomy +/- splenopexy"),"Non-viable","Review"),IF(BB928="NR",IF(OR(BD928="Total splenectomy",BD928="Partial splenectomy +/- splenopexy"),"NR - removed, check reason","NR"),"Not applicable")))))</f>
        <v/>
      </c>
    </row>
    <row r="929">
      <c r="D929" s="8" t="n"/>
      <c r="E929" s="9">
        <f>IF(B929="","",IF(B929="OWN","Yes","No"))</f>
        <v/>
      </c>
      <c r="AF929" s="9">
        <f>IF(ISNUMBER(Z929),IF(Z929&lt;=2,"&lt;=2 d",IF(Z929&lt;=7,"3-7 d",IF(Z929&lt;=30,"8-30 d","&gt;30 d"))),IF(AE929&lt;&gt;"",AE929,IF(Z929="NR","NR","")))</f>
        <v/>
      </c>
      <c r="AX929" s="9">
        <f>IF(ISNUMBER(AW929),IF(AW929&gt;450,"Yes","No"),IF(AW929="NR","NR",""))</f>
        <v/>
      </c>
      <c r="BJ929" s="9">
        <f>IF(BB929="","",IF(BB929="Non-viable","Non-viable",IF(BB929="Viable","Viable",IF(BB929="Partially non-viable",IF(OR(BD929="Total splenectomy",BD929="Partial splenectomy +/- splenopexy"),"Non-viable","Review"),IF(BB929="NR",IF(OR(BD929="Total splenectomy",BD929="Partial splenectomy +/- splenopexy"),"NR - removed, check reason","NR"),"Not applicable")))))</f>
        <v/>
      </c>
    </row>
    <row r="930">
      <c r="D930" s="8" t="n"/>
      <c r="E930" s="9">
        <f>IF(B930="","",IF(B930="OWN","Yes","No"))</f>
        <v/>
      </c>
      <c r="AF930" s="9">
        <f>IF(ISNUMBER(Z930),IF(Z930&lt;=2,"&lt;=2 d",IF(Z930&lt;=7,"3-7 d",IF(Z930&lt;=30,"8-30 d","&gt;30 d"))),IF(AE930&lt;&gt;"",AE930,IF(Z930="NR","NR","")))</f>
        <v/>
      </c>
      <c r="AX930" s="9">
        <f>IF(ISNUMBER(AW930),IF(AW930&gt;450,"Yes","No"),IF(AW930="NR","NR",""))</f>
        <v/>
      </c>
      <c r="BJ930" s="9">
        <f>IF(BB930="","",IF(BB930="Non-viable","Non-viable",IF(BB930="Viable","Viable",IF(BB930="Partially non-viable",IF(OR(BD930="Total splenectomy",BD930="Partial splenectomy +/- splenopexy"),"Non-viable","Review"),IF(BB930="NR",IF(OR(BD930="Total splenectomy",BD930="Partial splenectomy +/- splenopexy"),"NR - removed, check reason","NR"),"Not applicable")))))</f>
        <v/>
      </c>
    </row>
    <row r="931">
      <c r="D931" s="8" t="n"/>
      <c r="E931" s="9">
        <f>IF(B931="","",IF(B931="OWN","Yes","No"))</f>
        <v/>
      </c>
      <c r="AF931" s="9">
        <f>IF(ISNUMBER(Z931),IF(Z931&lt;=2,"&lt;=2 d",IF(Z931&lt;=7,"3-7 d",IF(Z931&lt;=30,"8-30 d","&gt;30 d"))),IF(AE931&lt;&gt;"",AE931,IF(Z931="NR","NR","")))</f>
        <v/>
      </c>
      <c r="AX931" s="9">
        <f>IF(ISNUMBER(AW931),IF(AW931&gt;450,"Yes","No"),IF(AW931="NR","NR",""))</f>
        <v/>
      </c>
      <c r="BJ931" s="9">
        <f>IF(BB931="","",IF(BB931="Non-viable","Non-viable",IF(BB931="Viable","Viable",IF(BB931="Partially non-viable",IF(OR(BD931="Total splenectomy",BD931="Partial splenectomy +/- splenopexy"),"Non-viable","Review"),IF(BB931="NR",IF(OR(BD931="Total splenectomy",BD931="Partial splenectomy +/- splenopexy"),"NR - removed, check reason","NR"),"Not applicable")))))</f>
        <v/>
      </c>
    </row>
    <row r="932">
      <c r="D932" s="8" t="n"/>
      <c r="E932" s="9">
        <f>IF(B932="","",IF(B932="OWN","Yes","No"))</f>
        <v/>
      </c>
      <c r="AF932" s="9">
        <f>IF(ISNUMBER(Z932),IF(Z932&lt;=2,"&lt;=2 d",IF(Z932&lt;=7,"3-7 d",IF(Z932&lt;=30,"8-30 d","&gt;30 d"))),IF(AE932&lt;&gt;"",AE932,IF(Z932="NR","NR","")))</f>
        <v/>
      </c>
      <c r="AX932" s="9">
        <f>IF(ISNUMBER(AW932),IF(AW932&gt;450,"Yes","No"),IF(AW932="NR","NR",""))</f>
        <v/>
      </c>
      <c r="BJ932" s="9">
        <f>IF(BB932="","",IF(BB932="Non-viable","Non-viable",IF(BB932="Viable","Viable",IF(BB932="Partially non-viable",IF(OR(BD932="Total splenectomy",BD932="Partial splenectomy +/- splenopexy"),"Non-viable","Review"),IF(BB932="NR",IF(OR(BD932="Total splenectomy",BD932="Partial splenectomy +/- splenopexy"),"NR - removed, check reason","NR"),"Not applicable")))))</f>
        <v/>
      </c>
    </row>
    <row r="933">
      <c r="D933" s="8" t="n"/>
      <c r="E933" s="9">
        <f>IF(B933="","",IF(B933="OWN","Yes","No"))</f>
        <v/>
      </c>
      <c r="AF933" s="9">
        <f>IF(ISNUMBER(Z933),IF(Z933&lt;=2,"&lt;=2 d",IF(Z933&lt;=7,"3-7 d",IF(Z933&lt;=30,"8-30 d","&gt;30 d"))),IF(AE933&lt;&gt;"",AE933,IF(Z933="NR","NR","")))</f>
        <v/>
      </c>
      <c r="AX933" s="9">
        <f>IF(ISNUMBER(AW933),IF(AW933&gt;450,"Yes","No"),IF(AW933="NR","NR",""))</f>
        <v/>
      </c>
      <c r="BJ933" s="9">
        <f>IF(BB933="","",IF(BB933="Non-viable","Non-viable",IF(BB933="Viable","Viable",IF(BB933="Partially non-viable",IF(OR(BD933="Total splenectomy",BD933="Partial splenectomy +/- splenopexy"),"Non-viable","Review"),IF(BB933="NR",IF(OR(BD933="Total splenectomy",BD933="Partial splenectomy +/- splenopexy"),"NR - removed, check reason","NR"),"Not applicable")))))</f>
        <v/>
      </c>
    </row>
    <row r="934">
      <c r="D934" s="8" t="n"/>
      <c r="E934" s="9">
        <f>IF(B934="","",IF(B934="OWN","Yes","No"))</f>
        <v/>
      </c>
      <c r="AF934" s="9">
        <f>IF(ISNUMBER(Z934),IF(Z934&lt;=2,"&lt;=2 d",IF(Z934&lt;=7,"3-7 d",IF(Z934&lt;=30,"8-30 d","&gt;30 d"))),IF(AE934&lt;&gt;"",AE934,IF(Z934="NR","NR","")))</f>
        <v/>
      </c>
      <c r="AX934" s="9">
        <f>IF(ISNUMBER(AW934),IF(AW934&gt;450,"Yes","No"),IF(AW934="NR","NR",""))</f>
        <v/>
      </c>
      <c r="BJ934" s="9">
        <f>IF(BB934="","",IF(BB934="Non-viable","Non-viable",IF(BB934="Viable","Viable",IF(BB934="Partially non-viable",IF(OR(BD934="Total splenectomy",BD934="Partial splenectomy +/- splenopexy"),"Non-viable","Review"),IF(BB934="NR",IF(OR(BD934="Total splenectomy",BD934="Partial splenectomy +/- splenopexy"),"NR - removed, check reason","NR"),"Not applicable")))))</f>
        <v/>
      </c>
    </row>
    <row r="935">
      <c r="D935" s="8" t="n"/>
      <c r="E935" s="9">
        <f>IF(B935="","",IF(B935="OWN","Yes","No"))</f>
        <v/>
      </c>
      <c r="AF935" s="9">
        <f>IF(ISNUMBER(Z935),IF(Z935&lt;=2,"&lt;=2 d",IF(Z935&lt;=7,"3-7 d",IF(Z935&lt;=30,"8-30 d","&gt;30 d"))),IF(AE935&lt;&gt;"",AE935,IF(Z935="NR","NR","")))</f>
        <v/>
      </c>
      <c r="AX935" s="9">
        <f>IF(ISNUMBER(AW935),IF(AW935&gt;450,"Yes","No"),IF(AW935="NR","NR",""))</f>
        <v/>
      </c>
      <c r="BJ935" s="9">
        <f>IF(BB935="","",IF(BB935="Non-viable","Non-viable",IF(BB935="Viable","Viable",IF(BB935="Partially non-viable",IF(OR(BD935="Total splenectomy",BD935="Partial splenectomy +/- splenopexy"),"Non-viable","Review"),IF(BB935="NR",IF(OR(BD935="Total splenectomy",BD935="Partial splenectomy +/- splenopexy"),"NR - removed, check reason","NR"),"Not applicable")))))</f>
        <v/>
      </c>
    </row>
    <row r="936">
      <c r="D936" s="8" t="n"/>
      <c r="E936" s="9">
        <f>IF(B936="","",IF(B936="OWN","Yes","No"))</f>
        <v/>
      </c>
      <c r="AF936" s="9">
        <f>IF(ISNUMBER(Z936),IF(Z936&lt;=2,"&lt;=2 d",IF(Z936&lt;=7,"3-7 d",IF(Z936&lt;=30,"8-30 d","&gt;30 d"))),IF(AE936&lt;&gt;"",AE936,IF(Z936="NR","NR","")))</f>
        <v/>
      </c>
      <c r="AX936" s="9">
        <f>IF(ISNUMBER(AW936),IF(AW936&gt;450,"Yes","No"),IF(AW936="NR","NR",""))</f>
        <v/>
      </c>
      <c r="BJ936" s="9">
        <f>IF(BB936="","",IF(BB936="Non-viable","Non-viable",IF(BB936="Viable","Viable",IF(BB936="Partially non-viable",IF(OR(BD936="Total splenectomy",BD936="Partial splenectomy +/- splenopexy"),"Non-viable","Review"),IF(BB936="NR",IF(OR(BD936="Total splenectomy",BD936="Partial splenectomy +/- splenopexy"),"NR - removed, check reason","NR"),"Not applicable")))))</f>
        <v/>
      </c>
    </row>
    <row r="937">
      <c r="D937" s="8" t="n"/>
      <c r="E937" s="9">
        <f>IF(B937="","",IF(B937="OWN","Yes","No"))</f>
        <v/>
      </c>
      <c r="AF937" s="9">
        <f>IF(ISNUMBER(Z937),IF(Z937&lt;=2,"&lt;=2 d",IF(Z937&lt;=7,"3-7 d",IF(Z937&lt;=30,"8-30 d","&gt;30 d"))),IF(AE937&lt;&gt;"",AE937,IF(Z937="NR","NR","")))</f>
        <v/>
      </c>
      <c r="AX937" s="9">
        <f>IF(ISNUMBER(AW937),IF(AW937&gt;450,"Yes","No"),IF(AW937="NR","NR",""))</f>
        <v/>
      </c>
      <c r="BJ937" s="9">
        <f>IF(BB937="","",IF(BB937="Non-viable","Non-viable",IF(BB937="Viable","Viable",IF(BB937="Partially non-viable",IF(OR(BD937="Total splenectomy",BD937="Partial splenectomy +/- splenopexy"),"Non-viable","Review"),IF(BB937="NR",IF(OR(BD937="Total splenectomy",BD937="Partial splenectomy +/- splenopexy"),"NR - removed, check reason","NR"),"Not applicable")))))</f>
        <v/>
      </c>
    </row>
    <row r="938">
      <c r="D938" s="8" t="n"/>
      <c r="E938" s="9">
        <f>IF(B938="","",IF(B938="OWN","Yes","No"))</f>
        <v/>
      </c>
      <c r="AF938" s="9">
        <f>IF(ISNUMBER(Z938),IF(Z938&lt;=2,"&lt;=2 d",IF(Z938&lt;=7,"3-7 d",IF(Z938&lt;=30,"8-30 d","&gt;30 d"))),IF(AE938&lt;&gt;"",AE938,IF(Z938="NR","NR","")))</f>
        <v/>
      </c>
      <c r="AX938" s="9">
        <f>IF(ISNUMBER(AW938),IF(AW938&gt;450,"Yes","No"),IF(AW938="NR","NR",""))</f>
        <v/>
      </c>
      <c r="BJ938" s="9">
        <f>IF(BB938="","",IF(BB938="Non-viable","Non-viable",IF(BB938="Viable","Viable",IF(BB938="Partially non-viable",IF(OR(BD938="Total splenectomy",BD938="Partial splenectomy +/- splenopexy"),"Non-viable","Review"),IF(BB938="NR",IF(OR(BD938="Total splenectomy",BD938="Partial splenectomy +/- splenopexy"),"NR - removed, check reason","NR"),"Not applicable")))))</f>
        <v/>
      </c>
    </row>
    <row r="939">
      <c r="D939" s="8" t="n"/>
      <c r="E939" s="9">
        <f>IF(B939="","",IF(B939="OWN","Yes","No"))</f>
        <v/>
      </c>
      <c r="AF939" s="9">
        <f>IF(ISNUMBER(Z939),IF(Z939&lt;=2,"&lt;=2 d",IF(Z939&lt;=7,"3-7 d",IF(Z939&lt;=30,"8-30 d","&gt;30 d"))),IF(AE939&lt;&gt;"",AE939,IF(Z939="NR","NR","")))</f>
        <v/>
      </c>
      <c r="AX939" s="9">
        <f>IF(ISNUMBER(AW939),IF(AW939&gt;450,"Yes","No"),IF(AW939="NR","NR",""))</f>
        <v/>
      </c>
      <c r="BJ939" s="9">
        <f>IF(BB939="","",IF(BB939="Non-viable","Non-viable",IF(BB939="Viable","Viable",IF(BB939="Partially non-viable",IF(OR(BD939="Total splenectomy",BD939="Partial splenectomy +/- splenopexy"),"Non-viable","Review"),IF(BB939="NR",IF(OR(BD939="Total splenectomy",BD939="Partial splenectomy +/- splenopexy"),"NR - removed, check reason","NR"),"Not applicable")))))</f>
        <v/>
      </c>
    </row>
    <row r="940">
      <c r="D940" s="8" t="n"/>
      <c r="E940" s="9">
        <f>IF(B940="","",IF(B940="OWN","Yes","No"))</f>
        <v/>
      </c>
      <c r="AF940" s="9">
        <f>IF(ISNUMBER(Z940),IF(Z940&lt;=2,"&lt;=2 d",IF(Z940&lt;=7,"3-7 d",IF(Z940&lt;=30,"8-30 d","&gt;30 d"))),IF(AE940&lt;&gt;"",AE940,IF(Z940="NR","NR","")))</f>
        <v/>
      </c>
      <c r="AX940" s="9">
        <f>IF(ISNUMBER(AW940),IF(AW940&gt;450,"Yes","No"),IF(AW940="NR","NR",""))</f>
        <v/>
      </c>
      <c r="BJ940" s="9">
        <f>IF(BB940="","",IF(BB940="Non-viable","Non-viable",IF(BB940="Viable","Viable",IF(BB940="Partially non-viable",IF(OR(BD940="Total splenectomy",BD940="Partial splenectomy +/- splenopexy"),"Non-viable","Review"),IF(BB940="NR",IF(OR(BD940="Total splenectomy",BD940="Partial splenectomy +/- splenopexy"),"NR - removed, check reason","NR"),"Not applicable")))))</f>
        <v/>
      </c>
    </row>
    <row r="941">
      <c r="D941" s="8" t="n"/>
      <c r="E941" s="9">
        <f>IF(B941="","",IF(B941="OWN","Yes","No"))</f>
        <v/>
      </c>
      <c r="AF941" s="9">
        <f>IF(ISNUMBER(Z941),IF(Z941&lt;=2,"&lt;=2 d",IF(Z941&lt;=7,"3-7 d",IF(Z941&lt;=30,"8-30 d","&gt;30 d"))),IF(AE941&lt;&gt;"",AE941,IF(Z941="NR","NR","")))</f>
        <v/>
      </c>
      <c r="AX941" s="9">
        <f>IF(ISNUMBER(AW941),IF(AW941&gt;450,"Yes","No"),IF(AW941="NR","NR",""))</f>
        <v/>
      </c>
      <c r="BJ941" s="9">
        <f>IF(BB941="","",IF(BB941="Non-viable","Non-viable",IF(BB941="Viable","Viable",IF(BB941="Partially non-viable",IF(OR(BD941="Total splenectomy",BD941="Partial splenectomy +/- splenopexy"),"Non-viable","Review"),IF(BB941="NR",IF(OR(BD941="Total splenectomy",BD941="Partial splenectomy +/- splenopexy"),"NR - removed, check reason","NR"),"Not applicable")))))</f>
        <v/>
      </c>
    </row>
    <row r="942">
      <c r="D942" s="8" t="n"/>
      <c r="E942" s="9">
        <f>IF(B942="","",IF(B942="OWN","Yes","No"))</f>
        <v/>
      </c>
      <c r="AF942" s="9">
        <f>IF(ISNUMBER(Z942),IF(Z942&lt;=2,"&lt;=2 d",IF(Z942&lt;=7,"3-7 d",IF(Z942&lt;=30,"8-30 d","&gt;30 d"))),IF(AE942&lt;&gt;"",AE942,IF(Z942="NR","NR","")))</f>
        <v/>
      </c>
      <c r="AX942" s="9">
        <f>IF(ISNUMBER(AW942),IF(AW942&gt;450,"Yes","No"),IF(AW942="NR","NR",""))</f>
        <v/>
      </c>
      <c r="BJ942" s="9">
        <f>IF(BB942="","",IF(BB942="Non-viable","Non-viable",IF(BB942="Viable","Viable",IF(BB942="Partially non-viable",IF(OR(BD942="Total splenectomy",BD942="Partial splenectomy +/- splenopexy"),"Non-viable","Review"),IF(BB942="NR",IF(OR(BD942="Total splenectomy",BD942="Partial splenectomy +/- splenopexy"),"NR - removed, check reason","NR"),"Not applicable")))))</f>
        <v/>
      </c>
    </row>
    <row r="943">
      <c r="D943" s="8" t="n"/>
      <c r="E943" s="9">
        <f>IF(B943="","",IF(B943="OWN","Yes","No"))</f>
        <v/>
      </c>
      <c r="AF943" s="9">
        <f>IF(ISNUMBER(Z943),IF(Z943&lt;=2,"&lt;=2 d",IF(Z943&lt;=7,"3-7 d",IF(Z943&lt;=30,"8-30 d","&gt;30 d"))),IF(AE943&lt;&gt;"",AE943,IF(Z943="NR","NR","")))</f>
        <v/>
      </c>
      <c r="AX943" s="9">
        <f>IF(ISNUMBER(AW943),IF(AW943&gt;450,"Yes","No"),IF(AW943="NR","NR",""))</f>
        <v/>
      </c>
      <c r="BJ943" s="9">
        <f>IF(BB943="","",IF(BB943="Non-viable","Non-viable",IF(BB943="Viable","Viable",IF(BB943="Partially non-viable",IF(OR(BD943="Total splenectomy",BD943="Partial splenectomy +/- splenopexy"),"Non-viable","Review"),IF(BB943="NR",IF(OR(BD943="Total splenectomy",BD943="Partial splenectomy +/- splenopexy"),"NR - removed, check reason","NR"),"Not applicable")))))</f>
        <v/>
      </c>
    </row>
    <row r="944">
      <c r="D944" s="8" t="n"/>
      <c r="E944" s="9">
        <f>IF(B944="","",IF(B944="OWN","Yes","No"))</f>
        <v/>
      </c>
      <c r="AF944" s="9">
        <f>IF(ISNUMBER(Z944),IF(Z944&lt;=2,"&lt;=2 d",IF(Z944&lt;=7,"3-7 d",IF(Z944&lt;=30,"8-30 d","&gt;30 d"))),IF(AE944&lt;&gt;"",AE944,IF(Z944="NR","NR","")))</f>
        <v/>
      </c>
      <c r="AX944" s="9">
        <f>IF(ISNUMBER(AW944),IF(AW944&gt;450,"Yes","No"),IF(AW944="NR","NR",""))</f>
        <v/>
      </c>
      <c r="BJ944" s="9">
        <f>IF(BB944="","",IF(BB944="Non-viable","Non-viable",IF(BB944="Viable","Viable",IF(BB944="Partially non-viable",IF(OR(BD944="Total splenectomy",BD944="Partial splenectomy +/- splenopexy"),"Non-viable","Review"),IF(BB944="NR",IF(OR(BD944="Total splenectomy",BD944="Partial splenectomy +/- splenopexy"),"NR - removed, check reason","NR"),"Not applicable")))))</f>
        <v/>
      </c>
    </row>
    <row r="945">
      <c r="D945" s="8" t="n"/>
      <c r="E945" s="9">
        <f>IF(B945="","",IF(B945="OWN","Yes","No"))</f>
        <v/>
      </c>
      <c r="AF945" s="9">
        <f>IF(ISNUMBER(Z945),IF(Z945&lt;=2,"&lt;=2 d",IF(Z945&lt;=7,"3-7 d",IF(Z945&lt;=30,"8-30 d","&gt;30 d"))),IF(AE945&lt;&gt;"",AE945,IF(Z945="NR","NR","")))</f>
        <v/>
      </c>
      <c r="AX945" s="9">
        <f>IF(ISNUMBER(AW945),IF(AW945&gt;450,"Yes","No"),IF(AW945="NR","NR",""))</f>
        <v/>
      </c>
      <c r="BJ945" s="9">
        <f>IF(BB945="","",IF(BB945="Non-viable","Non-viable",IF(BB945="Viable","Viable",IF(BB945="Partially non-viable",IF(OR(BD945="Total splenectomy",BD945="Partial splenectomy +/- splenopexy"),"Non-viable","Review"),IF(BB945="NR",IF(OR(BD945="Total splenectomy",BD945="Partial splenectomy +/- splenopexy"),"NR - removed, check reason","NR"),"Not applicable")))))</f>
        <v/>
      </c>
    </row>
    <row r="946">
      <c r="D946" s="8" t="n"/>
      <c r="E946" s="9">
        <f>IF(B946="","",IF(B946="OWN","Yes","No"))</f>
        <v/>
      </c>
      <c r="AF946" s="9">
        <f>IF(ISNUMBER(Z946),IF(Z946&lt;=2,"&lt;=2 d",IF(Z946&lt;=7,"3-7 d",IF(Z946&lt;=30,"8-30 d","&gt;30 d"))),IF(AE946&lt;&gt;"",AE946,IF(Z946="NR","NR","")))</f>
        <v/>
      </c>
      <c r="AX946" s="9">
        <f>IF(ISNUMBER(AW946),IF(AW946&gt;450,"Yes","No"),IF(AW946="NR","NR",""))</f>
        <v/>
      </c>
      <c r="BJ946" s="9">
        <f>IF(BB946="","",IF(BB946="Non-viable","Non-viable",IF(BB946="Viable","Viable",IF(BB946="Partially non-viable",IF(OR(BD946="Total splenectomy",BD946="Partial splenectomy +/- splenopexy"),"Non-viable","Review"),IF(BB946="NR",IF(OR(BD946="Total splenectomy",BD946="Partial splenectomy +/- splenopexy"),"NR - removed, check reason","NR"),"Not applicable")))))</f>
        <v/>
      </c>
    </row>
    <row r="947">
      <c r="D947" s="8" t="n"/>
      <c r="E947" s="9">
        <f>IF(B947="","",IF(B947="OWN","Yes","No"))</f>
        <v/>
      </c>
      <c r="AF947" s="9">
        <f>IF(ISNUMBER(Z947),IF(Z947&lt;=2,"&lt;=2 d",IF(Z947&lt;=7,"3-7 d",IF(Z947&lt;=30,"8-30 d","&gt;30 d"))),IF(AE947&lt;&gt;"",AE947,IF(Z947="NR","NR","")))</f>
        <v/>
      </c>
      <c r="AX947" s="9">
        <f>IF(ISNUMBER(AW947),IF(AW947&gt;450,"Yes","No"),IF(AW947="NR","NR",""))</f>
        <v/>
      </c>
      <c r="BJ947" s="9">
        <f>IF(BB947="","",IF(BB947="Non-viable","Non-viable",IF(BB947="Viable","Viable",IF(BB947="Partially non-viable",IF(OR(BD947="Total splenectomy",BD947="Partial splenectomy +/- splenopexy"),"Non-viable","Review"),IF(BB947="NR",IF(OR(BD947="Total splenectomy",BD947="Partial splenectomy +/- splenopexy"),"NR - removed, check reason","NR"),"Not applicable")))))</f>
        <v/>
      </c>
    </row>
    <row r="948">
      <c r="D948" s="8" t="n"/>
      <c r="E948" s="9">
        <f>IF(B948="","",IF(B948="OWN","Yes","No"))</f>
        <v/>
      </c>
      <c r="AF948" s="9">
        <f>IF(ISNUMBER(Z948),IF(Z948&lt;=2,"&lt;=2 d",IF(Z948&lt;=7,"3-7 d",IF(Z948&lt;=30,"8-30 d","&gt;30 d"))),IF(AE948&lt;&gt;"",AE948,IF(Z948="NR","NR","")))</f>
        <v/>
      </c>
      <c r="AX948" s="9">
        <f>IF(ISNUMBER(AW948),IF(AW948&gt;450,"Yes","No"),IF(AW948="NR","NR",""))</f>
        <v/>
      </c>
      <c r="BJ948" s="9">
        <f>IF(BB948="","",IF(BB948="Non-viable","Non-viable",IF(BB948="Viable","Viable",IF(BB948="Partially non-viable",IF(OR(BD948="Total splenectomy",BD948="Partial splenectomy +/- splenopexy"),"Non-viable","Review"),IF(BB948="NR",IF(OR(BD948="Total splenectomy",BD948="Partial splenectomy +/- splenopexy"),"NR - removed, check reason","NR"),"Not applicable")))))</f>
        <v/>
      </c>
    </row>
    <row r="949">
      <c r="D949" s="8" t="n"/>
      <c r="E949" s="9">
        <f>IF(B949="","",IF(B949="OWN","Yes","No"))</f>
        <v/>
      </c>
      <c r="AF949" s="9">
        <f>IF(ISNUMBER(Z949),IF(Z949&lt;=2,"&lt;=2 d",IF(Z949&lt;=7,"3-7 d",IF(Z949&lt;=30,"8-30 d","&gt;30 d"))),IF(AE949&lt;&gt;"",AE949,IF(Z949="NR","NR","")))</f>
        <v/>
      </c>
      <c r="AX949" s="9">
        <f>IF(ISNUMBER(AW949),IF(AW949&gt;450,"Yes","No"),IF(AW949="NR","NR",""))</f>
        <v/>
      </c>
      <c r="BJ949" s="9">
        <f>IF(BB949="","",IF(BB949="Non-viable","Non-viable",IF(BB949="Viable","Viable",IF(BB949="Partially non-viable",IF(OR(BD949="Total splenectomy",BD949="Partial splenectomy +/- splenopexy"),"Non-viable","Review"),IF(BB949="NR",IF(OR(BD949="Total splenectomy",BD949="Partial splenectomy +/- splenopexy"),"NR - removed, check reason","NR"),"Not applicable")))))</f>
        <v/>
      </c>
    </row>
    <row r="950">
      <c r="D950" s="8" t="n"/>
      <c r="E950" s="9">
        <f>IF(B950="","",IF(B950="OWN","Yes","No"))</f>
        <v/>
      </c>
      <c r="AF950" s="9">
        <f>IF(ISNUMBER(Z950),IF(Z950&lt;=2,"&lt;=2 d",IF(Z950&lt;=7,"3-7 d",IF(Z950&lt;=30,"8-30 d","&gt;30 d"))),IF(AE950&lt;&gt;"",AE950,IF(Z950="NR","NR","")))</f>
        <v/>
      </c>
      <c r="AX950" s="9">
        <f>IF(ISNUMBER(AW950),IF(AW950&gt;450,"Yes","No"),IF(AW950="NR","NR",""))</f>
        <v/>
      </c>
      <c r="BJ950" s="9">
        <f>IF(BB950="","",IF(BB950="Non-viable","Non-viable",IF(BB950="Viable","Viable",IF(BB950="Partially non-viable",IF(OR(BD950="Total splenectomy",BD950="Partial splenectomy +/- splenopexy"),"Non-viable","Review"),IF(BB950="NR",IF(OR(BD950="Total splenectomy",BD950="Partial splenectomy +/- splenopexy"),"NR - removed, check reason","NR"),"Not applicable")))))</f>
        <v/>
      </c>
    </row>
    <row r="951">
      <c r="D951" s="8" t="n"/>
      <c r="E951" s="9">
        <f>IF(B951="","",IF(B951="OWN","Yes","No"))</f>
        <v/>
      </c>
      <c r="AF951" s="9">
        <f>IF(ISNUMBER(Z951),IF(Z951&lt;=2,"&lt;=2 d",IF(Z951&lt;=7,"3-7 d",IF(Z951&lt;=30,"8-30 d","&gt;30 d"))),IF(AE951&lt;&gt;"",AE951,IF(Z951="NR","NR","")))</f>
        <v/>
      </c>
      <c r="AX951" s="9">
        <f>IF(ISNUMBER(AW951),IF(AW951&gt;450,"Yes","No"),IF(AW951="NR","NR",""))</f>
        <v/>
      </c>
      <c r="BJ951" s="9">
        <f>IF(BB951="","",IF(BB951="Non-viable","Non-viable",IF(BB951="Viable","Viable",IF(BB951="Partially non-viable",IF(OR(BD951="Total splenectomy",BD951="Partial splenectomy +/- splenopexy"),"Non-viable","Review"),IF(BB951="NR",IF(OR(BD951="Total splenectomy",BD951="Partial splenectomy +/- splenopexy"),"NR - removed, check reason","NR"),"Not applicable")))))</f>
        <v/>
      </c>
    </row>
    <row r="952">
      <c r="D952" s="8" t="n"/>
      <c r="E952" s="9">
        <f>IF(B952="","",IF(B952="OWN","Yes","No"))</f>
        <v/>
      </c>
      <c r="AF952" s="9">
        <f>IF(ISNUMBER(Z952),IF(Z952&lt;=2,"&lt;=2 d",IF(Z952&lt;=7,"3-7 d",IF(Z952&lt;=30,"8-30 d","&gt;30 d"))),IF(AE952&lt;&gt;"",AE952,IF(Z952="NR","NR","")))</f>
        <v/>
      </c>
      <c r="AX952" s="9">
        <f>IF(ISNUMBER(AW952),IF(AW952&gt;450,"Yes","No"),IF(AW952="NR","NR",""))</f>
        <v/>
      </c>
      <c r="BJ952" s="9">
        <f>IF(BB952="","",IF(BB952="Non-viable","Non-viable",IF(BB952="Viable","Viable",IF(BB952="Partially non-viable",IF(OR(BD952="Total splenectomy",BD952="Partial splenectomy +/- splenopexy"),"Non-viable","Review"),IF(BB952="NR",IF(OR(BD952="Total splenectomy",BD952="Partial splenectomy +/- splenopexy"),"NR - removed, check reason","NR"),"Not applicable")))))</f>
        <v/>
      </c>
    </row>
    <row r="953">
      <c r="D953" s="8" t="n"/>
      <c r="E953" s="9">
        <f>IF(B953="","",IF(B953="OWN","Yes","No"))</f>
        <v/>
      </c>
      <c r="AF953" s="9">
        <f>IF(ISNUMBER(Z953),IF(Z953&lt;=2,"&lt;=2 d",IF(Z953&lt;=7,"3-7 d",IF(Z953&lt;=30,"8-30 d","&gt;30 d"))),IF(AE953&lt;&gt;"",AE953,IF(Z953="NR","NR","")))</f>
        <v/>
      </c>
      <c r="AX953" s="9">
        <f>IF(ISNUMBER(AW953),IF(AW953&gt;450,"Yes","No"),IF(AW953="NR","NR",""))</f>
        <v/>
      </c>
      <c r="BJ953" s="9">
        <f>IF(BB953="","",IF(BB953="Non-viable","Non-viable",IF(BB953="Viable","Viable",IF(BB953="Partially non-viable",IF(OR(BD953="Total splenectomy",BD953="Partial splenectomy +/- splenopexy"),"Non-viable","Review"),IF(BB953="NR",IF(OR(BD953="Total splenectomy",BD953="Partial splenectomy +/- splenopexy"),"NR - removed, check reason","NR"),"Not applicable")))))</f>
        <v/>
      </c>
    </row>
    <row r="954">
      <c r="D954" s="8" t="n"/>
      <c r="E954" s="9">
        <f>IF(B954="","",IF(B954="OWN","Yes","No"))</f>
        <v/>
      </c>
      <c r="AF954" s="9">
        <f>IF(ISNUMBER(Z954),IF(Z954&lt;=2,"&lt;=2 d",IF(Z954&lt;=7,"3-7 d",IF(Z954&lt;=30,"8-30 d","&gt;30 d"))),IF(AE954&lt;&gt;"",AE954,IF(Z954="NR","NR","")))</f>
        <v/>
      </c>
      <c r="AX954" s="9">
        <f>IF(ISNUMBER(AW954),IF(AW954&gt;450,"Yes","No"),IF(AW954="NR","NR",""))</f>
        <v/>
      </c>
      <c r="BJ954" s="9">
        <f>IF(BB954="","",IF(BB954="Non-viable","Non-viable",IF(BB954="Viable","Viable",IF(BB954="Partially non-viable",IF(OR(BD954="Total splenectomy",BD954="Partial splenectomy +/- splenopexy"),"Non-viable","Review"),IF(BB954="NR",IF(OR(BD954="Total splenectomy",BD954="Partial splenectomy +/- splenopexy"),"NR - removed, check reason","NR"),"Not applicable")))))</f>
        <v/>
      </c>
    </row>
    <row r="955">
      <c r="D955" s="8" t="n"/>
      <c r="E955" s="9">
        <f>IF(B955="","",IF(B955="OWN","Yes","No"))</f>
        <v/>
      </c>
      <c r="AF955" s="9">
        <f>IF(ISNUMBER(Z955),IF(Z955&lt;=2,"&lt;=2 d",IF(Z955&lt;=7,"3-7 d",IF(Z955&lt;=30,"8-30 d","&gt;30 d"))),IF(AE955&lt;&gt;"",AE955,IF(Z955="NR","NR","")))</f>
        <v/>
      </c>
      <c r="AX955" s="9">
        <f>IF(ISNUMBER(AW955),IF(AW955&gt;450,"Yes","No"),IF(AW955="NR","NR",""))</f>
        <v/>
      </c>
      <c r="BJ955" s="9">
        <f>IF(BB955="","",IF(BB955="Non-viable","Non-viable",IF(BB955="Viable","Viable",IF(BB955="Partially non-viable",IF(OR(BD955="Total splenectomy",BD955="Partial splenectomy +/- splenopexy"),"Non-viable","Review"),IF(BB955="NR",IF(OR(BD955="Total splenectomy",BD955="Partial splenectomy +/- splenopexy"),"NR - removed, check reason","NR"),"Not applicable")))))</f>
        <v/>
      </c>
    </row>
    <row r="956">
      <c r="D956" s="8" t="n"/>
      <c r="E956" s="9">
        <f>IF(B956="","",IF(B956="OWN","Yes","No"))</f>
        <v/>
      </c>
      <c r="AF956" s="9">
        <f>IF(ISNUMBER(Z956),IF(Z956&lt;=2,"&lt;=2 d",IF(Z956&lt;=7,"3-7 d",IF(Z956&lt;=30,"8-30 d","&gt;30 d"))),IF(AE956&lt;&gt;"",AE956,IF(Z956="NR","NR","")))</f>
        <v/>
      </c>
      <c r="AX956" s="9">
        <f>IF(ISNUMBER(AW956),IF(AW956&gt;450,"Yes","No"),IF(AW956="NR","NR",""))</f>
        <v/>
      </c>
      <c r="BJ956" s="9">
        <f>IF(BB956="","",IF(BB956="Non-viable","Non-viable",IF(BB956="Viable","Viable",IF(BB956="Partially non-viable",IF(OR(BD956="Total splenectomy",BD956="Partial splenectomy +/- splenopexy"),"Non-viable","Review"),IF(BB956="NR",IF(OR(BD956="Total splenectomy",BD956="Partial splenectomy +/- splenopexy"),"NR - removed, check reason","NR"),"Not applicable")))))</f>
        <v/>
      </c>
    </row>
    <row r="957">
      <c r="D957" s="8" t="n"/>
      <c r="E957" s="9">
        <f>IF(B957="","",IF(B957="OWN","Yes","No"))</f>
        <v/>
      </c>
      <c r="AF957" s="9">
        <f>IF(ISNUMBER(Z957),IF(Z957&lt;=2,"&lt;=2 d",IF(Z957&lt;=7,"3-7 d",IF(Z957&lt;=30,"8-30 d","&gt;30 d"))),IF(AE957&lt;&gt;"",AE957,IF(Z957="NR","NR","")))</f>
        <v/>
      </c>
      <c r="AX957" s="9">
        <f>IF(ISNUMBER(AW957),IF(AW957&gt;450,"Yes","No"),IF(AW957="NR","NR",""))</f>
        <v/>
      </c>
      <c r="BJ957" s="9">
        <f>IF(BB957="","",IF(BB957="Non-viable","Non-viable",IF(BB957="Viable","Viable",IF(BB957="Partially non-viable",IF(OR(BD957="Total splenectomy",BD957="Partial splenectomy +/- splenopexy"),"Non-viable","Review"),IF(BB957="NR",IF(OR(BD957="Total splenectomy",BD957="Partial splenectomy +/- splenopexy"),"NR - removed, check reason","NR"),"Not applicable")))))</f>
        <v/>
      </c>
    </row>
    <row r="958">
      <c r="D958" s="8" t="n"/>
      <c r="E958" s="9">
        <f>IF(B958="","",IF(B958="OWN","Yes","No"))</f>
        <v/>
      </c>
      <c r="AF958" s="9">
        <f>IF(ISNUMBER(Z958),IF(Z958&lt;=2,"&lt;=2 d",IF(Z958&lt;=7,"3-7 d",IF(Z958&lt;=30,"8-30 d","&gt;30 d"))),IF(AE958&lt;&gt;"",AE958,IF(Z958="NR","NR","")))</f>
        <v/>
      </c>
      <c r="AX958" s="9">
        <f>IF(ISNUMBER(AW958),IF(AW958&gt;450,"Yes","No"),IF(AW958="NR","NR",""))</f>
        <v/>
      </c>
      <c r="BJ958" s="9">
        <f>IF(BB958="","",IF(BB958="Non-viable","Non-viable",IF(BB958="Viable","Viable",IF(BB958="Partially non-viable",IF(OR(BD958="Total splenectomy",BD958="Partial splenectomy +/- splenopexy"),"Non-viable","Review"),IF(BB958="NR",IF(OR(BD958="Total splenectomy",BD958="Partial splenectomy +/- splenopexy"),"NR - removed, check reason","NR"),"Not applicable")))))</f>
        <v/>
      </c>
    </row>
    <row r="959">
      <c r="D959" s="8" t="n"/>
      <c r="E959" s="9">
        <f>IF(B959="","",IF(B959="OWN","Yes","No"))</f>
        <v/>
      </c>
      <c r="AF959" s="9">
        <f>IF(ISNUMBER(Z959),IF(Z959&lt;=2,"&lt;=2 d",IF(Z959&lt;=7,"3-7 d",IF(Z959&lt;=30,"8-30 d","&gt;30 d"))),IF(AE959&lt;&gt;"",AE959,IF(Z959="NR","NR","")))</f>
        <v/>
      </c>
      <c r="AX959" s="9">
        <f>IF(ISNUMBER(AW959),IF(AW959&gt;450,"Yes","No"),IF(AW959="NR","NR",""))</f>
        <v/>
      </c>
      <c r="BJ959" s="9">
        <f>IF(BB959="","",IF(BB959="Non-viable","Non-viable",IF(BB959="Viable","Viable",IF(BB959="Partially non-viable",IF(OR(BD959="Total splenectomy",BD959="Partial splenectomy +/- splenopexy"),"Non-viable","Review"),IF(BB959="NR",IF(OR(BD959="Total splenectomy",BD959="Partial splenectomy +/- splenopexy"),"NR - removed, check reason","NR"),"Not applicable")))))</f>
        <v/>
      </c>
    </row>
    <row r="960">
      <c r="D960" s="8" t="n"/>
      <c r="E960" s="9">
        <f>IF(B960="","",IF(B960="OWN","Yes","No"))</f>
        <v/>
      </c>
      <c r="AF960" s="9">
        <f>IF(ISNUMBER(Z960),IF(Z960&lt;=2,"&lt;=2 d",IF(Z960&lt;=7,"3-7 d",IF(Z960&lt;=30,"8-30 d","&gt;30 d"))),IF(AE960&lt;&gt;"",AE960,IF(Z960="NR","NR","")))</f>
        <v/>
      </c>
      <c r="AX960" s="9">
        <f>IF(ISNUMBER(AW960),IF(AW960&gt;450,"Yes","No"),IF(AW960="NR","NR",""))</f>
        <v/>
      </c>
      <c r="BJ960" s="9">
        <f>IF(BB960="","",IF(BB960="Non-viable","Non-viable",IF(BB960="Viable","Viable",IF(BB960="Partially non-viable",IF(OR(BD960="Total splenectomy",BD960="Partial splenectomy +/- splenopexy"),"Non-viable","Review"),IF(BB960="NR",IF(OR(BD960="Total splenectomy",BD960="Partial splenectomy +/- splenopexy"),"NR - removed, check reason","NR"),"Not applicable")))))</f>
        <v/>
      </c>
    </row>
    <row r="961">
      <c r="D961" s="8" t="n"/>
      <c r="E961" s="9">
        <f>IF(B961="","",IF(B961="OWN","Yes","No"))</f>
        <v/>
      </c>
      <c r="AF961" s="9">
        <f>IF(ISNUMBER(Z961),IF(Z961&lt;=2,"&lt;=2 d",IF(Z961&lt;=7,"3-7 d",IF(Z961&lt;=30,"8-30 d","&gt;30 d"))),IF(AE961&lt;&gt;"",AE961,IF(Z961="NR","NR","")))</f>
        <v/>
      </c>
      <c r="AX961" s="9">
        <f>IF(ISNUMBER(AW961),IF(AW961&gt;450,"Yes","No"),IF(AW961="NR","NR",""))</f>
        <v/>
      </c>
      <c r="BJ961" s="9">
        <f>IF(BB961="","",IF(BB961="Non-viable","Non-viable",IF(BB961="Viable","Viable",IF(BB961="Partially non-viable",IF(OR(BD961="Total splenectomy",BD961="Partial splenectomy +/- splenopexy"),"Non-viable","Review"),IF(BB961="NR",IF(OR(BD961="Total splenectomy",BD961="Partial splenectomy +/- splenopexy"),"NR - removed, check reason","NR"),"Not applicable")))))</f>
        <v/>
      </c>
    </row>
    <row r="962">
      <c r="D962" s="8" t="n"/>
      <c r="E962" s="9">
        <f>IF(B962="","",IF(B962="OWN","Yes","No"))</f>
        <v/>
      </c>
      <c r="AF962" s="9">
        <f>IF(ISNUMBER(Z962),IF(Z962&lt;=2,"&lt;=2 d",IF(Z962&lt;=7,"3-7 d",IF(Z962&lt;=30,"8-30 d","&gt;30 d"))),IF(AE962&lt;&gt;"",AE962,IF(Z962="NR","NR","")))</f>
        <v/>
      </c>
      <c r="AX962" s="9">
        <f>IF(ISNUMBER(AW962),IF(AW962&gt;450,"Yes","No"),IF(AW962="NR","NR",""))</f>
        <v/>
      </c>
      <c r="BJ962" s="9">
        <f>IF(BB962="","",IF(BB962="Non-viable","Non-viable",IF(BB962="Viable","Viable",IF(BB962="Partially non-viable",IF(OR(BD962="Total splenectomy",BD962="Partial splenectomy +/- splenopexy"),"Non-viable","Review"),IF(BB962="NR",IF(OR(BD962="Total splenectomy",BD962="Partial splenectomy +/- splenopexy"),"NR - removed, check reason","NR"),"Not applicable")))))</f>
        <v/>
      </c>
    </row>
    <row r="963">
      <c r="D963" s="8" t="n"/>
      <c r="E963" s="9">
        <f>IF(B963="","",IF(B963="OWN","Yes","No"))</f>
        <v/>
      </c>
      <c r="AF963" s="9">
        <f>IF(ISNUMBER(Z963),IF(Z963&lt;=2,"&lt;=2 d",IF(Z963&lt;=7,"3-7 d",IF(Z963&lt;=30,"8-30 d","&gt;30 d"))),IF(AE963&lt;&gt;"",AE963,IF(Z963="NR","NR","")))</f>
        <v/>
      </c>
      <c r="AX963" s="9">
        <f>IF(ISNUMBER(AW963),IF(AW963&gt;450,"Yes","No"),IF(AW963="NR","NR",""))</f>
        <v/>
      </c>
      <c r="BJ963" s="9">
        <f>IF(BB963="","",IF(BB963="Non-viable","Non-viable",IF(BB963="Viable","Viable",IF(BB963="Partially non-viable",IF(OR(BD963="Total splenectomy",BD963="Partial splenectomy +/- splenopexy"),"Non-viable","Review"),IF(BB963="NR",IF(OR(BD963="Total splenectomy",BD963="Partial splenectomy +/- splenopexy"),"NR - removed, check reason","NR"),"Not applicable")))))</f>
        <v/>
      </c>
    </row>
    <row r="964">
      <c r="D964" s="8" t="n"/>
      <c r="E964" s="9">
        <f>IF(B964="","",IF(B964="OWN","Yes","No"))</f>
        <v/>
      </c>
      <c r="AF964" s="9">
        <f>IF(ISNUMBER(Z964),IF(Z964&lt;=2,"&lt;=2 d",IF(Z964&lt;=7,"3-7 d",IF(Z964&lt;=30,"8-30 d","&gt;30 d"))),IF(AE964&lt;&gt;"",AE964,IF(Z964="NR","NR","")))</f>
        <v/>
      </c>
      <c r="AX964" s="9">
        <f>IF(ISNUMBER(AW964),IF(AW964&gt;450,"Yes","No"),IF(AW964="NR","NR",""))</f>
        <v/>
      </c>
      <c r="BJ964" s="9">
        <f>IF(BB964="","",IF(BB964="Non-viable","Non-viable",IF(BB964="Viable","Viable",IF(BB964="Partially non-viable",IF(OR(BD964="Total splenectomy",BD964="Partial splenectomy +/- splenopexy"),"Non-viable","Review"),IF(BB964="NR",IF(OR(BD964="Total splenectomy",BD964="Partial splenectomy +/- splenopexy"),"NR - removed, check reason","NR"),"Not applicable")))))</f>
        <v/>
      </c>
    </row>
    <row r="965">
      <c r="D965" s="8" t="n"/>
      <c r="E965" s="9">
        <f>IF(B965="","",IF(B965="OWN","Yes","No"))</f>
        <v/>
      </c>
      <c r="AF965" s="9">
        <f>IF(ISNUMBER(Z965),IF(Z965&lt;=2,"&lt;=2 d",IF(Z965&lt;=7,"3-7 d",IF(Z965&lt;=30,"8-30 d","&gt;30 d"))),IF(AE965&lt;&gt;"",AE965,IF(Z965="NR","NR","")))</f>
        <v/>
      </c>
      <c r="AX965" s="9">
        <f>IF(ISNUMBER(AW965),IF(AW965&gt;450,"Yes","No"),IF(AW965="NR","NR",""))</f>
        <v/>
      </c>
      <c r="BJ965" s="9">
        <f>IF(BB965="","",IF(BB965="Non-viable","Non-viable",IF(BB965="Viable","Viable",IF(BB965="Partially non-viable",IF(OR(BD965="Total splenectomy",BD965="Partial splenectomy +/- splenopexy"),"Non-viable","Review"),IF(BB965="NR",IF(OR(BD965="Total splenectomy",BD965="Partial splenectomy +/- splenopexy"),"NR - removed, check reason","NR"),"Not applicable")))))</f>
        <v/>
      </c>
    </row>
    <row r="966">
      <c r="D966" s="8" t="n"/>
      <c r="E966" s="9">
        <f>IF(B966="","",IF(B966="OWN","Yes","No"))</f>
        <v/>
      </c>
      <c r="AF966" s="9">
        <f>IF(ISNUMBER(Z966),IF(Z966&lt;=2,"&lt;=2 d",IF(Z966&lt;=7,"3-7 d",IF(Z966&lt;=30,"8-30 d","&gt;30 d"))),IF(AE966&lt;&gt;"",AE966,IF(Z966="NR","NR","")))</f>
        <v/>
      </c>
      <c r="AX966" s="9">
        <f>IF(ISNUMBER(AW966),IF(AW966&gt;450,"Yes","No"),IF(AW966="NR","NR",""))</f>
        <v/>
      </c>
      <c r="BJ966" s="9">
        <f>IF(BB966="","",IF(BB966="Non-viable","Non-viable",IF(BB966="Viable","Viable",IF(BB966="Partially non-viable",IF(OR(BD966="Total splenectomy",BD966="Partial splenectomy +/- splenopexy"),"Non-viable","Review"),IF(BB966="NR",IF(OR(BD966="Total splenectomy",BD966="Partial splenectomy +/- splenopexy"),"NR - removed, check reason","NR"),"Not applicable")))))</f>
        <v/>
      </c>
    </row>
    <row r="967">
      <c r="D967" s="8" t="n"/>
      <c r="E967" s="9">
        <f>IF(B967="","",IF(B967="OWN","Yes","No"))</f>
        <v/>
      </c>
      <c r="AF967" s="9">
        <f>IF(ISNUMBER(Z967),IF(Z967&lt;=2,"&lt;=2 d",IF(Z967&lt;=7,"3-7 d",IF(Z967&lt;=30,"8-30 d","&gt;30 d"))),IF(AE967&lt;&gt;"",AE967,IF(Z967="NR","NR","")))</f>
        <v/>
      </c>
      <c r="AX967" s="9">
        <f>IF(ISNUMBER(AW967),IF(AW967&gt;450,"Yes","No"),IF(AW967="NR","NR",""))</f>
        <v/>
      </c>
      <c r="BJ967" s="9">
        <f>IF(BB967="","",IF(BB967="Non-viable","Non-viable",IF(BB967="Viable","Viable",IF(BB967="Partially non-viable",IF(OR(BD967="Total splenectomy",BD967="Partial splenectomy +/- splenopexy"),"Non-viable","Review"),IF(BB967="NR",IF(OR(BD967="Total splenectomy",BD967="Partial splenectomy +/- splenopexy"),"NR - removed, check reason","NR"),"Not applicable")))))</f>
        <v/>
      </c>
    </row>
    <row r="968">
      <c r="D968" s="8" t="n"/>
      <c r="E968" s="9">
        <f>IF(B968="","",IF(B968="OWN","Yes","No"))</f>
        <v/>
      </c>
      <c r="AF968" s="9">
        <f>IF(ISNUMBER(Z968),IF(Z968&lt;=2,"&lt;=2 d",IF(Z968&lt;=7,"3-7 d",IF(Z968&lt;=30,"8-30 d","&gt;30 d"))),IF(AE968&lt;&gt;"",AE968,IF(Z968="NR","NR","")))</f>
        <v/>
      </c>
      <c r="AX968" s="9">
        <f>IF(ISNUMBER(AW968),IF(AW968&gt;450,"Yes","No"),IF(AW968="NR","NR",""))</f>
        <v/>
      </c>
      <c r="BJ968" s="9">
        <f>IF(BB968="","",IF(BB968="Non-viable","Non-viable",IF(BB968="Viable","Viable",IF(BB968="Partially non-viable",IF(OR(BD968="Total splenectomy",BD968="Partial splenectomy +/- splenopexy"),"Non-viable","Review"),IF(BB968="NR",IF(OR(BD968="Total splenectomy",BD968="Partial splenectomy +/- splenopexy"),"NR - removed, check reason","NR"),"Not applicable")))))</f>
        <v/>
      </c>
    </row>
    <row r="969">
      <c r="D969" s="8" t="n"/>
      <c r="E969" s="9">
        <f>IF(B969="","",IF(B969="OWN","Yes","No"))</f>
        <v/>
      </c>
      <c r="AF969" s="9">
        <f>IF(ISNUMBER(Z969),IF(Z969&lt;=2,"&lt;=2 d",IF(Z969&lt;=7,"3-7 d",IF(Z969&lt;=30,"8-30 d","&gt;30 d"))),IF(AE969&lt;&gt;"",AE969,IF(Z969="NR","NR","")))</f>
        <v/>
      </c>
      <c r="AX969" s="9">
        <f>IF(ISNUMBER(AW969),IF(AW969&gt;450,"Yes","No"),IF(AW969="NR","NR",""))</f>
        <v/>
      </c>
      <c r="BJ969" s="9">
        <f>IF(BB969="","",IF(BB969="Non-viable","Non-viable",IF(BB969="Viable","Viable",IF(BB969="Partially non-viable",IF(OR(BD969="Total splenectomy",BD969="Partial splenectomy +/- splenopexy"),"Non-viable","Review"),IF(BB969="NR",IF(OR(BD969="Total splenectomy",BD969="Partial splenectomy +/- splenopexy"),"NR - removed, check reason","NR"),"Not applicable")))))</f>
        <v/>
      </c>
    </row>
    <row r="970">
      <c r="D970" s="8" t="n"/>
      <c r="E970" s="9">
        <f>IF(B970="","",IF(B970="OWN","Yes","No"))</f>
        <v/>
      </c>
      <c r="AF970" s="9">
        <f>IF(ISNUMBER(Z970),IF(Z970&lt;=2,"&lt;=2 d",IF(Z970&lt;=7,"3-7 d",IF(Z970&lt;=30,"8-30 d","&gt;30 d"))),IF(AE970&lt;&gt;"",AE970,IF(Z970="NR","NR","")))</f>
        <v/>
      </c>
      <c r="AX970" s="9">
        <f>IF(ISNUMBER(AW970),IF(AW970&gt;450,"Yes","No"),IF(AW970="NR","NR",""))</f>
        <v/>
      </c>
      <c r="BJ970" s="9">
        <f>IF(BB970="","",IF(BB970="Non-viable","Non-viable",IF(BB970="Viable","Viable",IF(BB970="Partially non-viable",IF(OR(BD970="Total splenectomy",BD970="Partial splenectomy +/- splenopexy"),"Non-viable","Review"),IF(BB970="NR",IF(OR(BD970="Total splenectomy",BD970="Partial splenectomy +/- splenopexy"),"NR - removed, check reason","NR"),"Not applicable")))))</f>
        <v/>
      </c>
    </row>
    <row r="971">
      <c r="D971" s="8" t="n"/>
      <c r="E971" s="9">
        <f>IF(B971="","",IF(B971="OWN","Yes","No"))</f>
        <v/>
      </c>
      <c r="AF971" s="9">
        <f>IF(ISNUMBER(Z971),IF(Z971&lt;=2,"&lt;=2 d",IF(Z971&lt;=7,"3-7 d",IF(Z971&lt;=30,"8-30 d","&gt;30 d"))),IF(AE971&lt;&gt;"",AE971,IF(Z971="NR","NR","")))</f>
        <v/>
      </c>
      <c r="AX971" s="9">
        <f>IF(ISNUMBER(AW971),IF(AW971&gt;450,"Yes","No"),IF(AW971="NR","NR",""))</f>
        <v/>
      </c>
      <c r="BJ971" s="9">
        <f>IF(BB971="","",IF(BB971="Non-viable","Non-viable",IF(BB971="Viable","Viable",IF(BB971="Partially non-viable",IF(OR(BD971="Total splenectomy",BD971="Partial splenectomy +/- splenopexy"),"Non-viable","Review"),IF(BB971="NR",IF(OR(BD971="Total splenectomy",BD971="Partial splenectomy +/- splenopexy"),"NR - removed, check reason","NR"),"Not applicable")))))</f>
        <v/>
      </c>
    </row>
    <row r="972">
      <c r="D972" s="8" t="n"/>
      <c r="E972" s="9">
        <f>IF(B972="","",IF(B972="OWN","Yes","No"))</f>
        <v/>
      </c>
      <c r="AF972" s="9">
        <f>IF(ISNUMBER(Z972),IF(Z972&lt;=2,"&lt;=2 d",IF(Z972&lt;=7,"3-7 d",IF(Z972&lt;=30,"8-30 d","&gt;30 d"))),IF(AE972&lt;&gt;"",AE972,IF(Z972="NR","NR","")))</f>
        <v/>
      </c>
      <c r="AX972" s="9">
        <f>IF(ISNUMBER(AW972),IF(AW972&gt;450,"Yes","No"),IF(AW972="NR","NR",""))</f>
        <v/>
      </c>
      <c r="BJ972" s="9">
        <f>IF(BB972="","",IF(BB972="Non-viable","Non-viable",IF(BB972="Viable","Viable",IF(BB972="Partially non-viable",IF(OR(BD972="Total splenectomy",BD972="Partial splenectomy +/- splenopexy"),"Non-viable","Review"),IF(BB972="NR",IF(OR(BD972="Total splenectomy",BD972="Partial splenectomy +/- splenopexy"),"NR - removed, check reason","NR"),"Not applicable")))))</f>
        <v/>
      </c>
    </row>
    <row r="973">
      <c r="D973" s="8" t="n"/>
      <c r="E973" s="9">
        <f>IF(B973="","",IF(B973="OWN","Yes","No"))</f>
        <v/>
      </c>
      <c r="AF973" s="9">
        <f>IF(ISNUMBER(Z973),IF(Z973&lt;=2,"&lt;=2 d",IF(Z973&lt;=7,"3-7 d",IF(Z973&lt;=30,"8-30 d","&gt;30 d"))),IF(AE973&lt;&gt;"",AE973,IF(Z973="NR","NR","")))</f>
        <v/>
      </c>
      <c r="AX973" s="9">
        <f>IF(ISNUMBER(AW973),IF(AW973&gt;450,"Yes","No"),IF(AW973="NR","NR",""))</f>
        <v/>
      </c>
      <c r="BJ973" s="9">
        <f>IF(BB973="","",IF(BB973="Non-viable","Non-viable",IF(BB973="Viable","Viable",IF(BB973="Partially non-viable",IF(OR(BD973="Total splenectomy",BD973="Partial splenectomy +/- splenopexy"),"Non-viable","Review"),IF(BB973="NR",IF(OR(BD973="Total splenectomy",BD973="Partial splenectomy +/- splenopexy"),"NR - removed, check reason","NR"),"Not applicable")))))</f>
        <v/>
      </c>
    </row>
    <row r="974">
      <c r="D974" s="8" t="n"/>
      <c r="E974" s="9">
        <f>IF(B974="","",IF(B974="OWN","Yes","No"))</f>
        <v/>
      </c>
      <c r="AF974" s="9">
        <f>IF(ISNUMBER(Z974),IF(Z974&lt;=2,"&lt;=2 d",IF(Z974&lt;=7,"3-7 d",IF(Z974&lt;=30,"8-30 d","&gt;30 d"))),IF(AE974&lt;&gt;"",AE974,IF(Z974="NR","NR","")))</f>
        <v/>
      </c>
      <c r="AX974" s="9">
        <f>IF(ISNUMBER(AW974),IF(AW974&gt;450,"Yes","No"),IF(AW974="NR","NR",""))</f>
        <v/>
      </c>
      <c r="BJ974" s="9">
        <f>IF(BB974="","",IF(BB974="Non-viable","Non-viable",IF(BB974="Viable","Viable",IF(BB974="Partially non-viable",IF(OR(BD974="Total splenectomy",BD974="Partial splenectomy +/- splenopexy"),"Non-viable","Review"),IF(BB974="NR",IF(OR(BD974="Total splenectomy",BD974="Partial splenectomy +/- splenopexy"),"NR - removed, check reason","NR"),"Not applicable")))))</f>
        <v/>
      </c>
    </row>
    <row r="975">
      <c r="D975" s="8" t="n"/>
      <c r="E975" s="9">
        <f>IF(B975="","",IF(B975="OWN","Yes","No"))</f>
        <v/>
      </c>
      <c r="AF975" s="9">
        <f>IF(ISNUMBER(Z975),IF(Z975&lt;=2,"&lt;=2 d",IF(Z975&lt;=7,"3-7 d",IF(Z975&lt;=30,"8-30 d","&gt;30 d"))),IF(AE975&lt;&gt;"",AE975,IF(Z975="NR","NR","")))</f>
        <v/>
      </c>
      <c r="AX975" s="9">
        <f>IF(ISNUMBER(AW975),IF(AW975&gt;450,"Yes","No"),IF(AW975="NR","NR",""))</f>
        <v/>
      </c>
      <c r="BJ975" s="9">
        <f>IF(BB975="","",IF(BB975="Non-viable","Non-viable",IF(BB975="Viable","Viable",IF(BB975="Partially non-viable",IF(OR(BD975="Total splenectomy",BD975="Partial splenectomy +/- splenopexy"),"Non-viable","Review"),IF(BB975="NR",IF(OR(BD975="Total splenectomy",BD975="Partial splenectomy +/- splenopexy"),"NR - removed, check reason","NR"),"Not applicable")))))</f>
        <v/>
      </c>
    </row>
    <row r="976">
      <c r="D976" s="8" t="n"/>
      <c r="E976" s="9">
        <f>IF(B976="","",IF(B976="OWN","Yes","No"))</f>
        <v/>
      </c>
      <c r="AF976" s="9">
        <f>IF(ISNUMBER(Z976),IF(Z976&lt;=2,"&lt;=2 d",IF(Z976&lt;=7,"3-7 d",IF(Z976&lt;=30,"8-30 d","&gt;30 d"))),IF(AE976&lt;&gt;"",AE976,IF(Z976="NR","NR","")))</f>
        <v/>
      </c>
      <c r="AX976" s="9">
        <f>IF(ISNUMBER(AW976),IF(AW976&gt;450,"Yes","No"),IF(AW976="NR","NR",""))</f>
        <v/>
      </c>
      <c r="BJ976" s="9">
        <f>IF(BB976="","",IF(BB976="Non-viable","Non-viable",IF(BB976="Viable","Viable",IF(BB976="Partially non-viable",IF(OR(BD976="Total splenectomy",BD976="Partial splenectomy +/- splenopexy"),"Non-viable","Review"),IF(BB976="NR",IF(OR(BD976="Total splenectomy",BD976="Partial splenectomy +/- splenopexy"),"NR - removed, check reason","NR"),"Not applicable")))))</f>
        <v/>
      </c>
    </row>
    <row r="977">
      <c r="D977" s="8" t="n"/>
      <c r="E977" s="9">
        <f>IF(B977="","",IF(B977="OWN","Yes","No"))</f>
        <v/>
      </c>
      <c r="AF977" s="9">
        <f>IF(ISNUMBER(Z977),IF(Z977&lt;=2,"&lt;=2 d",IF(Z977&lt;=7,"3-7 d",IF(Z977&lt;=30,"8-30 d","&gt;30 d"))),IF(AE977&lt;&gt;"",AE977,IF(Z977="NR","NR","")))</f>
        <v/>
      </c>
      <c r="AX977" s="9">
        <f>IF(ISNUMBER(AW977),IF(AW977&gt;450,"Yes","No"),IF(AW977="NR","NR",""))</f>
        <v/>
      </c>
      <c r="BJ977" s="9">
        <f>IF(BB977="","",IF(BB977="Non-viable","Non-viable",IF(BB977="Viable","Viable",IF(BB977="Partially non-viable",IF(OR(BD977="Total splenectomy",BD977="Partial splenectomy +/- splenopexy"),"Non-viable","Review"),IF(BB977="NR",IF(OR(BD977="Total splenectomy",BD977="Partial splenectomy +/- splenopexy"),"NR - removed, check reason","NR"),"Not applicable")))))</f>
        <v/>
      </c>
    </row>
    <row r="978">
      <c r="D978" s="8" t="n"/>
      <c r="E978" s="9">
        <f>IF(B978="","",IF(B978="OWN","Yes","No"))</f>
        <v/>
      </c>
      <c r="AF978" s="9">
        <f>IF(ISNUMBER(Z978),IF(Z978&lt;=2,"&lt;=2 d",IF(Z978&lt;=7,"3-7 d",IF(Z978&lt;=30,"8-30 d","&gt;30 d"))),IF(AE978&lt;&gt;"",AE978,IF(Z978="NR","NR","")))</f>
        <v/>
      </c>
      <c r="AX978" s="9">
        <f>IF(ISNUMBER(AW978),IF(AW978&gt;450,"Yes","No"),IF(AW978="NR","NR",""))</f>
        <v/>
      </c>
      <c r="BJ978" s="9">
        <f>IF(BB978="","",IF(BB978="Non-viable","Non-viable",IF(BB978="Viable","Viable",IF(BB978="Partially non-viable",IF(OR(BD978="Total splenectomy",BD978="Partial splenectomy +/- splenopexy"),"Non-viable","Review"),IF(BB978="NR",IF(OR(BD978="Total splenectomy",BD978="Partial splenectomy +/- splenopexy"),"NR - removed, check reason","NR"),"Not applicable")))))</f>
        <v/>
      </c>
    </row>
    <row r="979">
      <c r="D979" s="8" t="n"/>
      <c r="E979" s="9">
        <f>IF(B979="","",IF(B979="OWN","Yes","No"))</f>
        <v/>
      </c>
      <c r="AF979" s="9">
        <f>IF(ISNUMBER(Z979),IF(Z979&lt;=2,"&lt;=2 d",IF(Z979&lt;=7,"3-7 d",IF(Z979&lt;=30,"8-30 d","&gt;30 d"))),IF(AE979&lt;&gt;"",AE979,IF(Z979="NR","NR","")))</f>
        <v/>
      </c>
      <c r="AX979" s="9">
        <f>IF(ISNUMBER(AW979),IF(AW979&gt;450,"Yes","No"),IF(AW979="NR","NR",""))</f>
        <v/>
      </c>
      <c r="BJ979" s="9">
        <f>IF(BB979="","",IF(BB979="Non-viable","Non-viable",IF(BB979="Viable","Viable",IF(BB979="Partially non-viable",IF(OR(BD979="Total splenectomy",BD979="Partial splenectomy +/- splenopexy"),"Non-viable","Review"),IF(BB979="NR",IF(OR(BD979="Total splenectomy",BD979="Partial splenectomy +/- splenopexy"),"NR - removed, check reason","NR"),"Not applicable")))))</f>
        <v/>
      </c>
    </row>
    <row r="980">
      <c r="D980" s="8" t="n"/>
      <c r="E980" s="9">
        <f>IF(B980="","",IF(B980="OWN","Yes","No"))</f>
        <v/>
      </c>
      <c r="AF980" s="9">
        <f>IF(ISNUMBER(Z980),IF(Z980&lt;=2,"&lt;=2 d",IF(Z980&lt;=7,"3-7 d",IF(Z980&lt;=30,"8-30 d","&gt;30 d"))),IF(AE980&lt;&gt;"",AE980,IF(Z980="NR","NR","")))</f>
        <v/>
      </c>
      <c r="AX980" s="9">
        <f>IF(ISNUMBER(AW980),IF(AW980&gt;450,"Yes","No"),IF(AW980="NR","NR",""))</f>
        <v/>
      </c>
      <c r="BJ980" s="9">
        <f>IF(BB980="","",IF(BB980="Non-viable","Non-viable",IF(BB980="Viable","Viable",IF(BB980="Partially non-viable",IF(OR(BD980="Total splenectomy",BD980="Partial splenectomy +/- splenopexy"),"Non-viable","Review"),IF(BB980="NR",IF(OR(BD980="Total splenectomy",BD980="Partial splenectomy +/- splenopexy"),"NR - removed, check reason","NR"),"Not applicable")))))</f>
        <v/>
      </c>
    </row>
    <row r="981">
      <c r="D981" s="8" t="n"/>
      <c r="E981" s="9">
        <f>IF(B981="","",IF(B981="OWN","Yes","No"))</f>
        <v/>
      </c>
      <c r="AF981" s="9">
        <f>IF(ISNUMBER(Z981),IF(Z981&lt;=2,"&lt;=2 d",IF(Z981&lt;=7,"3-7 d",IF(Z981&lt;=30,"8-30 d","&gt;30 d"))),IF(AE981&lt;&gt;"",AE981,IF(Z981="NR","NR","")))</f>
        <v/>
      </c>
      <c r="AX981" s="9">
        <f>IF(ISNUMBER(AW981),IF(AW981&gt;450,"Yes","No"),IF(AW981="NR","NR",""))</f>
        <v/>
      </c>
      <c r="BJ981" s="9">
        <f>IF(BB981="","",IF(BB981="Non-viable","Non-viable",IF(BB981="Viable","Viable",IF(BB981="Partially non-viable",IF(OR(BD981="Total splenectomy",BD981="Partial splenectomy +/- splenopexy"),"Non-viable","Review"),IF(BB981="NR",IF(OR(BD981="Total splenectomy",BD981="Partial splenectomy +/- splenopexy"),"NR - removed, check reason","NR"),"Not applicable")))))</f>
        <v/>
      </c>
    </row>
    <row r="982">
      <c r="D982" s="8" t="n"/>
      <c r="E982" s="9">
        <f>IF(B982="","",IF(B982="OWN","Yes","No"))</f>
        <v/>
      </c>
      <c r="AF982" s="9">
        <f>IF(ISNUMBER(Z982),IF(Z982&lt;=2,"&lt;=2 d",IF(Z982&lt;=7,"3-7 d",IF(Z982&lt;=30,"8-30 d","&gt;30 d"))),IF(AE982&lt;&gt;"",AE982,IF(Z982="NR","NR","")))</f>
        <v/>
      </c>
      <c r="AX982" s="9">
        <f>IF(ISNUMBER(AW982),IF(AW982&gt;450,"Yes","No"),IF(AW982="NR","NR",""))</f>
        <v/>
      </c>
      <c r="BJ982" s="9">
        <f>IF(BB982="","",IF(BB982="Non-viable","Non-viable",IF(BB982="Viable","Viable",IF(BB982="Partially non-viable",IF(OR(BD982="Total splenectomy",BD982="Partial splenectomy +/- splenopexy"),"Non-viable","Review"),IF(BB982="NR",IF(OR(BD982="Total splenectomy",BD982="Partial splenectomy +/- splenopexy"),"NR - removed, check reason","NR"),"Not applicable")))))</f>
        <v/>
      </c>
    </row>
    <row r="983">
      <c r="D983" s="8" t="n"/>
      <c r="E983" s="9">
        <f>IF(B983="","",IF(B983="OWN","Yes","No"))</f>
        <v/>
      </c>
      <c r="AF983" s="9">
        <f>IF(ISNUMBER(Z983),IF(Z983&lt;=2,"&lt;=2 d",IF(Z983&lt;=7,"3-7 d",IF(Z983&lt;=30,"8-30 d","&gt;30 d"))),IF(AE983&lt;&gt;"",AE983,IF(Z983="NR","NR","")))</f>
        <v/>
      </c>
      <c r="AX983" s="9">
        <f>IF(ISNUMBER(AW983),IF(AW983&gt;450,"Yes","No"),IF(AW983="NR","NR",""))</f>
        <v/>
      </c>
      <c r="BJ983" s="9">
        <f>IF(BB983="","",IF(BB983="Non-viable","Non-viable",IF(BB983="Viable","Viable",IF(BB983="Partially non-viable",IF(OR(BD983="Total splenectomy",BD983="Partial splenectomy +/- splenopexy"),"Non-viable","Review"),IF(BB983="NR",IF(OR(BD983="Total splenectomy",BD983="Partial splenectomy +/- splenopexy"),"NR - removed, check reason","NR"),"Not applicable")))))</f>
        <v/>
      </c>
    </row>
    <row r="984">
      <c r="D984" s="8" t="n"/>
      <c r="E984" s="9">
        <f>IF(B984="","",IF(B984="OWN","Yes","No"))</f>
        <v/>
      </c>
      <c r="AF984" s="9">
        <f>IF(ISNUMBER(Z984),IF(Z984&lt;=2,"&lt;=2 d",IF(Z984&lt;=7,"3-7 d",IF(Z984&lt;=30,"8-30 d","&gt;30 d"))),IF(AE984&lt;&gt;"",AE984,IF(Z984="NR","NR","")))</f>
        <v/>
      </c>
      <c r="AX984" s="9">
        <f>IF(ISNUMBER(AW984),IF(AW984&gt;450,"Yes","No"),IF(AW984="NR","NR",""))</f>
        <v/>
      </c>
      <c r="BJ984" s="9">
        <f>IF(BB984="","",IF(BB984="Non-viable","Non-viable",IF(BB984="Viable","Viable",IF(BB984="Partially non-viable",IF(OR(BD984="Total splenectomy",BD984="Partial splenectomy +/- splenopexy"),"Non-viable","Review"),IF(BB984="NR",IF(OR(BD984="Total splenectomy",BD984="Partial splenectomy +/- splenopexy"),"NR - removed, check reason","NR"),"Not applicable")))))</f>
        <v/>
      </c>
    </row>
    <row r="985">
      <c r="D985" s="8" t="n"/>
      <c r="E985" s="9">
        <f>IF(B985="","",IF(B985="OWN","Yes","No"))</f>
        <v/>
      </c>
      <c r="AF985" s="9">
        <f>IF(ISNUMBER(Z985),IF(Z985&lt;=2,"&lt;=2 d",IF(Z985&lt;=7,"3-7 d",IF(Z985&lt;=30,"8-30 d","&gt;30 d"))),IF(AE985&lt;&gt;"",AE985,IF(Z985="NR","NR","")))</f>
        <v/>
      </c>
      <c r="AX985" s="9">
        <f>IF(ISNUMBER(AW985),IF(AW985&gt;450,"Yes","No"),IF(AW985="NR","NR",""))</f>
        <v/>
      </c>
      <c r="BJ985" s="9">
        <f>IF(BB985="","",IF(BB985="Non-viable","Non-viable",IF(BB985="Viable","Viable",IF(BB985="Partially non-viable",IF(OR(BD985="Total splenectomy",BD985="Partial splenectomy +/- splenopexy"),"Non-viable","Review"),IF(BB985="NR",IF(OR(BD985="Total splenectomy",BD985="Partial splenectomy +/- splenopexy"),"NR - removed, check reason","NR"),"Not applicable")))))</f>
        <v/>
      </c>
    </row>
    <row r="986">
      <c r="D986" s="8" t="n"/>
      <c r="E986" s="9">
        <f>IF(B986="","",IF(B986="OWN","Yes","No"))</f>
        <v/>
      </c>
      <c r="AF986" s="9">
        <f>IF(ISNUMBER(Z986),IF(Z986&lt;=2,"&lt;=2 d",IF(Z986&lt;=7,"3-7 d",IF(Z986&lt;=30,"8-30 d","&gt;30 d"))),IF(AE986&lt;&gt;"",AE986,IF(Z986="NR","NR","")))</f>
        <v/>
      </c>
      <c r="AX986" s="9">
        <f>IF(ISNUMBER(AW986),IF(AW986&gt;450,"Yes","No"),IF(AW986="NR","NR",""))</f>
        <v/>
      </c>
      <c r="BJ986" s="9">
        <f>IF(BB986="","",IF(BB986="Non-viable","Non-viable",IF(BB986="Viable","Viable",IF(BB986="Partially non-viable",IF(OR(BD986="Total splenectomy",BD986="Partial splenectomy +/- splenopexy"),"Non-viable","Review"),IF(BB986="NR",IF(OR(BD986="Total splenectomy",BD986="Partial splenectomy +/- splenopexy"),"NR - removed, check reason","NR"),"Not applicable")))))</f>
        <v/>
      </c>
    </row>
    <row r="987">
      <c r="D987" s="8" t="n"/>
      <c r="E987" s="9">
        <f>IF(B987="","",IF(B987="OWN","Yes","No"))</f>
        <v/>
      </c>
      <c r="AF987" s="9">
        <f>IF(ISNUMBER(Z987),IF(Z987&lt;=2,"&lt;=2 d",IF(Z987&lt;=7,"3-7 d",IF(Z987&lt;=30,"8-30 d","&gt;30 d"))),IF(AE987&lt;&gt;"",AE987,IF(Z987="NR","NR","")))</f>
        <v/>
      </c>
      <c r="AX987" s="9">
        <f>IF(ISNUMBER(AW987),IF(AW987&gt;450,"Yes","No"),IF(AW987="NR","NR",""))</f>
        <v/>
      </c>
      <c r="BJ987" s="9">
        <f>IF(BB987="","",IF(BB987="Non-viable","Non-viable",IF(BB987="Viable","Viable",IF(BB987="Partially non-viable",IF(OR(BD987="Total splenectomy",BD987="Partial splenectomy +/- splenopexy"),"Non-viable","Review"),IF(BB987="NR",IF(OR(BD987="Total splenectomy",BD987="Partial splenectomy +/- splenopexy"),"NR - removed, check reason","NR"),"Not applicable")))))</f>
        <v/>
      </c>
    </row>
    <row r="988">
      <c r="D988" s="8" t="n"/>
      <c r="E988" s="9">
        <f>IF(B988="","",IF(B988="OWN","Yes","No"))</f>
        <v/>
      </c>
      <c r="AF988" s="9">
        <f>IF(ISNUMBER(Z988),IF(Z988&lt;=2,"&lt;=2 d",IF(Z988&lt;=7,"3-7 d",IF(Z988&lt;=30,"8-30 d","&gt;30 d"))),IF(AE988&lt;&gt;"",AE988,IF(Z988="NR","NR","")))</f>
        <v/>
      </c>
      <c r="AX988" s="9">
        <f>IF(ISNUMBER(AW988),IF(AW988&gt;450,"Yes","No"),IF(AW988="NR","NR",""))</f>
        <v/>
      </c>
      <c r="BJ988" s="9">
        <f>IF(BB988="","",IF(BB988="Non-viable","Non-viable",IF(BB988="Viable","Viable",IF(BB988="Partially non-viable",IF(OR(BD988="Total splenectomy",BD988="Partial splenectomy +/- splenopexy"),"Non-viable","Review"),IF(BB988="NR",IF(OR(BD988="Total splenectomy",BD988="Partial splenectomy +/- splenopexy"),"NR - removed, check reason","NR"),"Not applicable")))))</f>
        <v/>
      </c>
    </row>
    <row r="989">
      <c r="D989" s="8" t="n"/>
      <c r="E989" s="9">
        <f>IF(B989="","",IF(B989="OWN","Yes","No"))</f>
        <v/>
      </c>
      <c r="AF989" s="9">
        <f>IF(ISNUMBER(Z989),IF(Z989&lt;=2,"&lt;=2 d",IF(Z989&lt;=7,"3-7 d",IF(Z989&lt;=30,"8-30 d","&gt;30 d"))),IF(AE989&lt;&gt;"",AE989,IF(Z989="NR","NR","")))</f>
        <v/>
      </c>
      <c r="AX989" s="9">
        <f>IF(ISNUMBER(AW989),IF(AW989&gt;450,"Yes","No"),IF(AW989="NR","NR",""))</f>
        <v/>
      </c>
      <c r="BJ989" s="9">
        <f>IF(BB989="","",IF(BB989="Non-viable","Non-viable",IF(BB989="Viable","Viable",IF(BB989="Partially non-viable",IF(OR(BD989="Total splenectomy",BD989="Partial splenectomy +/- splenopexy"),"Non-viable","Review"),IF(BB989="NR",IF(OR(BD989="Total splenectomy",BD989="Partial splenectomy +/- splenopexy"),"NR - removed, check reason","NR"),"Not applicable")))))</f>
        <v/>
      </c>
    </row>
    <row r="990">
      <c r="D990" s="8" t="n"/>
      <c r="E990" s="9">
        <f>IF(B990="","",IF(B990="OWN","Yes","No"))</f>
        <v/>
      </c>
      <c r="AF990" s="9">
        <f>IF(ISNUMBER(Z990),IF(Z990&lt;=2,"&lt;=2 d",IF(Z990&lt;=7,"3-7 d",IF(Z990&lt;=30,"8-30 d","&gt;30 d"))),IF(AE990&lt;&gt;"",AE990,IF(Z990="NR","NR","")))</f>
        <v/>
      </c>
      <c r="AX990" s="9">
        <f>IF(ISNUMBER(AW990),IF(AW990&gt;450,"Yes","No"),IF(AW990="NR","NR",""))</f>
        <v/>
      </c>
      <c r="BJ990" s="9">
        <f>IF(BB990="","",IF(BB990="Non-viable","Non-viable",IF(BB990="Viable","Viable",IF(BB990="Partially non-viable",IF(OR(BD990="Total splenectomy",BD990="Partial splenectomy +/- splenopexy"),"Non-viable","Review"),IF(BB990="NR",IF(OR(BD990="Total splenectomy",BD990="Partial splenectomy +/- splenopexy"),"NR - removed, check reason","NR"),"Not applicable")))))</f>
        <v/>
      </c>
    </row>
    <row r="991">
      <c r="D991" s="8" t="n"/>
      <c r="E991" s="9">
        <f>IF(B991="","",IF(B991="OWN","Yes","No"))</f>
        <v/>
      </c>
      <c r="AF991" s="9">
        <f>IF(ISNUMBER(Z991),IF(Z991&lt;=2,"&lt;=2 d",IF(Z991&lt;=7,"3-7 d",IF(Z991&lt;=30,"8-30 d","&gt;30 d"))),IF(AE991&lt;&gt;"",AE991,IF(Z991="NR","NR","")))</f>
        <v/>
      </c>
      <c r="AX991" s="9">
        <f>IF(ISNUMBER(AW991),IF(AW991&gt;450,"Yes","No"),IF(AW991="NR","NR",""))</f>
        <v/>
      </c>
      <c r="BJ991" s="9">
        <f>IF(BB991="","",IF(BB991="Non-viable","Non-viable",IF(BB991="Viable","Viable",IF(BB991="Partially non-viable",IF(OR(BD991="Total splenectomy",BD991="Partial splenectomy +/- splenopexy"),"Non-viable","Review"),IF(BB991="NR",IF(OR(BD991="Total splenectomy",BD991="Partial splenectomy +/- splenopexy"),"NR - removed, check reason","NR"),"Not applicable")))))</f>
        <v/>
      </c>
    </row>
    <row r="992">
      <c r="D992" s="8" t="n"/>
      <c r="E992" s="9">
        <f>IF(B992="","",IF(B992="OWN","Yes","No"))</f>
        <v/>
      </c>
      <c r="AF992" s="9">
        <f>IF(ISNUMBER(Z992),IF(Z992&lt;=2,"&lt;=2 d",IF(Z992&lt;=7,"3-7 d",IF(Z992&lt;=30,"8-30 d","&gt;30 d"))),IF(AE992&lt;&gt;"",AE992,IF(Z992="NR","NR","")))</f>
        <v/>
      </c>
      <c r="AX992" s="9">
        <f>IF(ISNUMBER(AW992),IF(AW992&gt;450,"Yes","No"),IF(AW992="NR","NR",""))</f>
        <v/>
      </c>
      <c r="BJ992" s="9">
        <f>IF(BB992="","",IF(BB992="Non-viable","Non-viable",IF(BB992="Viable","Viable",IF(BB992="Partially non-viable",IF(OR(BD992="Total splenectomy",BD992="Partial splenectomy +/- splenopexy"),"Non-viable","Review"),IF(BB992="NR",IF(OR(BD992="Total splenectomy",BD992="Partial splenectomy +/- splenopexy"),"NR - removed, check reason","NR"),"Not applicable")))))</f>
        <v/>
      </c>
    </row>
    <row r="993">
      <c r="D993" s="8" t="n"/>
      <c r="E993" s="9">
        <f>IF(B993="","",IF(B993="OWN","Yes","No"))</f>
        <v/>
      </c>
      <c r="AF993" s="9">
        <f>IF(ISNUMBER(Z993),IF(Z993&lt;=2,"&lt;=2 d",IF(Z993&lt;=7,"3-7 d",IF(Z993&lt;=30,"8-30 d","&gt;30 d"))),IF(AE993&lt;&gt;"",AE993,IF(Z993="NR","NR","")))</f>
        <v/>
      </c>
      <c r="AX993" s="9">
        <f>IF(ISNUMBER(AW993),IF(AW993&gt;450,"Yes","No"),IF(AW993="NR","NR",""))</f>
        <v/>
      </c>
      <c r="BJ993" s="9">
        <f>IF(BB993="","",IF(BB993="Non-viable","Non-viable",IF(BB993="Viable","Viable",IF(BB993="Partially non-viable",IF(OR(BD993="Total splenectomy",BD993="Partial splenectomy +/- splenopexy"),"Non-viable","Review"),IF(BB993="NR",IF(OR(BD993="Total splenectomy",BD993="Partial splenectomy +/- splenopexy"),"NR - removed, check reason","NR"),"Not applicable")))))</f>
        <v/>
      </c>
    </row>
    <row r="994">
      <c r="D994" s="8" t="n"/>
      <c r="E994" s="9">
        <f>IF(B994="","",IF(B994="OWN","Yes","No"))</f>
        <v/>
      </c>
      <c r="AF994" s="9">
        <f>IF(ISNUMBER(Z994),IF(Z994&lt;=2,"&lt;=2 d",IF(Z994&lt;=7,"3-7 d",IF(Z994&lt;=30,"8-30 d","&gt;30 d"))),IF(AE994&lt;&gt;"",AE994,IF(Z994="NR","NR","")))</f>
        <v/>
      </c>
      <c r="AX994" s="9">
        <f>IF(ISNUMBER(AW994),IF(AW994&gt;450,"Yes","No"),IF(AW994="NR","NR",""))</f>
        <v/>
      </c>
      <c r="BJ994" s="9">
        <f>IF(BB994="","",IF(BB994="Non-viable","Non-viable",IF(BB994="Viable","Viable",IF(BB994="Partially non-viable",IF(OR(BD994="Total splenectomy",BD994="Partial splenectomy +/- splenopexy"),"Non-viable","Review"),IF(BB994="NR",IF(OR(BD994="Total splenectomy",BD994="Partial splenectomy +/- splenopexy"),"NR - removed, check reason","NR"),"Not applicable")))))</f>
        <v/>
      </c>
    </row>
    <row r="995">
      <c r="D995" s="8" t="n"/>
      <c r="E995" s="9">
        <f>IF(B995="","",IF(B995="OWN","Yes","No"))</f>
        <v/>
      </c>
      <c r="AF995" s="9">
        <f>IF(ISNUMBER(Z995),IF(Z995&lt;=2,"&lt;=2 d",IF(Z995&lt;=7,"3-7 d",IF(Z995&lt;=30,"8-30 d","&gt;30 d"))),IF(AE995&lt;&gt;"",AE995,IF(Z995="NR","NR","")))</f>
        <v/>
      </c>
      <c r="AX995" s="9">
        <f>IF(ISNUMBER(AW995),IF(AW995&gt;450,"Yes","No"),IF(AW995="NR","NR",""))</f>
        <v/>
      </c>
      <c r="BJ995" s="9">
        <f>IF(BB995="","",IF(BB995="Non-viable","Non-viable",IF(BB995="Viable","Viable",IF(BB995="Partially non-viable",IF(OR(BD995="Total splenectomy",BD995="Partial splenectomy +/- splenopexy"),"Non-viable","Review"),IF(BB995="NR",IF(OR(BD995="Total splenectomy",BD995="Partial splenectomy +/- splenopexy"),"NR - removed, check reason","NR"),"Not applicable")))))</f>
        <v/>
      </c>
    </row>
    <row r="996">
      <c r="D996" s="8" t="n"/>
      <c r="E996" s="9">
        <f>IF(B996="","",IF(B996="OWN","Yes","No"))</f>
        <v/>
      </c>
      <c r="AF996" s="9">
        <f>IF(ISNUMBER(Z996),IF(Z996&lt;=2,"&lt;=2 d",IF(Z996&lt;=7,"3-7 d",IF(Z996&lt;=30,"8-30 d","&gt;30 d"))),IF(AE996&lt;&gt;"",AE996,IF(Z996="NR","NR","")))</f>
        <v/>
      </c>
      <c r="AX996" s="9">
        <f>IF(ISNUMBER(AW996),IF(AW996&gt;450,"Yes","No"),IF(AW996="NR","NR",""))</f>
        <v/>
      </c>
      <c r="BJ996" s="9">
        <f>IF(BB996="","",IF(BB996="Non-viable","Non-viable",IF(BB996="Viable","Viable",IF(BB996="Partially non-viable",IF(OR(BD996="Total splenectomy",BD996="Partial splenectomy +/- splenopexy"),"Non-viable","Review"),IF(BB996="NR",IF(OR(BD996="Total splenectomy",BD996="Partial splenectomy +/- splenopexy"),"NR - removed, check reason","NR"),"Not applicable")))))</f>
        <v/>
      </c>
    </row>
    <row r="997">
      <c r="D997" s="8" t="n"/>
      <c r="E997" s="9">
        <f>IF(B997="","",IF(B997="OWN","Yes","No"))</f>
        <v/>
      </c>
      <c r="AF997" s="9">
        <f>IF(ISNUMBER(Z997),IF(Z997&lt;=2,"&lt;=2 d",IF(Z997&lt;=7,"3-7 d",IF(Z997&lt;=30,"8-30 d","&gt;30 d"))),IF(AE997&lt;&gt;"",AE997,IF(Z997="NR","NR","")))</f>
        <v/>
      </c>
      <c r="AX997" s="9">
        <f>IF(ISNUMBER(AW997),IF(AW997&gt;450,"Yes","No"),IF(AW997="NR","NR",""))</f>
        <v/>
      </c>
      <c r="BJ997" s="9">
        <f>IF(BB997="","",IF(BB997="Non-viable","Non-viable",IF(BB997="Viable","Viable",IF(BB997="Partially non-viable",IF(OR(BD997="Total splenectomy",BD997="Partial splenectomy +/- splenopexy"),"Non-viable","Review"),IF(BB997="NR",IF(OR(BD997="Total splenectomy",BD997="Partial splenectomy +/- splenopexy"),"NR - removed, check reason","NR"),"Not applicable")))))</f>
        <v/>
      </c>
    </row>
    <row r="998">
      <c r="D998" s="8" t="n"/>
      <c r="E998" s="9">
        <f>IF(B998="","",IF(B998="OWN","Yes","No"))</f>
        <v/>
      </c>
      <c r="AF998" s="9">
        <f>IF(ISNUMBER(Z998),IF(Z998&lt;=2,"&lt;=2 d",IF(Z998&lt;=7,"3-7 d",IF(Z998&lt;=30,"8-30 d","&gt;30 d"))),IF(AE998&lt;&gt;"",AE998,IF(Z998="NR","NR","")))</f>
        <v/>
      </c>
      <c r="AX998" s="9">
        <f>IF(ISNUMBER(AW998),IF(AW998&gt;450,"Yes","No"),IF(AW998="NR","NR",""))</f>
        <v/>
      </c>
      <c r="BJ998" s="9">
        <f>IF(BB998="","",IF(BB998="Non-viable","Non-viable",IF(BB998="Viable","Viable",IF(BB998="Partially non-viable",IF(OR(BD998="Total splenectomy",BD998="Partial splenectomy +/- splenopexy"),"Non-viable","Review"),IF(BB998="NR",IF(OR(BD998="Total splenectomy",BD998="Partial splenectomy +/- splenopexy"),"NR - removed, check reason","NR"),"Not applicable")))))</f>
        <v/>
      </c>
    </row>
    <row r="999">
      <c r="D999" s="8" t="n"/>
      <c r="E999" s="9">
        <f>IF(B999="","",IF(B999="OWN","Yes","No"))</f>
        <v/>
      </c>
      <c r="AF999" s="9">
        <f>IF(ISNUMBER(Z999),IF(Z999&lt;=2,"&lt;=2 d",IF(Z999&lt;=7,"3-7 d",IF(Z999&lt;=30,"8-30 d","&gt;30 d"))),IF(AE999&lt;&gt;"",AE999,IF(Z999="NR","NR","")))</f>
        <v/>
      </c>
      <c r="AX999" s="9">
        <f>IF(ISNUMBER(AW999),IF(AW999&gt;450,"Yes","No"),IF(AW999="NR","NR",""))</f>
        <v/>
      </c>
      <c r="BJ999" s="9">
        <f>IF(BB999="","",IF(BB999="Non-viable","Non-viable",IF(BB999="Viable","Viable",IF(BB999="Partially non-viable",IF(OR(BD999="Total splenectomy",BD999="Partial splenectomy +/- splenopexy"),"Non-viable","Review"),IF(BB999="NR",IF(OR(BD999="Total splenectomy",BD999="Partial splenectomy +/- splenopexy"),"NR - removed, check reason","NR"),"Not applicable")))))</f>
        <v/>
      </c>
    </row>
    <row r="1000">
      <c r="D1000" s="8" t="n"/>
      <c r="E1000" s="9">
        <f>IF(B1000="","",IF(B1000="OWN","Yes","No"))</f>
        <v/>
      </c>
      <c r="AF1000" s="9">
        <f>IF(ISNUMBER(Z1000),IF(Z1000&lt;=2,"&lt;=2 d",IF(Z1000&lt;=7,"3-7 d",IF(Z1000&lt;=30,"8-30 d","&gt;30 d"))),IF(AE1000&lt;&gt;"",AE1000,IF(Z1000="NR","NR","")))</f>
        <v/>
      </c>
      <c r="AX1000" s="9">
        <f>IF(ISNUMBER(AW1000),IF(AW1000&gt;450,"Yes","No"),IF(AW1000="NR","NR",""))</f>
        <v/>
      </c>
      <c r="BJ1000" s="9">
        <f>IF(BB1000="","",IF(BB1000="Non-viable","Non-viable",IF(BB1000="Viable","Viable",IF(BB1000="Partially non-viable",IF(OR(BD1000="Total splenectomy",BD1000="Partial splenectomy +/- splenopexy"),"Non-viable","Review"),IF(BB1000="NR",IF(OR(BD1000="Total splenectomy",BD1000="Partial splenectomy +/- splenopexy"),"NR - removed, check reason","NR"),"Not applicable")))))</f>
        <v/>
      </c>
    </row>
    <row r="1001">
      <c r="D1001" s="8" t="n"/>
      <c r="E1001" s="9">
        <f>IF(B1001="","",IF(B1001="OWN","Yes","No"))</f>
        <v/>
      </c>
      <c r="AF1001" s="9">
        <f>IF(ISNUMBER(Z1001),IF(Z1001&lt;=2,"&lt;=2 d",IF(Z1001&lt;=7,"3-7 d",IF(Z1001&lt;=30,"8-30 d","&gt;30 d"))),IF(AE1001&lt;&gt;"",AE1001,IF(Z1001="NR","NR","")))</f>
        <v/>
      </c>
      <c r="AX1001" s="9">
        <f>IF(ISNUMBER(AW1001),IF(AW1001&gt;450,"Yes","No"),IF(AW1001="NR","NR",""))</f>
        <v/>
      </c>
      <c r="BJ1001" s="9">
        <f>IF(BB1001="","",IF(BB1001="Non-viable","Non-viable",IF(BB1001="Viable","Viable",IF(BB1001="Partially non-viable",IF(OR(BD1001="Total splenectomy",BD1001="Partial splenectomy +/- splenopexy"),"Non-viable","Review"),IF(BB1001="NR",IF(OR(BD1001="Total splenectomy",BD1001="Partial splenectomy +/- splenopexy"),"NR - removed, check reason","NR"),"Not applicable")))))</f>
        <v/>
      </c>
    </row>
    <row r="1002">
      <c r="D1002" s="8" t="n"/>
      <c r="E1002" s="9">
        <f>IF(B1002="","",IF(B1002="OWN","Yes","No"))</f>
        <v/>
      </c>
      <c r="AF1002" s="9">
        <f>IF(ISNUMBER(Z1002),IF(Z1002&lt;=2,"&lt;=2 d",IF(Z1002&lt;=7,"3-7 d",IF(Z1002&lt;=30,"8-30 d","&gt;30 d"))),IF(AE1002&lt;&gt;"",AE1002,IF(Z1002="NR","NR","")))</f>
        <v/>
      </c>
      <c r="AX1002" s="9">
        <f>IF(ISNUMBER(AW1002),IF(AW1002&gt;450,"Yes","No"),IF(AW1002="NR","NR",""))</f>
        <v/>
      </c>
      <c r="BJ1002" s="9">
        <f>IF(BB1002="","",IF(BB1002="Non-viable","Non-viable",IF(BB1002="Viable","Viable",IF(BB1002="Partially non-viable",IF(OR(BD1002="Total splenectomy",BD1002="Partial splenectomy +/- splenopexy"),"Non-viable","Review"),IF(BB1002="NR",IF(OR(BD1002="Total splenectomy",BD1002="Partial splenectomy +/- splenopexy"),"NR - removed, check reason","NR"),"Not applicable")))))</f>
        <v/>
      </c>
    </row>
    <row r="1003">
      <c r="D1003" s="8" t="n"/>
      <c r="E1003" s="9">
        <f>IF(B1003="","",IF(B1003="OWN","Yes","No"))</f>
        <v/>
      </c>
      <c r="AF1003" s="9">
        <f>IF(ISNUMBER(Z1003),IF(Z1003&lt;=2,"&lt;=2 d",IF(Z1003&lt;=7,"3-7 d",IF(Z1003&lt;=30,"8-30 d","&gt;30 d"))),IF(AE1003&lt;&gt;"",AE1003,IF(Z1003="NR","NR","")))</f>
        <v/>
      </c>
      <c r="AX1003" s="9">
        <f>IF(ISNUMBER(AW1003),IF(AW1003&gt;450,"Yes","No"),IF(AW1003="NR","NR",""))</f>
        <v/>
      </c>
      <c r="BJ1003" s="9">
        <f>IF(BB1003="","",IF(BB1003="Non-viable","Non-viable",IF(BB1003="Viable","Viable",IF(BB1003="Partially non-viable",IF(OR(BD1003="Total splenectomy",BD1003="Partial splenectomy +/- splenopexy"),"Non-viable","Review"),IF(BB1003="NR",IF(OR(BD1003="Total splenectomy",BD1003="Partial splenectomy +/- splenopexy"),"NR - removed, check reason","NR"),"Not applicable")))))</f>
        <v/>
      </c>
    </row>
    <row r="1004">
      <c r="D1004" s="8" t="n"/>
      <c r="E1004" s="9">
        <f>IF(B1004="","",IF(B1004="OWN","Yes","No"))</f>
        <v/>
      </c>
      <c r="AF1004" s="9">
        <f>IF(ISNUMBER(Z1004),IF(Z1004&lt;=2,"&lt;=2 d",IF(Z1004&lt;=7,"3-7 d",IF(Z1004&lt;=30,"8-30 d","&gt;30 d"))),IF(AE1004&lt;&gt;"",AE1004,IF(Z1004="NR","NR","")))</f>
        <v/>
      </c>
      <c r="AX1004" s="9">
        <f>IF(ISNUMBER(AW1004),IF(AW1004&gt;450,"Yes","No"),IF(AW1004="NR","NR",""))</f>
        <v/>
      </c>
      <c r="BJ1004" s="9">
        <f>IF(BB1004="","",IF(BB1004="Non-viable","Non-viable",IF(BB1004="Viable","Viable",IF(BB1004="Partially non-viable",IF(OR(BD1004="Total splenectomy",BD1004="Partial splenectomy +/- splenopexy"),"Non-viable","Review"),IF(BB1004="NR",IF(OR(BD1004="Total splenectomy",BD1004="Partial splenectomy +/- splenopexy"),"NR - removed, check reason","NR"),"Not applicable")))))</f>
        <v/>
      </c>
    </row>
    <row r="1005">
      <c r="D1005" s="8" t="n"/>
      <c r="E1005" s="9">
        <f>IF(B1005="","",IF(B1005="OWN","Yes","No"))</f>
        <v/>
      </c>
      <c r="AF1005" s="9">
        <f>IF(ISNUMBER(Z1005),IF(Z1005&lt;=2,"&lt;=2 d",IF(Z1005&lt;=7,"3-7 d",IF(Z1005&lt;=30,"8-30 d","&gt;30 d"))),IF(AE1005&lt;&gt;"",AE1005,IF(Z1005="NR","NR","")))</f>
        <v/>
      </c>
      <c r="AX1005" s="9">
        <f>IF(ISNUMBER(AW1005),IF(AW1005&gt;450,"Yes","No"),IF(AW1005="NR","NR",""))</f>
        <v/>
      </c>
      <c r="BJ1005" s="9">
        <f>IF(BB1005="","",IF(BB1005="Non-viable","Non-viable",IF(BB1005="Viable","Viable",IF(BB1005="Partially non-viable",IF(OR(BD1005="Total splenectomy",BD1005="Partial splenectomy +/- splenopexy"),"Non-viable","Review"),IF(BB1005="NR",IF(OR(BD1005="Total splenectomy",BD1005="Partial splenectomy +/- splenopexy"),"NR - removed, check reason","NR"),"Not applicable")))))</f>
        <v/>
      </c>
    </row>
    <row r="1006">
      <c r="D1006" s="8" t="n"/>
      <c r="E1006" s="9">
        <f>IF(B1006="","",IF(B1006="OWN","Yes","No"))</f>
        <v/>
      </c>
      <c r="AF1006" s="9">
        <f>IF(ISNUMBER(Z1006),IF(Z1006&lt;=2,"&lt;=2 d",IF(Z1006&lt;=7,"3-7 d",IF(Z1006&lt;=30,"8-30 d","&gt;30 d"))),IF(AE1006&lt;&gt;"",AE1006,IF(Z1006="NR","NR","")))</f>
        <v/>
      </c>
      <c r="AX1006" s="9">
        <f>IF(ISNUMBER(AW1006),IF(AW1006&gt;450,"Yes","No"),IF(AW1006="NR","NR",""))</f>
        <v/>
      </c>
      <c r="BJ1006" s="9">
        <f>IF(BB1006="","",IF(BB1006="Non-viable","Non-viable",IF(BB1006="Viable","Viable",IF(BB1006="Partially non-viable",IF(OR(BD1006="Total splenectomy",BD1006="Partial splenectomy +/- splenopexy"),"Non-viable","Review"),IF(BB1006="NR",IF(OR(BD1006="Total splenectomy",BD1006="Partial splenectomy +/- splenopexy"),"NR - removed, check reason","NR"),"Not applicable")))))</f>
        <v/>
      </c>
    </row>
    <row r="1007">
      <c r="D1007" s="8" t="n"/>
      <c r="E1007" s="9">
        <f>IF(B1007="","",IF(B1007="OWN","Yes","No"))</f>
        <v/>
      </c>
      <c r="AF1007" s="9">
        <f>IF(ISNUMBER(Z1007),IF(Z1007&lt;=2,"&lt;=2 d",IF(Z1007&lt;=7,"3-7 d",IF(Z1007&lt;=30,"8-30 d","&gt;30 d"))),IF(AE1007&lt;&gt;"",AE1007,IF(Z1007="NR","NR","")))</f>
        <v/>
      </c>
      <c r="AX1007" s="9">
        <f>IF(ISNUMBER(AW1007),IF(AW1007&gt;450,"Yes","No"),IF(AW1007="NR","NR",""))</f>
        <v/>
      </c>
      <c r="BJ1007" s="9">
        <f>IF(BB1007="","",IF(BB1007="Non-viable","Non-viable",IF(BB1007="Viable","Viable",IF(BB1007="Partially non-viable",IF(OR(BD1007="Total splenectomy",BD1007="Partial splenectomy +/- splenopexy"),"Non-viable","Review"),IF(BB1007="NR",IF(OR(BD1007="Total splenectomy",BD1007="Partial splenectomy +/- splenopexy"),"NR - removed, check reason","NR"),"Not applicable")))))</f>
        <v/>
      </c>
    </row>
    <row r="1008">
      <c r="D1008" s="8" t="n"/>
      <c r="E1008" s="9">
        <f>IF(B1008="","",IF(B1008="OWN","Yes","No"))</f>
        <v/>
      </c>
      <c r="AF1008" s="9">
        <f>IF(ISNUMBER(Z1008),IF(Z1008&lt;=2,"&lt;=2 d",IF(Z1008&lt;=7,"3-7 d",IF(Z1008&lt;=30,"8-30 d","&gt;30 d"))),IF(AE1008&lt;&gt;"",AE1008,IF(Z1008="NR","NR","")))</f>
        <v/>
      </c>
      <c r="AX1008" s="9">
        <f>IF(ISNUMBER(AW1008),IF(AW1008&gt;450,"Yes","No"),IF(AW1008="NR","NR",""))</f>
        <v/>
      </c>
      <c r="BJ1008" s="9">
        <f>IF(BB1008="","",IF(BB1008="Non-viable","Non-viable",IF(BB1008="Viable","Viable",IF(BB1008="Partially non-viable",IF(OR(BD1008="Total splenectomy",BD1008="Partial splenectomy +/- splenopexy"),"Non-viable","Review"),IF(BB1008="NR",IF(OR(BD1008="Total splenectomy",BD1008="Partial splenectomy +/- splenopexy"),"NR - removed, check reason","NR"),"Not applicable")))))</f>
        <v/>
      </c>
    </row>
    <row r="1009">
      <c r="D1009" s="8" t="n"/>
      <c r="E1009" s="9">
        <f>IF(B1009="","",IF(B1009="OWN","Yes","No"))</f>
        <v/>
      </c>
      <c r="AF1009" s="9">
        <f>IF(ISNUMBER(Z1009),IF(Z1009&lt;=2,"&lt;=2 d",IF(Z1009&lt;=7,"3-7 d",IF(Z1009&lt;=30,"8-30 d","&gt;30 d"))),IF(AE1009&lt;&gt;"",AE1009,IF(Z1009="NR","NR","")))</f>
        <v/>
      </c>
      <c r="AX1009" s="9">
        <f>IF(ISNUMBER(AW1009),IF(AW1009&gt;450,"Yes","No"),IF(AW1009="NR","NR",""))</f>
        <v/>
      </c>
      <c r="BJ1009" s="9">
        <f>IF(BB1009="","",IF(BB1009="Non-viable","Non-viable",IF(BB1009="Viable","Viable",IF(BB1009="Partially non-viable",IF(OR(BD1009="Total splenectomy",BD1009="Partial splenectomy +/- splenopexy"),"Non-viable","Review"),IF(BB1009="NR",IF(OR(BD1009="Total splenectomy",BD1009="Partial splenectomy +/- splenopexy"),"NR - removed, check reason","NR"),"Not applicable")))))</f>
        <v/>
      </c>
    </row>
    <row r="1010">
      <c r="D1010" s="8" t="n"/>
      <c r="E1010" s="9">
        <f>IF(B1010="","",IF(B1010="OWN","Yes","No"))</f>
        <v/>
      </c>
      <c r="AF1010" s="9">
        <f>IF(ISNUMBER(Z1010),IF(Z1010&lt;=2,"&lt;=2 d",IF(Z1010&lt;=7,"3-7 d",IF(Z1010&lt;=30,"8-30 d","&gt;30 d"))),IF(AE1010&lt;&gt;"",AE1010,IF(Z1010="NR","NR","")))</f>
        <v/>
      </c>
      <c r="AX1010" s="9">
        <f>IF(ISNUMBER(AW1010),IF(AW1010&gt;450,"Yes","No"),IF(AW1010="NR","NR",""))</f>
        <v/>
      </c>
      <c r="BJ1010" s="9">
        <f>IF(BB1010="","",IF(BB1010="Non-viable","Non-viable",IF(BB1010="Viable","Viable",IF(BB1010="Partially non-viable",IF(OR(BD1010="Total splenectomy",BD1010="Partial splenectomy +/- splenopexy"),"Non-viable","Review"),IF(BB1010="NR",IF(OR(BD1010="Total splenectomy",BD1010="Partial splenectomy +/- splenopexy"),"NR - removed, check reason","NR"),"Not applicable")))))</f>
        <v/>
      </c>
    </row>
    <row r="1011">
      <c r="D1011" s="8" t="n"/>
      <c r="E1011" s="9">
        <f>IF(B1011="","",IF(B1011="OWN","Yes","No"))</f>
        <v/>
      </c>
      <c r="AF1011" s="9">
        <f>IF(ISNUMBER(Z1011),IF(Z1011&lt;=2,"&lt;=2 d",IF(Z1011&lt;=7,"3-7 d",IF(Z1011&lt;=30,"8-30 d","&gt;30 d"))),IF(AE1011&lt;&gt;"",AE1011,IF(Z1011="NR","NR","")))</f>
        <v/>
      </c>
      <c r="AX1011" s="9">
        <f>IF(ISNUMBER(AW1011),IF(AW1011&gt;450,"Yes","No"),IF(AW1011="NR","NR",""))</f>
        <v/>
      </c>
      <c r="BJ1011" s="9">
        <f>IF(BB1011="","",IF(BB1011="Non-viable","Non-viable",IF(BB1011="Viable","Viable",IF(BB1011="Partially non-viable",IF(OR(BD1011="Total splenectomy",BD1011="Partial splenectomy +/- splenopexy"),"Non-viable","Review"),IF(BB1011="NR",IF(OR(BD1011="Total splenectomy",BD1011="Partial splenectomy +/- splenopexy"),"NR - removed, check reason","NR"),"Not applicable")))))</f>
        <v/>
      </c>
    </row>
    <row r="1012">
      <c r="D1012" s="8" t="n"/>
      <c r="E1012" s="9">
        <f>IF(B1012="","",IF(B1012="OWN","Yes","No"))</f>
        <v/>
      </c>
      <c r="AF1012" s="9">
        <f>IF(ISNUMBER(Z1012),IF(Z1012&lt;=2,"&lt;=2 d",IF(Z1012&lt;=7,"3-7 d",IF(Z1012&lt;=30,"8-30 d","&gt;30 d"))),IF(AE1012&lt;&gt;"",AE1012,IF(Z1012="NR","NR","")))</f>
        <v/>
      </c>
      <c r="AX1012" s="9">
        <f>IF(ISNUMBER(AW1012),IF(AW1012&gt;450,"Yes","No"),IF(AW1012="NR","NR",""))</f>
        <v/>
      </c>
      <c r="BJ1012" s="9">
        <f>IF(BB1012="","",IF(BB1012="Non-viable","Non-viable",IF(BB1012="Viable","Viable",IF(BB1012="Partially non-viable",IF(OR(BD1012="Total splenectomy",BD1012="Partial splenectomy +/- splenopexy"),"Non-viable","Review"),IF(BB1012="NR",IF(OR(BD1012="Total splenectomy",BD1012="Partial splenectomy +/- splenopexy"),"NR - removed, check reason","NR"),"Not applicable")))))</f>
        <v/>
      </c>
    </row>
    <row r="1013">
      <c r="D1013" s="8" t="n"/>
      <c r="E1013" s="9">
        <f>IF(B1013="","",IF(B1013="OWN","Yes","No"))</f>
        <v/>
      </c>
      <c r="AF1013" s="9">
        <f>IF(ISNUMBER(Z1013),IF(Z1013&lt;=2,"&lt;=2 d",IF(Z1013&lt;=7,"3-7 d",IF(Z1013&lt;=30,"8-30 d","&gt;30 d"))),IF(AE1013&lt;&gt;"",AE1013,IF(Z1013="NR","NR","")))</f>
        <v/>
      </c>
      <c r="AX1013" s="9">
        <f>IF(ISNUMBER(AW1013),IF(AW1013&gt;450,"Yes","No"),IF(AW1013="NR","NR",""))</f>
        <v/>
      </c>
      <c r="BJ1013" s="9">
        <f>IF(BB1013="","",IF(BB1013="Non-viable","Non-viable",IF(BB1013="Viable","Viable",IF(BB1013="Partially non-viable",IF(OR(BD1013="Total splenectomy",BD1013="Partial splenectomy +/- splenopexy"),"Non-viable","Review"),IF(BB1013="NR",IF(OR(BD1013="Total splenectomy",BD1013="Partial splenectomy +/- splenopexy"),"NR - removed, check reason","NR"),"Not applicable")))))</f>
        <v/>
      </c>
    </row>
    <row r="1014">
      <c r="D1014" s="8" t="n"/>
      <c r="E1014" s="9">
        <f>IF(B1014="","",IF(B1014="OWN","Yes","No"))</f>
        <v/>
      </c>
      <c r="AF1014" s="9">
        <f>IF(ISNUMBER(Z1014),IF(Z1014&lt;=2,"&lt;=2 d",IF(Z1014&lt;=7,"3-7 d",IF(Z1014&lt;=30,"8-30 d","&gt;30 d"))),IF(AE1014&lt;&gt;"",AE1014,IF(Z1014="NR","NR","")))</f>
        <v/>
      </c>
      <c r="AX1014" s="9">
        <f>IF(ISNUMBER(AW1014),IF(AW1014&gt;450,"Yes","No"),IF(AW1014="NR","NR",""))</f>
        <v/>
      </c>
      <c r="BJ1014" s="9">
        <f>IF(BB1014="","",IF(BB1014="Non-viable","Non-viable",IF(BB1014="Viable","Viable",IF(BB1014="Partially non-viable",IF(OR(BD1014="Total splenectomy",BD1014="Partial splenectomy +/- splenopexy"),"Non-viable","Review"),IF(BB1014="NR",IF(OR(BD1014="Total splenectomy",BD1014="Partial splenectomy +/- splenopexy"),"NR - removed, check reason","NR"),"Not applicable")))))</f>
        <v/>
      </c>
    </row>
    <row r="1015">
      <c r="D1015" s="8" t="n"/>
      <c r="E1015" s="9">
        <f>IF(B1015="","",IF(B1015="OWN","Yes","No"))</f>
        <v/>
      </c>
      <c r="AF1015" s="9">
        <f>IF(ISNUMBER(Z1015),IF(Z1015&lt;=2,"&lt;=2 d",IF(Z1015&lt;=7,"3-7 d",IF(Z1015&lt;=30,"8-30 d","&gt;30 d"))),IF(AE1015&lt;&gt;"",AE1015,IF(Z1015="NR","NR","")))</f>
        <v/>
      </c>
      <c r="AX1015" s="9">
        <f>IF(ISNUMBER(AW1015),IF(AW1015&gt;450,"Yes","No"),IF(AW1015="NR","NR",""))</f>
        <v/>
      </c>
      <c r="BJ1015" s="9">
        <f>IF(BB1015="","",IF(BB1015="Non-viable","Non-viable",IF(BB1015="Viable","Viable",IF(BB1015="Partially non-viable",IF(OR(BD1015="Total splenectomy",BD1015="Partial splenectomy +/- splenopexy"),"Non-viable","Review"),IF(BB1015="NR",IF(OR(BD1015="Total splenectomy",BD1015="Partial splenectomy +/- splenopexy"),"NR - removed, check reason","NR"),"Not applicable")))))</f>
        <v/>
      </c>
    </row>
    <row r="1016">
      <c r="D1016" s="8" t="n"/>
      <c r="E1016" s="9">
        <f>IF(B1016="","",IF(B1016="OWN","Yes","No"))</f>
        <v/>
      </c>
      <c r="AF1016" s="9">
        <f>IF(ISNUMBER(Z1016),IF(Z1016&lt;=2,"&lt;=2 d",IF(Z1016&lt;=7,"3-7 d",IF(Z1016&lt;=30,"8-30 d","&gt;30 d"))),IF(AE1016&lt;&gt;"",AE1016,IF(Z1016="NR","NR","")))</f>
        <v/>
      </c>
      <c r="AX1016" s="9">
        <f>IF(ISNUMBER(AW1016),IF(AW1016&gt;450,"Yes","No"),IF(AW1016="NR","NR",""))</f>
        <v/>
      </c>
      <c r="BJ1016" s="9">
        <f>IF(BB1016="","",IF(BB1016="Non-viable","Non-viable",IF(BB1016="Viable","Viable",IF(BB1016="Partially non-viable",IF(OR(BD1016="Total splenectomy",BD1016="Partial splenectomy +/- splenopexy"),"Non-viable","Review"),IF(BB1016="NR",IF(OR(BD1016="Total splenectomy",BD1016="Partial splenectomy +/- splenopexy"),"NR - removed, check reason","NR"),"Not applicable")))))</f>
        <v/>
      </c>
    </row>
    <row r="1017">
      <c r="D1017" s="8" t="n"/>
      <c r="E1017" s="9">
        <f>IF(B1017="","",IF(B1017="OWN","Yes","No"))</f>
        <v/>
      </c>
      <c r="AF1017" s="9">
        <f>IF(ISNUMBER(Z1017),IF(Z1017&lt;=2,"&lt;=2 d",IF(Z1017&lt;=7,"3-7 d",IF(Z1017&lt;=30,"8-30 d","&gt;30 d"))),IF(AE1017&lt;&gt;"",AE1017,IF(Z1017="NR","NR","")))</f>
        <v/>
      </c>
      <c r="AX1017" s="9">
        <f>IF(ISNUMBER(AW1017),IF(AW1017&gt;450,"Yes","No"),IF(AW1017="NR","NR",""))</f>
        <v/>
      </c>
      <c r="BJ1017" s="9">
        <f>IF(BB1017="","",IF(BB1017="Non-viable","Non-viable",IF(BB1017="Viable","Viable",IF(BB1017="Partially non-viable",IF(OR(BD1017="Total splenectomy",BD1017="Partial splenectomy +/- splenopexy"),"Non-viable","Review"),IF(BB1017="NR",IF(OR(BD1017="Total splenectomy",BD1017="Partial splenectomy +/- splenopexy"),"NR - removed, check reason","NR"),"Not applicable")))))</f>
        <v/>
      </c>
    </row>
    <row r="1018">
      <c r="D1018" s="8" t="n"/>
      <c r="E1018" s="9">
        <f>IF(B1018="","",IF(B1018="OWN","Yes","No"))</f>
        <v/>
      </c>
      <c r="AF1018" s="9">
        <f>IF(ISNUMBER(Z1018),IF(Z1018&lt;=2,"&lt;=2 d",IF(Z1018&lt;=7,"3-7 d",IF(Z1018&lt;=30,"8-30 d","&gt;30 d"))),IF(AE1018&lt;&gt;"",AE1018,IF(Z1018="NR","NR","")))</f>
        <v/>
      </c>
      <c r="AX1018" s="9">
        <f>IF(ISNUMBER(AW1018),IF(AW1018&gt;450,"Yes","No"),IF(AW1018="NR","NR",""))</f>
        <v/>
      </c>
      <c r="BJ1018" s="9">
        <f>IF(BB1018="","",IF(BB1018="Non-viable","Non-viable",IF(BB1018="Viable","Viable",IF(BB1018="Partially non-viable",IF(OR(BD1018="Total splenectomy",BD1018="Partial splenectomy +/- splenopexy"),"Non-viable","Review"),IF(BB1018="NR",IF(OR(BD1018="Total splenectomy",BD1018="Partial splenectomy +/- splenopexy"),"NR - removed, check reason","NR"),"Not applicable")))))</f>
        <v/>
      </c>
    </row>
    <row r="1019">
      <c r="D1019" s="8" t="n"/>
      <c r="E1019" s="9">
        <f>IF(B1019="","",IF(B1019="OWN","Yes","No"))</f>
        <v/>
      </c>
      <c r="AF1019" s="9">
        <f>IF(ISNUMBER(Z1019),IF(Z1019&lt;=2,"&lt;=2 d",IF(Z1019&lt;=7,"3-7 d",IF(Z1019&lt;=30,"8-30 d","&gt;30 d"))),IF(AE1019&lt;&gt;"",AE1019,IF(Z1019="NR","NR","")))</f>
        <v/>
      </c>
      <c r="AX1019" s="9">
        <f>IF(ISNUMBER(AW1019),IF(AW1019&gt;450,"Yes","No"),IF(AW1019="NR","NR",""))</f>
        <v/>
      </c>
      <c r="BJ1019" s="9">
        <f>IF(BB1019="","",IF(BB1019="Non-viable","Non-viable",IF(BB1019="Viable","Viable",IF(BB1019="Partially non-viable",IF(OR(BD1019="Total splenectomy",BD1019="Partial splenectomy +/- splenopexy"),"Non-viable","Review"),IF(BB1019="NR",IF(OR(BD1019="Total splenectomy",BD1019="Partial splenectomy +/- splenopexy"),"NR - removed, check reason","NR"),"Not applicable")))))</f>
        <v/>
      </c>
    </row>
    <row r="1020">
      <c r="D1020" s="8" t="n"/>
      <c r="E1020" s="9">
        <f>IF(B1020="","",IF(B1020="OWN","Yes","No"))</f>
        <v/>
      </c>
      <c r="AF1020" s="9">
        <f>IF(ISNUMBER(Z1020),IF(Z1020&lt;=2,"&lt;=2 d",IF(Z1020&lt;=7,"3-7 d",IF(Z1020&lt;=30,"8-30 d","&gt;30 d"))),IF(AE1020&lt;&gt;"",AE1020,IF(Z1020="NR","NR","")))</f>
        <v/>
      </c>
      <c r="AX1020" s="9">
        <f>IF(ISNUMBER(AW1020),IF(AW1020&gt;450,"Yes","No"),IF(AW1020="NR","NR",""))</f>
        <v/>
      </c>
      <c r="BJ1020" s="9">
        <f>IF(BB1020="","",IF(BB1020="Non-viable","Non-viable",IF(BB1020="Viable","Viable",IF(BB1020="Partially non-viable",IF(OR(BD1020="Total splenectomy",BD1020="Partial splenectomy +/- splenopexy"),"Non-viable","Review"),IF(BB1020="NR",IF(OR(BD1020="Total splenectomy",BD1020="Partial splenectomy +/- splenopexy"),"NR - removed, check reason","NR"),"Not applicable")))))</f>
        <v/>
      </c>
    </row>
    <row r="1021">
      <c r="D1021" s="8" t="n"/>
      <c r="E1021" s="9">
        <f>IF(B1021="","",IF(B1021="OWN","Yes","No"))</f>
        <v/>
      </c>
      <c r="AF1021" s="9">
        <f>IF(ISNUMBER(Z1021),IF(Z1021&lt;=2,"&lt;=2 d",IF(Z1021&lt;=7,"3-7 d",IF(Z1021&lt;=30,"8-30 d","&gt;30 d"))),IF(AE1021&lt;&gt;"",AE1021,IF(Z1021="NR","NR","")))</f>
        <v/>
      </c>
      <c r="AX1021" s="9">
        <f>IF(ISNUMBER(AW1021),IF(AW1021&gt;450,"Yes","No"),IF(AW1021="NR","NR",""))</f>
        <v/>
      </c>
      <c r="BJ1021" s="9">
        <f>IF(BB1021="","",IF(BB1021="Non-viable","Non-viable",IF(BB1021="Viable","Viable",IF(BB1021="Partially non-viable",IF(OR(BD1021="Total splenectomy",BD1021="Partial splenectomy +/- splenopexy"),"Non-viable","Review"),IF(BB1021="NR",IF(OR(BD1021="Total splenectomy",BD1021="Partial splenectomy +/- splenopexy"),"NR - removed, check reason","NR"),"Not applicable")))))</f>
        <v/>
      </c>
    </row>
    <row r="1022">
      <c r="D1022" s="8" t="n"/>
      <c r="E1022" s="9">
        <f>IF(B1022="","",IF(B1022="OWN","Yes","No"))</f>
        <v/>
      </c>
      <c r="AF1022" s="9">
        <f>IF(ISNUMBER(Z1022),IF(Z1022&lt;=2,"&lt;=2 d",IF(Z1022&lt;=7,"3-7 d",IF(Z1022&lt;=30,"8-30 d","&gt;30 d"))),IF(AE1022&lt;&gt;"",AE1022,IF(Z1022="NR","NR","")))</f>
        <v/>
      </c>
      <c r="AX1022" s="9">
        <f>IF(ISNUMBER(AW1022),IF(AW1022&gt;450,"Yes","No"),IF(AW1022="NR","NR",""))</f>
        <v/>
      </c>
      <c r="BJ1022" s="9">
        <f>IF(BB1022="","",IF(BB1022="Non-viable","Non-viable",IF(BB1022="Viable","Viable",IF(BB1022="Partially non-viable",IF(OR(BD1022="Total splenectomy",BD1022="Partial splenectomy +/- splenopexy"),"Non-viable","Review"),IF(BB1022="NR",IF(OR(BD1022="Total splenectomy",BD1022="Partial splenectomy +/- splenopexy"),"NR - removed, check reason","NR"),"Not applicable")))))</f>
        <v/>
      </c>
    </row>
    <row r="1023">
      <c r="D1023" s="8" t="n"/>
      <c r="E1023" s="9">
        <f>IF(B1023="","",IF(B1023="OWN","Yes","No"))</f>
        <v/>
      </c>
      <c r="AF1023" s="9">
        <f>IF(ISNUMBER(Z1023),IF(Z1023&lt;=2,"&lt;=2 d",IF(Z1023&lt;=7,"3-7 d",IF(Z1023&lt;=30,"8-30 d","&gt;30 d"))),IF(AE1023&lt;&gt;"",AE1023,IF(Z1023="NR","NR","")))</f>
        <v/>
      </c>
      <c r="AX1023" s="9">
        <f>IF(ISNUMBER(AW1023),IF(AW1023&gt;450,"Yes","No"),IF(AW1023="NR","NR",""))</f>
        <v/>
      </c>
      <c r="BJ1023" s="9">
        <f>IF(BB1023="","",IF(BB1023="Non-viable","Non-viable",IF(BB1023="Viable","Viable",IF(BB1023="Partially non-viable",IF(OR(BD1023="Total splenectomy",BD1023="Partial splenectomy +/- splenopexy"),"Non-viable","Review"),IF(BB1023="NR",IF(OR(BD1023="Total splenectomy",BD1023="Partial splenectomy +/- splenopexy"),"NR - removed, check reason","NR"),"Not applicable")))))</f>
        <v/>
      </c>
    </row>
    <row r="1024">
      <c r="D1024" s="8" t="n"/>
      <c r="E1024" s="9">
        <f>IF(B1024="","",IF(B1024="OWN","Yes","No"))</f>
        <v/>
      </c>
      <c r="AF1024" s="9">
        <f>IF(ISNUMBER(Z1024),IF(Z1024&lt;=2,"&lt;=2 d",IF(Z1024&lt;=7,"3-7 d",IF(Z1024&lt;=30,"8-30 d","&gt;30 d"))),IF(AE1024&lt;&gt;"",AE1024,IF(Z1024="NR","NR","")))</f>
        <v/>
      </c>
      <c r="AX1024" s="9">
        <f>IF(ISNUMBER(AW1024),IF(AW1024&gt;450,"Yes","No"),IF(AW1024="NR","NR",""))</f>
        <v/>
      </c>
      <c r="BJ1024" s="9">
        <f>IF(BB1024="","",IF(BB1024="Non-viable","Non-viable",IF(BB1024="Viable","Viable",IF(BB1024="Partially non-viable",IF(OR(BD1024="Total splenectomy",BD1024="Partial splenectomy +/- splenopexy"),"Non-viable","Review"),IF(BB1024="NR",IF(OR(BD1024="Total splenectomy",BD1024="Partial splenectomy +/- splenopexy"),"NR - removed, check reason","NR"),"Not applicable")))))</f>
        <v/>
      </c>
    </row>
    <row r="1025">
      <c r="D1025" s="8" t="n"/>
      <c r="E1025" s="9">
        <f>IF(B1025="","",IF(B1025="OWN","Yes","No"))</f>
        <v/>
      </c>
      <c r="AF1025" s="9">
        <f>IF(ISNUMBER(Z1025),IF(Z1025&lt;=2,"&lt;=2 d",IF(Z1025&lt;=7,"3-7 d",IF(Z1025&lt;=30,"8-30 d","&gt;30 d"))),IF(AE1025&lt;&gt;"",AE1025,IF(Z1025="NR","NR","")))</f>
        <v/>
      </c>
      <c r="AX1025" s="9">
        <f>IF(ISNUMBER(AW1025),IF(AW1025&gt;450,"Yes","No"),IF(AW1025="NR","NR",""))</f>
        <v/>
      </c>
      <c r="BJ1025" s="9">
        <f>IF(BB1025="","",IF(BB1025="Non-viable","Non-viable",IF(BB1025="Viable","Viable",IF(BB1025="Partially non-viable",IF(OR(BD1025="Total splenectomy",BD1025="Partial splenectomy +/- splenopexy"),"Non-viable","Review"),IF(BB1025="NR",IF(OR(BD1025="Total splenectomy",BD1025="Partial splenectomy +/- splenopexy"),"NR - removed, check reason","NR"),"Not applicable")))))</f>
        <v/>
      </c>
    </row>
    <row r="1026">
      <c r="D1026" s="8" t="n"/>
      <c r="E1026" s="9">
        <f>IF(B1026="","",IF(B1026="OWN","Yes","No"))</f>
        <v/>
      </c>
      <c r="AF1026" s="9">
        <f>IF(ISNUMBER(Z1026),IF(Z1026&lt;=2,"&lt;=2 d",IF(Z1026&lt;=7,"3-7 d",IF(Z1026&lt;=30,"8-30 d","&gt;30 d"))),IF(AE1026&lt;&gt;"",AE1026,IF(Z1026="NR","NR","")))</f>
        <v/>
      </c>
      <c r="AX1026" s="9">
        <f>IF(ISNUMBER(AW1026),IF(AW1026&gt;450,"Yes","No"),IF(AW1026="NR","NR",""))</f>
        <v/>
      </c>
      <c r="BJ1026" s="9">
        <f>IF(BB1026="","",IF(BB1026="Non-viable","Non-viable",IF(BB1026="Viable","Viable",IF(BB1026="Partially non-viable",IF(OR(BD1026="Total splenectomy",BD1026="Partial splenectomy +/- splenopexy"),"Non-viable","Review"),IF(BB1026="NR",IF(OR(BD1026="Total splenectomy",BD1026="Partial splenectomy +/- splenopexy"),"NR - removed, check reason","NR"),"Not applicable")))))</f>
        <v/>
      </c>
    </row>
    <row r="1027">
      <c r="D1027" s="8" t="n"/>
      <c r="E1027" s="9">
        <f>IF(B1027="","",IF(B1027="OWN","Yes","No"))</f>
        <v/>
      </c>
      <c r="AF1027" s="9">
        <f>IF(ISNUMBER(Z1027),IF(Z1027&lt;=2,"&lt;=2 d",IF(Z1027&lt;=7,"3-7 d",IF(Z1027&lt;=30,"8-30 d","&gt;30 d"))),IF(AE1027&lt;&gt;"",AE1027,IF(Z1027="NR","NR","")))</f>
        <v/>
      </c>
      <c r="AX1027" s="9">
        <f>IF(ISNUMBER(AW1027),IF(AW1027&gt;450,"Yes","No"),IF(AW1027="NR","NR",""))</f>
        <v/>
      </c>
      <c r="BJ1027" s="9">
        <f>IF(BB1027="","",IF(BB1027="Non-viable","Non-viable",IF(BB1027="Viable","Viable",IF(BB1027="Partially non-viable",IF(OR(BD1027="Total splenectomy",BD1027="Partial splenectomy +/- splenopexy"),"Non-viable","Review"),IF(BB1027="NR",IF(OR(BD1027="Total splenectomy",BD1027="Partial splenectomy +/- splenopexy"),"NR - removed, check reason","NR"),"Not applicable")))))</f>
        <v/>
      </c>
    </row>
    <row r="1028">
      <c r="D1028" s="8" t="n"/>
      <c r="E1028" s="9">
        <f>IF(B1028="","",IF(B1028="OWN","Yes","No"))</f>
        <v/>
      </c>
      <c r="AF1028" s="9">
        <f>IF(ISNUMBER(Z1028),IF(Z1028&lt;=2,"&lt;=2 d",IF(Z1028&lt;=7,"3-7 d",IF(Z1028&lt;=30,"8-30 d","&gt;30 d"))),IF(AE1028&lt;&gt;"",AE1028,IF(Z1028="NR","NR","")))</f>
        <v/>
      </c>
      <c r="AX1028" s="9">
        <f>IF(ISNUMBER(AW1028),IF(AW1028&gt;450,"Yes","No"),IF(AW1028="NR","NR",""))</f>
        <v/>
      </c>
      <c r="BJ1028" s="9">
        <f>IF(BB1028="","",IF(BB1028="Non-viable","Non-viable",IF(BB1028="Viable","Viable",IF(BB1028="Partially non-viable",IF(OR(BD1028="Total splenectomy",BD1028="Partial splenectomy +/- splenopexy"),"Non-viable","Review"),IF(BB1028="NR",IF(OR(BD1028="Total splenectomy",BD1028="Partial splenectomy +/- splenopexy"),"NR - removed, check reason","NR"),"Not applicable")))))</f>
        <v/>
      </c>
    </row>
    <row r="1029">
      <c r="D1029" s="8" t="n"/>
      <c r="E1029" s="9">
        <f>IF(B1029="","",IF(B1029="OWN","Yes","No"))</f>
        <v/>
      </c>
      <c r="AF1029" s="9">
        <f>IF(ISNUMBER(Z1029),IF(Z1029&lt;=2,"&lt;=2 d",IF(Z1029&lt;=7,"3-7 d",IF(Z1029&lt;=30,"8-30 d","&gt;30 d"))),IF(AE1029&lt;&gt;"",AE1029,IF(Z1029="NR","NR","")))</f>
        <v/>
      </c>
      <c r="AX1029" s="9">
        <f>IF(ISNUMBER(AW1029),IF(AW1029&gt;450,"Yes","No"),IF(AW1029="NR","NR",""))</f>
        <v/>
      </c>
      <c r="BJ1029" s="9">
        <f>IF(BB1029="","",IF(BB1029="Non-viable","Non-viable",IF(BB1029="Viable","Viable",IF(BB1029="Partially non-viable",IF(OR(BD1029="Total splenectomy",BD1029="Partial splenectomy +/- splenopexy"),"Non-viable","Review"),IF(BB1029="NR",IF(OR(BD1029="Total splenectomy",BD1029="Partial splenectomy +/- splenopexy"),"NR - removed, check reason","NR"),"Not applicable")))))</f>
        <v/>
      </c>
    </row>
    <row r="1030">
      <c r="D1030" s="8" t="n"/>
      <c r="E1030" s="9">
        <f>IF(B1030="","",IF(B1030="OWN","Yes","No"))</f>
        <v/>
      </c>
      <c r="AF1030" s="9">
        <f>IF(ISNUMBER(Z1030),IF(Z1030&lt;=2,"&lt;=2 d",IF(Z1030&lt;=7,"3-7 d",IF(Z1030&lt;=30,"8-30 d","&gt;30 d"))),IF(AE1030&lt;&gt;"",AE1030,IF(Z1030="NR","NR","")))</f>
        <v/>
      </c>
      <c r="AX1030" s="9">
        <f>IF(ISNUMBER(AW1030),IF(AW1030&gt;450,"Yes","No"),IF(AW1030="NR","NR",""))</f>
        <v/>
      </c>
      <c r="BJ1030" s="9">
        <f>IF(BB1030="","",IF(BB1030="Non-viable","Non-viable",IF(BB1030="Viable","Viable",IF(BB1030="Partially non-viable",IF(OR(BD1030="Total splenectomy",BD1030="Partial splenectomy +/- splenopexy"),"Non-viable","Review"),IF(BB1030="NR",IF(OR(BD1030="Total splenectomy",BD1030="Partial splenectomy +/- splenopexy"),"NR - removed, check reason","NR"),"Not applicable")))))</f>
        <v/>
      </c>
    </row>
    <row r="1031">
      <c r="D1031" s="8" t="n"/>
      <c r="E1031" s="9">
        <f>IF(B1031="","",IF(B1031="OWN","Yes","No"))</f>
        <v/>
      </c>
      <c r="AF1031" s="9">
        <f>IF(ISNUMBER(Z1031),IF(Z1031&lt;=2,"&lt;=2 d",IF(Z1031&lt;=7,"3-7 d",IF(Z1031&lt;=30,"8-30 d","&gt;30 d"))),IF(AE1031&lt;&gt;"",AE1031,IF(Z1031="NR","NR","")))</f>
        <v/>
      </c>
      <c r="AX1031" s="9">
        <f>IF(ISNUMBER(AW1031),IF(AW1031&gt;450,"Yes","No"),IF(AW1031="NR","NR",""))</f>
        <v/>
      </c>
      <c r="BJ1031" s="9">
        <f>IF(BB1031="","",IF(BB1031="Non-viable","Non-viable",IF(BB1031="Viable","Viable",IF(BB1031="Partially non-viable",IF(OR(BD1031="Total splenectomy",BD1031="Partial splenectomy +/- splenopexy"),"Non-viable","Review"),IF(BB1031="NR",IF(OR(BD1031="Total splenectomy",BD1031="Partial splenectomy +/- splenopexy"),"NR - removed, check reason","NR"),"Not applicable")))))</f>
        <v/>
      </c>
    </row>
    <row r="1032">
      <c r="D1032" s="8" t="n"/>
      <c r="E1032" s="9">
        <f>IF(B1032="","",IF(B1032="OWN","Yes","No"))</f>
        <v/>
      </c>
      <c r="AF1032" s="9">
        <f>IF(ISNUMBER(Z1032),IF(Z1032&lt;=2,"&lt;=2 d",IF(Z1032&lt;=7,"3-7 d",IF(Z1032&lt;=30,"8-30 d","&gt;30 d"))),IF(AE1032&lt;&gt;"",AE1032,IF(Z1032="NR","NR","")))</f>
        <v/>
      </c>
      <c r="AX1032" s="9">
        <f>IF(ISNUMBER(AW1032),IF(AW1032&gt;450,"Yes","No"),IF(AW1032="NR","NR",""))</f>
        <v/>
      </c>
      <c r="BJ1032" s="9">
        <f>IF(BB1032="","",IF(BB1032="Non-viable","Non-viable",IF(BB1032="Viable","Viable",IF(BB1032="Partially non-viable",IF(OR(BD1032="Total splenectomy",BD1032="Partial splenectomy +/- splenopexy"),"Non-viable","Review"),IF(BB1032="NR",IF(OR(BD1032="Total splenectomy",BD1032="Partial splenectomy +/- splenopexy"),"NR - removed, check reason","NR"),"Not applicable")))))</f>
        <v/>
      </c>
    </row>
    <row r="1033">
      <c r="D1033" s="8" t="n"/>
      <c r="E1033" s="9">
        <f>IF(B1033="","",IF(B1033="OWN","Yes","No"))</f>
        <v/>
      </c>
      <c r="AF1033" s="9">
        <f>IF(ISNUMBER(Z1033),IF(Z1033&lt;=2,"&lt;=2 d",IF(Z1033&lt;=7,"3-7 d",IF(Z1033&lt;=30,"8-30 d","&gt;30 d"))),IF(AE1033&lt;&gt;"",AE1033,IF(Z1033="NR","NR","")))</f>
        <v/>
      </c>
      <c r="AX1033" s="9">
        <f>IF(ISNUMBER(AW1033),IF(AW1033&gt;450,"Yes","No"),IF(AW1033="NR","NR",""))</f>
        <v/>
      </c>
      <c r="BJ1033" s="9">
        <f>IF(BB1033="","",IF(BB1033="Non-viable","Non-viable",IF(BB1033="Viable","Viable",IF(BB1033="Partially non-viable",IF(OR(BD1033="Total splenectomy",BD1033="Partial splenectomy +/- splenopexy"),"Non-viable","Review"),IF(BB1033="NR",IF(OR(BD1033="Total splenectomy",BD1033="Partial splenectomy +/- splenopexy"),"NR - removed, check reason","NR"),"Not applicable")))))</f>
        <v/>
      </c>
    </row>
    <row r="1034">
      <c r="D1034" s="8" t="n"/>
      <c r="E1034" s="9">
        <f>IF(B1034="","",IF(B1034="OWN","Yes","No"))</f>
        <v/>
      </c>
      <c r="AF1034" s="9">
        <f>IF(ISNUMBER(Z1034),IF(Z1034&lt;=2,"&lt;=2 d",IF(Z1034&lt;=7,"3-7 d",IF(Z1034&lt;=30,"8-30 d","&gt;30 d"))),IF(AE1034&lt;&gt;"",AE1034,IF(Z1034="NR","NR","")))</f>
        <v/>
      </c>
      <c r="AX1034" s="9">
        <f>IF(ISNUMBER(AW1034),IF(AW1034&gt;450,"Yes","No"),IF(AW1034="NR","NR",""))</f>
        <v/>
      </c>
      <c r="BJ1034" s="9">
        <f>IF(BB1034="","",IF(BB1034="Non-viable","Non-viable",IF(BB1034="Viable","Viable",IF(BB1034="Partially non-viable",IF(OR(BD1034="Total splenectomy",BD1034="Partial splenectomy +/- splenopexy"),"Non-viable","Review"),IF(BB1034="NR",IF(OR(BD1034="Total splenectomy",BD1034="Partial splenectomy +/- splenopexy"),"NR - removed, check reason","NR"),"Not applicable")))))</f>
        <v/>
      </c>
    </row>
    <row r="1035">
      <c r="D1035" s="8" t="n"/>
      <c r="E1035" s="9">
        <f>IF(B1035="","",IF(B1035="OWN","Yes","No"))</f>
        <v/>
      </c>
      <c r="AF1035" s="9">
        <f>IF(ISNUMBER(Z1035),IF(Z1035&lt;=2,"&lt;=2 d",IF(Z1035&lt;=7,"3-7 d",IF(Z1035&lt;=30,"8-30 d","&gt;30 d"))),IF(AE1035&lt;&gt;"",AE1035,IF(Z1035="NR","NR","")))</f>
        <v/>
      </c>
      <c r="AX1035" s="9">
        <f>IF(ISNUMBER(AW1035),IF(AW1035&gt;450,"Yes","No"),IF(AW1035="NR","NR",""))</f>
        <v/>
      </c>
      <c r="BJ1035" s="9">
        <f>IF(BB1035="","",IF(BB1035="Non-viable","Non-viable",IF(BB1035="Viable","Viable",IF(BB1035="Partially non-viable",IF(OR(BD1035="Total splenectomy",BD1035="Partial splenectomy +/- splenopexy"),"Non-viable","Review"),IF(BB1035="NR",IF(OR(BD1035="Total splenectomy",BD1035="Partial splenectomy +/- splenopexy"),"NR - removed, check reason","NR"),"Not applicable")))))</f>
        <v/>
      </c>
    </row>
    <row r="1036">
      <c r="D1036" s="8" t="n"/>
      <c r="E1036" s="9">
        <f>IF(B1036="","",IF(B1036="OWN","Yes","No"))</f>
        <v/>
      </c>
      <c r="AF1036" s="9">
        <f>IF(ISNUMBER(Z1036),IF(Z1036&lt;=2,"&lt;=2 d",IF(Z1036&lt;=7,"3-7 d",IF(Z1036&lt;=30,"8-30 d","&gt;30 d"))),IF(AE1036&lt;&gt;"",AE1036,IF(Z1036="NR","NR","")))</f>
        <v/>
      </c>
      <c r="AX1036" s="9">
        <f>IF(ISNUMBER(AW1036),IF(AW1036&gt;450,"Yes","No"),IF(AW1036="NR","NR",""))</f>
        <v/>
      </c>
      <c r="BJ1036" s="9">
        <f>IF(BB1036="","",IF(BB1036="Non-viable","Non-viable",IF(BB1036="Viable","Viable",IF(BB1036="Partially non-viable",IF(OR(BD1036="Total splenectomy",BD1036="Partial splenectomy +/- splenopexy"),"Non-viable","Review"),IF(BB1036="NR",IF(OR(BD1036="Total splenectomy",BD1036="Partial splenectomy +/- splenopexy"),"NR - removed, check reason","NR"),"Not applicable")))))</f>
        <v/>
      </c>
    </row>
    <row r="1037">
      <c r="D1037" s="8" t="n"/>
      <c r="E1037" s="9">
        <f>IF(B1037="","",IF(B1037="OWN","Yes","No"))</f>
        <v/>
      </c>
      <c r="AF1037" s="9">
        <f>IF(ISNUMBER(Z1037),IF(Z1037&lt;=2,"&lt;=2 d",IF(Z1037&lt;=7,"3-7 d",IF(Z1037&lt;=30,"8-30 d","&gt;30 d"))),IF(AE1037&lt;&gt;"",AE1037,IF(Z1037="NR","NR","")))</f>
        <v/>
      </c>
      <c r="AX1037" s="9">
        <f>IF(ISNUMBER(AW1037),IF(AW1037&gt;450,"Yes","No"),IF(AW1037="NR","NR",""))</f>
        <v/>
      </c>
      <c r="BJ1037" s="9">
        <f>IF(BB1037="","",IF(BB1037="Non-viable","Non-viable",IF(BB1037="Viable","Viable",IF(BB1037="Partially non-viable",IF(OR(BD1037="Total splenectomy",BD1037="Partial splenectomy +/- splenopexy"),"Non-viable","Review"),IF(BB1037="NR",IF(OR(BD1037="Total splenectomy",BD1037="Partial splenectomy +/- splenopexy"),"NR - removed, check reason","NR"),"Not applicable")))))</f>
        <v/>
      </c>
    </row>
    <row r="1038">
      <c r="D1038" s="8" t="n"/>
      <c r="E1038" s="9">
        <f>IF(B1038="","",IF(B1038="OWN","Yes","No"))</f>
        <v/>
      </c>
      <c r="AF1038" s="9">
        <f>IF(ISNUMBER(Z1038),IF(Z1038&lt;=2,"&lt;=2 d",IF(Z1038&lt;=7,"3-7 d",IF(Z1038&lt;=30,"8-30 d","&gt;30 d"))),IF(AE1038&lt;&gt;"",AE1038,IF(Z1038="NR","NR","")))</f>
        <v/>
      </c>
      <c r="AX1038" s="9">
        <f>IF(ISNUMBER(AW1038),IF(AW1038&gt;450,"Yes","No"),IF(AW1038="NR","NR",""))</f>
        <v/>
      </c>
      <c r="BJ1038" s="9">
        <f>IF(BB1038="","",IF(BB1038="Non-viable","Non-viable",IF(BB1038="Viable","Viable",IF(BB1038="Partially non-viable",IF(OR(BD1038="Total splenectomy",BD1038="Partial splenectomy +/- splenopexy"),"Non-viable","Review"),IF(BB1038="NR",IF(OR(BD1038="Total splenectomy",BD1038="Partial splenectomy +/- splenopexy"),"NR - removed, check reason","NR"),"Not applicable")))))</f>
        <v/>
      </c>
    </row>
    <row r="1039">
      <c r="D1039" s="8" t="n"/>
      <c r="E1039" s="9">
        <f>IF(B1039="","",IF(B1039="OWN","Yes","No"))</f>
        <v/>
      </c>
      <c r="AF1039" s="9">
        <f>IF(ISNUMBER(Z1039),IF(Z1039&lt;=2,"&lt;=2 d",IF(Z1039&lt;=7,"3-7 d",IF(Z1039&lt;=30,"8-30 d","&gt;30 d"))),IF(AE1039&lt;&gt;"",AE1039,IF(Z1039="NR","NR","")))</f>
        <v/>
      </c>
      <c r="AX1039" s="9">
        <f>IF(ISNUMBER(AW1039),IF(AW1039&gt;450,"Yes","No"),IF(AW1039="NR","NR",""))</f>
        <v/>
      </c>
      <c r="BJ1039" s="9">
        <f>IF(BB1039="","",IF(BB1039="Non-viable","Non-viable",IF(BB1039="Viable","Viable",IF(BB1039="Partially non-viable",IF(OR(BD1039="Total splenectomy",BD1039="Partial splenectomy +/- splenopexy"),"Non-viable","Review"),IF(BB1039="NR",IF(OR(BD1039="Total splenectomy",BD1039="Partial splenectomy +/- splenopexy"),"NR - removed, check reason","NR"),"Not applicable")))))</f>
        <v/>
      </c>
    </row>
    <row r="1040">
      <c r="D1040" s="8" t="n"/>
      <c r="E1040" s="9">
        <f>IF(B1040="","",IF(B1040="OWN","Yes","No"))</f>
        <v/>
      </c>
      <c r="AF1040" s="9">
        <f>IF(ISNUMBER(Z1040),IF(Z1040&lt;=2,"&lt;=2 d",IF(Z1040&lt;=7,"3-7 d",IF(Z1040&lt;=30,"8-30 d","&gt;30 d"))),IF(AE1040&lt;&gt;"",AE1040,IF(Z1040="NR","NR","")))</f>
        <v/>
      </c>
      <c r="AX1040" s="9">
        <f>IF(ISNUMBER(AW1040),IF(AW1040&gt;450,"Yes","No"),IF(AW1040="NR","NR",""))</f>
        <v/>
      </c>
      <c r="BJ1040" s="9">
        <f>IF(BB1040="","",IF(BB1040="Non-viable","Non-viable",IF(BB1040="Viable","Viable",IF(BB1040="Partially non-viable",IF(OR(BD1040="Total splenectomy",BD1040="Partial splenectomy +/- splenopexy"),"Non-viable","Review"),IF(BB1040="NR",IF(OR(BD1040="Total splenectomy",BD1040="Partial splenectomy +/- splenopexy"),"NR - removed, check reason","NR"),"Not applicable")))))</f>
        <v/>
      </c>
    </row>
    <row r="1041">
      <c r="D1041" s="8" t="n"/>
      <c r="E1041" s="9">
        <f>IF(B1041="","",IF(B1041="OWN","Yes","No"))</f>
        <v/>
      </c>
      <c r="AF1041" s="9">
        <f>IF(ISNUMBER(Z1041),IF(Z1041&lt;=2,"&lt;=2 d",IF(Z1041&lt;=7,"3-7 d",IF(Z1041&lt;=30,"8-30 d","&gt;30 d"))),IF(AE1041&lt;&gt;"",AE1041,IF(Z1041="NR","NR","")))</f>
        <v/>
      </c>
      <c r="AX1041" s="9">
        <f>IF(ISNUMBER(AW1041),IF(AW1041&gt;450,"Yes","No"),IF(AW1041="NR","NR",""))</f>
        <v/>
      </c>
      <c r="BJ1041" s="9">
        <f>IF(BB1041="","",IF(BB1041="Non-viable","Non-viable",IF(BB1041="Viable","Viable",IF(BB1041="Partially non-viable",IF(OR(BD1041="Total splenectomy",BD1041="Partial splenectomy +/- splenopexy"),"Non-viable","Review"),IF(BB1041="NR",IF(OR(BD1041="Total splenectomy",BD1041="Partial splenectomy +/- splenopexy"),"NR - removed, check reason","NR"),"Not applicable")))))</f>
        <v/>
      </c>
    </row>
    <row r="1042">
      <c r="D1042" s="8" t="n"/>
      <c r="E1042" s="9">
        <f>IF(B1042="","",IF(B1042="OWN","Yes","No"))</f>
        <v/>
      </c>
      <c r="AF1042" s="9">
        <f>IF(ISNUMBER(Z1042),IF(Z1042&lt;=2,"&lt;=2 d",IF(Z1042&lt;=7,"3-7 d",IF(Z1042&lt;=30,"8-30 d","&gt;30 d"))),IF(AE1042&lt;&gt;"",AE1042,IF(Z1042="NR","NR","")))</f>
        <v/>
      </c>
      <c r="AX1042" s="9">
        <f>IF(ISNUMBER(AW1042),IF(AW1042&gt;450,"Yes","No"),IF(AW1042="NR","NR",""))</f>
        <v/>
      </c>
      <c r="BJ1042" s="9">
        <f>IF(BB1042="","",IF(BB1042="Non-viable","Non-viable",IF(BB1042="Viable","Viable",IF(BB1042="Partially non-viable",IF(OR(BD1042="Total splenectomy",BD1042="Partial splenectomy +/- splenopexy"),"Non-viable","Review"),IF(BB1042="NR",IF(OR(BD1042="Total splenectomy",BD1042="Partial splenectomy +/- splenopexy"),"NR - removed, check reason","NR"),"Not applicable")))))</f>
        <v/>
      </c>
    </row>
    <row r="1043">
      <c r="D1043" s="8" t="n"/>
      <c r="E1043" s="9">
        <f>IF(B1043="","",IF(B1043="OWN","Yes","No"))</f>
        <v/>
      </c>
      <c r="AF1043" s="9">
        <f>IF(ISNUMBER(Z1043),IF(Z1043&lt;=2,"&lt;=2 d",IF(Z1043&lt;=7,"3-7 d",IF(Z1043&lt;=30,"8-30 d","&gt;30 d"))),IF(AE1043&lt;&gt;"",AE1043,IF(Z1043="NR","NR","")))</f>
        <v/>
      </c>
      <c r="AX1043" s="9">
        <f>IF(ISNUMBER(AW1043),IF(AW1043&gt;450,"Yes","No"),IF(AW1043="NR","NR",""))</f>
        <v/>
      </c>
      <c r="BJ1043" s="9">
        <f>IF(BB1043="","",IF(BB1043="Non-viable","Non-viable",IF(BB1043="Viable","Viable",IF(BB1043="Partially non-viable",IF(OR(BD1043="Total splenectomy",BD1043="Partial splenectomy +/- splenopexy"),"Non-viable","Review"),IF(BB1043="NR",IF(OR(BD1043="Total splenectomy",BD1043="Partial splenectomy +/- splenopexy"),"NR - removed, check reason","NR"),"Not applicable")))))</f>
        <v/>
      </c>
    </row>
    <row r="1044">
      <c r="D1044" s="8" t="n"/>
      <c r="E1044" s="9">
        <f>IF(B1044="","",IF(B1044="OWN","Yes","No"))</f>
        <v/>
      </c>
      <c r="AF1044" s="9">
        <f>IF(ISNUMBER(Z1044),IF(Z1044&lt;=2,"&lt;=2 d",IF(Z1044&lt;=7,"3-7 d",IF(Z1044&lt;=30,"8-30 d","&gt;30 d"))),IF(AE1044&lt;&gt;"",AE1044,IF(Z1044="NR","NR","")))</f>
        <v/>
      </c>
      <c r="AX1044" s="9">
        <f>IF(ISNUMBER(AW1044),IF(AW1044&gt;450,"Yes","No"),IF(AW1044="NR","NR",""))</f>
        <v/>
      </c>
      <c r="BJ1044" s="9">
        <f>IF(BB1044="","",IF(BB1044="Non-viable","Non-viable",IF(BB1044="Viable","Viable",IF(BB1044="Partially non-viable",IF(OR(BD1044="Total splenectomy",BD1044="Partial splenectomy +/- splenopexy"),"Non-viable","Review"),IF(BB1044="NR",IF(OR(BD1044="Total splenectomy",BD1044="Partial splenectomy +/- splenopexy"),"NR - removed, check reason","NR"),"Not applicable")))))</f>
        <v/>
      </c>
    </row>
    <row r="1045">
      <c r="D1045" s="8" t="n"/>
      <c r="E1045" s="9">
        <f>IF(B1045="","",IF(B1045="OWN","Yes","No"))</f>
        <v/>
      </c>
      <c r="AF1045" s="9">
        <f>IF(ISNUMBER(Z1045),IF(Z1045&lt;=2,"&lt;=2 d",IF(Z1045&lt;=7,"3-7 d",IF(Z1045&lt;=30,"8-30 d","&gt;30 d"))),IF(AE1045&lt;&gt;"",AE1045,IF(Z1045="NR","NR","")))</f>
        <v/>
      </c>
      <c r="AX1045" s="9">
        <f>IF(ISNUMBER(AW1045),IF(AW1045&gt;450,"Yes","No"),IF(AW1045="NR","NR",""))</f>
        <v/>
      </c>
      <c r="BJ1045" s="9">
        <f>IF(BB1045="","",IF(BB1045="Non-viable","Non-viable",IF(BB1045="Viable","Viable",IF(BB1045="Partially non-viable",IF(OR(BD1045="Total splenectomy",BD1045="Partial splenectomy +/- splenopexy"),"Non-viable","Review"),IF(BB1045="NR",IF(OR(BD1045="Total splenectomy",BD1045="Partial splenectomy +/- splenopexy"),"NR - removed, check reason","NR"),"Not applicable")))))</f>
        <v/>
      </c>
    </row>
    <row r="1046">
      <c r="D1046" s="8" t="n"/>
      <c r="E1046" s="9">
        <f>IF(B1046="","",IF(B1046="OWN","Yes","No"))</f>
        <v/>
      </c>
      <c r="AF1046" s="9">
        <f>IF(ISNUMBER(Z1046),IF(Z1046&lt;=2,"&lt;=2 d",IF(Z1046&lt;=7,"3-7 d",IF(Z1046&lt;=30,"8-30 d","&gt;30 d"))),IF(AE1046&lt;&gt;"",AE1046,IF(Z1046="NR","NR","")))</f>
        <v/>
      </c>
      <c r="AX1046" s="9">
        <f>IF(ISNUMBER(AW1046),IF(AW1046&gt;450,"Yes","No"),IF(AW1046="NR","NR",""))</f>
        <v/>
      </c>
      <c r="BJ1046" s="9">
        <f>IF(BB1046="","",IF(BB1046="Non-viable","Non-viable",IF(BB1046="Viable","Viable",IF(BB1046="Partially non-viable",IF(OR(BD1046="Total splenectomy",BD1046="Partial splenectomy +/- splenopexy"),"Non-viable","Review"),IF(BB1046="NR",IF(OR(BD1046="Total splenectomy",BD1046="Partial splenectomy +/- splenopexy"),"NR - removed, check reason","NR"),"Not applicable")))))</f>
        <v/>
      </c>
    </row>
    <row r="1047">
      <c r="D1047" s="8" t="n"/>
      <c r="E1047" s="9">
        <f>IF(B1047="","",IF(B1047="OWN","Yes","No"))</f>
        <v/>
      </c>
      <c r="AF1047" s="9">
        <f>IF(ISNUMBER(Z1047),IF(Z1047&lt;=2,"&lt;=2 d",IF(Z1047&lt;=7,"3-7 d",IF(Z1047&lt;=30,"8-30 d","&gt;30 d"))),IF(AE1047&lt;&gt;"",AE1047,IF(Z1047="NR","NR","")))</f>
        <v/>
      </c>
      <c r="AX1047" s="9">
        <f>IF(ISNUMBER(AW1047),IF(AW1047&gt;450,"Yes","No"),IF(AW1047="NR","NR",""))</f>
        <v/>
      </c>
      <c r="BJ1047" s="9">
        <f>IF(BB1047="","",IF(BB1047="Non-viable","Non-viable",IF(BB1047="Viable","Viable",IF(BB1047="Partially non-viable",IF(OR(BD1047="Total splenectomy",BD1047="Partial splenectomy +/- splenopexy"),"Non-viable","Review"),IF(BB1047="NR",IF(OR(BD1047="Total splenectomy",BD1047="Partial splenectomy +/- splenopexy"),"NR - removed, check reason","NR"),"Not applicable")))))</f>
        <v/>
      </c>
    </row>
    <row r="1048">
      <c r="D1048" s="8" t="n"/>
      <c r="E1048" s="9">
        <f>IF(B1048="","",IF(B1048="OWN","Yes","No"))</f>
        <v/>
      </c>
      <c r="AF1048" s="9">
        <f>IF(ISNUMBER(Z1048),IF(Z1048&lt;=2,"&lt;=2 d",IF(Z1048&lt;=7,"3-7 d",IF(Z1048&lt;=30,"8-30 d","&gt;30 d"))),IF(AE1048&lt;&gt;"",AE1048,IF(Z1048="NR","NR","")))</f>
        <v/>
      </c>
      <c r="AX1048" s="9">
        <f>IF(ISNUMBER(AW1048),IF(AW1048&gt;450,"Yes","No"),IF(AW1048="NR","NR",""))</f>
        <v/>
      </c>
      <c r="BJ1048" s="9">
        <f>IF(BB1048="","",IF(BB1048="Non-viable","Non-viable",IF(BB1048="Viable","Viable",IF(BB1048="Partially non-viable",IF(OR(BD1048="Total splenectomy",BD1048="Partial splenectomy +/- splenopexy"),"Non-viable","Review"),IF(BB1048="NR",IF(OR(BD1048="Total splenectomy",BD1048="Partial splenectomy +/- splenopexy"),"NR - removed, check reason","NR"),"Not applicable")))))</f>
        <v/>
      </c>
    </row>
    <row r="1049">
      <c r="D1049" s="8" t="n"/>
      <c r="E1049" s="9">
        <f>IF(B1049="","",IF(B1049="OWN","Yes","No"))</f>
        <v/>
      </c>
      <c r="AF1049" s="9">
        <f>IF(ISNUMBER(Z1049),IF(Z1049&lt;=2,"&lt;=2 d",IF(Z1049&lt;=7,"3-7 d",IF(Z1049&lt;=30,"8-30 d","&gt;30 d"))),IF(AE1049&lt;&gt;"",AE1049,IF(Z1049="NR","NR","")))</f>
        <v/>
      </c>
      <c r="AX1049" s="9">
        <f>IF(ISNUMBER(AW1049),IF(AW1049&gt;450,"Yes","No"),IF(AW1049="NR","NR",""))</f>
        <v/>
      </c>
      <c r="BJ1049" s="9">
        <f>IF(BB1049="","",IF(BB1049="Non-viable","Non-viable",IF(BB1049="Viable","Viable",IF(BB1049="Partially non-viable",IF(OR(BD1049="Total splenectomy",BD1049="Partial splenectomy +/- splenopexy"),"Non-viable","Review"),IF(BB1049="NR",IF(OR(BD1049="Total splenectomy",BD1049="Partial splenectomy +/- splenopexy"),"NR - removed, check reason","NR"),"Not applicable")))))</f>
        <v/>
      </c>
    </row>
    <row r="1050">
      <c r="D1050" s="8" t="n"/>
      <c r="E1050" s="9">
        <f>IF(B1050="","",IF(B1050="OWN","Yes","No"))</f>
        <v/>
      </c>
      <c r="AF1050" s="9">
        <f>IF(ISNUMBER(Z1050),IF(Z1050&lt;=2,"&lt;=2 d",IF(Z1050&lt;=7,"3-7 d",IF(Z1050&lt;=30,"8-30 d","&gt;30 d"))),IF(AE1050&lt;&gt;"",AE1050,IF(Z1050="NR","NR","")))</f>
        <v/>
      </c>
      <c r="AX1050" s="9">
        <f>IF(ISNUMBER(AW1050),IF(AW1050&gt;450,"Yes","No"),IF(AW1050="NR","NR",""))</f>
        <v/>
      </c>
      <c r="BJ1050" s="9">
        <f>IF(BB1050="","",IF(BB1050="Non-viable","Non-viable",IF(BB1050="Viable","Viable",IF(BB1050="Partially non-viable",IF(OR(BD1050="Total splenectomy",BD1050="Partial splenectomy +/- splenopexy"),"Non-viable","Review"),IF(BB1050="NR",IF(OR(BD1050="Total splenectomy",BD1050="Partial splenectomy +/- splenopexy"),"NR - removed, check reason","NR"),"Not applicable")))))</f>
        <v/>
      </c>
    </row>
    <row r="1051">
      <c r="D1051" s="8" t="n"/>
      <c r="E1051" s="9">
        <f>IF(B1051="","",IF(B1051="OWN","Yes","No"))</f>
        <v/>
      </c>
      <c r="AF1051" s="9">
        <f>IF(ISNUMBER(Z1051),IF(Z1051&lt;=2,"&lt;=2 d",IF(Z1051&lt;=7,"3-7 d",IF(Z1051&lt;=30,"8-30 d","&gt;30 d"))),IF(AE1051&lt;&gt;"",AE1051,IF(Z1051="NR","NR","")))</f>
        <v/>
      </c>
      <c r="AX1051" s="9">
        <f>IF(ISNUMBER(AW1051),IF(AW1051&gt;450,"Yes","No"),IF(AW1051="NR","NR",""))</f>
        <v/>
      </c>
      <c r="BJ1051" s="9">
        <f>IF(BB1051="","",IF(BB1051="Non-viable","Non-viable",IF(BB1051="Viable","Viable",IF(BB1051="Partially non-viable",IF(OR(BD1051="Total splenectomy",BD1051="Partial splenectomy +/- splenopexy"),"Non-viable","Review"),IF(BB1051="NR",IF(OR(BD1051="Total splenectomy",BD1051="Partial splenectomy +/- splenopexy"),"NR - removed, check reason","NR"),"Not applicable")))))</f>
        <v/>
      </c>
    </row>
    <row r="1052">
      <c r="D1052" s="8" t="n"/>
      <c r="E1052" s="9">
        <f>IF(B1052="","",IF(B1052="OWN","Yes","No"))</f>
        <v/>
      </c>
      <c r="AF1052" s="9">
        <f>IF(ISNUMBER(Z1052),IF(Z1052&lt;=2,"&lt;=2 d",IF(Z1052&lt;=7,"3-7 d",IF(Z1052&lt;=30,"8-30 d","&gt;30 d"))),IF(AE1052&lt;&gt;"",AE1052,IF(Z1052="NR","NR","")))</f>
        <v/>
      </c>
      <c r="AX1052" s="9">
        <f>IF(ISNUMBER(AW1052),IF(AW1052&gt;450,"Yes","No"),IF(AW1052="NR","NR",""))</f>
        <v/>
      </c>
      <c r="BJ1052" s="9">
        <f>IF(BB1052="","",IF(BB1052="Non-viable","Non-viable",IF(BB1052="Viable","Viable",IF(BB1052="Partially non-viable",IF(OR(BD1052="Total splenectomy",BD1052="Partial splenectomy +/- splenopexy"),"Non-viable","Review"),IF(BB1052="NR",IF(OR(BD1052="Total splenectomy",BD1052="Partial splenectomy +/- splenopexy"),"NR - removed, check reason","NR"),"Not applicable")))))</f>
        <v/>
      </c>
    </row>
    <row r="1053">
      <c r="D1053" s="8" t="n"/>
      <c r="E1053" s="9">
        <f>IF(B1053="","",IF(B1053="OWN","Yes","No"))</f>
        <v/>
      </c>
      <c r="AF1053" s="9">
        <f>IF(ISNUMBER(Z1053),IF(Z1053&lt;=2,"&lt;=2 d",IF(Z1053&lt;=7,"3-7 d",IF(Z1053&lt;=30,"8-30 d","&gt;30 d"))),IF(AE1053&lt;&gt;"",AE1053,IF(Z1053="NR","NR","")))</f>
        <v/>
      </c>
      <c r="AX1053" s="9">
        <f>IF(ISNUMBER(AW1053),IF(AW1053&gt;450,"Yes","No"),IF(AW1053="NR","NR",""))</f>
        <v/>
      </c>
      <c r="BJ1053" s="9">
        <f>IF(BB1053="","",IF(BB1053="Non-viable","Non-viable",IF(BB1053="Viable","Viable",IF(BB1053="Partially non-viable",IF(OR(BD1053="Total splenectomy",BD1053="Partial splenectomy +/- splenopexy"),"Non-viable","Review"),IF(BB1053="NR",IF(OR(BD1053="Total splenectomy",BD1053="Partial splenectomy +/- splenopexy"),"NR - removed, check reason","NR"),"Not applicable")))))</f>
        <v/>
      </c>
    </row>
    <row r="1054">
      <c r="D1054" s="8" t="n"/>
      <c r="E1054" s="9">
        <f>IF(B1054="","",IF(B1054="OWN","Yes","No"))</f>
        <v/>
      </c>
      <c r="AF1054" s="9">
        <f>IF(ISNUMBER(Z1054),IF(Z1054&lt;=2,"&lt;=2 d",IF(Z1054&lt;=7,"3-7 d",IF(Z1054&lt;=30,"8-30 d","&gt;30 d"))),IF(AE1054&lt;&gt;"",AE1054,IF(Z1054="NR","NR","")))</f>
        <v/>
      </c>
      <c r="AX1054" s="9">
        <f>IF(ISNUMBER(AW1054),IF(AW1054&gt;450,"Yes","No"),IF(AW1054="NR","NR",""))</f>
        <v/>
      </c>
      <c r="BJ1054" s="9">
        <f>IF(BB1054="","",IF(BB1054="Non-viable","Non-viable",IF(BB1054="Viable","Viable",IF(BB1054="Partially non-viable",IF(OR(BD1054="Total splenectomy",BD1054="Partial splenectomy +/- splenopexy"),"Non-viable","Review"),IF(BB1054="NR",IF(OR(BD1054="Total splenectomy",BD1054="Partial splenectomy +/- splenopexy"),"NR - removed, check reason","NR"),"Not applicable")))))</f>
        <v/>
      </c>
    </row>
    <row r="1055">
      <c r="D1055" s="8" t="n"/>
      <c r="E1055" s="9">
        <f>IF(B1055="","",IF(B1055="OWN","Yes","No"))</f>
        <v/>
      </c>
      <c r="AF1055" s="9">
        <f>IF(ISNUMBER(Z1055),IF(Z1055&lt;=2,"&lt;=2 d",IF(Z1055&lt;=7,"3-7 d",IF(Z1055&lt;=30,"8-30 d","&gt;30 d"))),IF(AE1055&lt;&gt;"",AE1055,IF(Z1055="NR","NR","")))</f>
        <v/>
      </c>
      <c r="AX1055" s="9">
        <f>IF(ISNUMBER(AW1055),IF(AW1055&gt;450,"Yes","No"),IF(AW1055="NR","NR",""))</f>
        <v/>
      </c>
      <c r="BJ1055" s="9">
        <f>IF(BB1055="","",IF(BB1055="Non-viable","Non-viable",IF(BB1055="Viable","Viable",IF(BB1055="Partially non-viable",IF(OR(BD1055="Total splenectomy",BD1055="Partial splenectomy +/- splenopexy"),"Non-viable","Review"),IF(BB1055="NR",IF(OR(BD1055="Total splenectomy",BD1055="Partial splenectomy +/- splenopexy"),"NR - removed, check reason","NR"),"Not applicable")))))</f>
        <v/>
      </c>
    </row>
    <row r="1056">
      <c r="D1056" s="8" t="n"/>
      <c r="E1056" s="9">
        <f>IF(B1056="","",IF(B1056="OWN","Yes","No"))</f>
        <v/>
      </c>
      <c r="AF1056" s="9">
        <f>IF(ISNUMBER(Z1056),IF(Z1056&lt;=2,"&lt;=2 d",IF(Z1056&lt;=7,"3-7 d",IF(Z1056&lt;=30,"8-30 d","&gt;30 d"))),IF(AE1056&lt;&gt;"",AE1056,IF(Z1056="NR","NR","")))</f>
        <v/>
      </c>
      <c r="AX1056" s="9">
        <f>IF(ISNUMBER(AW1056),IF(AW1056&gt;450,"Yes","No"),IF(AW1056="NR","NR",""))</f>
        <v/>
      </c>
      <c r="BJ1056" s="9">
        <f>IF(BB1056="","",IF(BB1056="Non-viable","Non-viable",IF(BB1056="Viable","Viable",IF(BB1056="Partially non-viable",IF(OR(BD1056="Total splenectomy",BD1056="Partial splenectomy +/- splenopexy"),"Non-viable","Review"),IF(BB1056="NR",IF(OR(BD1056="Total splenectomy",BD1056="Partial splenectomy +/- splenopexy"),"NR - removed, check reason","NR"),"Not applicable")))))</f>
        <v/>
      </c>
    </row>
    <row r="1057">
      <c r="D1057" s="8" t="n"/>
      <c r="E1057" s="9">
        <f>IF(B1057="","",IF(B1057="OWN","Yes","No"))</f>
        <v/>
      </c>
      <c r="AF1057" s="9">
        <f>IF(ISNUMBER(Z1057),IF(Z1057&lt;=2,"&lt;=2 d",IF(Z1057&lt;=7,"3-7 d",IF(Z1057&lt;=30,"8-30 d","&gt;30 d"))),IF(AE1057&lt;&gt;"",AE1057,IF(Z1057="NR","NR","")))</f>
        <v/>
      </c>
      <c r="AX1057" s="9">
        <f>IF(ISNUMBER(AW1057),IF(AW1057&gt;450,"Yes","No"),IF(AW1057="NR","NR",""))</f>
        <v/>
      </c>
      <c r="BJ1057" s="9">
        <f>IF(BB1057="","",IF(BB1057="Non-viable","Non-viable",IF(BB1057="Viable","Viable",IF(BB1057="Partially non-viable",IF(OR(BD1057="Total splenectomy",BD1057="Partial splenectomy +/- splenopexy"),"Non-viable","Review"),IF(BB1057="NR",IF(OR(BD1057="Total splenectomy",BD1057="Partial splenectomy +/- splenopexy"),"NR - removed, check reason","NR"),"Not applicable")))))</f>
        <v/>
      </c>
    </row>
    <row r="1058">
      <c r="D1058" s="8" t="n"/>
      <c r="E1058" s="9">
        <f>IF(B1058="","",IF(B1058="OWN","Yes","No"))</f>
        <v/>
      </c>
      <c r="AF1058" s="9">
        <f>IF(ISNUMBER(Z1058),IF(Z1058&lt;=2,"&lt;=2 d",IF(Z1058&lt;=7,"3-7 d",IF(Z1058&lt;=30,"8-30 d","&gt;30 d"))),IF(AE1058&lt;&gt;"",AE1058,IF(Z1058="NR","NR","")))</f>
        <v/>
      </c>
      <c r="AX1058" s="9">
        <f>IF(ISNUMBER(AW1058),IF(AW1058&gt;450,"Yes","No"),IF(AW1058="NR","NR",""))</f>
        <v/>
      </c>
      <c r="BJ1058" s="9">
        <f>IF(BB1058="","",IF(BB1058="Non-viable","Non-viable",IF(BB1058="Viable","Viable",IF(BB1058="Partially non-viable",IF(OR(BD1058="Total splenectomy",BD1058="Partial splenectomy +/- splenopexy"),"Non-viable","Review"),IF(BB1058="NR",IF(OR(BD1058="Total splenectomy",BD1058="Partial splenectomy +/- splenopexy"),"NR - removed, check reason","NR"),"Not applicable")))))</f>
        <v/>
      </c>
    </row>
    <row r="1059">
      <c r="D1059" s="8" t="n"/>
      <c r="E1059" s="9">
        <f>IF(B1059="","",IF(B1059="OWN","Yes","No"))</f>
        <v/>
      </c>
      <c r="AF1059" s="9">
        <f>IF(ISNUMBER(Z1059),IF(Z1059&lt;=2,"&lt;=2 d",IF(Z1059&lt;=7,"3-7 d",IF(Z1059&lt;=30,"8-30 d","&gt;30 d"))),IF(AE1059&lt;&gt;"",AE1059,IF(Z1059="NR","NR","")))</f>
        <v/>
      </c>
      <c r="AX1059" s="9">
        <f>IF(ISNUMBER(AW1059),IF(AW1059&gt;450,"Yes","No"),IF(AW1059="NR","NR",""))</f>
        <v/>
      </c>
      <c r="BJ1059" s="9">
        <f>IF(BB1059="","",IF(BB1059="Non-viable","Non-viable",IF(BB1059="Viable","Viable",IF(BB1059="Partially non-viable",IF(OR(BD1059="Total splenectomy",BD1059="Partial splenectomy +/- splenopexy"),"Non-viable","Review"),IF(BB1059="NR",IF(OR(BD1059="Total splenectomy",BD1059="Partial splenectomy +/- splenopexy"),"NR - removed, check reason","NR"),"Not applicable")))))</f>
        <v/>
      </c>
    </row>
    <row r="1060">
      <c r="D1060" s="8" t="n"/>
      <c r="E1060" s="9">
        <f>IF(B1060="","",IF(B1060="OWN","Yes","No"))</f>
        <v/>
      </c>
      <c r="AF1060" s="9">
        <f>IF(ISNUMBER(Z1060),IF(Z1060&lt;=2,"&lt;=2 d",IF(Z1060&lt;=7,"3-7 d",IF(Z1060&lt;=30,"8-30 d","&gt;30 d"))),IF(AE1060&lt;&gt;"",AE1060,IF(Z1060="NR","NR","")))</f>
        <v/>
      </c>
      <c r="AX1060" s="9">
        <f>IF(ISNUMBER(AW1060),IF(AW1060&gt;450,"Yes","No"),IF(AW1060="NR","NR",""))</f>
        <v/>
      </c>
      <c r="BJ1060" s="9">
        <f>IF(BB1060="","",IF(BB1060="Non-viable","Non-viable",IF(BB1060="Viable","Viable",IF(BB1060="Partially non-viable",IF(OR(BD1060="Total splenectomy",BD1060="Partial splenectomy +/- splenopexy"),"Non-viable","Review"),IF(BB1060="NR",IF(OR(BD1060="Total splenectomy",BD1060="Partial splenectomy +/- splenopexy"),"NR - removed, check reason","NR"),"Not applicable")))))</f>
        <v/>
      </c>
    </row>
    <row r="1061">
      <c r="D1061" s="8" t="n"/>
      <c r="E1061" s="9">
        <f>IF(B1061="","",IF(B1061="OWN","Yes","No"))</f>
        <v/>
      </c>
      <c r="AF1061" s="9">
        <f>IF(ISNUMBER(Z1061),IF(Z1061&lt;=2,"&lt;=2 d",IF(Z1061&lt;=7,"3-7 d",IF(Z1061&lt;=30,"8-30 d","&gt;30 d"))),IF(AE1061&lt;&gt;"",AE1061,IF(Z1061="NR","NR","")))</f>
        <v/>
      </c>
      <c r="AX1061" s="9">
        <f>IF(ISNUMBER(AW1061),IF(AW1061&gt;450,"Yes","No"),IF(AW1061="NR","NR",""))</f>
        <v/>
      </c>
      <c r="BJ1061" s="9">
        <f>IF(BB1061="","",IF(BB1061="Non-viable","Non-viable",IF(BB1061="Viable","Viable",IF(BB1061="Partially non-viable",IF(OR(BD1061="Total splenectomy",BD1061="Partial splenectomy +/- splenopexy"),"Non-viable","Review"),IF(BB1061="NR",IF(OR(BD1061="Total splenectomy",BD1061="Partial splenectomy +/- splenopexy"),"NR - removed, check reason","NR"),"Not applicable")))))</f>
        <v/>
      </c>
    </row>
    <row r="1062">
      <c r="D1062" s="8" t="n"/>
      <c r="E1062" s="9">
        <f>IF(B1062="","",IF(B1062="OWN","Yes","No"))</f>
        <v/>
      </c>
      <c r="AF1062" s="9">
        <f>IF(ISNUMBER(Z1062),IF(Z1062&lt;=2,"&lt;=2 d",IF(Z1062&lt;=7,"3-7 d",IF(Z1062&lt;=30,"8-30 d","&gt;30 d"))),IF(AE1062&lt;&gt;"",AE1062,IF(Z1062="NR","NR","")))</f>
        <v/>
      </c>
      <c r="AX1062" s="9">
        <f>IF(ISNUMBER(AW1062),IF(AW1062&gt;450,"Yes","No"),IF(AW1062="NR","NR",""))</f>
        <v/>
      </c>
      <c r="BJ1062" s="9">
        <f>IF(BB1062="","",IF(BB1062="Non-viable","Non-viable",IF(BB1062="Viable","Viable",IF(BB1062="Partially non-viable",IF(OR(BD1062="Total splenectomy",BD1062="Partial splenectomy +/- splenopexy"),"Non-viable","Review"),IF(BB1062="NR",IF(OR(BD1062="Total splenectomy",BD1062="Partial splenectomy +/- splenopexy"),"NR - removed, check reason","NR"),"Not applicable")))))</f>
        <v/>
      </c>
    </row>
    <row r="1063">
      <c r="D1063" s="8" t="n"/>
      <c r="E1063" s="9">
        <f>IF(B1063="","",IF(B1063="OWN","Yes","No"))</f>
        <v/>
      </c>
      <c r="AF1063" s="9">
        <f>IF(ISNUMBER(Z1063),IF(Z1063&lt;=2,"&lt;=2 d",IF(Z1063&lt;=7,"3-7 d",IF(Z1063&lt;=30,"8-30 d","&gt;30 d"))),IF(AE1063&lt;&gt;"",AE1063,IF(Z1063="NR","NR","")))</f>
        <v/>
      </c>
      <c r="AX1063" s="9">
        <f>IF(ISNUMBER(AW1063),IF(AW1063&gt;450,"Yes","No"),IF(AW1063="NR","NR",""))</f>
        <v/>
      </c>
      <c r="BJ1063" s="9">
        <f>IF(BB1063="","",IF(BB1063="Non-viable","Non-viable",IF(BB1063="Viable","Viable",IF(BB1063="Partially non-viable",IF(OR(BD1063="Total splenectomy",BD1063="Partial splenectomy +/- splenopexy"),"Non-viable","Review"),IF(BB1063="NR",IF(OR(BD1063="Total splenectomy",BD1063="Partial splenectomy +/- splenopexy"),"NR - removed, check reason","NR"),"Not applicable")))))</f>
        <v/>
      </c>
    </row>
    <row r="1064">
      <c r="D1064" s="8" t="n"/>
      <c r="E1064" s="9">
        <f>IF(B1064="","",IF(B1064="OWN","Yes","No"))</f>
        <v/>
      </c>
      <c r="AF1064" s="9">
        <f>IF(ISNUMBER(Z1064),IF(Z1064&lt;=2,"&lt;=2 d",IF(Z1064&lt;=7,"3-7 d",IF(Z1064&lt;=30,"8-30 d","&gt;30 d"))),IF(AE1064&lt;&gt;"",AE1064,IF(Z1064="NR","NR","")))</f>
        <v/>
      </c>
      <c r="AX1064" s="9">
        <f>IF(ISNUMBER(AW1064),IF(AW1064&gt;450,"Yes","No"),IF(AW1064="NR","NR",""))</f>
        <v/>
      </c>
      <c r="BJ1064" s="9">
        <f>IF(BB1064="","",IF(BB1064="Non-viable","Non-viable",IF(BB1064="Viable","Viable",IF(BB1064="Partially non-viable",IF(OR(BD1064="Total splenectomy",BD1064="Partial splenectomy +/- splenopexy"),"Non-viable","Review"),IF(BB1064="NR",IF(OR(BD1064="Total splenectomy",BD1064="Partial splenectomy +/- splenopexy"),"NR - removed, check reason","NR"),"Not applicable")))))</f>
        <v/>
      </c>
    </row>
    <row r="1065">
      <c r="D1065" s="8" t="n"/>
      <c r="E1065" s="9">
        <f>IF(B1065="","",IF(B1065="OWN","Yes","No"))</f>
        <v/>
      </c>
      <c r="AF1065" s="9">
        <f>IF(ISNUMBER(Z1065),IF(Z1065&lt;=2,"&lt;=2 d",IF(Z1065&lt;=7,"3-7 d",IF(Z1065&lt;=30,"8-30 d","&gt;30 d"))),IF(AE1065&lt;&gt;"",AE1065,IF(Z1065="NR","NR","")))</f>
        <v/>
      </c>
      <c r="AX1065" s="9">
        <f>IF(ISNUMBER(AW1065),IF(AW1065&gt;450,"Yes","No"),IF(AW1065="NR","NR",""))</f>
        <v/>
      </c>
      <c r="BJ1065" s="9">
        <f>IF(BB1065="","",IF(BB1065="Non-viable","Non-viable",IF(BB1065="Viable","Viable",IF(BB1065="Partially non-viable",IF(OR(BD1065="Total splenectomy",BD1065="Partial splenectomy +/- splenopexy"),"Non-viable","Review"),IF(BB1065="NR",IF(OR(BD1065="Total splenectomy",BD1065="Partial splenectomy +/- splenopexy"),"NR - removed, check reason","NR"),"Not applicable")))))</f>
        <v/>
      </c>
    </row>
    <row r="1066">
      <c r="D1066" s="8" t="n"/>
      <c r="E1066" s="9">
        <f>IF(B1066="","",IF(B1066="OWN","Yes","No"))</f>
        <v/>
      </c>
      <c r="AF1066" s="9">
        <f>IF(ISNUMBER(Z1066),IF(Z1066&lt;=2,"&lt;=2 d",IF(Z1066&lt;=7,"3-7 d",IF(Z1066&lt;=30,"8-30 d","&gt;30 d"))),IF(AE1066&lt;&gt;"",AE1066,IF(Z1066="NR","NR","")))</f>
        <v/>
      </c>
      <c r="AX1066" s="9">
        <f>IF(ISNUMBER(AW1066),IF(AW1066&gt;450,"Yes","No"),IF(AW1066="NR","NR",""))</f>
        <v/>
      </c>
      <c r="BJ1066" s="9">
        <f>IF(BB1066="","",IF(BB1066="Non-viable","Non-viable",IF(BB1066="Viable","Viable",IF(BB1066="Partially non-viable",IF(OR(BD1066="Total splenectomy",BD1066="Partial splenectomy +/- splenopexy"),"Non-viable","Review"),IF(BB1066="NR",IF(OR(BD1066="Total splenectomy",BD1066="Partial splenectomy +/- splenopexy"),"NR - removed, check reason","NR"),"Not applicable")))))</f>
        <v/>
      </c>
    </row>
    <row r="1067">
      <c r="D1067" s="8" t="n"/>
      <c r="E1067" s="9">
        <f>IF(B1067="","",IF(B1067="OWN","Yes","No"))</f>
        <v/>
      </c>
      <c r="AF1067" s="9">
        <f>IF(ISNUMBER(Z1067),IF(Z1067&lt;=2,"&lt;=2 d",IF(Z1067&lt;=7,"3-7 d",IF(Z1067&lt;=30,"8-30 d","&gt;30 d"))),IF(AE1067&lt;&gt;"",AE1067,IF(Z1067="NR","NR","")))</f>
        <v/>
      </c>
      <c r="AX1067" s="9">
        <f>IF(ISNUMBER(AW1067),IF(AW1067&gt;450,"Yes","No"),IF(AW1067="NR","NR",""))</f>
        <v/>
      </c>
      <c r="BJ1067" s="9">
        <f>IF(BB1067="","",IF(BB1067="Non-viable","Non-viable",IF(BB1067="Viable","Viable",IF(BB1067="Partially non-viable",IF(OR(BD1067="Total splenectomy",BD1067="Partial splenectomy +/- splenopexy"),"Non-viable","Review"),IF(BB1067="NR",IF(OR(BD1067="Total splenectomy",BD1067="Partial splenectomy +/- splenopexy"),"NR - removed, check reason","NR"),"Not applicable")))))</f>
        <v/>
      </c>
    </row>
    <row r="1068">
      <c r="D1068" s="8" t="n"/>
      <c r="E1068" s="9">
        <f>IF(B1068="","",IF(B1068="OWN","Yes","No"))</f>
        <v/>
      </c>
      <c r="AF1068" s="9">
        <f>IF(ISNUMBER(Z1068),IF(Z1068&lt;=2,"&lt;=2 d",IF(Z1068&lt;=7,"3-7 d",IF(Z1068&lt;=30,"8-30 d","&gt;30 d"))),IF(AE1068&lt;&gt;"",AE1068,IF(Z1068="NR","NR","")))</f>
        <v/>
      </c>
      <c r="AX1068" s="9">
        <f>IF(ISNUMBER(AW1068),IF(AW1068&gt;450,"Yes","No"),IF(AW1068="NR","NR",""))</f>
        <v/>
      </c>
      <c r="BJ1068" s="9">
        <f>IF(BB1068="","",IF(BB1068="Non-viable","Non-viable",IF(BB1068="Viable","Viable",IF(BB1068="Partially non-viable",IF(OR(BD1068="Total splenectomy",BD1068="Partial splenectomy +/- splenopexy"),"Non-viable","Review"),IF(BB1068="NR",IF(OR(BD1068="Total splenectomy",BD1068="Partial splenectomy +/- splenopexy"),"NR - removed, check reason","NR"),"Not applicable")))))</f>
        <v/>
      </c>
    </row>
    <row r="1069">
      <c r="D1069" s="8" t="n"/>
      <c r="E1069" s="9">
        <f>IF(B1069="","",IF(B1069="OWN","Yes","No"))</f>
        <v/>
      </c>
      <c r="AF1069" s="9">
        <f>IF(ISNUMBER(Z1069),IF(Z1069&lt;=2,"&lt;=2 d",IF(Z1069&lt;=7,"3-7 d",IF(Z1069&lt;=30,"8-30 d","&gt;30 d"))),IF(AE1069&lt;&gt;"",AE1069,IF(Z1069="NR","NR","")))</f>
        <v/>
      </c>
      <c r="AX1069" s="9">
        <f>IF(ISNUMBER(AW1069),IF(AW1069&gt;450,"Yes","No"),IF(AW1069="NR","NR",""))</f>
        <v/>
      </c>
      <c r="BJ1069" s="9">
        <f>IF(BB1069="","",IF(BB1069="Non-viable","Non-viable",IF(BB1069="Viable","Viable",IF(BB1069="Partially non-viable",IF(OR(BD1069="Total splenectomy",BD1069="Partial splenectomy +/- splenopexy"),"Non-viable","Review"),IF(BB1069="NR",IF(OR(BD1069="Total splenectomy",BD1069="Partial splenectomy +/- splenopexy"),"NR - removed, check reason","NR"),"Not applicable")))))</f>
        <v/>
      </c>
    </row>
    <row r="1070">
      <c r="D1070" s="8" t="n"/>
      <c r="E1070" s="9">
        <f>IF(B1070="","",IF(B1070="OWN","Yes","No"))</f>
        <v/>
      </c>
      <c r="AF1070" s="9">
        <f>IF(ISNUMBER(Z1070),IF(Z1070&lt;=2,"&lt;=2 d",IF(Z1070&lt;=7,"3-7 d",IF(Z1070&lt;=30,"8-30 d","&gt;30 d"))),IF(AE1070&lt;&gt;"",AE1070,IF(Z1070="NR","NR","")))</f>
        <v/>
      </c>
      <c r="AX1070" s="9">
        <f>IF(ISNUMBER(AW1070),IF(AW1070&gt;450,"Yes","No"),IF(AW1070="NR","NR",""))</f>
        <v/>
      </c>
      <c r="BJ1070" s="9">
        <f>IF(BB1070="","",IF(BB1070="Non-viable","Non-viable",IF(BB1070="Viable","Viable",IF(BB1070="Partially non-viable",IF(OR(BD1070="Total splenectomy",BD1070="Partial splenectomy +/- splenopexy"),"Non-viable","Review"),IF(BB1070="NR",IF(OR(BD1070="Total splenectomy",BD1070="Partial splenectomy +/- splenopexy"),"NR - removed, check reason","NR"),"Not applicable")))))</f>
        <v/>
      </c>
    </row>
    <row r="1071">
      <c r="D1071" s="8" t="n"/>
      <c r="E1071" s="9">
        <f>IF(B1071="","",IF(B1071="OWN","Yes","No"))</f>
        <v/>
      </c>
      <c r="AF1071" s="9">
        <f>IF(ISNUMBER(Z1071),IF(Z1071&lt;=2,"&lt;=2 d",IF(Z1071&lt;=7,"3-7 d",IF(Z1071&lt;=30,"8-30 d","&gt;30 d"))),IF(AE1071&lt;&gt;"",AE1071,IF(Z1071="NR","NR","")))</f>
        <v/>
      </c>
      <c r="AX1071" s="9">
        <f>IF(ISNUMBER(AW1071),IF(AW1071&gt;450,"Yes","No"),IF(AW1071="NR","NR",""))</f>
        <v/>
      </c>
      <c r="BJ1071" s="9">
        <f>IF(BB1071="","",IF(BB1071="Non-viable","Non-viable",IF(BB1071="Viable","Viable",IF(BB1071="Partially non-viable",IF(OR(BD1071="Total splenectomy",BD1071="Partial splenectomy +/- splenopexy"),"Non-viable","Review"),IF(BB1071="NR",IF(OR(BD1071="Total splenectomy",BD1071="Partial splenectomy +/- splenopexy"),"NR - removed, check reason","NR"),"Not applicable")))))</f>
        <v/>
      </c>
    </row>
    <row r="1072">
      <c r="D1072" s="8" t="n"/>
      <c r="E1072" s="9">
        <f>IF(B1072="","",IF(B1072="OWN","Yes","No"))</f>
        <v/>
      </c>
      <c r="AF1072" s="9">
        <f>IF(ISNUMBER(Z1072),IF(Z1072&lt;=2,"&lt;=2 d",IF(Z1072&lt;=7,"3-7 d",IF(Z1072&lt;=30,"8-30 d","&gt;30 d"))),IF(AE1072&lt;&gt;"",AE1072,IF(Z1072="NR","NR","")))</f>
        <v/>
      </c>
      <c r="AX1072" s="9">
        <f>IF(ISNUMBER(AW1072),IF(AW1072&gt;450,"Yes","No"),IF(AW1072="NR","NR",""))</f>
        <v/>
      </c>
      <c r="BJ1072" s="9">
        <f>IF(BB1072="","",IF(BB1072="Non-viable","Non-viable",IF(BB1072="Viable","Viable",IF(BB1072="Partially non-viable",IF(OR(BD1072="Total splenectomy",BD1072="Partial splenectomy +/- splenopexy"),"Non-viable","Review"),IF(BB1072="NR",IF(OR(BD1072="Total splenectomy",BD1072="Partial splenectomy +/- splenopexy"),"NR - removed, check reason","NR"),"Not applicable")))))</f>
        <v/>
      </c>
    </row>
    <row r="1073">
      <c r="D1073" s="8" t="n"/>
      <c r="E1073" s="9">
        <f>IF(B1073="","",IF(B1073="OWN","Yes","No"))</f>
        <v/>
      </c>
      <c r="AF1073" s="9">
        <f>IF(ISNUMBER(Z1073),IF(Z1073&lt;=2,"&lt;=2 d",IF(Z1073&lt;=7,"3-7 d",IF(Z1073&lt;=30,"8-30 d","&gt;30 d"))),IF(AE1073&lt;&gt;"",AE1073,IF(Z1073="NR","NR","")))</f>
        <v/>
      </c>
      <c r="AX1073" s="9">
        <f>IF(ISNUMBER(AW1073),IF(AW1073&gt;450,"Yes","No"),IF(AW1073="NR","NR",""))</f>
        <v/>
      </c>
      <c r="BJ1073" s="9">
        <f>IF(BB1073="","",IF(BB1073="Non-viable","Non-viable",IF(BB1073="Viable","Viable",IF(BB1073="Partially non-viable",IF(OR(BD1073="Total splenectomy",BD1073="Partial splenectomy +/- splenopexy"),"Non-viable","Review"),IF(BB1073="NR",IF(OR(BD1073="Total splenectomy",BD1073="Partial splenectomy +/- splenopexy"),"NR - removed, check reason","NR"),"Not applicable")))))</f>
        <v/>
      </c>
    </row>
    <row r="1074">
      <c r="D1074" s="8" t="n"/>
      <c r="E1074" s="9">
        <f>IF(B1074="","",IF(B1074="OWN","Yes","No"))</f>
        <v/>
      </c>
      <c r="AF1074" s="9">
        <f>IF(ISNUMBER(Z1074),IF(Z1074&lt;=2,"&lt;=2 d",IF(Z1074&lt;=7,"3-7 d",IF(Z1074&lt;=30,"8-30 d","&gt;30 d"))),IF(AE1074&lt;&gt;"",AE1074,IF(Z1074="NR","NR","")))</f>
        <v/>
      </c>
      <c r="AX1074" s="9">
        <f>IF(ISNUMBER(AW1074),IF(AW1074&gt;450,"Yes","No"),IF(AW1074="NR","NR",""))</f>
        <v/>
      </c>
      <c r="BJ1074" s="9">
        <f>IF(BB1074="","",IF(BB1074="Non-viable","Non-viable",IF(BB1074="Viable","Viable",IF(BB1074="Partially non-viable",IF(OR(BD1074="Total splenectomy",BD1074="Partial splenectomy +/- splenopexy"),"Non-viable","Review"),IF(BB1074="NR",IF(OR(BD1074="Total splenectomy",BD1074="Partial splenectomy +/- splenopexy"),"NR - removed, check reason","NR"),"Not applicable")))))</f>
        <v/>
      </c>
    </row>
    <row r="1075">
      <c r="D1075" s="8" t="n"/>
      <c r="E1075" s="9">
        <f>IF(B1075="","",IF(B1075="OWN","Yes","No"))</f>
        <v/>
      </c>
      <c r="AF1075" s="9">
        <f>IF(ISNUMBER(Z1075),IF(Z1075&lt;=2,"&lt;=2 d",IF(Z1075&lt;=7,"3-7 d",IF(Z1075&lt;=30,"8-30 d","&gt;30 d"))),IF(AE1075&lt;&gt;"",AE1075,IF(Z1075="NR","NR","")))</f>
        <v/>
      </c>
      <c r="AX1075" s="9">
        <f>IF(ISNUMBER(AW1075),IF(AW1075&gt;450,"Yes","No"),IF(AW1075="NR","NR",""))</f>
        <v/>
      </c>
      <c r="BJ1075" s="9">
        <f>IF(BB1075="","",IF(BB1075="Non-viable","Non-viable",IF(BB1075="Viable","Viable",IF(BB1075="Partially non-viable",IF(OR(BD1075="Total splenectomy",BD1075="Partial splenectomy +/- splenopexy"),"Non-viable","Review"),IF(BB1075="NR",IF(OR(BD1075="Total splenectomy",BD1075="Partial splenectomy +/- splenopexy"),"NR - removed, check reason","NR"),"Not applicable")))))</f>
        <v/>
      </c>
    </row>
    <row r="1076">
      <c r="D1076" s="8" t="n"/>
      <c r="E1076" s="9">
        <f>IF(B1076="","",IF(B1076="OWN","Yes","No"))</f>
        <v/>
      </c>
      <c r="AF1076" s="9">
        <f>IF(ISNUMBER(Z1076),IF(Z1076&lt;=2,"&lt;=2 d",IF(Z1076&lt;=7,"3-7 d",IF(Z1076&lt;=30,"8-30 d","&gt;30 d"))),IF(AE1076&lt;&gt;"",AE1076,IF(Z1076="NR","NR","")))</f>
        <v/>
      </c>
      <c r="AX1076" s="9">
        <f>IF(ISNUMBER(AW1076),IF(AW1076&gt;450,"Yes","No"),IF(AW1076="NR","NR",""))</f>
        <v/>
      </c>
      <c r="BJ1076" s="9">
        <f>IF(BB1076="","",IF(BB1076="Non-viable","Non-viable",IF(BB1076="Viable","Viable",IF(BB1076="Partially non-viable",IF(OR(BD1076="Total splenectomy",BD1076="Partial splenectomy +/- splenopexy"),"Non-viable","Review"),IF(BB1076="NR",IF(OR(BD1076="Total splenectomy",BD1076="Partial splenectomy +/- splenopexy"),"NR - removed, check reason","NR"),"Not applicable")))))</f>
        <v/>
      </c>
    </row>
    <row r="1077">
      <c r="D1077" s="8" t="n"/>
      <c r="E1077" s="9">
        <f>IF(B1077="","",IF(B1077="OWN","Yes","No"))</f>
        <v/>
      </c>
      <c r="AF1077" s="9">
        <f>IF(ISNUMBER(Z1077),IF(Z1077&lt;=2,"&lt;=2 d",IF(Z1077&lt;=7,"3-7 d",IF(Z1077&lt;=30,"8-30 d","&gt;30 d"))),IF(AE1077&lt;&gt;"",AE1077,IF(Z1077="NR","NR","")))</f>
        <v/>
      </c>
      <c r="AX1077" s="9">
        <f>IF(ISNUMBER(AW1077),IF(AW1077&gt;450,"Yes","No"),IF(AW1077="NR","NR",""))</f>
        <v/>
      </c>
      <c r="BJ1077" s="9">
        <f>IF(BB1077="","",IF(BB1077="Non-viable","Non-viable",IF(BB1077="Viable","Viable",IF(BB1077="Partially non-viable",IF(OR(BD1077="Total splenectomy",BD1077="Partial splenectomy +/- splenopexy"),"Non-viable","Review"),IF(BB1077="NR",IF(OR(BD1077="Total splenectomy",BD1077="Partial splenectomy +/- splenopexy"),"NR - removed, check reason","NR"),"Not applicable")))))</f>
        <v/>
      </c>
    </row>
    <row r="1078">
      <c r="D1078" s="8" t="n"/>
      <c r="E1078" s="9">
        <f>IF(B1078="","",IF(B1078="OWN","Yes","No"))</f>
        <v/>
      </c>
      <c r="AF1078" s="9">
        <f>IF(ISNUMBER(Z1078),IF(Z1078&lt;=2,"&lt;=2 d",IF(Z1078&lt;=7,"3-7 d",IF(Z1078&lt;=30,"8-30 d","&gt;30 d"))),IF(AE1078&lt;&gt;"",AE1078,IF(Z1078="NR","NR","")))</f>
        <v/>
      </c>
      <c r="AX1078" s="9">
        <f>IF(ISNUMBER(AW1078),IF(AW1078&gt;450,"Yes","No"),IF(AW1078="NR","NR",""))</f>
        <v/>
      </c>
      <c r="BJ1078" s="9">
        <f>IF(BB1078="","",IF(BB1078="Non-viable","Non-viable",IF(BB1078="Viable","Viable",IF(BB1078="Partially non-viable",IF(OR(BD1078="Total splenectomy",BD1078="Partial splenectomy +/- splenopexy"),"Non-viable","Review"),IF(BB1078="NR",IF(OR(BD1078="Total splenectomy",BD1078="Partial splenectomy +/- splenopexy"),"NR - removed, check reason","NR"),"Not applicable")))))</f>
        <v/>
      </c>
    </row>
    <row r="1079">
      <c r="D1079" s="8" t="n"/>
      <c r="E1079" s="9">
        <f>IF(B1079="","",IF(B1079="OWN","Yes","No"))</f>
        <v/>
      </c>
      <c r="AF1079" s="9">
        <f>IF(ISNUMBER(Z1079),IF(Z1079&lt;=2,"&lt;=2 d",IF(Z1079&lt;=7,"3-7 d",IF(Z1079&lt;=30,"8-30 d","&gt;30 d"))),IF(AE1079&lt;&gt;"",AE1079,IF(Z1079="NR","NR","")))</f>
        <v/>
      </c>
      <c r="AX1079" s="9">
        <f>IF(ISNUMBER(AW1079),IF(AW1079&gt;450,"Yes","No"),IF(AW1079="NR","NR",""))</f>
        <v/>
      </c>
      <c r="BJ1079" s="9">
        <f>IF(BB1079="","",IF(BB1079="Non-viable","Non-viable",IF(BB1079="Viable","Viable",IF(BB1079="Partially non-viable",IF(OR(BD1079="Total splenectomy",BD1079="Partial splenectomy +/- splenopexy"),"Non-viable","Review"),IF(BB1079="NR",IF(OR(BD1079="Total splenectomy",BD1079="Partial splenectomy +/- splenopexy"),"NR - removed, check reason","NR"),"Not applicable")))))</f>
        <v/>
      </c>
    </row>
    <row r="1080">
      <c r="D1080" s="8" t="n"/>
      <c r="E1080" s="9">
        <f>IF(B1080="","",IF(B1080="OWN","Yes","No"))</f>
        <v/>
      </c>
      <c r="AF1080" s="9">
        <f>IF(ISNUMBER(Z1080),IF(Z1080&lt;=2,"&lt;=2 d",IF(Z1080&lt;=7,"3-7 d",IF(Z1080&lt;=30,"8-30 d","&gt;30 d"))),IF(AE1080&lt;&gt;"",AE1080,IF(Z1080="NR","NR","")))</f>
        <v/>
      </c>
      <c r="AX1080" s="9">
        <f>IF(ISNUMBER(AW1080),IF(AW1080&gt;450,"Yes","No"),IF(AW1080="NR","NR",""))</f>
        <v/>
      </c>
      <c r="BJ1080" s="9">
        <f>IF(BB1080="","",IF(BB1080="Non-viable","Non-viable",IF(BB1080="Viable","Viable",IF(BB1080="Partially non-viable",IF(OR(BD1080="Total splenectomy",BD1080="Partial splenectomy +/- splenopexy"),"Non-viable","Review"),IF(BB1080="NR",IF(OR(BD1080="Total splenectomy",BD1080="Partial splenectomy +/- splenopexy"),"NR - removed, check reason","NR"),"Not applicable")))))</f>
        <v/>
      </c>
    </row>
    <row r="1081">
      <c r="D1081" s="8" t="n"/>
      <c r="E1081" s="9">
        <f>IF(B1081="","",IF(B1081="OWN","Yes","No"))</f>
        <v/>
      </c>
      <c r="AF1081" s="9">
        <f>IF(ISNUMBER(Z1081),IF(Z1081&lt;=2,"&lt;=2 d",IF(Z1081&lt;=7,"3-7 d",IF(Z1081&lt;=30,"8-30 d","&gt;30 d"))),IF(AE1081&lt;&gt;"",AE1081,IF(Z1081="NR","NR","")))</f>
        <v/>
      </c>
      <c r="AX1081" s="9">
        <f>IF(ISNUMBER(AW1081),IF(AW1081&gt;450,"Yes","No"),IF(AW1081="NR","NR",""))</f>
        <v/>
      </c>
      <c r="BJ1081" s="9">
        <f>IF(BB1081="","",IF(BB1081="Non-viable","Non-viable",IF(BB1081="Viable","Viable",IF(BB1081="Partially non-viable",IF(OR(BD1081="Total splenectomy",BD1081="Partial splenectomy +/- splenopexy"),"Non-viable","Review"),IF(BB1081="NR",IF(OR(BD1081="Total splenectomy",BD1081="Partial splenectomy +/- splenopexy"),"NR - removed, check reason","NR"),"Not applicable")))))</f>
        <v/>
      </c>
    </row>
    <row r="1082">
      <c r="D1082" s="8" t="n"/>
      <c r="E1082" s="9">
        <f>IF(B1082="","",IF(B1082="OWN","Yes","No"))</f>
        <v/>
      </c>
      <c r="AF1082" s="9">
        <f>IF(ISNUMBER(Z1082),IF(Z1082&lt;=2,"&lt;=2 d",IF(Z1082&lt;=7,"3-7 d",IF(Z1082&lt;=30,"8-30 d","&gt;30 d"))),IF(AE1082&lt;&gt;"",AE1082,IF(Z1082="NR","NR","")))</f>
        <v/>
      </c>
      <c r="AX1082" s="9">
        <f>IF(ISNUMBER(AW1082),IF(AW1082&gt;450,"Yes","No"),IF(AW1082="NR","NR",""))</f>
        <v/>
      </c>
      <c r="BJ1082" s="9">
        <f>IF(BB1082="","",IF(BB1082="Non-viable","Non-viable",IF(BB1082="Viable","Viable",IF(BB1082="Partially non-viable",IF(OR(BD1082="Total splenectomy",BD1082="Partial splenectomy +/- splenopexy"),"Non-viable","Review"),IF(BB1082="NR",IF(OR(BD1082="Total splenectomy",BD1082="Partial splenectomy +/- splenopexy"),"NR - removed, check reason","NR"),"Not applicable")))))</f>
        <v/>
      </c>
    </row>
    <row r="1083">
      <c r="D1083" s="8" t="n"/>
      <c r="E1083" s="9">
        <f>IF(B1083="","",IF(B1083="OWN","Yes","No"))</f>
        <v/>
      </c>
      <c r="AF1083" s="9">
        <f>IF(ISNUMBER(Z1083),IF(Z1083&lt;=2,"&lt;=2 d",IF(Z1083&lt;=7,"3-7 d",IF(Z1083&lt;=30,"8-30 d","&gt;30 d"))),IF(AE1083&lt;&gt;"",AE1083,IF(Z1083="NR","NR","")))</f>
        <v/>
      </c>
      <c r="AX1083" s="9">
        <f>IF(ISNUMBER(AW1083),IF(AW1083&gt;450,"Yes","No"),IF(AW1083="NR","NR",""))</f>
        <v/>
      </c>
      <c r="BJ1083" s="9">
        <f>IF(BB1083="","",IF(BB1083="Non-viable","Non-viable",IF(BB1083="Viable","Viable",IF(BB1083="Partially non-viable",IF(OR(BD1083="Total splenectomy",BD1083="Partial splenectomy +/- splenopexy"),"Non-viable","Review"),IF(BB1083="NR",IF(OR(BD1083="Total splenectomy",BD1083="Partial splenectomy +/- splenopexy"),"NR - removed, check reason","NR"),"Not applicable")))))</f>
        <v/>
      </c>
    </row>
    <row r="1084">
      <c r="D1084" s="8" t="n"/>
      <c r="E1084" s="9">
        <f>IF(B1084="","",IF(B1084="OWN","Yes","No"))</f>
        <v/>
      </c>
      <c r="AF1084" s="9">
        <f>IF(ISNUMBER(Z1084),IF(Z1084&lt;=2,"&lt;=2 d",IF(Z1084&lt;=7,"3-7 d",IF(Z1084&lt;=30,"8-30 d","&gt;30 d"))),IF(AE1084&lt;&gt;"",AE1084,IF(Z1084="NR","NR","")))</f>
        <v/>
      </c>
      <c r="AX1084" s="9">
        <f>IF(ISNUMBER(AW1084),IF(AW1084&gt;450,"Yes","No"),IF(AW1084="NR","NR",""))</f>
        <v/>
      </c>
      <c r="BJ1084" s="9">
        <f>IF(BB1084="","",IF(BB1084="Non-viable","Non-viable",IF(BB1084="Viable","Viable",IF(BB1084="Partially non-viable",IF(OR(BD1084="Total splenectomy",BD1084="Partial splenectomy +/- splenopexy"),"Non-viable","Review"),IF(BB1084="NR",IF(OR(BD1084="Total splenectomy",BD1084="Partial splenectomy +/- splenopexy"),"NR - removed, check reason","NR"),"Not applicable")))))</f>
        <v/>
      </c>
    </row>
    <row r="1085">
      <c r="D1085" s="8" t="n"/>
      <c r="E1085" s="9">
        <f>IF(B1085="","",IF(B1085="OWN","Yes","No"))</f>
        <v/>
      </c>
      <c r="AF1085" s="9">
        <f>IF(ISNUMBER(Z1085),IF(Z1085&lt;=2,"&lt;=2 d",IF(Z1085&lt;=7,"3-7 d",IF(Z1085&lt;=30,"8-30 d","&gt;30 d"))),IF(AE1085&lt;&gt;"",AE1085,IF(Z1085="NR","NR","")))</f>
        <v/>
      </c>
      <c r="AX1085" s="9">
        <f>IF(ISNUMBER(AW1085),IF(AW1085&gt;450,"Yes","No"),IF(AW1085="NR","NR",""))</f>
        <v/>
      </c>
      <c r="BJ1085" s="9">
        <f>IF(BB1085="","",IF(BB1085="Non-viable","Non-viable",IF(BB1085="Viable","Viable",IF(BB1085="Partially non-viable",IF(OR(BD1085="Total splenectomy",BD1085="Partial splenectomy +/- splenopexy"),"Non-viable","Review"),IF(BB1085="NR",IF(OR(BD1085="Total splenectomy",BD1085="Partial splenectomy +/- splenopexy"),"NR - removed, check reason","NR"),"Not applicable")))))</f>
        <v/>
      </c>
    </row>
    <row r="1086">
      <c r="D1086" s="8" t="n"/>
      <c r="E1086" s="9">
        <f>IF(B1086="","",IF(B1086="OWN","Yes","No"))</f>
        <v/>
      </c>
      <c r="AF1086" s="9">
        <f>IF(ISNUMBER(Z1086),IF(Z1086&lt;=2,"&lt;=2 d",IF(Z1086&lt;=7,"3-7 d",IF(Z1086&lt;=30,"8-30 d","&gt;30 d"))),IF(AE1086&lt;&gt;"",AE1086,IF(Z1086="NR","NR","")))</f>
        <v/>
      </c>
      <c r="AX1086" s="9">
        <f>IF(ISNUMBER(AW1086),IF(AW1086&gt;450,"Yes","No"),IF(AW1086="NR","NR",""))</f>
        <v/>
      </c>
      <c r="BJ1086" s="9">
        <f>IF(BB1086="","",IF(BB1086="Non-viable","Non-viable",IF(BB1086="Viable","Viable",IF(BB1086="Partially non-viable",IF(OR(BD1086="Total splenectomy",BD1086="Partial splenectomy +/- splenopexy"),"Non-viable","Review"),IF(BB1086="NR",IF(OR(BD1086="Total splenectomy",BD1086="Partial splenectomy +/- splenopexy"),"NR - removed, check reason","NR"),"Not applicable")))))</f>
        <v/>
      </c>
    </row>
    <row r="1087">
      <c r="D1087" s="8" t="n"/>
      <c r="E1087" s="9">
        <f>IF(B1087="","",IF(B1087="OWN","Yes","No"))</f>
        <v/>
      </c>
      <c r="AF1087" s="9">
        <f>IF(ISNUMBER(Z1087),IF(Z1087&lt;=2,"&lt;=2 d",IF(Z1087&lt;=7,"3-7 d",IF(Z1087&lt;=30,"8-30 d","&gt;30 d"))),IF(AE1087&lt;&gt;"",AE1087,IF(Z1087="NR","NR","")))</f>
        <v/>
      </c>
      <c r="AX1087" s="9">
        <f>IF(ISNUMBER(AW1087),IF(AW1087&gt;450,"Yes","No"),IF(AW1087="NR","NR",""))</f>
        <v/>
      </c>
      <c r="BJ1087" s="9">
        <f>IF(BB1087="","",IF(BB1087="Non-viable","Non-viable",IF(BB1087="Viable","Viable",IF(BB1087="Partially non-viable",IF(OR(BD1087="Total splenectomy",BD1087="Partial splenectomy +/- splenopexy"),"Non-viable","Review"),IF(BB1087="NR",IF(OR(BD1087="Total splenectomy",BD1087="Partial splenectomy +/- splenopexy"),"NR - removed, check reason","NR"),"Not applicable")))))</f>
        <v/>
      </c>
    </row>
    <row r="1088">
      <c r="D1088" s="8" t="n"/>
      <c r="E1088" s="9">
        <f>IF(B1088="","",IF(B1088="OWN","Yes","No"))</f>
        <v/>
      </c>
      <c r="AF1088" s="9">
        <f>IF(ISNUMBER(Z1088),IF(Z1088&lt;=2,"&lt;=2 d",IF(Z1088&lt;=7,"3-7 d",IF(Z1088&lt;=30,"8-30 d","&gt;30 d"))),IF(AE1088&lt;&gt;"",AE1088,IF(Z1088="NR","NR","")))</f>
        <v/>
      </c>
      <c r="AX1088" s="9">
        <f>IF(ISNUMBER(AW1088),IF(AW1088&gt;450,"Yes","No"),IF(AW1088="NR","NR",""))</f>
        <v/>
      </c>
      <c r="BJ1088" s="9">
        <f>IF(BB1088="","",IF(BB1088="Non-viable","Non-viable",IF(BB1088="Viable","Viable",IF(BB1088="Partially non-viable",IF(OR(BD1088="Total splenectomy",BD1088="Partial splenectomy +/- splenopexy"),"Non-viable","Review"),IF(BB1088="NR",IF(OR(BD1088="Total splenectomy",BD1088="Partial splenectomy +/- splenopexy"),"NR - removed, check reason","NR"),"Not applicable")))))</f>
        <v/>
      </c>
    </row>
    <row r="1089">
      <c r="D1089" s="8" t="n"/>
      <c r="E1089" s="9">
        <f>IF(B1089="","",IF(B1089="OWN","Yes","No"))</f>
        <v/>
      </c>
      <c r="AF1089" s="9">
        <f>IF(ISNUMBER(Z1089),IF(Z1089&lt;=2,"&lt;=2 d",IF(Z1089&lt;=7,"3-7 d",IF(Z1089&lt;=30,"8-30 d","&gt;30 d"))),IF(AE1089&lt;&gt;"",AE1089,IF(Z1089="NR","NR","")))</f>
        <v/>
      </c>
      <c r="AX1089" s="9">
        <f>IF(ISNUMBER(AW1089),IF(AW1089&gt;450,"Yes","No"),IF(AW1089="NR","NR",""))</f>
        <v/>
      </c>
      <c r="BJ1089" s="9">
        <f>IF(BB1089="","",IF(BB1089="Non-viable","Non-viable",IF(BB1089="Viable","Viable",IF(BB1089="Partially non-viable",IF(OR(BD1089="Total splenectomy",BD1089="Partial splenectomy +/- splenopexy"),"Non-viable","Review"),IF(BB1089="NR",IF(OR(BD1089="Total splenectomy",BD1089="Partial splenectomy +/- splenopexy"),"NR - removed, check reason","NR"),"Not applicable")))))</f>
        <v/>
      </c>
    </row>
    <row r="1090">
      <c r="D1090" s="8" t="n"/>
      <c r="E1090" s="9">
        <f>IF(B1090="","",IF(B1090="OWN","Yes","No"))</f>
        <v/>
      </c>
      <c r="AF1090" s="9">
        <f>IF(ISNUMBER(Z1090),IF(Z1090&lt;=2,"&lt;=2 d",IF(Z1090&lt;=7,"3-7 d",IF(Z1090&lt;=30,"8-30 d","&gt;30 d"))),IF(AE1090&lt;&gt;"",AE1090,IF(Z1090="NR","NR","")))</f>
        <v/>
      </c>
      <c r="AX1090" s="9">
        <f>IF(ISNUMBER(AW1090),IF(AW1090&gt;450,"Yes","No"),IF(AW1090="NR","NR",""))</f>
        <v/>
      </c>
      <c r="BJ1090" s="9">
        <f>IF(BB1090="","",IF(BB1090="Non-viable","Non-viable",IF(BB1090="Viable","Viable",IF(BB1090="Partially non-viable",IF(OR(BD1090="Total splenectomy",BD1090="Partial splenectomy +/- splenopexy"),"Non-viable","Review"),IF(BB1090="NR",IF(OR(BD1090="Total splenectomy",BD1090="Partial splenectomy +/- splenopexy"),"NR - removed, check reason","NR"),"Not applicable")))))</f>
        <v/>
      </c>
    </row>
    <row r="1091">
      <c r="D1091" s="8" t="n"/>
      <c r="E1091" s="9">
        <f>IF(B1091="","",IF(B1091="OWN","Yes","No"))</f>
        <v/>
      </c>
      <c r="AF1091" s="9">
        <f>IF(ISNUMBER(Z1091),IF(Z1091&lt;=2,"&lt;=2 d",IF(Z1091&lt;=7,"3-7 d",IF(Z1091&lt;=30,"8-30 d","&gt;30 d"))),IF(AE1091&lt;&gt;"",AE1091,IF(Z1091="NR","NR","")))</f>
        <v/>
      </c>
      <c r="AX1091" s="9">
        <f>IF(ISNUMBER(AW1091),IF(AW1091&gt;450,"Yes","No"),IF(AW1091="NR","NR",""))</f>
        <v/>
      </c>
      <c r="BJ1091" s="9">
        <f>IF(BB1091="","",IF(BB1091="Non-viable","Non-viable",IF(BB1091="Viable","Viable",IF(BB1091="Partially non-viable",IF(OR(BD1091="Total splenectomy",BD1091="Partial splenectomy +/- splenopexy"),"Non-viable","Review"),IF(BB1091="NR",IF(OR(BD1091="Total splenectomy",BD1091="Partial splenectomy +/- splenopexy"),"NR - removed, check reason","NR"),"Not applicable")))))</f>
        <v/>
      </c>
    </row>
    <row r="1092">
      <c r="D1092" s="8" t="n"/>
      <c r="E1092" s="9">
        <f>IF(B1092="","",IF(B1092="OWN","Yes","No"))</f>
        <v/>
      </c>
      <c r="AF1092" s="9">
        <f>IF(ISNUMBER(Z1092),IF(Z1092&lt;=2,"&lt;=2 d",IF(Z1092&lt;=7,"3-7 d",IF(Z1092&lt;=30,"8-30 d","&gt;30 d"))),IF(AE1092&lt;&gt;"",AE1092,IF(Z1092="NR","NR","")))</f>
        <v/>
      </c>
      <c r="AX1092" s="9">
        <f>IF(ISNUMBER(AW1092),IF(AW1092&gt;450,"Yes","No"),IF(AW1092="NR","NR",""))</f>
        <v/>
      </c>
      <c r="BJ1092" s="9">
        <f>IF(BB1092="","",IF(BB1092="Non-viable","Non-viable",IF(BB1092="Viable","Viable",IF(BB1092="Partially non-viable",IF(OR(BD1092="Total splenectomy",BD1092="Partial splenectomy +/- splenopexy"),"Non-viable","Review"),IF(BB1092="NR",IF(OR(BD1092="Total splenectomy",BD1092="Partial splenectomy +/- splenopexy"),"NR - removed, check reason","NR"),"Not applicable")))))</f>
        <v/>
      </c>
    </row>
    <row r="1093">
      <c r="D1093" s="8" t="n"/>
      <c r="E1093" s="9">
        <f>IF(B1093="","",IF(B1093="OWN","Yes","No"))</f>
        <v/>
      </c>
      <c r="AF1093" s="9">
        <f>IF(ISNUMBER(Z1093),IF(Z1093&lt;=2,"&lt;=2 d",IF(Z1093&lt;=7,"3-7 d",IF(Z1093&lt;=30,"8-30 d","&gt;30 d"))),IF(AE1093&lt;&gt;"",AE1093,IF(Z1093="NR","NR","")))</f>
        <v/>
      </c>
      <c r="AX1093" s="9">
        <f>IF(ISNUMBER(AW1093),IF(AW1093&gt;450,"Yes","No"),IF(AW1093="NR","NR",""))</f>
        <v/>
      </c>
      <c r="BJ1093" s="9">
        <f>IF(BB1093="","",IF(BB1093="Non-viable","Non-viable",IF(BB1093="Viable","Viable",IF(BB1093="Partially non-viable",IF(OR(BD1093="Total splenectomy",BD1093="Partial splenectomy +/- splenopexy"),"Non-viable","Review"),IF(BB1093="NR",IF(OR(BD1093="Total splenectomy",BD1093="Partial splenectomy +/- splenopexy"),"NR - removed, check reason","NR"),"Not applicable")))))</f>
        <v/>
      </c>
    </row>
    <row r="1094">
      <c r="D1094" s="8" t="n"/>
      <c r="E1094" s="9">
        <f>IF(B1094="","",IF(B1094="OWN","Yes","No"))</f>
        <v/>
      </c>
      <c r="AF1094" s="9">
        <f>IF(ISNUMBER(Z1094),IF(Z1094&lt;=2,"&lt;=2 d",IF(Z1094&lt;=7,"3-7 d",IF(Z1094&lt;=30,"8-30 d","&gt;30 d"))),IF(AE1094&lt;&gt;"",AE1094,IF(Z1094="NR","NR","")))</f>
        <v/>
      </c>
      <c r="AX1094" s="9">
        <f>IF(ISNUMBER(AW1094),IF(AW1094&gt;450,"Yes","No"),IF(AW1094="NR","NR",""))</f>
        <v/>
      </c>
      <c r="BJ1094" s="9">
        <f>IF(BB1094="","",IF(BB1094="Non-viable","Non-viable",IF(BB1094="Viable","Viable",IF(BB1094="Partially non-viable",IF(OR(BD1094="Total splenectomy",BD1094="Partial splenectomy +/- splenopexy"),"Non-viable","Review"),IF(BB1094="NR",IF(OR(BD1094="Total splenectomy",BD1094="Partial splenectomy +/- splenopexy"),"NR - removed, check reason","NR"),"Not applicable")))))</f>
        <v/>
      </c>
    </row>
    <row r="1095">
      <c r="D1095" s="8" t="n"/>
      <c r="E1095" s="9">
        <f>IF(B1095="","",IF(B1095="OWN","Yes","No"))</f>
        <v/>
      </c>
      <c r="AF1095" s="9">
        <f>IF(ISNUMBER(Z1095),IF(Z1095&lt;=2,"&lt;=2 d",IF(Z1095&lt;=7,"3-7 d",IF(Z1095&lt;=30,"8-30 d","&gt;30 d"))),IF(AE1095&lt;&gt;"",AE1095,IF(Z1095="NR","NR","")))</f>
        <v/>
      </c>
      <c r="AX1095" s="9">
        <f>IF(ISNUMBER(AW1095),IF(AW1095&gt;450,"Yes","No"),IF(AW1095="NR","NR",""))</f>
        <v/>
      </c>
      <c r="BJ1095" s="9">
        <f>IF(BB1095="","",IF(BB1095="Non-viable","Non-viable",IF(BB1095="Viable","Viable",IF(BB1095="Partially non-viable",IF(OR(BD1095="Total splenectomy",BD1095="Partial splenectomy +/- splenopexy"),"Non-viable","Review"),IF(BB1095="NR",IF(OR(BD1095="Total splenectomy",BD1095="Partial splenectomy +/- splenopexy"),"NR - removed, check reason","NR"),"Not applicable")))))</f>
        <v/>
      </c>
    </row>
    <row r="1096">
      <c r="D1096" s="8" t="n"/>
      <c r="E1096" s="9">
        <f>IF(B1096="","",IF(B1096="OWN","Yes","No"))</f>
        <v/>
      </c>
      <c r="AF1096" s="9">
        <f>IF(ISNUMBER(Z1096),IF(Z1096&lt;=2,"&lt;=2 d",IF(Z1096&lt;=7,"3-7 d",IF(Z1096&lt;=30,"8-30 d","&gt;30 d"))),IF(AE1096&lt;&gt;"",AE1096,IF(Z1096="NR","NR","")))</f>
        <v/>
      </c>
      <c r="AX1096" s="9">
        <f>IF(ISNUMBER(AW1096),IF(AW1096&gt;450,"Yes","No"),IF(AW1096="NR","NR",""))</f>
        <v/>
      </c>
      <c r="BJ1096" s="9">
        <f>IF(BB1096="","",IF(BB1096="Non-viable","Non-viable",IF(BB1096="Viable","Viable",IF(BB1096="Partially non-viable",IF(OR(BD1096="Total splenectomy",BD1096="Partial splenectomy +/- splenopexy"),"Non-viable","Review"),IF(BB1096="NR",IF(OR(BD1096="Total splenectomy",BD1096="Partial splenectomy +/- splenopexy"),"NR - removed, check reason","NR"),"Not applicable")))))</f>
        <v/>
      </c>
    </row>
    <row r="1097">
      <c r="D1097" s="8" t="n"/>
      <c r="E1097" s="9">
        <f>IF(B1097="","",IF(B1097="OWN","Yes","No"))</f>
        <v/>
      </c>
      <c r="AF1097" s="9">
        <f>IF(ISNUMBER(Z1097),IF(Z1097&lt;=2,"&lt;=2 d",IF(Z1097&lt;=7,"3-7 d",IF(Z1097&lt;=30,"8-30 d","&gt;30 d"))),IF(AE1097&lt;&gt;"",AE1097,IF(Z1097="NR","NR","")))</f>
        <v/>
      </c>
      <c r="AX1097" s="9">
        <f>IF(ISNUMBER(AW1097),IF(AW1097&gt;450,"Yes","No"),IF(AW1097="NR","NR",""))</f>
        <v/>
      </c>
      <c r="BJ1097" s="9">
        <f>IF(BB1097="","",IF(BB1097="Non-viable","Non-viable",IF(BB1097="Viable","Viable",IF(BB1097="Partially non-viable",IF(OR(BD1097="Total splenectomy",BD1097="Partial splenectomy +/- splenopexy"),"Non-viable","Review"),IF(BB1097="NR",IF(OR(BD1097="Total splenectomy",BD1097="Partial splenectomy +/- splenopexy"),"NR - removed, check reason","NR"),"Not applicable")))))</f>
        <v/>
      </c>
    </row>
    <row r="1098">
      <c r="D1098" s="8" t="n"/>
      <c r="E1098" s="9">
        <f>IF(B1098="","",IF(B1098="OWN","Yes","No"))</f>
        <v/>
      </c>
      <c r="AF1098" s="9">
        <f>IF(ISNUMBER(Z1098),IF(Z1098&lt;=2,"&lt;=2 d",IF(Z1098&lt;=7,"3-7 d",IF(Z1098&lt;=30,"8-30 d","&gt;30 d"))),IF(AE1098&lt;&gt;"",AE1098,IF(Z1098="NR","NR","")))</f>
        <v/>
      </c>
      <c r="AX1098" s="9">
        <f>IF(ISNUMBER(AW1098),IF(AW1098&gt;450,"Yes","No"),IF(AW1098="NR","NR",""))</f>
        <v/>
      </c>
      <c r="BJ1098" s="9">
        <f>IF(BB1098="","",IF(BB1098="Non-viable","Non-viable",IF(BB1098="Viable","Viable",IF(BB1098="Partially non-viable",IF(OR(BD1098="Total splenectomy",BD1098="Partial splenectomy +/- splenopexy"),"Non-viable","Review"),IF(BB1098="NR",IF(OR(BD1098="Total splenectomy",BD1098="Partial splenectomy +/- splenopexy"),"NR - removed, check reason","NR"),"Not applicable")))))</f>
        <v/>
      </c>
    </row>
    <row r="1099">
      <c r="D1099" s="8" t="n"/>
      <c r="E1099" s="9">
        <f>IF(B1099="","",IF(B1099="OWN","Yes","No"))</f>
        <v/>
      </c>
      <c r="AF1099" s="9">
        <f>IF(ISNUMBER(Z1099),IF(Z1099&lt;=2,"&lt;=2 d",IF(Z1099&lt;=7,"3-7 d",IF(Z1099&lt;=30,"8-30 d","&gt;30 d"))),IF(AE1099&lt;&gt;"",AE1099,IF(Z1099="NR","NR","")))</f>
        <v/>
      </c>
      <c r="AX1099" s="9">
        <f>IF(ISNUMBER(AW1099),IF(AW1099&gt;450,"Yes","No"),IF(AW1099="NR","NR",""))</f>
        <v/>
      </c>
      <c r="BJ1099" s="9">
        <f>IF(BB1099="","",IF(BB1099="Non-viable","Non-viable",IF(BB1099="Viable","Viable",IF(BB1099="Partially non-viable",IF(OR(BD1099="Total splenectomy",BD1099="Partial splenectomy +/- splenopexy"),"Non-viable","Review"),IF(BB1099="NR",IF(OR(BD1099="Total splenectomy",BD1099="Partial splenectomy +/- splenopexy"),"NR - removed, check reason","NR"),"Not applicable")))))</f>
        <v/>
      </c>
    </row>
    <row r="1100">
      <c r="D1100" s="8" t="n"/>
      <c r="E1100" s="9">
        <f>IF(B1100="","",IF(B1100="OWN","Yes","No"))</f>
        <v/>
      </c>
      <c r="AF1100" s="9">
        <f>IF(ISNUMBER(Z1100),IF(Z1100&lt;=2,"&lt;=2 d",IF(Z1100&lt;=7,"3-7 d",IF(Z1100&lt;=30,"8-30 d","&gt;30 d"))),IF(AE1100&lt;&gt;"",AE1100,IF(Z1100="NR","NR","")))</f>
        <v/>
      </c>
      <c r="AX1100" s="9">
        <f>IF(ISNUMBER(AW1100),IF(AW1100&gt;450,"Yes","No"),IF(AW1100="NR","NR",""))</f>
        <v/>
      </c>
      <c r="BJ1100" s="9">
        <f>IF(BB1100="","",IF(BB1100="Non-viable","Non-viable",IF(BB1100="Viable","Viable",IF(BB1100="Partially non-viable",IF(OR(BD1100="Total splenectomy",BD1100="Partial splenectomy +/- splenopexy"),"Non-viable","Review"),IF(BB1100="NR",IF(OR(BD1100="Total splenectomy",BD1100="Partial splenectomy +/- splenopexy"),"NR - removed, check reason","NR"),"Not applicable")))))</f>
        <v/>
      </c>
    </row>
    <row r="1101">
      <c r="D1101" s="8" t="n"/>
      <c r="E1101" s="9">
        <f>IF(B1101="","",IF(B1101="OWN","Yes","No"))</f>
        <v/>
      </c>
      <c r="AF1101" s="9">
        <f>IF(ISNUMBER(Z1101),IF(Z1101&lt;=2,"&lt;=2 d",IF(Z1101&lt;=7,"3-7 d",IF(Z1101&lt;=30,"8-30 d","&gt;30 d"))),IF(AE1101&lt;&gt;"",AE1101,IF(Z1101="NR","NR","")))</f>
        <v/>
      </c>
      <c r="AX1101" s="9">
        <f>IF(ISNUMBER(AW1101),IF(AW1101&gt;450,"Yes","No"),IF(AW1101="NR","NR",""))</f>
        <v/>
      </c>
      <c r="BJ1101" s="9">
        <f>IF(BB1101="","",IF(BB1101="Non-viable","Non-viable",IF(BB1101="Viable","Viable",IF(BB1101="Partially non-viable",IF(OR(BD1101="Total splenectomy",BD1101="Partial splenectomy +/- splenopexy"),"Non-viable","Review"),IF(BB1101="NR",IF(OR(BD1101="Total splenectomy",BD1101="Partial splenectomy +/- splenopexy"),"NR - removed, check reason","NR"),"Not applicable")))))</f>
        <v/>
      </c>
    </row>
    <row r="1102">
      <c r="D1102" s="8" t="n"/>
      <c r="E1102" s="9">
        <f>IF(B1102="","",IF(B1102="OWN","Yes","No"))</f>
        <v/>
      </c>
      <c r="AF1102" s="9">
        <f>IF(ISNUMBER(Z1102),IF(Z1102&lt;=2,"&lt;=2 d",IF(Z1102&lt;=7,"3-7 d",IF(Z1102&lt;=30,"8-30 d","&gt;30 d"))),IF(AE1102&lt;&gt;"",AE1102,IF(Z1102="NR","NR","")))</f>
        <v/>
      </c>
      <c r="AX1102" s="9">
        <f>IF(ISNUMBER(AW1102),IF(AW1102&gt;450,"Yes","No"),IF(AW1102="NR","NR",""))</f>
        <v/>
      </c>
      <c r="BJ1102" s="9">
        <f>IF(BB1102="","",IF(BB1102="Non-viable","Non-viable",IF(BB1102="Viable","Viable",IF(BB1102="Partially non-viable",IF(OR(BD1102="Total splenectomy",BD1102="Partial splenectomy +/- splenopexy"),"Non-viable","Review"),IF(BB1102="NR",IF(OR(BD1102="Total splenectomy",BD1102="Partial splenectomy +/- splenopexy"),"NR - removed, check reason","NR"),"Not applicable")))))</f>
        <v/>
      </c>
    </row>
    <row r="1103">
      <c r="D1103" s="8" t="n"/>
      <c r="E1103" s="9">
        <f>IF(B1103="","",IF(B1103="OWN","Yes","No"))</f>
        <v/>
      </c>
      <c r="AF1103" s="9">
        <f>IF(ISNUMBER(Z1103),IF(Z1103&lt;=2,"&lt;=2 d",IF(Z1103&lt;=7,"3-7 d",IF(Z1103&lt;=30,"8-30 d","&gt;30 d"))),IF(AE1103&lt;&gt;"",AE1103,IF(Z1103="NR","NR","")))</f>
        <v/>
      </c>
      <c r="AX1103" s="9">
        <f>IF(ISNUMBER(AW1103),IF(AW1103&gt;450,"Yes","No"),IF(AW1103="NR","NR",""))</f>
        <v/>
      </c>
      <c r="BJ1103" s="9">
        <f>IF(BB1103="","",IF(BB1103="Non-viable","Non-viable",IF(BB1103="Viable","Viable",IF(BB1103="Partially non-viable",IF(OR(BD1103="Total splenectomy",BD1103="Partial splenectomy +/- splenopexy"),"Non-viable","Review"),IF(BB1103="NR",IF(OR(BD1103="Total splenectomy",BD1103="Partial splenectomy +/- splenopexy"),"NR - removed, check reason","NR"),"Not applicable")))))</f>
        <v/>
      </c>
    </row>
    <row r="1104">
      <c r="D1104" s="8" t="n"/>
      <c r="E1104" s="9">
        <f>IF(B1104="","",IF(B1104="OWN","Yes","No"))</f>
        <v/>
      </c>
      <c r="AF1104" s="9">
        <f>IF(ISNUMBER(Z1104),IF(Z1104&lt;=2,"&lt;=2 d",IF(Z1104&lt;=7,"3-7 d",IF(Z1104&lt;=30,"8-30 d","&gt;30 d"))),IF(AE1104&lt;&gt;"",AE1104,IF(Z1104="NR","NR","")))</f>
        <v/>
      </c>
      <c r="AX1104" s="9">
        <f>IF(ISNUMBER(AW1104),IF(AW1104&gt;450,"Yes","No"),IF(AW1104="NR","NR",""))</f>
        <v/>
      </c>
      <c r="BJ1104" s="9">
        <f>IF(BB1104="","",IF(BB1104="Non-viable","Non-viable",IF(BB1104="Viable","Viable",IF(BB1104="Partially non-viable",IF(OR(BD1104="Total splenectomy",BD1104="Partial splenectomy +/- splenopexy"),"Non-viable","Review"),IF(BB1104="NR",IF(OR(BD1104="Total splenectomy",BD1104="Partial splenectomy +/- splenopexy"),"NR - removed, check reason","NR"),"Not applicable")))))</f>
        <v/>
      </c>
    </row>
    <row r="1105">
      <c r="D1105" s="8" t="n"/>
      <c r="E1105" s="9">
        <f>IF(B1105="","",IF(B1105="OWN","Yes","No"))</f>
        <v/>
      </c>
      <c r="AF1105" s="9">
        <f>IF(ISNUMBER(Z1105),IF(Z1105&lt;=2,"&lt;=2 d",IF(Z1105&lt;=7,"3-7 d",IF(Z1105&lt;=30,"8-30 d","&gt;30 d"))),IF(AE1105&lt;&gt;"",AE1105,IF(Z1105="NR","NR","")))</f>
        <v/>
      </c>
      <c r="AX1105" s="9">
        <f>IF(ISNUMBER(AW1105),IF(AW1105&gt;450,"Yes","No"),IF(AW1105="NR","NR",""))</f>
        <v/>
      </c>
      <c r="BJ1105" s="9">
        <f>IF(BB1105="","",IF(BB1105="Non-viable","Non-viable",IF(BB1105="Viable","Viable",IF(BB1105="Partially non-viable",IF(OR(BD1105="Total splenectomy",BD1105="Partial splenectomy +/- splenopexy"),"Non-viable","Review"),IF(BB1105="NR",IF(OR(BD1105="Total splenectomy",BD1105="Partial splenectomy +/- splenopexy"),"NR - removed, check reason","NR"),"Not applicable")))))</f>
        <v/>
      </c>
    </row>
    <row r="1106">
      <c r="D1106" s="8" t="n"/>
      <c r="E1106" s="9">
        <f>IF(B1106="","",IF(B1106="OWN","Yes","No"))</f>
        <v/>
      </c>
      <c r="AF1106" s="9">
        <f>IF(ISNUMBER(Z1106),IF(Z1106&lt;=2,"&lt;=2 d",IF(Z1106&lt;=7,"3-7 d",IF(Z1106&lt;=30,"8-30 d","&gt;30 d"))),IF(AE1106&lt;&gt;"",AE1106,IF(Z1106="NR","NR","")))</f>
        <v/>
      </c>
      <c r="AX1106" s="9">
        <f>IF(ISNUMBER(AW1106),IF(AW1106&gt;450,"Yes","No"),IF(AW1106="NR","NR",""))</f>
        <v/>
      </c>
      <c r="BJ1106" s="9">
        <f>IF(BB1106="","",IF(BB1106="Non-viable","Non-viable",IF(BB1106="Viable","Viable",IF(BB1106="Partially non-viable",IF(OR(BD1106="Total splenectomy",BD1106="Partial splenectomy +/- splenopexy"),"Non-viable","Review"),IF(BB1106="NR",IF(OR(BD1106="Total splenectomy",BD1106="Partial splenectomy +/- splenopexy"),"NR - removed, check reason","NR"),"Not applicable")))))</f>
        <v/>
      </c>
    </row>
    <row r="1107">
      <c r="D1107" s="8" t="n"/>
      <c r="E1107" s="9">
        <f>IF(B1107="","",IF(B1107="OWN","Yes","No"))</f>
        <v/>
      </c>
      <c r="AF1107" s="9">
        <f>IF(ISNUMBER(Z1107),IF(Z1107&lt;=2,"&lt;=2 d",IF(Z1107&lt;=7,"3-7 d",IF(Z1107&lt;=30,"8-30 d","&gt;30 d"))),IF(AE1107&lt;&gt;"",AE1107,IF(Z1107="NR","NR","")))</f>
        <v/>
      </c>
      <c r="AX1107" s="9">
        <f>IF(ISNUMBER(AW1107),IF(AW1107&gt;450,"Yes","No"),IF(AW1107="NR","NR",""))</f>
        <v/>
      </c>
      <c r="BJ1107" s="9">
        <f>IF(BB1107="","",IF(BB1107="Non-viable","Non-viable",IF(BB1107="Viable","Viable",IF(BB1107="Partially non-viable",IF(OR(BD1107="Total splenectomy",BD1107="Partial splenectomy +/- splenopexy"),"Non-viable","Review"),IF(BB1107="NR",IF(OR(BD1107="Total splenectomy",BD1107="Partial splenectomy +/- splenopexy"),"NR - removed, check reason","NR"),"Not applicable")))))</f>
        <v/>
      </c>
    </row>
    <row r="1108">
      <c r="D1108" s="8" t="n"/>
      <c r="E1108" s="9">
        <f>IF(B1108="","",IF(B1108="OWN","Yes","No"))</f>
        <v/>
      </c>
      <c r="AF1108" s="9">
        <f>IF(ISNUMBER(Z1108),IF(Z1108&lt;=2,"&lt;=2 d",IF(Z1108&lt;=7,"3-7 d",IF(Z1108&lt;=30,"8-30 d","&gt;30 d"))),IF(AE1108&lt;&gt;"",AE1108,IF(Z1108="NR","NR","")))</f>
        <v/>
      </c>
      <c r="AX1108" s="9">
        <f>IF(ISNUMBER(AW1108),IF(AW1108&gt;450,"Yes","No"),IF(AW1108="NR","NR",""))</f>
        <v/>
      </c>
      <c r="BJ1108" s="9">
        <f>IF(BB1108="","",IF(BB1108="Non-viable","Non-viable",IF(BB1108="Viable","Viable",IF(BB1108="Partially non-viable",IF(OR(BD1108="Total splenectomy",BD1108="Partial splenectomy +/- splenopexy"),"Non-viable","Review"),IF(BB1108="NR",IF(OR(BD1108="Total splenectomy",BD1108="Partial splenectomy +/- splenopexy"),"NR - removed, check reason","NR"),"Not applicable")))))</f>
        <v/>
      </c>
    </row>
    <row r="1109">
      <c r="D1109" s="8" t="n"/>
      <c r="E1109" s="9">
        <f>IF(B1109="","",IF(B1109="OWN","Yes","No"))</f>
        <v/>
      </c>
      <c r="AF1109" s="9">
        <f>IF(ISNUMBER(Z1109),IF(Z1109&lt;=2,"&lt;=2 d",IF(Z1109&lt;=7,"3-7 d",IF(Z1109&lt;=30,"8-30 d","&gt;30 d"))),IF(AE1109&lt;&gt;"",AE1109,IF(Z1109="NR","NR","")))</f>
        <v/>
      </c>
      <c r="AX1109" s="9">
        <f>IF(ISNUMBER(AW1109),IF(AW1109&gt;450,"Yes","No"),IF(AW1109="NR","NR",""))</f>
        <v/>
      </c>
      <c r="BJ1109" s="9">
        <f>IF(BB1109="","",IF(BB1109="Non-viable","Non-viable",IF(BB1109="Viable","Viable",IF(BB1109="Partially non-viable",IF(OR(BD1109="Total splenectomy",BD1109="Partial splenectomy +/- splenopexy"),"Non-viable","Review"),IF(BB1109="NR",IF(OR(BD1109="Total splenectomy",BD1109="Partial splenectomy +/- splenopexy"),"NR - removed, check reason","NR"),"Not applicable")))))</f>
        <v/>
      </c>
    </row>
    <row r="1110">
      <c r="D1110" s="8" t="n"/>
      <c r="E1110" s="9">
        <f>IF(B1110="","",IF(B1110="OWN","Yes","No"))</f>
        <v/>
      </c>
      <c r="AF1110" s="9">
        <f>IF(ISNUMBER(Z1110),IF(Z1110&lt;=2,"&lt;=2 d",IF(Z1110&lt;=7,"3-7 d",IF(Z1110&lt;=30,"8-30 d","&gt;30 d"))),IF(AE1110&lt;&gt;"",AE1110,IF(Z1110="NR","NR","")))</f>
        <v/>
      </c>
      <c r="AX1110" s="9">
        <f>IF(ISNUMBER(AW1110),IF(AW1110&gt;450,"Yes","No"),IF(AW1110="NR","NR",""))</f>
        <v/>
      </c>
      <c r="BJ1110" s="9">
        <f>IF(BB1110="","",IF(BB1110="Non-viable","Non-viable",IF(BB1110="Viable","Viable",IF(BB1110="Partially non-viable",IF(OR(BD1110="Total splenectomy",BD1110="Partial splenectomy +/- splenopexy"),"Non-viable","Review"),IF(BB1110="NR",IF(OR(BD1110="Total splenectomy",BD1110="Partial splenectomy +/- splenopexy"),"NR - removed, check reason","NR"),"Not applicable")))))</f>
        <v/>
      </c>
    </row>
    <row r="1111">
      <c r="D1111" s="8" t="n"/>
      <c r="E1111" s="9">
        <f>IF(B1111="","",IF(B1111="OWN","Yes","No"))</f>
        <v/>
      </c>
      <c r="AF1111" s="9">
        <f>IF(ISNUMBER(Z1111),IF(Z1111&lt;=2,"&lt;=2 d",IF(Z1111&lt;=7,"3-7 d",IF(Z1111&lt;=30,"8-30 d","&gt;30 d"))),IF(AE1111&lt;&gt;"",AE1111,IF(Z1111="NR","NR","")))</f>
        <v/>
      </c>
      <c r="AX1111" s="9">
        <f>IF(ISNUMBER(AW1111),IF(AW1111&gt;450,"Yes","No"),IF(AW1111="NR","NR",""))</f>
        <v/>
      </c>
      <c r="BJ1111" s="9">
        <f>IF(BB1111="","",IF(BB1111="Non-viable","Non-viable",IF(BB1111="Viable","Viable",IF(BB1111="Partially non-viable",IF(OR(BD1111="Total splenectomy",BD1111="Partial splenectomy +/- splenopexy"),"Non-viable","Review"),IF(BB1111="NR",IF(OR(BD1111="Total splenectomy",BD1111="Partial splenectomy +/- splenopexy"),"NR - removed, check reason","NR"),"Not applicable")))))</f>
        <v/>
      </c>
    </row>
    <row r="1112">
      <c r="D1112" s="8" t="n"/>
      <c r="E1112" s="9">
        <f>IF(B1112="","",IF(B1112="OWN","Yes","No"))</f>
        <v/>
      </c>
      <c r="AF1112" s="9">
        <f>IF(ISNUMBER(Z1112),IF(Z1112&lt;=2,"&lt;=2 d",IF(Z1112&lt;=7,"3-7 d",IF(Z1112&lt;=30,"8-30 d","&gt;30 d"))),IF(AE1112&lt;&gt;"",AE1112,IF(Z1112="NR","NR","")))</f>
        <v/>
      </c>
      <c r="AX1112" s="9">
        <f>IF(ISNUMBER(AW1112),IF(AW1112&gt;450,"Yes","No"),IF(AW1112="NR","NR",""))</f>
        <v/>
      </c>
      <c r="BJ1112" s="9">
        <f>IF(BB1112="","",IF(BB1112="Non-viable","Non-viable",IF(BB1112="Viable","Viable",IF(BB1112="Partially non-viable",IF(OR(BD1112="Total splenectomy",BD1112="Partial splenectomy +/- splenopexy"),"Non-viable","Review"),IF(BB1112="NR",IF(OR(BD1112="Total splenectomy",BD1112="Partial splenectomy +/- splenopexy"),"NR - removed, check reason","NR"),"Not applicable")))))</f>
        <v/>
      </c>
    </row>
    <row r="1113">
      <c r="D1113" s="8" t="n"/>
      <c r="E1113" s="9">
        <f>IF(B1113="","",IF(B1113="OWN","Yes","No"))</f>
        <v/>
      </c>
      <c r="AF1113" s="9">
        <f>IF(ISNUMBER(Z1113),IF(Z1113&lt;=2,"&lt;=2 d",IF(Z1113&lt;=7,"3-7 d",IF(Z1113&lt;=30,"8-30 d","&gt;30 d"))),IF(AE1113&lt;&gt;"",AE1113,IF(Z1113="NR","NR","")))</f>
        <v/>
      </c>
      <c r="AX1113" s="9">
        <f>IF(ISNUMBER(AW1113),IF(AW1113&gt;450,"Yes","No"),IF(AW1113="NR","NR",""))</f>
        <v/>
      </c>
      <c r="BJ1113" s="9">
        <f>IF(BB1113="","",IF(BB1113="Non-viable","Non-viable",IF(BB1113="Viable","Viable",IF(BB1113="Partially non-viable",IF(OR(BD1113="Total splenectomy",BD1113="Partial splenectomy +/- splenopexy"),"Non-viable","Review"),IF(BB1113="NR",IF(OR(BD1113="Total splenectomy",BD1113="Partial splenectomy +/- splenopexy"),"NR - removed, check reason","NR"),"Not applicable")))))</f>
        <v/>
      </c>
    </row>
    <row r="1114">
      <c r="D1114" s="8" t="n"/>
      <c r="E1114" s="9">
        <f>IF(B1114="","",IF(B1114="OWN","Yes","No"))</f>
        <v/>
      </c>
      <c r="AF1114" s="9">
        <f>IF(ISNUMBER(Z1114),IF(Z1114&lt;=2,"&lt;=2 d",IF(Z1114&lt;=7,"3-7 d",IF(Z1114&lt;=30,"8-30 d","&gt;30 d"))),IF(AE1114&lt;&gt;"",AE1114,IF(Z1114="NR","NR","")))</f>
        <v/>
      </c>
      <c r="AX1114" s="9">
        <f>IF(ISNUMBER(AW1114),IF(AW1114&gt;450,"Yes","No"),IF(AW1114="NR","NR",""))</f>
        <v/>
      </c>
      <c r="BJ1114" s="9">
        <f>IF(BB1114="","",IF(BB1114="Non-viable","Non-viable",IF(BB1114="Viable","Viable",IF(BB1114="Partially non-viable",IF(OR(BD1114="Total splenectomy",BD1114="Partial splenectomy +/- splenopexy"),"Non-viable","Review"),IF(BB1114="NR",IF(OR(BD1114="Total splenectomy",BD1114="Partial splenectomy +/- splenopexy"),"NR - removed, check reason","NR"),"Not applicable")))))</f>
        <v/>
      </c>
    </row>
    <row r="1115">
      <c r="D1115" s="8" t="n"/>
      <c r="E1115" s="9">
        <f>IF(B1115="","",IF(B1115="OWN","Yes","No"))</f>
        <v/>
      </c>
      <c r="AF1115" s="9">
        <f>IF(ISNUMBER(Z1115),IF(Z1115&lt;=2,"&lt;=2 d",IF(Z1115&lt;=7,"3-7 d",IF(Z1115&lt;=30,"8-30 d","&gt;30 d"))),IF(AE1115&lt;&gt;"",AE1115,IF(Z1115="NR","NR","")))</f>
        <v/>
      </c>
      <c r="AX1115" s="9">
        <f>IF(ISNUMBER(AW1115),IF(AW1115&gt;450,"Yes","No"),IF(AW1115="NR","NR",""))</f>
        <v/>
      </c>
      <c r="BJ1115" s="9">
        <f>IF(BB1115="","",IF(BB1115="Non-viable","Non-viable",IF(BB1115="Viable","Viable",IF(BB1115="Partially non-viable",IF(OR(BD1115="Total splenectomy",BD1115="Partial splenectomy +/- splenopexy"),"Non-viable","Review"),IF(BB1115="NR",IF(OR(BD1115="Total splenectomy",BD1115="Partial splenectomy +/- splenopexy"),"NR - removed, check reason","NR"),"Not applicable")))))</f>
        <v/>
      </c>
    </row>
    <row r="1116">
      <c r="D1116" s="8" t="n"/>
      <c r="E1116" s="9">
        <f>IF(B1116="","",IF(B1116="OWN","Yes","No"))</f>
        <v/>
      </c>
      <c r="AF1116" s="9">
        <f>IF(ISNUMBER(Z1116),IF(Z1116&lt;=2,"&lt;=2 d",IF(Z1116&lt;=7,"3-7 d",IF(Z1116&lt;=30,"8-30 d","&gt;30 d"))),IF(AE1116&lt;&gt;"",AE1116,IF(Z1116="NR","NR","")))</f>
        <v/>
      </c>
      <c r="AX1116" s="9">
        <f>IF(ISNUMBER(AW1116),IF(AW1116&gt;450,"Yes","No"),IF(AW1116="NR","NR",""))</f>
        <v/>
      </c>
      <c r="BJ1116" s="9">
        <f>IF(BB1116="","",IF(BB1116="Non-viable","Non-viable",IF(BB1116="Viable","Viable",IF(BB1116="Partially non-viable",IF(OR(BD1116="Total splenectomy",BD1116="Partial splenectomy +/- splenopexy"),"Non-viable","Review"),IF(BB1116="NR",IF(OR(BD1116="Total splenectomy",BD1116="Partial splenectomy +/- splenopexy"),"NR - removed, check reason","NR"),"Not applicable")))))</f>
        <v/>
      </c>
    </row>
    <row r="1117">
      <c r="D1117" s="8" t="n"/>
      <c r="E1117" s="9">
        <f>IF(B1117="","",IF(B1117="OWN","Yes","No"))</f>
        <v/>
      </c>
      <c r="AF1117" s="9">
        <f>IF(ISNUMBER(Z1117),IF(Z1117&lt;=2,"&lt;=2 d",IF(Z1117&lt;=7,"3-7 d",IF(Z1117&lt;=30,"8-30 d","&gt;30 d"))),IF(AE1117&lt;&gt;"",AE1117,IF(Z1117="NR","NR","")))</f>
        <v/>
      </c>
      <c r="AX1117" s="9">
        <f>IF(ISNUMBER(AW1117),IF(AW1117&gt;450,"Yes","No"),IF(AW1117="NR","NR",""))</f>
        <v/>
      </c>
      <c r="BJ1117" s="9">
        <f>IF(BB1117="","",IF(BB1117="Non-viable","Non-viable",IF(BB1117="Viable","Viable",IF(BB1117="Partially non-viable",IF(OR(BD1117="Total splenectomy",BD1117="Partial splenectomy +/- splenopexy"),"Non-viable","Review"),IF(BB1117="NR",IF(OR(BD1117="Total splenectomy",BD1117="Partial splenectomy +/- splenopexy"),"NR - removed, check reason","NR"),"Not applicable")))))</f>
        <v/>
      </c>
    </row>
    <row r="1118">
      <c r="D1118" s="8" t="n"/>
      <c r="E1118" s="9">
        <f>IF(B1118="","",IF(B1118="OWN","Yes","No"))</f>
        <v/>
      </c>
      <c r="AF1118" s="9">
        <f>IF(ISNUMBER(Z1118),IF(Z1118&lt;=2,"&lt;=2 d",IF(Z1118&lt;=7,"3-7 d",IF(Z1118&lt;=30,"8-30 d","&gt;30 d"))),IF(AE1118&lt;&gt;"",AE1118,IF(Z1118="NR","NR","")))</f>
        <v/>
      </c>
      <c r="AX1118" s="9">
        <f>IF(ISNUMBER(AW1118),IF(AW1118&gt;450,"Yes","No"),IF(AW1118="NR","NR",""))</f>
        <v/>
      </c>
      <c r="BJ1118" s="9">
        <f>IF(BB1118="","",IF(BB1118="Non-viable","Non-viable",IF(BB1118="Viable","Viable",IF(BB1118="Partially non-viable",IF(OR(BD1118="Total splenectomy",BD1118="Partial splenectomy +/- splenopexy"),"Non-viable","Review"),IF(BB1118="NR",IF(OR(BD1118="Total splenectomy",BD1118="Partial splenectomy +/- splenopexy"),"NR - removed, check reason","NR"),"Not applicable")))))</f>
        <v/>
      </c>
    </row>
    <row r="1119">
      <c r="D1119" s="8" t="n"/>
      <c r="E1119" s="9">
        <f>IF(B1119="","",IF(B1119="OWN","Yes","No"))</f>
        <v/>
      </c>
      <c r="AF1119" s="9">
        <f>IF(ISNUMBER(Z1119),IF(Z1119&lt;=2,"&lt;=2 d",IF(Z1119&lt;=7,"3-7 d",IF(Z1119&lt;=30,"8-30 d","&gt;30 d"))),IF(AE1119&lt;&gt;"",AE1119,IF(Z1119="NR","NR","")))</f>
        <v/>
      </c>
      <c r="AX1119" s="9">
        <f>IF(ISNUMBER(AW1119),IF(AW1119&gt;450,"Yes","No"),IF(AW1119="NR","NR",""))</f>
        <v/>
      </c>
      <c r="BJ1119" s="9">
        <f>IF(BB1119="","",IF(BB1119="Non-viable","Non-viable",IF(BB1119="Viable","Viable",IF(BB1119="Partially non-viable",IF(OR(BD1119="Total splenectomy",BD1119="Partial splenectomy +/- splenopexy"),"Non-viable","Review"),IF(BB1119="NR",IF(OR(BD1119="Total splenectomy",BD1119="Partial splenectomy +/- splenopexy"),"NR - removed, check reason","NR"),"Not applicable")))))</f>
        <v/>
      </c>
    </row>
    <row r="1120">
      <c r="D1120" s="8" t="n"/>
      <c r="E1120" s="9">
        <f>IF(B1120="","",IF(B1120="OWN","Yes","No"))</f>
        <v/>
      </c>
      <c r="AF1120" s="9">
        <f>IF(ISNUMBER(Z1120),IF(Z1120&lt;=2,"&lt;=2 d",IF(Z1120&lt;=7,"3-7 d",IF(Z1120&lt;=30,"8-30 d","&gt;30 d"))),IF(AE1120&lt;&gt;"",AE1120,IF(Z1120="NR","NR","")))</f>
        <v/>
      </c>
      <c r="AX1120" s="9">
        <f>IF(ISNUMBER(AW1120),IF(AW1120&gt;450,"Yes","No"),IF(AW1120="NR","NR",""))</f>
        <v/>
      </c>
      <c r="BJ1120" s="9">
        <f>IF(BB1120="","",IF(BB1120="Non-viable","Non-viable",IF(BB1120="Viable","Viable",IF(BB1120="Partially non-viable",IF(OR(BD1120="Total splenectomy",BD1120="Partial splenectomy +/- splenopexy"),"Non-viable","Review"),IF(BB1120="NR",IF(OR(BD1120="Total splenectomy",BD1120="Partial splenectomy +/- splenopexy"),"NR - removed, check reason","NR"),"Not applicable")))))</f>
        <v/>
      </c>
    </row>
    <row r="1121">
      <c r="D1121" s="8" t="n"/>
      <c r="E1121" s="9">
        <f>IF(B1121="","",IF(B1121="OWN","Yes","No"))</f>
        <v/>
      </c>
      <c r="AF1121" s="9">
        <f>IF(ISNUMBER(Z1121),IF(Z1121&lt;=2,"&lt;=2 d",IF(Z1121&lt;=7,"3-7 d",IF(Z1121&lt;=30,"8-30 d","&gt;30 d"))),IF(AE1121&lt;&gt;"",AE1121,IF(Z1121="NR","NR","")))</f>
        <v/>
      </c>
      <c r="AX1121" s="9">
        <f>IF(ISNUMBER(AW1121),IF(AW1121&gt;450,"Yes","No"),IF(AW1121="NR","NR",""))</f>
        <v/>
      </c>
      <c r="BJ1121" s="9">
        <f>IF(BB1121="","",IF(BB1121="Non-viable","Non-viable",IF(BB1121="Viable","Viable",IF(BB1121="Partially non-viable",IF(OR(BD1121="Total splenectomy",BD1121="Partial splenectomy +/- splenopexy"),"Non-viable","Review"),IF(BB1121="NR",IF(OR(BD1121="Total splenectomy",BD1121="Partial splenectomy +/- splenopexy"),"NR - removed, check reason","NR"),"Not applicable")))))</f>
        <v/>
      </c>
    </row>
    <row r="1122">
      <c r="D1122" s="8" t="n"/>
      <c r="E1122" s="9">
        <f>IF(B1122="","",IF(B1122="OWN","Yes","No"))</f>
        <v/>
      </c>
      <c r="AF1122" s="9">
        <f>IF(ISNUMBER(Z1122),IF(Z1122&lt;=2,"&lt;=2 d",IF(Z1122&lt;=7,"3-7 d",IF(Z1122&lt;=30,"8-30 d","&gt;30 d"))),IF(AE1122&lt;&gt;"",AE1122,IF(Z1122="NR","NR","")))</f>
        <v/>
      </c>
      <c r="AX1122" s="9">
        <f>IF(ISNUMBER(AW1122),IF(AW1122&gt;450,"Yes","No"),IF(AW1122="NR","NR",""))</f>
        <v/>
      </c>
      <c r="BJ1122" s="9">
        <f>IF(BB1122="","",IF(BB1122="Non-viable","Non-viable",IF(BB1122="Viable","Viable",IF(BB1122="Partially non-viable",IF(OR(BD1122="Total splenectomy",BD1122="Partial splenectomy +/- splenopexy"),"Non-viable","Review"),IF(BB1122="NR",IF(OR(BD1122="Total splenectomy",BD1122="Partial splenectomy +/- splenopexy"),"NR - removed, check reason","NR"),"Not applicable")))))</f>
        <v/>
      </c>
    </row>
    <row r="1123">
      <c r="D1123" s="8" t="n"/>
      <c r="E1123" s="9">
        <f>IF(B1123="","",IF(B1123="OWN","Yes","No"))</f>
        <v/>
      </c>
      <c r="AF1123" s="9">
        <f>IF(ISNUMBER(Z1123),IF(Z1123&lt;=2,"&lt;=2 d",IF(Z1123&lt;=7,"3-7 d",IF(Z1123&lt;=30,"8-30 d","&gt;30 d"))),IF(AE1123&lt;&gt;"",AE1123,IF(Z1123="NR","NR","")))</f>
        <v/>
      </c>
      <c r="AX1123" s="9">
        <f>IF(ISNUMBER(AW1123),IF(AW1123&gt;450,"Yes","No"),IF(AW1123="NR","NR",""))</f>
        <v/>
      </c>
      <c r="BJ1123" s="9">
        <f>IF(BB1123="","",IF(BB1123="Non-viable","Non-viable",IF(BB1123="Viable","Viable",IF(BB1123="Partially non-viable",IF(OR(BD1123="Total splenectomy",BD1123="Partial splenectomy +/- splenopexy"),"Non-viable","Review"),IF(BB1123="NR",IF(OR(BD1123="Total splenectomy",BD1123="Partial splenectomy +/- splenopexy"),"NR - removed, check reason","NR"),"Not applicable")))))</f>
        <v/>
      </c>
    </row>
    <row r="1124">
      <c r="D1124" s="8" t="n"/>
      <c r="E1124" s="9">
        <f>IF(B1124="","",IF(B1124="OWN","Yes","No"))</f>
        <v/>
      </c>
      <c r="AF1124" s="9">
        <f>IF(ISNUMBER(Z1124),IF(Z1124&lt;=2,"&lt;=2 d",IF(Z1124&lt;=7,"3-7 d",IF(Z1124&lt;=30,"8-30 d","&gt;30 d"))),IF(AE1124&lt;&gt;"",AE1124,IF(Z1124="NR","NR","")))</f>
        <v/>
      </c>
      <c r="AX1124" s="9">
        <f>IF(ISNUMBER(AW1124),IF(AW1124&gt;450,"Yes","No"),IF(AW1124="NR","NR",""))</f>
        <v/>
      </c>
      <c r="BJ1124" s="9">
        <f>IF(BB1124="","",IF(BB1124="Non-viable","Non-viable",IF(BB1124="Viable","Viable",IF(BB1124="Partially non-viable",IF(OR(BD1124="Total splenectomy",BD1124="Partial splenectomy +/- splenopexy"),"Non-viable","Review"),IF(BB1124="NR",IF(OR(BD1124="Total splenectomy",BD1124="Partial splenectomy +/- splenopexy"),"NR - removed, check reason","NR"),"Not applicable")))))</f>
        <v/>
      </c>
    </row>
    <row r="1125">
      <c r="D1125" s="8" t="n"/>
      <c r="E1125" s="9">
        <f>IF(B1125="","",IF(B1125="OWN","Yes","No"))</f>
        <v/>
      </c>
      <c r="AF1125" s="9">
        <f>IF(ISNUMBER(Z1125),IF(Z1125&lt;=2,"&lt;=2 d",IF(Z1125&lt;=7,"3-7 d",IF(Z1125&lt;=30,"8-30 d","&gt;30 d"))),IF(AE1125&lt;&gt;"",AE1125,IF(Z1125="NR","NR","")))</f>
        <v/>
      </c>
      <c r="AX1125" s="9">
        <f>IF(ISNUMBER(AW1125),IF(AW1125&gt;450,"Yes","No"),IF(AW1125="NR","NR",""))</f>
        <v/>
      </c>
      <c r="BJ1125" s="9">
        <f>IF(BB1125="","",IF(BB1125="Non-viable","Non-viable",IF(BB1125="Viable","Viable",IF(BB1125="Partially non-viable",IF(OR(BD1125="Total splenectomy",BD1125="Partial splenectomy +/- splenopexy"),"Non-viable","Review"),IF(BB1125="NR",IF(OR(BD1125="Total splenectomy",BD1125="Partial splenectomy +/- splenopexy"),"NR - removed, check reason","NR"),"Not applicable")))))</f>
        <v/>
      </c>
    </row>
    <row r="1126">
      <c r="D1126" s="8" t="n"/>
      <c r="E1126" s="9">
        <f>IF(B1126="","",IF(B1126="OWN","Yes","No"))</f>
        <v/>
      </c>
      <c r="AF1126" s="9">
        <f>IF(ISNUMBER(Z1126),IF(Z1126&lt;=2,"&lt;=2 d",IF(Z1126&lt;=7,"3-7 d",IF(Z1126&lt;=30,"8-30 d","&gt;30 d"))),IF(AE1126&lt;&gt;"",AE1126,IF(Z1126="NR","NR","")))</f>
        <v/>
      </c>
      <c r="AX1126" s="9">
        <f>IF(ISNUMBER(AW1126),IF(AW1126&gt;450,"Yes","No"),IF(AW1126="NR","NR",""))</f>
        <v/>
      </c>
      <c r="BJ1126" s="9">
        <f>IF(BB1126="","",IF(BB1126="Non-viable","Non-viable",IF(BB1126="Viable","Viable",IF(BB1126="Partially non-viable",IF(OR(BD1126="Total splenectomy",BD1126="Partial splenectomy +/- splenopexy"),"Non-viable","Review"),IF(BB1126="NR",IF(OR(BD1126="Total splenectomy",BD1126="Partial splenectomy +/- splenopexy"),"NR - removed, check reason","NR"),"Not applicable")))))</f>
        <v/>
      </c>
    </row>
    <row r="1127">
      <c r="D1127" s="8" t="n"/>
      <c r="E1127" s="9">
        <f>IF(B1127="","",IF(B1127="OWN","Yes","No"))</f>
        <v/>
      </c>
      <c r="AF1127" s="9">
        <f>IF(ISNUMBER(Z1127),IF(Z1127&lt;=2,"&lt;=2 d",IF(Z1127&lt;=7,"3-7 d",IF(Z1127&lt;=30,"8-30 d","&gt;30 d"))),IF(AE1127&lt;&gt;"",AE1127,IF(Z1127="NR","NR","")))</f>
        <v/>
      </c>
      <c r="AX1127" s="9">
        <f>IF(ISNUMBER(AW1127),IF(AW1127&gt;450,"Yes","No"),IF(AW1127="NR","NR",""))</f>
        <v/>
      </c>
      <c r="BJ1127" s="9">
        <f>IF(BB1127="","",IF(BB1127="Non-viable","Non-viable",IF(BB1127="Viable","Viable",IF(BB1127="Partially non-viable",IF(OR(BD1127="Total splenectomy",BD1127="Partial splenectomy +/- splenopexy"),"Non-viable","Review"),IF(BB1127="NR",IF(OR(BD1127="Total splenectomy",BD1127="Partial splenectomy +/- splenopexy"),"NR - removed, check reason","NR"),"Not applicable")))))</f>
        <v/>
      </c>
    </row>
    <row r="1128">
      <c r="D1128" s="8" t="n"/>
      <c r="E1128" s="9">
        <f>IF(B1128="","",IF(B1128="OWN","Yes","No"))</f>
        <v/>
      </c>
      <c r="AF1128" s="9">
        <f>IF(ISNUMBER(Z1128),IF(Z1128&lt;=2,"&lt;=2 d",IF(Z1128&lt;=7,"3-7 d",IF(Z1128&lt;=30,"8-30 d","&gt;30 d"))),IF(AE1128&lt;&gt;"",AE1128,IF(Z1128="NR","NR","")))</f>
        <v/>
      </c>
      <c r="AX1128" s="9">
        <f>IF(ISNUMBER(AW1128),IF(AW1128&gt;450,"Yes","No"),IF(AW1128="NR","NR",""))</f>
        <v/>
      </c>
      <c r="BJ1128" s="9">
        <f>IF(BB1128="","",IF(BB1128="Non-viable","Non-viable",IF(BB1128="Viable","Viable",IF(BB1128="Partially non-viable",IF(OR(BD1128="Total splenectomy",BD1128="Partial splenectomy +/- splenopexy"),"Non-viable","Review"),IF(BB1128="NR",IF(OR(BD1128="Total splenectomy",BD1128="Partial splenectomy +/- splenopexy"),"NR - removed, check reason","NR"),"Not applicable")))))</f>
        <v/>
      </c>
    </row>
    <row r="1129">
      <c r="D1129" s="8" t="n"/>
      <c r="E1129" s="9">
        <f>IF(B1129="","",IF(B1129="OWN","Yes","No"))</f>
        <v/>
      </c>
      <c r="AF1129" s="9">
        <f>IF(ISNUMBER(Z1129),IF(Z1129&lt;=2,"&lt;=2 d",IF(Z1129&lt;=7,"3-7 d",IF(Z1129&lt;=30,"8-30 d","&gt;30 d"))),IF(AE1129&lt;&gt;"",AE1129,IF(Z1129="NR","NR","")))</f>
        <v/>
      </c>
      <c r="AX1129" s="9">
        <f>IF(ISNUMBER(AW1129),IF(AW1129&gt;450,"Yes","No"),IF(AW1129="NR","NR",""))</f>
        <v/>
      </c>
      <c r="BJ1129" s="9">
        <f>IF(BB1129="","",IF(BB1129="Non-viable","Non-viable",IF(BB1129="Viable","Viable",IF(BB1129="Partially non-viable",IF(OR(BD1129="Total splenectomy",BD1129="Partial splenectomy +/- splenopexy"),"Non-viable","Review"),IF(BB1129="NR",IF(OR(BD1129="Total splenectomy",BD1129="Partial splenectomy +/- splenopexy"),"NR - removed, check reason","NR"),"Not applicable")))))</f>
        <v/>
      </c>
    </row>
    <row r="1130">
      <c r="D1130" s="8" t="n"/>
      <c r="E1130" s="9">
        <f>IF(B1130="","",IF(B1130="OWN","Yes","No"))</f>
        <v/>
      </c>
      <c r="AF1130" s="9">
        <f>IF(ISNUMBER(Z1130),IF(Z1130&lt;=2,"&lt;=2 d",IF(Z1130&lt;=7,"3-7 d",IF(Z1130&lt;=30,"8-30 d","&gt;30 d"))),IF(AE1130&lt;&gt;"",AE1130,IF(Z1130="NR","NR","")))</f>
        <v/>
      </c>
      <c r="AX1130" s="9">
        <f>IF(ISNUMBER(AW1130),IF(AW1130&gt;450,"Yes","No"),IF(AW1130="NR","NR",""))</f>
        <v/>
      </c>
      <c r="BJ1130" s="9">
        <f>IF(BB1130="","",IF(BB1130="Non-viable","Non-viable",IF(BB1130="Viable","Viable",IF(BB1130="Partially non-viable",IF(OR(BD1130="Total splenectomy",BD1130="Partial splenectomy +/- splenopexy"),"Non-viable","Review"),IF(BB1130="NR",IF(OR(BD1130="Total splenectomy",BD1130="Partial splenectomy +/- splenopexy"),"NR - removed, check reason","NR"),"Not applicable")))))</f>
        <v/>
      </c>
    </row>
    <row r="1131">
      <c r="D1131" s="8" t="n"/>
      <c r="E1131" s="9">
        <f>IF(B1131="","",IF(B1131="OWN","Yes","No"))</f>
        <v/>
      </c>
      <c r="AF1131" s="9">
        <f>IF(ISNUMBER(Z1131),IF(Z1131&lt;=2,"&lt;=2 d",IF(Z1131&lt;=7,"3-7 d",IF(Z1131&lt;=30,"8-30 d","&gt;30 d"))),IF(AE1131&lt;&gt;"",AE1131,IF(Z1131="NR","NR","")))</f>
        <v/>
      </c>
      <c r="AX1131" s="9">
        <f>IF(ISNUMBER(AW1131),IF(AW1131&gt;450,"Yes","No"),IF(AW1131="NR","NR",""))</f>
        <v/>
      </c>
      <c r="BJ1131" s="9">
        <f>IF(BB1131="","",IF(BB1131="Non-viable","Non-viable",IF(BB1131="Viable","Viable",IF(BB1131="Partially non-viable",IF(OR(BD1131="Total splenectomy",BD1131="Partial splenectomy +/- splenopexy"),"Non-viable","Review"),IF(BB1131="NR",IF(OR(BD1131="Total splenectomy",BD1131="Partial splenectomy +/- splenopexy"),"NR - removed, check reason","NR"),"Not applicable")))))</f>
        <v/>
      </c>
    </row>
    <row r="1132">
      <c r="D1132" s="8" t="n"/>
      <c r="E1132" s="9">
        <f>IF(B1132="","",IF(B1132="OWN","Yes","No"))</f>
        <v/>
      </c>
      <c r="AF1132" s="9">
        <f>IF(ISNUMBER(Z1132),IF(Z1132&lt;=2,"&lt;=2 d",IF(Z1132&lt;=7,"3-7 d",IF(Z1132&lt;=30,"8-30 d","&gt;30 d"))),IF(AE1132&lt;&gt;"",AE1132,IF(Z1132="NR","NR","")))</f>
        <v/>
      </c>
      <c r="AX1132" s="9">
        <f>IF(ISNUMBER(AW1132),IF(AW1132&gt;450,"Yes","No"),IF(AW1132="NR","NR",""))</f>
        <v/>
      </c>
      <c r="BJ1132" s="9">
        <f>IF(BB1132="","",IF(BB1132="Non-viable","Non-viable",IF(BB1132="Viable","Viable",IF(BB1132="Partially non-viable",IF(OR(BD1132="Total splenectomy",BD1132="Partial splenectomy +/- splenopexy"),"Non-viable","Review"),IF(BB1132="NR",IF(OR(BD1132="Total splenectomy",BD1132="Partial splenectomy +/- splenopexy"),"NR - removed, check reason","NR"),"Not applicable")))))</f>
        <v/>
      </c>
    </row>
    <row r="1133">
      <c r="D1133" s="8" t="n"/>
      <c r="E1133" s="9">
        <f>IF(B1133="","",IF(B1133="OWN","Yes","No"))</f>
        <v/>
      </c>
      <c r="AF1133" s="9">
        <f>IF(ISNUMBER(Z1133),IF(Z1133&lt;=2,"&lt;=2 d",IF(Z1133&lt;=7,"3-7 d",IF(Z1133&lt;=30,"8-30 d","&gt;30 d"))),IF(AE1133&lt;&gt;"",AE1133,IF(Z1133="NR","NR","")))</f>
        <v/>
      </c>
      <c r="AX1133" s="9">
        <f>IF(ISNUMBER(AW1133),IF(AW1133&gt;450,"Yes","No"),IF(AW1133="NR","NR",""))</f>
        <v/>
      </c>
      <c r="BJ1133" s="9">
        <f>IF(BB1133="","",IF(BB1133="Non-viable","Non-viable",IF(BB1133="Viable","Viable",IF(BB1133="Partially non-viable",IF(OR(BD1133="Total splenectomy",BD1133="Partial splenectomy +/- splenopexy"),"Non-viable","Review"),IF(BB1133="NR",IF(OR(BD1133="Total splenectomy",BD1133="Partial splenectomy +/- splenopexy"),"NR - removed, check reason","NR"),"Not applicable")))))</f>
        <v/>
      </c>
    </row>
    <row r="1134">
      <c r="D1134" s="8" t="n"/>
      <c r="E1134" s="9">
        <f>IF(B1134="","",IF(B1134="OWN","Yes","No"))</f>
        <v/>
      </c>
      <c r="AF1134" s="9">
        <f>IF(ISNUMBER(Z1134),IF(Z1134&lt;=2,"&lt;=2 d",IF(Z1134&lt;=7,"3-7 d",IF(Z1134&lt;=30,"8-30 d","&gt;30 d"))),IF(AE1134&lt;&gt;"",AE1134,IF(Z1134="NR","NR","")))</f>
        <v/>
      </c>
      <c r="AX1134" s="9">
        <f>IF(ISNUMBER(AW1134),IF(AW1134&gt;450,"Yes","No"),IF(AW1134="NR","NR",""))</f>
        <v/>
      </c>
      <c r="BJ1134" s="9">
        <f>IF(BB1134="","",IF(BB1134="Non-viable","Non-viable",IF(BB1134="Viable","Viable",IF(BB1134="Partially non-viable",IF(OR(BD1134="Total splenectomy",BD1134="Partial splenectomy +/- splenopexy"),"Non-viable","Review"),IF(BB1134="NR",IF(OR(BD1134="Total splenectomy",BD1134="Partial splenectomy +/- splenopexy"),"NR - removed, check reason","NR"),"Not applicable")))))</f>
        <v/>
      </c>
    </row>
    <row r="1135">
      <c r="D1135" s="8" t="n"/>
      <c r="E1135" s="9">
        <f>IF(B1135="","",IF(B1135="OWN","Yes","No"))</f>
        <v/>
      </c>
      <c r="AF1135" s="9">
        <f>IF(ISNUMBER(Z1135),IF(Z1135&lt;=2,"&lt;=2 d",IF(Z1135&lt;=7,"3-7 d",IF(Z1135&lt;=30,"8-30 d","&gt;30 d"))),IF(AE1135&lt;&gt;"",AE1135,IF(Z1135="NR","NR","")))</f>
        <v/>
      </c>
      <c r="AX1135" s="9">
        <f>IF(ISNUMBER(AW1135),IF(AW1135&gt;450,"Yes","No"),IF(AW1135="NR","NR",""))</f>
        <v/>
      </c>
      <c r="BJ1135" s="9">
        <f>IF(BB1135="","",IF(BB1135="Non-viable","Non-viable",IF(BB1135="Viable","Viable",IF(BB1135="Partially non-viable",IF(OR(BD1135="Total splenectomy",BD1135="Partial splenectomy +/- splenopexy"),"Non-viable","Review"),IF(BB1135="NR",IF(OR(BD1135="Total splenectomy",BD1135="Partial splenectomy +/- splenopexy"),"NR - removed, check reason","NR"),"Not applicable")))))</f>
        <v/>
      </c>
    </row>
    <row r="1136">
      <c r="D1136" s="8" t="n"/>
      <c r="E1136" s="9">
        <f>IF(B1136="","",IF(B1136="OWN","Yes","No"))</f>
        <v/>
      </c>
      <c r="AF1136" s="9">
        <f>IF(ISNUMBER(Z1136),IF(Z1136&lt;=2,"&lt;=2 d",IF(Z1136&lt;=7,"3-7 d",IF(Z1136&lt;=30,"8-30 d","&gt;30 d"))),IF(AE1136&lt;&gt;"",AE1136,IF(Z1136="NR","NR","")))</f>
        <v/>
      </c>
      <c r="AX1136" s="9">
        <f>IF(ISNUMBER(AW1136),IF(AW1136&gt;450,"Yes","No"),IF(AW1136="NR","NR",""))</f>
        <v/>
      </c>
      <c r="BJ1136" s="9">
        <f>IF(BB1136="","",IF(BB1136="Non-viable","Non-viable",IF(BB1136="Viable","Viable",IF(BB1136="Partially non-viable",IF(OR(BD1136="Total splenectomy",BD1136="Partial splenectomy +/- splenopexy"),"Non-viable","Review"),IF(BB1136="NR",IF(OR(BD1136="Total splenectomy",BD1136="Partial splenectomy +/- splenopexy"),"NR - removed, check reason","NR"),"Not applicable")))))</f>
        <v/>
      </c>
    </row>
    <row r="1137">
      <c r="D1137" s="8" t="n"/>
      <c r="E1137" s="9">
        <f>IF(B1137="","",IF(B1137="OWN","Yes","No"))</f>
        <v/>
      </c>
      <c r="AF1137" s="9">
        <f>IF(ISNUMBER(Z1137),IF(Z1137&lt;=2,"&lt;=2 d",IF(Z1137&lt;=7,"3-7 d",IF(Z1137&lt;=30,"8-30 d","&gt;30 d"))),IF(AE1137&lt;&gt;"",AE1137,IF(Z1137="NR","NR","")))</f>
        <v/>
      </c>
      <c r="AX1137" s="9">
        <f>IF(ISNUMBER(AW1137),IF(AW1137&gt;450,"Yes","No"),IF(AW1137="NR","NR",""))</f>
        <v/>
      </c>
      <c r="BJ1137" s="9">
        <f>IF(BB1137="","",IF(BB1137="Non-viable","Non-viable",IF(BB1137="Viable","Viable",IF(BB1137="Partially non-viable",IF(OR(BD1137="Total splenectomy",BD1137="Partial splenectomy +/- splenopexy"),"Non-viable","Review"),IF(BB1137="NR",IF(OR(BD1137="Total splenectomy",BD1137="Partial splenectomy +/- splenopexy"),"NR - removed, check reason","NR"),"Not applicable")))))</f>
        <v/>
      </c>
    </row>
    <row r="1138">
      <c r="D1138" s="8" t="n"/>
      <c r="E1138" s="9">
        <f>IF(B1138="","",IF(B1138="OWN","Yes","No"))</f>
        <v/>
      </c>
      <c r="AF1138" s="9">
        <f>IF(ISNUMBER(Z1138),IF(Z1138&lt;=2,"&lt;=2 d",IF(Z1138&lt;=7,"3-7 d",IF(Z1138&lt;=30,"8-30 d","&gt;30 d"))),IF(AE1138&lt;&gt;"",AE1138,IF(Z1138="NR","NR","")))</f>
        <v/>
      </c>
      <c r="AX1138" s="9">
        <f>IF(ISNUMBER(AW1138),IF(AW1138&gt;450,"Yes","No"),IF(AW1138="NR","NR",""))</f>
        <v/>
      </c>
      <c r="BJ1138" s="9">
        <f>IF(BB1138="","",IF(BB1138="Non-viable","Non-viable",IF(BB1138="Viable","Viable",IF(BB1138="Partially non-viable",IF(OR(BD1138="Total splenectomy",BD1138="Partial splenectomy +/- splenopexy"),"Non-viable","Review"),IF(BB1138="NR",IF(OR(BD1138="Total splenectomy",BD1138="Partial splenectomy +/- splenopexy"),"NR - removed, check reason","NR"),"Not applicable")))))</f>
        <v/>
      </c>
    </row>
    <row r="1139">
      <c r="D1139" s="8" t="n"/>
      <c r="E1139" s="9">
        <f>IF(B1139="","",IF(B1139="OWN","Yes","No"))</f>
        <v/>
      </c>
      <c r="AF1139" s="9">
        <f>IF(ISNUMBER(Z1139),IF(Z1139&lt;=2,"&lt;=2 d",IF(Z1139&lt;=7,"3-7 d",IF(Z1139&lt;=30,"8-30 d","&gt;30 d"))),IF(AE1139&lt;&gt;"",AE1139,IF(Z1139="NR","NR","")))</f>
        <v/>
      </c>
      <c r="AX1139" s="9">
        <f>IF(ISNUMBER(AW1139),IF(AW1139&gt;450,"Yes","No"),IF(AW1139="NR","NR",""))</f>
        <v/>
      </c>
      <c r="BJ1139" s="9">
        <f>IF(BB1139="","",IF(BB1139="Non-viable","Non-viable",IF(BB1139="Viable","Viable",IF(BB1139="Partially non-viable",IF(OR(BD1139="Total splenectomy",BD1139="Partial splenectomy +/- splenopexy"),"Non-viable","Review"),IF(BB1139="NR",IF(OR(BD1139="Total splenectomy",BD1139="Partial splenectomy +/- splenopexy"),"NR - removed, check reason","NR"),"Not applicable")))))</f>
        <v/>
      </c>
    </row>
    <row r="1140">
      <c r="D1140" s="8" t="n"/>
      <c r="E1140" s="9">
        <f>IF(B1140="","",IF(B1140="OWN","Yes","No"))</f>
        <v/>
      </c>
      <c r="AF1140" s="9">
        <f>IF(ISNUMBER(Z1140),IF(Z1140&lt;=2,"&lt;=2 d",IF(Z1140&lt;=7,"3-7 d",IF(Z1140&lt;=30,"8-30 d","&gt;30 d"))),IF(AE1140&lt;&gt;"",AE1140,IF(Z1140="NR","NR","")))</f>
        <v/>
      </c>
      <c r="AX1140" s="9">
        <f>IF(ISNUMBER(AW1140),IF(AW1140&gt;450,"Yes","No"),IF(AW1140="NR","NR",""))</f>
        <v/>
      </c>
      <c r="BJ1140" s="9">
        <f>IF(BB1140="","",IF(BB1140="Non-viable","Non-viable",IF(BB1140="Viable","Viable",IF(BB1140="Partially non-viable",IF(OR(BD1140="Total splenectomy",BD1140="Partial splenectomy +/- splenopexy"),"Non-viable","Review"),IF(BB1140="NR",IF(OR(BD1140="Total splenectomy",BD1140="Partial splenectomy +/- splenopexy"),"NR - removed, check reason","NR"),"Not applicable")))))</f>
        <v/>
      </c>
    </row>
    <row r="1141">
      <c r="D1141" s="8" t="n"/>
      <c r="E1141" s="9">
        <f>IF(B1141="","",IF(B1141="OWN","Yes","No"))</f>
        <v/>
      </c>
      <c r="AF1141" s="9">
        <f>IF(ISNUMBER(Z1141),IF(Z1141&lt;=2,"&lt;=2 d",IF(Z1141&lt;=7,"3-7 d",IF(Z1141&lt;=30,"8-30 d","&gt;30 d"))),IF(AE1141&lt;&gt;"",AE1141,IF(Z1141="NR","NR","")))</f>
        <v/>
      </c>
      <c r="AX1141" s="9">
        <f>IF(ISNUMBER(AW1141),IF(AW1141&gt;450,"Yes","No"),IF(AW1141="NR","NR",""))</f>
        <v/>
      </c>
      <c r="BJ1141" s="9">
        <f>IF(BB1141="","",IF(BB1141="Non-viable","Non-viable",IF(BB1141="Viable","Viable",IF(BB1141="Partially non-viable",IF(OR(BD1141="Total splenectomy",BD1141="Partial splenectomy +/- splenopexy"),"Non-viable","Review"),IF(BB1141="NR",IF(OR(BD1141="Total splenectomy",BD1141="Partial splenectomy +/- splenopexy"),"NR - removed, check reason","NR"),"Not applicable")))))</f>
        <v/>
      </c>
    </row>
    <row r="1142">
      <c r="D1142" s="8" t="n"/>
      <c r="E1142" s="9">
        <f>IF(B1142="","",IF(B1142="OWN","Yes","No"))</f>
        <v/>
      </c>
      <c r="AF1142" s="9">
        <f>IF(ISNUMBER(Z1142),IF(Z1142&lt;=2,"&lt;=2 d",IF(Z1142&lt;=7,"3-7 d",IF(Z1142&lt;=30,"8-30 d","&gt;30 d"))),IF(AE1142&lt;&gt;"",AE1142,IF(Z1142="NR","NR","")))</f>
        <v/>
      </c>
      <c r="AX1142" s="9">
        <f>IF(ISNUMBER(AW1142),IF(AW1142&gt;450,"Yes","No"),IF(AW1142="NR","NR",""))</f>
        <v/>
      </c>
      <c r="BJ1142" s="9">
        <f>IF(BB1142="","",IF(BB1142="Non-viable","Non-viable",IF(BB1142="Viable","Viable",IF(BB1142="Partially non-viable",IF(OR(BD1142="Total splenectomy",BD1142="Partial splenectomy +/- splenopexy"),"Non-viable","Review"),IF(BB1142="NR",IF(OR(BD1142="Total splenectomy",BD1142="Partial splenectomy +/- splenopexy"),"NR - removed, check reason","NR"),"Not applicable")))))</f>
        <v/>
      </c>
    </row>
    <row r="1143">
      <c r="D1143" s="8" t="n"/>
      <c r="E1143" s="9">
        <f>IF(B1143="","",IF(B1143="OWN","Yes","No"))</f>
        <v/>
      </c>
      <c r="AF1143" s="9">
        <f>IF(ISNUMBER(Z1143),IF(Z1143&lt;=2,"&lt;=2 d",IF(Z1143&lt;=7,"3-7 d",IF(Z1143&lt;=30,"8-30 d","&gt;30 d"))),IF(AE1143&lt;&gt;"",AE1143,IF(Z1143="NR","NR","")))</f>
        <v/>
      </c>
      <c r="AX1143" s="9">
        <f>IF(ISNUMBER(AW1143),IF(AW1143&gt;450,"Yes","No"),IF(AW1143="NR","NR",""))</f>
        <v/>
      </c>
      <c r="BJ1143" s="9">
        <f>IF(BB1143="","",IF(BB1143="Non-viable","Non-viable",IF(BB1143="Viable","Viable",IF(BB1143="Partially non-viable",IF(OR(BD1143="Total splenectomy",BD1143="Partial splenectomy +/- splenopexy"),"Non-viable","Review"),IF(BB1143="NR",IF(OR(BD1143="Total splenectomy",BD1143="Partial splenectomy +/- splenopexy"),"NR - removed, check reason","NR"),"Not applicable")))))</f>
        <v/>
      </c>
    </row>
    <row r="1144">
      <c r="D1144" s="8" t="n"/>
      <c r="E1144" s="9">
        <f>IF(B1144="","",IF(B1144="OWN","Yes","No"))</f>
        <v/>
      </c>
      <c r="AF1144" s="9">
        <f>IF(ISNUMBER(Z1144),IF(Z1144&lt;=2,"&lt;=2 d",IF(Z1144&lt;=7,"3-7 d",IF(Z1144&lt;=30,"8-30 d","&gt;30 d"))),IF(AE1144&lt;&gt;"",AE1144,IF(Z1144="NR","NR","")))</f>
        <v/>
      </c>
      <c r="AX1144" s="9">
        <f>IF(ISNUMBER(AW1144),IF(AW1144&gt;450,"Yes","No"),IF(AW1144="NR","NR",""))</f>
        <v/>
      </c>
      <c r="BJ1144" s="9">
        <f>IF(BB1144="","",IF(BB1144="Non-viable","Non-viable",IF(BB1144="Viable","Viable",IF(BB1144="Partially non-viable",IF(OR(BD1144="Total splenectomy",BD1144="Partial splenectomy +/- splenopexy"),"Non-viable","Review"),IF(BB1144="NR",IF(OR(BD1144="Total splenectomy",BD1144="Partial splenectomy +/- splenopexy"),"NR - removed, check reason","NR"),"Not applicable")))))</f>
        <v/>
      </c>
    </row>
    <row r="1145">
      <c r="D1145" s="8" t="n"/>
      <c r="E1145" s="9">
        <f>IF(B1145="","",IF(B1145="OWN","Yes","No"))</f>
        <v/>
      </c>
      <c r="AF1145" s="9">
        <f>IF(ISNUMBER(Z1145),IF(Z1145&lt;=2,"&lt;=2 d",IF(Z1145&lt;=7,"3-7 d",IF(Z1145&lt;=30,"8-30 d","&gt;30 d"))),IF(AE1145&lt;&gt;"",AE1145,IF(Z1145="NR","NR","")))</f>
        <v/>
      </c>
      <c r="AX1145" s="9">
        <f>IF(ISNUMBER(AW1145),IF(AW1145&gt;450,"Yes","No"),IF(AW1145="NR","NR",""))</f>
        <v/>
      </c>
      <c r="BJ1145" s="9">
        <f>IF(BB1145="","",IF(BB1145="Non-viable","Non-viable",IF(BB1145="Viable","Viable",IF(BB1145="Partially non-viable",IF(OR(BD1145="Total splenectomy",BD1145="Partial splenectomy +/- splenopexy"),"Non-viable","Review"),IF(BB1145="NR",IF(OR(BD1145="Total splenectomy",BD1145="Partial splenectomy +/- splenopexy"),"NR - removed, check reason","NR"),"Not applicable")))))</f>
        <v/>
      </c>
    </row>
    <row r="1146">
      <c r="D1146" s="8" t="n"/>
      <c r="E1146" s="9">
        <f>IF(B1146="","",IF(B1146="OWN","Yes","No"))</f>
        <v/>
      </c>
      <c r="AF1146" s="9">
        <f>IF(ISNUMBER(Z1146),IF(Z1146&lt;=2,"&lt;=2 d",IF(Z1146&lt;=7,"3-7 d",IF(Z1146&lt;=30,"8-30 d","&gt;30 d"))),IF(AE1146&lt;&gt;"",AE1146,IF(Z1146="NR","NR","")))</f>
        <v/>
      </c>
      <c r="AX1146" s="9">
        <f>IF(ISNUMBER(AW1146),IF(AW1146&gt;450,"Yes","No"),IF(AW1146="NR","NR",""))</f>
        <v/>
      </c>
      <c r="BJ1146" s="9">
        <f>IF(BB1146="","",IF(BB1146="Non-viable","Non-viable",IF(BB1146="Viable","Viable",IF(BB1146="Partially non-viable",IF(OR(BD1146="Total splenectomy",BD1146="Partial splenectomy +/- splenopexy"),"Non-viable","Review"),IF(BB1146="NR",IF(OR(BD1146="Total splenectomy",BD1146="Partial splenectomy +/- splenopexy"),"NR - removed, check reason","NR"),"Not applicable")))))</f>
        <v/>
      </c>
    </row>
    <row r="1147">
      <c r="D1147" s="8" t="n"/>
      <c r="E1147" s="9">
        <f>IF(B1147="","",IF(B1147="OWN","Yes","No"))</f>
        <v/>
      </c>
      <c r="AF1147" s="9">
        <f>IF(ISNUMBER(Z1147),IF(Z1147&lt;=2,"&lt;=2 d",IF(Z1147&lt;=7,"3-7 d",IF(Z1147&lt;=30,"8-30 d","&gt;30 d"))),IF(AE1147&lt;&gt;"",AE1147,IF(Z1147="NR","NR","")))</f>
        <v/>
      </c>
      <c r="AX1147" s="9">
        <f>IF(ISNUMBER(AW1147),IF(AW1147&gt;450,"Yes","No"),IF(AW1147="NR","NR",""))</f>
        <v/>
      </c>
      <c r="BJ1147" s="9">
        <f>IF(BB1147="","",IF(BB1147="Non-viable","Non-viable",IF(BB1147="Viable","Viable",IF(BB1147="Partially non-viable",IF(OR(BD1147="Total splenectomy",BD1147="Partial splenectomy +/- splenopexy"),"Non-viable","Review"),IF(BB1147="NR",IF(OR(BD1147="Total splenectomy",BD1147="Partial splenectomy +/- splenopexy"),"NR - removed, check reason","NR"),"Not applicable")))))</f>
        <v/>
      </c>
    </row>
    <row r="1148">
      <c r="D1148" s="8" t="n"/>
      <c r="E1148" s="9">
        <f>IF(B1148="","",IF(B1148="OWN","Yes","No"))</f>
        <v/>
      </c>
      <c r="AF1148" s="9">
        <f>IF(ISNUMBER(Z1148),IF(Z1148&lt;=2,"&lt;=2 d",IF(Z1148&lt;=7,"3-7 d",IF(Z1148&lt;=30,"8-30 d","&gt;30 d"))),IF(AE1148&lt;&gt;"",AE1148,IF(Z1148="NR","NR","")))</f>
        <v/>
      </c>
      <c r="AX1148" s="9">
        <f>IF(ISNUMBER(AW1148),IF(AW1148&gt;450,"Yes","No"),IF(AW1148="NR","NR",""))</f>
        <v/>
      </c>
      <c r="BJ1148" s="9">
        <f>IF(BB1148="","",IF(BB1148="Non-viable","Non-viable",IF(BB1148="Viable","Viable",IF(BB1148="Partially non-viable",IF(OR(BD1148="Total splenectomy",BD1148="Partial splenectomy +/- splenopexy"),"Non-viable","Review"),IF(BB1148="NR",IF(OR(BD1148="Total splenectomy",BD1148="Partial splenectomy +/- splenopexy"),"NR - removed, check reason","NR"),"Not applicable")))))</f>
        <v/>
      </c>
    </row>
    <row r="1149">
      <c r="D1149" s="8" t="n"/>
      <c r="E1149" s="9">
        <f>IF(B1149="","",IF(B1149="OWN","Yes","No"))</f>
        <v/>
      </c>
      <c r="AF1149" s="9">
        <f>IF(ISNUMBER(Z1149),IF(Z1149&lt;=2,"&lt;=2 d",IF(Z1149&lt;=7,"3-7 d",IF(Z1149&lt;=30,"8-30 d","&gt;30 d"))),IF(AE1149&lt;&gt;"",AE1149,IF(Z1149="NR","NR","")))</f>
        <v/>
      </c>
      <c r="AX1149" s="9">
        <f>IF(ISNUMBER(AW1149),IF(AW1149&gt;450,"Yes","No"),IF(AW1149="NR","NR",""))</f>
        <v/>
      </c>
      <c r="BJ1149" s="9">
        <f>IF(BB1149="","",IF(BB1149="Non-viable","Non-viable",IF(BB1149="Viable","Viable",IF(BB1149="Partially non-viable",IF(OR(BD1149="Total splenectomy",BD1149="Partial splenectomy +/- splenopexy"),"Non-viable","Review"),IF(BB1149="NR",IF(OR(BD1149="Total splenectomy",BD1149="Partial splenectomy +/- splenopexy"),"NR - removed, check reason","NR"),"Not applicable")))))</f>
        <v/>
      </c>
    </row>
    <row r="1150">
      <c r="D1150" s="8" t="n"/>
      <c r="E1150" s="9">
        <f>IF(B1150="","",IF(B1150="OWN","Yes","No"))</f>
        <v/>
      </c>
      <c r="AF1150" s="9">
        <f>IF(ISNUMBER(Z1150),IF(Z1150&lt;=2,"&lt;=2 d",IF(Z1150&lt;=7,"3-7 d",IF(Z1150&lt;=30,"8-30 d","&gt;30 d"))),IF(AE1150&lt;&gt;"",AE1150,IF(Z1150="NR","NR","")))</f>
        <v/>
      </c>
      <c r="AX1150" s="9">
        <f>IF(ISNUMBER(AW1150),IF(AW1150&gt;450,"Yes","No"),IF(AW1150="NR","NR",""))</f>
        <v/>
      </c>
      <c r="BJ1150" s="9">
        <f>IF(BB1150="","",IF(BB1150="Non-viable","Non-viable",IF(BB1150="Viable","Viable",IF(BB1150="Partially non-viable",IF(OR(BD1150="Total splenectomy",BD1150="Partial splenectomy +/- splenopexy"),"Non-viable","Review"),IF(BB1150="NR",IF(OR(BD1150="Total splenectomy",BD1150="Partial splenectomy +/- splenopexy"),"NR - removed, check reason","NR"),"Not applicable")))))</f>
        <v/>
      </c>
    </row>
    <row r="1151">
      <c r="D1151" s="8" t="n"/>
      <c r="E1151" s="9">
        <f>IF(B1151="","",IF(B1151="OWN","Yes","No"))</f>
        <v/>
      </c>
      <c r="AF1151" s="9">
        <f>IF(ISNUMBER(Z1151),IF(Z1151&lt;=2,"&lt;=2 d",IF(Z1151&lt;=7,"3-7 d",IF(Z1151&lt;=30,"8-30 d","&gt;30 d"))),IF(AE1151&lt;&gt;"",AE1151,IF(Z1151="NR","NR","")))</f>
        <v/>
      </c>
      <c r="AX1151" s="9">
        <f>IF(ISNUMBER(AW1151),IF(AW1151&gt;450,"Yes","No"),IF(AW1151="NR","NR",""))</f>
        <v/>
      </c>
      <c r="BJ1151" s="9">
        <f>IF(BB1151="","",IF(BB1151="Non-viable","Non-viable",IF(BB1151="Viable","Viable",IF(BB1151="Partially non-viable",IF(OR(BD1151="Total splenectomy",BD1151="Partial splenectomy +/- splenopexy"),"Non-viable","Review"),IF(BB1151="NR",IF(OR(BD1151="Total splenectomy",BD1151="Partial splenectomy +/- splenopexy"),"NR - removed, check reason","NR"),"Not applicable")))))</f>
        <v/>
      </c>
    </row>
    <row r="1152">
      <c r="D1152" s="8" t="n"/>
      <c r="E1152" s="9">
        <f>IF(B1152="","",IF(B1152="OWN","Yes","No"))</f>
        <v/>
      </c>
      <c r="AF1152" s="9">
        <f>IF(ISNUMBER(Z1152),IF(Z1152&lt;=2,"&lt;=2 d",IF(Z1152&lt;=7,"3-7 d",IF(Z1152&lt;=30,"8-30 d","&gt;30 d"))),IF(AE1152&lt;&gt;"",AE1152,IF(Z1152="NR","NR","")))</f>
        <v/>
      </c>
      <c r="AX1152" s="9">
        <f>IF(ISNUMBER(AW1152),IF(AW1152&gt;450,"Yes","No"),IF(AW1152="NR","NR",""))</f>
        <v/>
      </c>
      <c r="BJ1152" s="9">
        <f>IF(BB1152="","",IF(BB1152="Non-viable","Non-viable",IF(BB1152="Viable","Viable",IF(BB1152="Partially non-viable",IF(OR(BD1152="Total splenectomy",BD1152="Partial splenectomy +/- splenopexy"),"Non-viable","Review"),IF(BB1152="NR",IF(OR(BD1152="Total splenectomy",BD1152="Partial splenectomy +/- splenopexy"),"NR - removed, check reason","NR"),"Not applicable")))))</f>
        <v/>
      </c>
    </row>
    <row r="1153">
      <c r="D1153" s="8" t="n"/>
      <c r="E1153" s="9">
        <f>IF(B1153="","",IF(B1153="OWN","Yes","No"))</f>
        <v/>
      </c>
      <c r="AF1153" s="9">
        <f>IF(ISNUMBER(Z1153),IF(Z1153&lt;=2,"&lt;=2 d",IF(Z1153&lt;=7,"3-7 d",IF(Z1153&lt;=30,"8-30 d","&gt;30 d"))),IF(AE1153&lt;&gt;"",AE1153,IF(Z1153="NR","NR","")))</f>
        <v/>
      </c>
      <c r="AX1153" s="9">
        <f>IF(ISNUMBER(AW1153),IF(AW1153&gt;450,"Yes","No"),IF(AW1153="NR","NR",""))</f>
        <v/>
      </c>
      <c r="BJ1153" s="9">
        <f>IF(BB1153="","",IF(BB1153="Non-viable","Non-viable",IF(BB1153="Viable","Viable",IF(BB1153="Partially non-viable",IF(OR(BD1153="Total splenectomy",BD1153="Partial splenectomy +/- splenopexy"),"Non-viable","Review"),IF(BB1153="NR",IF(OR(BD1153="Total splenectomy",BD1153="Partial splenectomy +/- splenopexy"),"NR - removed, check reason","NR"),"Not applicable")))))</f>
        <v/>
      </c>
    </row>
    <row r="1154">
      <c r="D1154" s="8" t="n"/>
      <c r="E1154" s="9">
        <f>IF(B1154="","",IF(B1154="OWN","Yes","No"))</f>
        <v/>
      </c>
      <c r="AF1154" s="9">
        <f>IF(ISNUMBER(Z1154),IF(Z1154&lt;=2,"&lt;=2 d",IF(Z1154&lt;=7,"3-7 d",IF(Z1154&lt;=30,"8-30 d","&gt;30 d"))),IF(AE1154&lt;&gt;"",AE1154,IF(Z1154="NR","NR","")))</f>
        <v/>
      </c>
      <c r="AX1154" s="9">
        <f>IF(ISNUMBER(AW1154),IF(AW1154&gt;450,"Yes","No"),IF(AW1154="NR","NR",""))</f>
        <v/>
      </c>
      <c r="BJ1154" s="9">
        <f>IF(BB1154="","",IF(BB1154="Non-viable","Non-viable",IF(BB1154="Viable","Viable",IF(BB1154="Partially non-viable",IF(OR(BD1154="Total splenectomy",BD1154="Partial splenectomy +/- splenopexy"),"Non-viable","Review"),IF(BB1154="NR",IF(OR(BD1154="Total splenectomy",BD1154="Partial splenectomy +/- splenopexy"),"NR - removed, check reason","NR"),"Not applicable")))))</f>
        <v/>
      </c>
    </row>
    <row r="1155">
      <c r="D1155" s="8" t="n"/>
      <c r="E1155" s="9">
        <f>IF(B1155="","",IF(B1155="OWN","Yes","No"))</f>
        <v/>
      </c>
      <c r="AF1155" s="9">
        <f>IF(ISNUMBER(Z1155),IF(Z1155&lt;=2,"&lt;=2 d",IF(Z1155&lt;=7,"3-7 d",IF(Z1155&lt;=30,"8-30 d","&gt;30 d"))),IF(AE1155&lt;&gt;"",AE1155,IF(Z1155="NR","NR","")))</f>
        <v/>
      </c>
      <c r="AX1155" s="9">
        <f>IF(ISNUMBER(AW1155),IF(AW1155&gt;450,"Yes","No"),IF(AW1155="NR","NR",""))</f>
        <v/>
      </c>
      <c r="BJ1155" s="9">
        <f>IF(BB1155="","",IF(BB1155="Non-viable","Non-viable",IF(BB1155="Viable","Viable",IF(BB1155="Partially non-viable",IF(OR(BD1155="Total splenectomy",BD1155="Partial splenectomy +/- splenopexy"),"Non-viable","Review"),IF(BB1155="NR",IF(OR(BD1155="Total splenectomy",BD1155="Partial splenectomy +/- splenopexy"),"NR - removed, check reason","NR"),"Not applicable")))))</f>
        <v/>
      </c>
    </row>
    <row r="1156">
      <c r="D1156" s="8" t="n"/>
      <c r="E1156" s="9">
        <f>IF(B1156="","",IF(B1156="OWN","Yes","No"))</f>
        <v/>
      </c>
      <c r="AF1156" s="9">
        <f>IF(ISNUMBER(Z1156),IF(Z1156&lt;=2,"&lt;=2 d",IF(Z1156&lt;=7,"3-7 d",IF(Z1156&lt;=30,"8-30 d","&gt;30 d"))),IF(AE1156&lt;&gt;"",AE1156,IF(Z1156="NR","NR","")))</f>
        <v/>
      </c>
      <c r="AX1156" s="9">
        <f>IF(ISNUMBER(AW1156),IF(AW1156&gt;450,"Yes","No"),IF(AW1156="NR","NR",""))</f>
        <v/>
      </c>
      <c r="BJ1156" s="9">
        <f>IF(BB1156="","",IF(BB1156="Non-viable","Non-viable",IF(BB1156="Viable","Viable",IF(BB1156="Partially non-viable",IF(OR(BD1156="Total splenectomy",BD1156="Partial splenectomy +/- splenopexy"),"Non-viable","Review"),IF(BB1156="NR",IF(OR(BD1156="Total splenectomy",BD1156="Partial splenectomy +/- splenopexy"),"NR - removed, check reason","NR"),"Not applicable")))))</f>
        <v/>
      </c>
    </row>
    <row r="1157">
      <c r="D1157" s="8" t="n"/>
      <c r="E1157" s="9">
        <f>IF(B1157="","",IF(B1157="OWN","Yes","No"))</f>
        <v/>
      </c>
      <c r="AF1157" s="9">
        <f>IF(ISNUMBER(Z1157),IF(Z1157&lt;=2,"&lt;=2 d",IF(Z1157&lt;=7,"3-7 d",IF(Z1157&lt;=30,"8-30 d","&gt;30 d"))),IF(AE1157&lt;&gt;"",AE1157,IF(Z1157="NR","NR","")))</f>
        <v/>
      </c>
      <c r="AX1157" s="9">
        <f>IF(ISNUMBER(AW1157),IF(AW1157&gt;450,"Yes","No"),IF(AW1157="NR","NR",""))</f>
        <v/>
      </c>
      <c r="BJ1157" s="9">
        <f>IF(BB1157="","",IF(BB1157="Non-viable","Non-viable",IF(BB1157="Viable","Viable",IF(BB1157="Partially non-viable",IF(OR(BD1157="Total splenectomy",BD1157="Partial splenectomy +/- splenopexy"),"Non-viable","Review"),IF(BB1157="NR",IF(OR(BD1157="Total splenectomy",BD1157="Partial splenectomy +/- splenopexy"),"NR - removed, check reason","NR"),"Not applicable")))))</f>
        <v/>
      </c>
    </row>
    <row r="1158">
      <c r="D1158" s="8" t="n"/>
      <c r="E1158" s="9">
        <f>IF(B1158="","",IF(B1158="OWN","Yes","No"))</f>
        <v/>
      </c>
      <c r="AF1158" s="9">
        <f>IF(ISNUMBER(Z1158),IF(Z1158&lt;=2,"&lt;=2 d",IF(Z1158&lt;=7,"3-7 d",IF(Z1158&lt;=30,"8-30 d","&gt;30 d"))),IF(AE1158&lt;&gt;"",AE1158,IF(Z1158="NR","NR","")))</f>
        <v/>
      </c>
      <c r="AX1158" s="9">
        <f>IF(ISNUMBER(AW1158),IF(AW1158&gt;450,"Yes","No"),IF(AW1158="NR","NR",""))</f>
        <v/>
      </c>
      <c r="BJ1158" s="9">
        <f>IF(BB1158="","",IF(BB1158="Non-viable","Non-viable",IF(BB1158="Viable","Viable",IF(BB1158="Partially non-viable",IF(OR(BD1158="Total splenectomy",BD1158="Partial splenectomy +/- splenopexy"),"Non-viable","Review"),IF(BB1158="NR",IF(OR(BD1158="Total splenectomy",BD1158="Partial splenectomy +/- splenopexy"),"NR - removed, check reason","NR"),"Not applicable")))))</f>
        <v/>
      </c>
    </row>
    <row r="1159">
      <c r="D1159" s="8" t="n"/>
      <c r="E1159" s="9">
        <f>IF(B1159="","",IF(B1159="OWN","Yes","No"))</f>
        <v/>
      </c>
      <c r="AF1159" s="9">
        <f>IF(ISNUMBER(Z1159),IF(Z1159&lt;=2,"&lt;=2 d",IF(Z1159&lt;=7,"3-7 d",IF(Z1159&lt;=30,"8-30 d","&gt;30 d"))),IF(AE1159&lt;&gt;"",AE1159,IF(Z1159="NR","NR","")))</f>
        <v/>
      </c>
      <c r="AX1159" s="9">
        <f>IF(ISNUMBER(AW1159),IF(AW1159&gt;450,"Yes","No"),IF(AW1159="NR","NR",""))</f>
        <v/>
      </c>
      <c r="BJ1159" s="9">
        <f>IF(BB1159="","",IF(BB1159="Non-viable","Non-viable",IF(BB1159="Viable","Viable",IF(BB1159="Partially non-viable",IF(OR(BD1159="Total splenectomy",BD1159="Partial splenectomy +/- splenopexy"),"Non-viable","Review"),IF(BB1159="NR",IF(OR(BD1159="Total splenectomy",BD1159="Partial splenectomy +/- splenopexy"),"NR - removed, check reason","NR"),"Not applicable")))))</f>
        <v/>
      </c>
    </row>
    <row r="1160">
      <c r="D1160" s="8" t="n"/>
      <c r="E1160" s="9">
        <f>IF(B1160="","",IF(B1160="OWN","Yes","No"))</f>
        <v/>
      </c>
      <c r="AF1160" s="9">
        <f>IF(ISNUMBER(Z1160),IF(Z1160&lt;=2,"&lt;=2 d",IF(Z1160&lt;=7,"3-7 d",IF(Z1160&lt;=30,"8-30 d","&gt;30 d"))),IF(AE1160&lt;&gt;"",AE1160,IF(Z1160="NR","NR","")))</f>
        <v/>
      </c>
      <c r="AX1160" s="9">
        <f>IF(ISNUMBER(AW1160),IF(AW1160&gt;450,"Yes","No"),IF(AW1160="NR","NR",""))</f>
        <v/>
      </c>
      <c r="BJ1160" s="9">
        <f>IF(BB1160="","",IF(BB1160="Non-viable","Non-viable",IF(BB1160="Viable","Viable",IF(BB1160="Partially non-viable",IF(OR(BD1160="Total splenectomy",BD1160="Partial splenectomy +/- splenopexy"),"Non-viable","Review"),IF(BB1160="NR",IF(OR(BD1160="Total splenectomy",BD1160="Partial splenectomy +/- splenopexy"),"NR - removed, check reason","NR"),"Not applicable")))))</f>
        <v/>
      </c>
    </row>
    <row r="1161">
      <c r="D1161" s="8" t="n"/>
      <c r="E1161" s="9">
        <f>IF(B1161="","",IF(B1161="OWN","Yes","No"))</f>
        <v/>
      </c>
      <c r="AF1161" s="9">
        <f>IF(ISNUMBER(Z1161),IF(Z1161&lt;=2,"&lt;=2 d",IF(Z1161&lt;=7,"3-7 d",IF(Z1161&lt;=30,"8-30 d","&gt;30 d"))),IF(AE1161&lt;&gt;"",AE1161,IF(Z1161="NR","NR","")))</f>
        <v/>
      </c>
      <c r="AX1161" s="9">
        <f>IF(ISNUMBER(AW1161),IF(AW1161&gt;450,"Yes","No"),IF(AW1161="NR","NR",""))</f>
        <v/>
      </c>
      <c r="BJ1161" s="9">
        <f>IF(BB1161="","",IF(BB1161="Non-viable","Non-viable",IF(BB1161="Viable","Viable",IF(BB1161="Partially non-viable",IF(OR(BD1161="Total splenectomy",BD1161="Partial splenectomy +/- splenopexy"),"Non-viable","Review"),IF(BB1161="NR",IF(OR(BD1161="Total splenectomy",BD1161="Partial splenectomy +/- splenopexy"),"NR - removed, check reason","NR"),"Not applicable")))))</f>
        <v/>
      </c>
    </row>
    <row r="1162">
      <c r="D1162" s="8" t="n"/>
      <c r="E1162" s="9">
        <f>IF(B1162="","",IF(B1162="OWN","Yes","No"))</f>
        <v/>
      </c>
      <c r="AF1162" s="9">
        <f>IF(ISNUMBER(Z1162),IF(Z1162&lt;=2,"&lt;=2 d",IF(Z1162&lt;=7,"3-7 d",IF(Z1162&lt;=30,"8-30 d","&gt;30 d"))),IF(AE1162&lt;&gt;"",AE1162,IF(Z1162="NR","NR","")))</f>
        <v/>
      </c>
      <c r="AX1162" s="9">
        <f>IF(ISNUMBER(AW1162),IF(AW1162&gt;450,"Yes","No"),IF(AW1162="NR","NR",""))</f>
        <v/>
      </c>
      <c r="BJ1162" s="9">
        <f>IF(BB1162="","",IF(BB1162="Non-viable","Non-viable",IF(BB1162="Viable","Viable",IF(BB1162="Partially non-viable",IF(OR(BD1162="Total splenectomy",BD1162="Partial splenectomy +/- splenopexy"),"Non-viable","Review"),IF(BB1162="NR",IF(OR(BD1162="Total splenectomy",BD1162="Partial splenectomy +/- splenopexy"),"NR - removed, check reason","NR"),"Not applicable")))))</f>
        <v/>
      </c>
    </row>
    <row r="1163">
      <c r="D1163" s="8" t="n"/>
      <c r="E1163" s="9">
        <f>IF(B1163="","",IF(B1163="OWN","Yes","No"))</f>
        <v/>
      </c>
      <c r="AF1163" s="9">
        <f>IF(ISNUMBER(Z1163),IF(Z1163&lt;=2,"&lt;=2 d",IF(Z1163&lt;=7,"3-7 d",IF(Z1163&lt;=30,"8-30 d","&gt;30 d"))),IF(AE1163&lt;&gt;"",AE1163,IF(Z1163="NR","NR","")))</f>
        <v/>
      </c>
      <c r="AX1163" s="9">
        <f>IF(ISNUMBER(AW1163),IF(AW1163&gt;450,"Yes","No"),IF(AW1163="NR","NR",""))</f>
        <v/>
      </c>
      <c r="BJ1163" s="9">
        <f>IF(BB1163="","",IF(BB1163="Non-viable","Non-viable",IF(BB1163="Viable","Viable",IF(BB1163="Partially non-viable",IF(OR(BD1163="Total splenectomy",BD1163="Partial splenectomy +/- splenopexy"),"Non-viable","Review"),IF(BB1163="NR",IF(OR(BD1163="Total splenectomy",BD1163="Partial splenectomy +/- splenopexy"),"NR - removed, check reason","NR"),"Not applicable")))))</f>
        <v/>
      </c>
    </row>
    <row r="1164">
      <c r="D1164" s="8" t="n"/>
      <c r="E1164" s="9">
        <f>IF(B1164="","",IF(B1164="OWN","Yes","No"))</f>
        <v/>
      </c>
      <c r="AF1164" s="9">
        <f>IF(ISNUMBER(Z1164),IF(Z1164&lt;=2,"&lt;=2 d",IF(Z1164&lt;=7,"3-7 d",IF(Z1164&lt;=30,"8-30 d","&gt;30 d"))),IF(AE1164&lt;&gt;"",AE1164,IF(Z1164="NR","NR","")))</f>
        <v/>
      </c>
      <c r="AX1164" s="9">
        <f>IF(ISNUMBER(AW1164),IF(AW1164&gt;450,"Yes","No"),IF(AW1164="NR","NR",""))</f>
        <v/>
      </c>
      <c r="BJ1164" s="9">
        <f>IF(BB1164="","",IF(BB1164="Non-viable","Non-viable",IF(BB1164="Viable","Viable",IF(BB1164="Partially non-viable",IF(OR(BD1164="Total splenectomy",BD1164="Partial splenectomy +/- splenopexy"),"Non-viable","Review"),IF(BB1164="NR",IF(OR(BD1164="Total splenectomy",BD1164="Partial splenectomy +/- splenopexy"),"NR - removed, check reason","NR"),"Not applicable")))))</f>
        <v/>
      </c>
    </row>
    <row r="1165">
      <c r="D1165" s="8" t="n"/>
      <c r="E1165" s="9">
        <f>IF(B1165="","",IF(B1165="OWN","Yes","No"))</f>
        <v/>
      </c>
      <c r="AF1165" s="9">
        <f>IF(ISNUMBER(Z1165),IF(Z1165&lt;=2,"&lt;=2 d",IF(Z1165&lt;=7,"3-7 d",IF(Z1165&lt;=30,"8-30 d","&gt;30 d"))),IF(AE1165&lt;&gt;"",AE1165,IF(Z1165="NR","NR","")))</f>
        <v/>
      </c>
      <c r="AX1165" s="9">
        <f>IF(ISNUMBER(AW1165),IF(AW1165&gt;450,"Yes","No"),IF(AW1165="NR","NR",""))</f>
        <v/>
      </c>
      <c r="BJ1165" s="9">
        <f>IF(BB1165="","",IF(BB1165="Non-viable","Non-viable",IF(BB1165="Viable","Viable",IF(BB1165="Partially non-viable",IF(OR(BD1165="Total splenectomy",BD1165="Partial splenectomy +/- splenopexy"),"Non-viable","Review"),IF(BB1165="NR",IF(OR(BD1165="Total splenectomy",BD1165="Partial splenectomy +/- splenopexy"),"NR - removed, check reason","NR"),"Not applicable")))))</f>
        <v/>
      </c>
    </row>
    <row r="1166">
      <c r="D1166" s="8" t="n"/>
      <c r="E1166" s="9">
        <f>IF(B1166="","",IF(B1166="OWN","Yes","No"))</f>
        <v/>
      </c>
      <c r="AF1166" s="9">
        <f>IF(ISNUMBER(Z1166),IF(Z1166&lt;=2,"&lt;=2 d",IF(Z1166&lt;=7,"3-7 d",IF(Z1166&lt;=30,"8-30 d","&gt;30 d"))),IF(AE1166&lt;&gt;"",AE1166,IF(Z1166="NR","NR","")))</f>
        <v/>
      </c>
      <c r="AX1166" s="9">
        <f>IF(ISNUMBER(AW1166),IF(AW1166&gt;450,"Yes","No"),IF(AW1166="NR","NR",""))</f>
        <v/>
      </c>
      <c r="BJ1166" s="9">
        <f>IF(BB1166="","",IF(BB1166="Non-viable","Non-viable",IF(BB1166="Viable","Viable",IF(BB1166="Partially non-viable",IF(OR(BD1166="Total splenectomy",BD1166="Partial splenectomy +/- splenopexy"),"Non-viable","Review"),IF(BB1166="NR",IF(OR(BD1166="Total splenectomy",BD1166="Partial splenectomy +/- splenopexy"),"NR - removed, check reason","NR"),"Not applicable")))))</f>
        <v/>
      </c>
    </row>
    <row r="1167">
      <c r="D1167" s="8" t="n"/>
      <c r="E1167" s="9">
        <f>IF(B1167="","",IF(B1167="OWN","Yes","No"))</f>
        <v/>
      </c>
      <c r="AF1167" s="9">
        <f>IF(ISNUMBER(Z1167),IF(Z1167&lt;=2,"&lt;=2 d",IF(Z1167&lt;=7,"3-7 d",IF(Z1167&lt;=30,"8-30 d","&gt;30 d"))),IF(AE1167&lt;&gt;"",AE1167,IF(Z1167="NR","NR","")))</f>
        <v/>
      </c>
      <c r="AX1167" s="9">
        <f>IF(ISNUMBER(AW1167),IF(AW1167&gt;450,"Yes","No"),IF(AW1167="NR","NR",""))</f>
        <v/>
      </c>
      <c r="BJ1167" s="9">
        <f>IF(BB1167="","",IF(BB1167="Non-viable","Non-viable",IF(BB1167="Viable","Viable",IF(BB1167="Partially non-viable",IF(OR(BD1167="Total splenectomy",BD1167="Partial splenectomy +/- splenopexy"),"Non-viable","Review"),IF(BB1167="NR",IF(OR(BD1167="Total splenectomy",BD1167="Partial splenectomy +/- splenopexy"),"NR - removed, check reason","NR"),"Not applicable")))))</f>
        <v/>
      </c>
    </row>
    <row r="1168">
      <c r="D1168" s="8" t="n"/>
      <c r="E1168" s="9">
        <f>IF(B1168="","",IF(B1168="OWN","Yes","No"))</f>
        <v/>
      </c>
      <c r="AF1168" s="9">
        <f>IF(ISNUMBER(Z1168),IF(Z1168&lt;=2,"&lt;=2 d",IF(Z1168&lt;=7,"3-7 d",IF(Z1168&lt;=30,"8-30 d","&gt;30 d"))),IF(AE1168&lt;&gt;"",AE1168,IF(Z1168="NR","NR","")))</f>
        <v/>
      </c>
      <c r="AX1168" s="9">
        <f>IF(ISNUMBER(AW1168),IF(AW1168&gt;450,"Yes","No"),IF(AW1168="NR","NR",""))</f>
        <v/>
      </c>
      <c r="BJ1168" s="9">
        <f>IF(BB1168="","",IF(BB1168="Non-viable","Non-viable",IF(BB1168="Viable","Viable",IF(BB1168="Partially non-viable",IF(OR(BD1168="Total splenectomy",BD1168="Partial splenectomy +/- splenopexy"),"Non-viable","Review"),IF(BB1168="NR",IF(OR(BD1168="Total splenectomy",BD1168="Partial splenectomy +/- splenopexy"),"NR - removed, check reason","NR"),"Not applicable")))))</f>
        <v/>
      </c>
    </row>
    <row r="1169">
      <c r="D1169" s="8" t="n"/>
      <c r="E1169" s="9">
        <f>IF(B1169="","",IF(B1169="OWN","Yes","No"))</f>
        <v/>
      </c>
      <c r="AF1169" s="9">
        <f>IF(ISNUMBER(Z1169),IF(Z1169&lt;=2,"&lt;=2 d",IF(Z1169&lt;=7,"3-7 d",IF(Z1169&lt;=30,"8-30 d","&gt;30 d"))),IF(AE1169&lt;&gt;"",AE1169,IF(Z1169="NR","NR","")))</f>
        <v/>
      </c>
      <c r="AX1169" s="9">
        <f>IF(ISNUMBER(AW1169),IF(AW1169&gt;450,"Yes","No"),IF(AW1169="NR","NR",""))</f>
        <v/>
      </c>
      <c r="BJ1169" s="9">
        <f>IF(BB1169="","",IF(BB1169="Non-viable","Non-viable",IF(BB1169="Viable","Viable",IF(BB1169="Partially non-viable",IF(OR(BD1169="Total splenectomy",BD1169="Partial splenectomy +/- splenopexy"),"Non-viable","Review"),IF(BB1169="NR",IF(OR(BD1169="Total splenectomy",BD1169="Partial splenectomy +/- splenopexy"),"NR - removed, check reason","NR"),"Not applicable")))))</f>
        <v/>
      </c>
    </row>
    <row r="1170">
      <c r="D1170" s="8" t="n"/>
      <c r="E1170" s="9">
        <f>IF(B1170="","",IF(B1170="OWN","Yes","No"))</f>
        <v/>
      </c>
      <c r="AF1170" s="9">
        <f>IF(ISNUMBER(Z1170),IF(Z1170&lt;=2,"&lt;=2 d",IF(Z1170&lt;=7,"3-7 d",IF(Z1170&lt;=30,"8-30 d","&gt;30 d"))),IF(AE1170&lt;&gt;"",AE1170,IF(Z1170="NR","NR","")))</f>
        <v/>
      </c>
      <c r="AX1170" s="9">
        <f>IF(ISNUMBER(AW1170),IF(AW1170&gt;450,"Yes","No"),IF(AW1170="NR","NR",""))</f>
        <v/>
      </c>
      <c r="BJ1170" s="9">
        <f>IF(BB1170="","",IF(BB1170="Non-viable","Non-viable",IF(BB1170="Viable","Viable",IF(BB1170="Partially non-viable",IF(OR(BD1170="Total splenectomy",BD1170="Partial splenectomy +/- splenopexy"),"Non-viable","Review"),IF(BB1170="NR",IF(OR(BD1170="Total splenectomy",BD1170="Partial splenectomy +/- splenopexy"),"NR - removed, check reason","NR"),"Not applicable")))))</f>
        <v/>
      </c>
    </row>
    <row r="1171">
      <c r="D1171" s="8" t="n"/>
      <c r="E1171" s="9">
        <f>IF(B1171="","",IF(B1171="OWN","Yes","No"))</f>
        <v/>
      </c>
      <c r="AF1171" s="9">
        <f>IF(ISNUMBER(Z1171),IF(Z1171&lt;=2,"&lt;=2 d",IF(Z1171&lt;=7,"3-7 d",IF(Z1171&lt;=30,"8-30 d","&gt;30 d"))),IF(AE1171&lt;&gt;"",AE1171,IF(Z1171="NR","NR","")))</f>
        <v/>
      </c>
      <c r="AX1171" s="9">
        <f>IF(ISNUMBER(AW1171),IF(AW1171&gt;450,"Yes","No"),IF(AW1171="NR","NR",""))</f>
        <v/>
      </c>
      <c r="BJ1171" s="9">
        <f>IF(BB1171="","",IF(BB1171="Non-viable","Non-viable",IF(BB1171="Viable","Viable",IF(BB1171="Partially non-viable",IF(OR(BD1171="Total splenectomy",BD1171="Partial splenectomy +/- splenopexy"),"Non-viable","Review"),IF(BB1171="NR",IF(OR(BD1171="Total splenectomy",BD1171="Partial splenectomy +/- splenopexy"),"NR - removed, check reason","NR"),"Not applicable")))))</f>
        <v/>
      </c>
    </row>
    <row r="1172">
      <c r="D1172" s="8" t="n"/>
      <c r="E1172" s="9">
        <f>IF(B1172="","",IF(B1172="OWN","Yes","No"))</f>
        <v/>
      </c>
      <c r="AF1172" s="9">
        <f>IF(ISNUMBER(Z1172),IF(Z1172&lt;=2,"&lt;=2 d",IF(Z1172&lt;=7,"3-7 d",IF(Z1172&lt;=30,"8-30 d","&gt;30 d"))),IF(AE1172&lt;&gt;"",AE1172,IF(Z1172="NR","NR","")))</f>
        <v/>
      </c>
      <c r="AX1172" s="9">
        <f>IF(ISNUMBER(AW1172),IF(AW1172&gt;450,"Yes","No"),IF(AW1172="NR","NR",""))</f>
        <v/>
      </c>
      <c r="BJ1172" s="9">
        <f>IF(BB1172="","",IF(BB1172="Non-viable","Non-viable",IF(BB1172="Viable","Viable",IF(BB1172="Partially non-viable",IF(OR(BD1172="Total splenectomy",BD1172="Partial splenectomy +/- splenopexy"),"Non-viable","Review"),IF(BB1172="NR",IF(OR(BD1172="Total splenectomy",BD1172="Partial splenectomy +/- splenopexy"),"NR - removed, check reason","NR"),"Not applicable")))))</f>
        <v/>
      </c>
    </row>
    <row r="1173">
      <c r="D1173" s="8" t="n"/>
      <c r="E1173" s="9">
        <f>IF(B1173="","",IF(B1173="OWN","Yes","No"))</f>
        <v/>
      </c>
      <c r="AF1173" s="9">
        <f>IF(ISNUMBER(Z1173),IF(Z1173&lt;=2,"&lt;=2 d",IF(Z1173&lt;=7,"3-7 d",IF(Z1173&lt;=30,"8-30 d","&gt;30 d"))),IF(AE1173&lt;&gt;"",AE1173,IF(Z1173="NR","NR","")))</f>
        <v/>
      </c>
      <c r="AX1173" s="9">
        <f>IF(ISNUMBER(AW1173),IF(AW1173&gt;450,"Yes","No"),IF(AW1173="NR","NR",""))</f>
        <v/>
      </c>
      <c r="BJ1173" s="9">
        <f>IF(BB1173="","",IF(BB1173="Non-viable","Non-viable",IF(BB1173="Viable","Viable",IF(BB1173="Partially non-viable",IF(OR(BD1173="Total splenectomy",BD1173="Partial splenectomy +/- splenopexy"),"Non-viable","Review"),IF(BB1173="NR",IF(OR(BD1173="Total splenectomy",BD1173="Partial splenectomy +/- splenopexy"),"NR - removed, check reason","NR"),"Not applicable")))))</f>
        <v/>
      </c>
    </row>
    <row r="1174">
      <c r="D1174" s="8" t="n"/>
      <c r="E1174" s="9">
        <f>IF(B1174="","",IF(B1174="OWN","Yes","No"))</f>
        <v/>
      </c>
      <c r="AF1174" s="9">
        <f>IF(ISNUMBER(Z1174),IF(Z1174&lt;=2,"&lt;=2 d",IF(Z1174&lt;=7,"3-7 d",IF(Z1174&lt;=30,"8-30 d","&gt;30 d"))),IF(AE1174&lt;&gt;"",AE1174,IF(Z1174="NR","NR","")))</f>
        <v/>
      </c>
      <c r="AX1174" s="9">
        <f>IF(ISNUMBER(AW1174),IF(AW1174&gt;450,"Yes","No"),IF(AW1174="NR","NR",""))</f>
        <v/>
      </c>
      <c r="BJ1174" s="9">
        <f>IF(BB1174="","",IF(BB1174="Non-viable","Non-viable",IF(BB1174="Viable","Viable",IF(BB1174="Partially non-viable",IF(OR(BD1174="Total splenectomy",BD1174="Partial splenectomy +/- splenopexy"),"Non-viable","Review"),IF(BB1174="NR",IF(OR(BD1174="Total splenectomy",BD1174="Partial splenectomy +/- splenopexy"),"NR - removed, check reason","NR"),"Not applicable")))))</f>
        <v/>
      </c>
    </row>
    <row r="1175">
      <c r="D1175" s="8" t="n"/>
      <c r="E1175" s="9">
        <f>IF(B1175="","",IF(B1175="OWN","Yes","No"))</f>
        <v/>
      </c>
      <c r="AF1175" s="9">
        <f>IF(ISNUMBER(Z1175),IF(Z1175&lt;=2,"&lt;=2 d",IF(Z1175&lt;=7,"3-7 d",IF(Z1175&lt;=30,"8-30 d","&gt;30 d"))),IF(AE1175&lt;&gt;"",AE1175,IF(Z1175="NR","NR","")))</f>
        <v/>
      </c>
      <c r="AX1175" s="9">
        <f>IF(ISNUMBER(AW1175),IF(AW1175&gt;450,"Yes","No"),IF(AW1175="NR","NR",""))</f>
        <v/>
      </c>
      <c r="BJ1175" s="9">
        <f>IF(BB1175="","",IF(BB1175="Non-viable","Non-viable",IF(BB1175="Viable","Viable",IF(BB1175="Partially non-viable",IF(OR(BD1175="Total splenectomy",BD1175="Partial splenectomy +/- splenopexy"),"Non-viable","Review"),IF(BB1175="NR",IF(OR(BD1175="Total splenectomy",BD1175="Partial splenectomy +/- splenopexy"),"NR - removed, check reason","NR"),"Not applicable")))))</f>
        <v/>
      </c>
    </row>
    <row r="1176">
      <c r="D1176" s="8" t="n"/>
      <c r="E1176" s="9">
        <f>IF(B1176="","",IF(B1176="OWN","Yes","No"))</f>
        <v/>
      </c>
      <c r="AF1176" s="9">
        <f>IF(ISNUMBER(Z1176),IF(Z1176&lt;=2,"&lt;=2 d",IF(Z1176&lt;=7,"3-7 d",IF(Z1176&lt;=30,"8-30 d","&gt;30 d"))),IF(AE1176&lt;&gt;"",AE1176,IF(Z1176="NR","NR","")))</f>
        <v/>
      </c>
      <c r="AX1176" s="9">
        <f>IF(ISNUMBER(AW1176),IF(AW1176&gt;450,"Yes","No"),IF(AW1176="NR","NR",""))</f>
        <v/>
      </c>
      <c r="BJ1176" s="9">
        <f>IF(BB1176="","",IF(BB1176="Non-viable","Non-viable",IF(BB1176="Viable","Viable",IF(BB1176="Partially non-viable",IF(OR(BD1176="Total splenectomy",BD1176="Partial splenectomy +/- splenopexy"),"Non-viable","Review"),IF(BB1176="NR",IF(OR(BD1176="Total splenectomy",BD1176="Partial splenectomy +/- splenopexy"),"NR - removed, check reason","NR"),"Not applicable")))))</f>
        <v/>
      </c>
    </row>
    <row r="1177">
      <c r="D1177" s="8" t="n"/>
      <c r="E1177" s="9">
        <f>IF(B1177="","",IF(B1177="OWN","Yes","No"))</f>
        <v/>
      </c>
      <c r="AF1177" s="9">
        <f>IF(ISNUMBER(Z1177),IF(Z1177&lt;=2,"&lt;=2 d",IF(Z1177&lt;=7,"3-7 d",IF(Z1177&lt;=30,"8-30 d","&gt;30 d"))),IF(AE1177&lt;&gt;"",AE1177,IF(Z1177="NR","NR","")))</f>
        <v/>
      </c>
      <c r="AX1177" s="9">
        <f>IF(ISNUMBER(AW1177),IF(AW1177&gt;450,"Yes","No"),IF(AW1177="NR","NR",""))</f>
        <v/>
      </c>
      <c r="BJ1177" s="9">
        <f>IF(BB1177="","",IF(BB1177="Non-viable","Non-viable",IF(BB1177="Viable","Viable",IF(BB1177="Partially non-viable",IF(OR(BD1177="Total splenectomy",BD1177="Partial splenectomy +/- splenopexy"),"Non-viable","Review"),IF(BB1177="NR",IF(OR(BD1177="Total splenectomy",BD1177="Partial splenectomy +/- splenopexy"),"NR - removed, check reason","NR"),"Not applicable")))))</f>
        <v/>
      </c>
    </row>
    <row r="1178">
      <c r="D1178" s="8" t="n"/>
      <c r="E1178" s="9">
        <f>IF(B1178="","",IF(B1178="OWN","Yes","No"))</f>
        <v/>
      </c>
      <c r="AF1178" s="9">
        <f>IF(ISNUMBER(Z1178),IF(Z1178&lt;=2,"&lt;=2 d",IF(Z1178&lt;=7,"3-7 d",IF(Z1178&lt;=30,"8-30 d","&gt;30 d"))),IF(AE1178&lt;&gt;"",AE1178,IF(Z1178="NR","NR","")))</f>
        <v/>
      </c>
      <c r="AX1178" s="9">
        <f>IF(ISNUMBER(AW1178),IF(AW1178&gt;450,"Yes","No"),IF(AW1178="NR","NR",""))</f>
        <v/>
      </c>
      <c r="BJ1178" s="9">
        <f>IF(BB1178="","",IF(BB1178="Non-viable","Non-viable",IF(BB1178="Viable","Viable",IF(BB1178="Partially non-viable",IF(OR(BD1178="Total splenectomy",BD1178="Partial splenectomy +/- splenopexy"),"Non-viable","Review"),IF(BB1178="NR",IF(OR(BD1178="Total splenectomy",BD1178="Partial splenectomy +/- splenopexy"),"NR - removed, check reason","NR"),"Not applicable")))))</f>
        <v/>
      </c>
    </row>
    <row r="1179">
      <c r="D1179" s="8" t="n"/>
      <c r="E1179" s="9">
        <f>IF(B1179="","",IF(B1179="OWN","Yes","No"))</f>
        <v/>
      </c>
      <c r="AF1179" s="9">
        <f>IF(ISNUMBER(Z1179),IF(Z1179&lt;=2,"&lt;=2 d",IF(Z1179&lt;=7,"3-7 d",IF(Z1179&lt;=30,"8-30 d","&gt;30 d"))),IF(AE1179&lt;&gt;"",AE1179,IF(Z1179="NR","NR","")))</f>
        <v/>
      </c>
      <c r="AX1179" s="9">
        <f>IF(ISNUMBER(AW1179),IF(AW1179&gt;450,"Yes","No"),IF(AW1179="NR","NR",""))</f>
        <v/>
      </c>
      <c r="BJ1179" s="9">
        <f>IF(BB1179="","",IF(BB1179="Non-viable","Non-viable",IF(BB1179="Viable","Viable",IF(BB1179="Partially non-viable",IF(OR(BD1179="Total splenectomy",BD1179="Partial splenectomy +/- splenopexy"),"Non-viable","Review"),IF(BB1179="NR",IF(OR(BD1179="Total splenectomy",BD1179="Partial splenectomy +/- splenopexy"),"NR - removed, check reason","NR"),"Not applicable")))))</f>
        <v/>
      </c>
    </row>
    <row r="1180">
      <c r="D1180" s="8" t="n"/>
      <c r="E1180" s="9">
        <f>IF(B1180="","",IF(B1180="OWN","Yes","No"))</f>
        <v/>
      </c>
      <c r="AF1180" s="9">
        <f>IF(ISNUMBER(Z1180),IF(Z1180&lt;=2,"&lt;=2 d",IF(Z1180&lt;=7,"3-7 d",IF(Z1180&lt;=30,"8-30 d","&gt;30 d"))),IF(AE1180&lt;&gt;"",AE1180,IF(Z1180="NR","NR","")))</f>
        <v/>
      </c>
      <c r="AX1180" s="9">
        <f>IF(ISNUMBER(AW1180),IF(AW1180&gt;450,"Yes","No"),IF(AW1180="NR","NR",""))</f>
        <v/>
      </c>
      <c r="BJ1180" s="9">
        <f>IF(BB1180="","",IF(BB1180="Non-viable","Non-viable",IF(BB1180="Viable","Viable",IF(BB1180="Partially non-viable",IF(OR(BD1180="Total splenectomy",BD1180="Partial splenectomy +/- splenopexy"),"Non-viable","Review"),IF(BB1180="NR",IF(OR(BD1180="Total splenectomy",BD1180="Partial splenectomy +/- splenopexy"),"NR - removed, check reason","NR"),"Not applicable")))))</f>
        <v/>
      </c>
    </row>
    <row r="1181">
      <c r="D1181" s="8" t="n"/>
      <c r="E1181" s="9">
        <f>IF(B1181="","",IF(B1181="OWN","Yes","No"))</f>
        <v/>
      </c>
      <c r="AF1181" s="9">
        <f>IF(ISNUMBER(Z1181),IF(Z1181&lt;=2,"&lt;=2 d",IF(Z1181&lt;=7,"3-7 d",IF(Z1181&lt;=30,"8-30 d","&gt;30 d"))),IF(AE1181&lt;&gt;"",AE1181,IF(Z1181="NR","NR","")))</f>
        <v/>
      </c>
      <c r="AX1181" s="9">
        <f>IF(ISNUMBER(AW1181),IF(AW1181&gt;450,"Yes","No"),IF(AW1181="NR","NR",""))</f>
        <v/>
      </c>
      <c r="BJ1181" s="9">
        <f>IF(BB1181="","",IF(BB1181="Non-viable","Non-viable",IF(BB1181="Viable","Viable",IF(BB1181="Partially non-viable",IF(OR(BD1181="Total splenectomy",BD1181="Partial splenectomy +/- splenopexy"),"Non-viable","Review"),IF(BB1181="NR",IF(OR(BD1181="Total splenectomy",BD1181="Partial splenectomy +/- splenopexy"),"NR - removed, check reason","NR"),"Not applicable")))))</f>
        <v/>
      </c>
    </row>
    <row r="1182">
      <c r="D1182" s="8" t="n"/>
      <c r="E1182" s="9">
        <f>IF(B1182="","",IF(B1182="OWN","Yes","No"))</f>
        <v/>
      </c>
      <c r="AF1182" s="9">
        <f>IF(ISNUMBER(Z1182),IF(Z1182&lt;=2,"&lt;=2 d",IF(Z1182&lt;=7,"3-7 d",IF(Z1182&lt;=30,"8-30 d","&gt;30 d"))),IF(AE1182&lt;&gt;"",AE1182,IF(Z1182="NR","NR","")))</f>
        <v/>
      </c>
      <c r="AX1182" s="9">
        <f>IF(ISNUMBER(AW1182),IF(AW1182&gt;450,"Yes","No"),IF(AW1182="NR","NR",""))</f>
        <v/>
      </c>
      <c r="BJ1182" s="9">
        <f>IF(BB1182="","",IF(BB1182="Non-viable","Non-viable",IF(BB1182="Viable","Viable",IF(BB1182="Partially non-viable",IF(OR(BD1182="Total splenectomy",BD1182="Partial splenectomy +/- splenopexy"),"Non-viable","Review"),IF(BB1182="NR",IF(OR(BD1182="Total splenectomy",BD1182="Partial splenectomy +/- splenopexy"),"NR - removed, check reason","NR"),"Not applicable")))))</f>
        <v/>
      </c>
    </row>
    <row r="1183">
      <c r="D1183" s="8" t="n"/>
      <c r="E1183" s="9">
        <f>IF(B1183="","",IF(B1183="OWN","Yes","No"))</f>
        <v/>
      </c>
      <c r="AF1183" s="9">
        <f>IF(ISNUMBER(Z1183),IF(Z1183&lt;=2,"&lt;=2 d",IF(Z1183&lt;=7,"3-7 d",IF(Z1183&lt;=30,"8-30 d","&gt;30 d"))),IF(AE1183&lt;&gt;"",AE1183,IF(Z1183="NR","NR","")))</f>
        <v/>
      </c>
      <c r="AX1183" s="9">
        <f>IF(ISNUMBER(AW1183),IF(AW1183&gt;450,"Yes","No"),IF(AW1183="NR","NR",""))</f>
        <v/>
      </c>
      <c r="BJ1183" s="9">
        <f>IF(BB1183="","",IF(BB1183="Non-viable","Non-viable",IF(BB1183="Viable","Viable",IF(BB1183="Partially non-viable",IF(OR(BD1183="Total splenectomy",BD1183="Partial splenectomy +/- splenopexy"),"Non-viable","Review"),IF(BB1183="NR",IF(OR(BD1183="Total splenectomy",BD1183="Partial splenectomy +/- splenopexy"),"NR - removed, check reason","NR"),"Not applicable")))))</f>
        <v/>
      </c>
    </row>
    <row r="1184">
      <c r="D1184" s="8" t="n"/>
      <c r="E1184" s="9">
        <f>IF(B1184="","",IF(B1184="OWN","Yes","No"))</f>
        <v/>
      </c>
      <c r="AF1184" s="9">
        <f>IF(ISNUMBER(Z1184),IF(Z1184&lt;=2,"&lt;=2 d",IF(Z1184&lt;=7,"3-7 d",IF(Z1184&lt;=30,"8-30 d","&gt;30 d"))),IF(AE1184&lt;&gt;"",AE1184,IF(Z1184="NR","NR","")))</f>
        <v/>
      </c>
      <c r="AX1184" s="9">
        <f>IF(ISNUMBER(AW1184),IF(AW1184&gt;450,"Yes","No"),IF(AW1184="NR","NR",""))</f>
        <v/>
      </c>
      <c r="BJ1184" s="9">
        <f>IF(BB1184="","",IF(BB1184="Non-viable","Non-viable",IF(BB1184="Viable","Viable",IF(BB1184="Partially non-viable",IF(OR(BD1184="Total splenectomy",BD1184="Partial splenectomy +/- splenopexy"),"Non-viable","Review"),IF(BB1184="NR",IF(OR(BD1184="Total splenectomy",BD1184="Partial splenectomy +/- splenopexy"),"NR - removed, check reason","NR"),"Not applicable")))))</f>
        <v/>
      </c>
    </row>
    <row r="1185">
      <c r="D1185" s="8" t="n"/>
      <c r="E1185" s="9">
        <f>IF(B1185="","",IF(B1185="OWN","Yes","No"))</f>
        <v/>
      </c>
      <c r="AF1185" s="9">
        <f>IF(ISNUMBER(Z1185),IF(Z1185&lt;=2,"&lt;=2 d",IF(Z1185&lt;=7,"3-7 d",IF(Z1185&lt;=30,"8-30 d","&gt;30 d"))),IF(AE1185&lt;&gt;"",AE1185,IF(Z1185="NR","NR","")))</f>
        <v/>
      </c>
      <c r="AX1185" s="9">
        <f>IF(ISNUMBER(AW1185),IF(AW1185&gt;450,"Yes","No"),IF(AW1185="NR","NR",""))</f>
        <v/>
      </c>
      <c r="BJ1185" s="9">
        <f>IF(BB1185="","",IF(BB1185="Non-viable","Non-viable",IF(BB1185="Viable","Viable",IF(BB1185="Partially non-viable",IF(OR(BD1185="Total splenectomy",BD1185="Partial splenectomy +/- splenopexy"),"Non-viable","Review"),IF(BB1185="NR",IF(OR(BD1185="Total splenectomy",BD1185="Partial splenectomy +/- splenopexy"),"NR - removed, check reason","NR"),"Not applicable")))))</f>
        <v/>
      </c>
    </row>
    <row r="1186">
      <c r="D1186" s="8" t="n"/>
      <c r="E1186" s="9">
        <f>IF(B1186="","",IF(B1186="OWN","Yes","No"))</f>
        <v/>
      </c>
      <c r="AF1186" s="9">
        <f>IF(ISNUMBER(Z1186),IF(Z1186&lt;=2,"&lt;=2 d",IF(Z1186&lt;=7,"3-7 d",IF(Z1186&lt;=30,"8-30 d","&gt;30 d"))),IF(AE1186&lt;&gt;"",AE1186,IF(Z1186="NR","NR","")))</f>
        <v/>
      </c>
      <c r="AX1186" s="9">
        <f>IF(ISNUMBER(AW1186),IF(AW1186&gt;450,"Yes","No"),IF(AW1186="NR","NR",""))</f>
        <v/>
      </c>
      <c r="BJ1186" s="9">
        <f>IF(BB1186="","",IF(BB1186="Non-viable","Non-viable",IF(BB1186="Viable","Viable",IF(BB1186="Partially non-viable",IF(OR(BD1186="Total splenectomy",BD1186="Partial splenectomy +/- splenopexy"),"Non-viable","Review"),IF(BB1186="NR",IF(OR(BD1186="Total splenectomy",BD1186="Partial splenectomy +/- splenopexy"),"NR - removed, check reason","NR"),"Not applicable")))))</f>
        <v/>
      </c>
    </row>
    <row r="1187">
      <c r="D1187" s="8" t="n"/>
      <c r="E1187" s="9">
        <f>IF(B1187="","",IF(B1187="OWN","Yes","No"))</f>
        <v/>
      </c>
      <c r="AF1187" s="9">
        <f>IF(ISNUMBER(Z1187),IF(Z1187&lt;=2,"&lt;=2 d",IF(Z1187&lt;=7,"3-7 d",IF(Z1187&lt;=30,"8-30 d","&gt;30 d"))),IF(AE1187&lt;&gt;"",AE1187,IF(Z1187="NR","NR","")))</f>
        <v/>
      </c>
      <c r="AX1187" s="9">
        <f>IF(ISNUMBER(AW1187),IF(AW1187&gt;450,"Yes","No"),IF(AW1187="NR","NR",""))</f>
        <v/>
      </c>
      <c r="BJ1187" s="9">
        <f>IF(BB1187="","",IF(BB1187="Non-viable","Non-viable",IF(BB1187="Viable","Viable",IF(BB1187="Partially non-viable",IF(OR(BD1187="Total splenectomy",BD1187="Partial splenectomy +/- splenopexy"),"Non-viable","Review"),IF(BB1187="NR",IF(OR(BD1187="Total splenectomy",BD1187="Partial splenectomy +/- splenopexy"),"NR - removed, check reason","NR"),"Not applicable")))))</f>
        <v/>
      </c>
    </row>
    <row r="1188">
      <c r="D1188" s="8" t="n"/>
      <c r="E1188" s="9">
        <f>IF(B1188="","",IF(B1188="OWN","Yes","No"))</f>
        <v/>
      </c>
      <c r="AF1188" s="9">
        <f>IF(ISNUMBER(Z1188),IF(Z1188&lt;=2,"&lt;=2 d",IF(Z1188&lt;=7,"3-7 d",IF(Z1188&lt;=30,"8-30 d","&gt;30 d"))),IF(AE1188&lt;&gt;"",AE1188,IF(Z1188="NR","NR","")))</f>
        <v/>
      </c>
      <c r="AX1188" s="9">
        <f>IF(ISNUMBER(AW1188),IF(AW1188&gt;450,"Yes","No"),IF(AW1188="NR","NR",""))</f>
        <v/>
      </c>
      <c r="BJ1188" s="9">
        <f>IF(BB1188="","",IF(BB1188="Non-viable","Non-viable",IF(BB1188="Viable","Viable",IF(BB1188="Partially non-viable",IF(OR(BD1188="Total splenectomy",BD1188="Partial splenectomy +/- splenopexy"),"Non-viable","Review"),IF(BB1188="NR",IF(OR(BD1188="Total splenectomy",BD1188="Partial splenectomy +/- splenopexy"),"NR - removed, check reason","NR"),"Not applicable")))))</f>
        <v/>
      </c>
    </row>
    <row r="1189">
      <c r="D1189" s="8" t="n"/>
      <c r="E1189" s="9">
        <f>IF(B1189="","",IF(B1189="OWN","Yes","No"))</f>
        <v/>
      </c>
      <c r="AF1189" s="9">
        <f>IF(ISNUMBER(Z1189),IF(Z1189&lt;=2,"&lt;=2 d",IF(Z1189&lt;=7,"3-7 d",IF(Z1189&lt;=30,"8-30 d","&gt;30 d"))),IF(AE1189&lt;&gt;"",AE1189,IF(Z1189="NR","NR","")))</f>
        <v/>
      </c>
      <c r="AX1189" s="9">
        <f>IF(ISNUMBER(AW1189),IF(AW1189&gt;450,"Yes","No"),IF(AW1189="NR","NR",""))</f>
        <v/>
      </c>
      <c r="BJ1189" s="9">
        <f>IF(BB1189="","",IF(BB1189="Non-viable","Non-viable",IF(BB1189="Viable","Viable",IF(BB1189="Partially non-viable",IF(OR(BD1189="Total splenectomy",BD1189="Partial splenectomy +/- splenopexy"),"Non-viable","Review"),IF(BB1189="NR",IF(OR(BD1189="Total splenectomy",BD1189="Partial splenectomy +/- splenopexy"),"NR - removed, check reason","NR"),"Not applicable")))))</f>
        <v/>
      </c>
    </row>
    <row r="1190">
      <c r="D1190" s="8" t="n"/>
      <c r="E1190" s="9">
        <f>IF(B1190="","",IF(B1190="OWN","Yes","No"))</f>
        <v/>
      </c>
      <c r="AF1190" s="9">
        <f>IF(ISNUMBER(Z1190),IF(Z1190&lt;=2,"&lt;=2 d",IF(Z1190&lt;=7,"3-7 d",IF(Z1190&lt;=30,"8-30 d","&gt;30 d"))),IF(AE1190&lt;&gt;"",AE1190,IF(Z1190="NR","NR","")))</f>
        <v/>
      </c>
      <c r="AX1190" s="9">
        <f>IF(ISNUMBER(AW1190),IF(AW1190&gt;450,"Yes","No"),IF(AW1190="NR","NR",""))</f>
        <v/>
      </c>
      <c r="BJ1190" s="9">
        <f>IF(BB1190="","",IF(BB1190="Non-viable","Non-viable",IF(BB1190="Viable","Viable",IF(BB1190="Partially non-viable",IF(OR(BD1190="Total splenectomy",BD1190="Partial splenectomy +/- splenopexy"),"Non-viable","Review"),IF(BB1190="NR",IF(OR(BD1190="Total splenectomy",BD1190="Partial splenectomy +/- splenopexy"),"NR - removed, check reason","NR"),"Not applicable")))))</f>
        <v/>
      </c>
    </row>
    <row r="1191">
      <c r="D1191" s="8" t="n"/>
      <c r="E1191" s="9">
        <f>IF(B1191="","",IF(B1191="OWN","Yes","No"))</f>
        <v/>
      </c>
      <c r="AF1191" s="9">
        <f>IF(ISNUMBER(Z1191),IF(Z1191&lt;=2,"&lt;=2 d",IF(Z1191&lt;=7,"3-7 d",IF(Z1191&lt;=30,"8-30 d","&gt;30 d"))),IF(AE1191&lt;&gt;"",AE1191,IF(Z1191="NR","NR","")))</f>
        <v/>
      </c>
      <c r="AX1191" s="9">
        <f>IF(ISNUMBER(AW1191),IF(AW1191&gt;450,"Yes","No"),IF(AW1191="NR","NR",""))</f>
        <v/>
      </c>
      <c r="BJ1191" s="9">
        <f>IF(BB1191="","",IF(BB1191="Non-viable","Non-viable",IF(BB1191="Viable","Viable",IF(BB1191="Partially non-viable",IF(OR(BD1191="Total splenectomy",BD1191="Partial splenectomy +/- splenopexy"),"Non-viable","Review"),IF(BB1191="NR",IF(OR(BD1191="Total splenectomy",BD1191="Partial splenectomy +/- splenopexy"),"NR - removed, check reason","NR"),"Not applicable")))))</f>
        <v/>
      </c>
    </row>
    <row r="1192">
      <c r="D1192" s="8" t="n"/>
      <c r="E1192" s="9">
        <f>IF(B1192="","",IF(B1192="OWN","Yes","No"))</f>
        <v/>
      </c>
      <c r="AF1192" s="9">
        <f>IF(ISNUMBER(Z1192),IF(Z1192&lt;=2,"&lt;=2 d",IF(Z1192&lt;=7,"3-7 d",IF(Z1192&lt;=30,"8-30 d","&gt;30 d"))),IF(AE1192&lt;&gt;"",AE1192,IF(Z1192="NR","NR","")))</f>
        <v/>
      </c>
      <c r="AX1192" s="9">
        <f>IF(ISNUMBER(AW1192),IF(AW1192&gt;450,"Yes","No"),IF(AW1192="NR","NR",""))</f>
        <v/>
      </c>
      <c r="BJ1192" s="9">
        <f>IF(BB1192="","",IF(BB1192="Non-viable","Non-viable",IF(BB1192="Viable","Viable",IF(BB1192="Partially non-viable",IF(OR(BD1192="Total splenectomy",BD1192="Partial splenectomy +/- splenopexy"),"Non-viable","Review"),IF(BB1192="NR",IF(OR(BD1192="Total splenectomy",BD1192="Partial splenectomy +/- splenopexy"),"NR - removed, check reason","NR"),"Not applicable")))))</f>
        <v/>
      </c>
    </row>
    <row r="1193">
      <c r="D1193" s="8" t="n"/>
      <c r="E1193" s="9">
        <f>IF(B1193="","",IF(B1193="OWN","Yes","No"))</f>
        <v/>
      </c>
      <c r="AF1193" s="9">
        <f>IF(ISNUMBER(Z1193),IF(Z1193&lt;=2,"&lt;=2 d",IF(Z1193&lt;=7,"3-7 d",IF(Z1193&lt;=30,"8-30 d","&gt;30 d"))),IF(AE1193&lt;&gt;"",AE1193,IF(Z1193="NR","NR","")))</f>
        <v/>
      </c>
      <c r="AX1193" s="9">
        <f>IF(ISNUMBER(AW1193),IF(AW1193&gt;450,"Yes","No"),IF(AW1193="NR","NR",""))</f>
        <v/>
      </c>
      <c r="BJ1193" s="9">
        <f>IF(BB1193="","",IF(BB1193="Non-viable","Non-viable",IF(BB1193="Viable","Viable",IF(BB1193="Partially non-viable",IF(OR(BD1193="Total splenectomy",BD1193="Partial splenectomy +/- splenopexy"),"Non-viable","Review"),IF(BB1193="NR",IF(OR(BD1193="Total splenectomy",BD1193="Partial splenectomy +/- splenopexy"),"NR - removed, check reason","NR"),"Not applicable")))))</f>
        <v/>
      </c>
    </row>
    <row r="1194">
      <c r="D1194" s="8" t="n"/>
      <c r="E1194" s="9">
        <f>IF(B1194="","",IF(B1194="OWN","Yes","No"))</f>
        <v/>
      </c>
      <c r="AF1194" s="9">
        <f>IF(ISNUMBER(Z1194),IF(Z1194&lt;=2,"&lt;=2 d",IF(Z1194&lt;=7,"3-7 d",IF(Z1194&lt;=30,"8-30 d","&gt;30 d"))),IF(AE1194&lt;&gt;"",AE1194,IF(Z1194="NR","NR","")))</f>
        <v/>
      </c>
      <c r="AX1194" s="9">
        <f>IF(ISNUMBER(AW1194),IF(AW1194&gt;450,"Yes","No"),IF(AW1194="NR","NR",""))</f>
        <v/>
      </c>
      <c r="BJ1194" s="9">
        <f>IF(BB1194="","",IF(BB1194="Non-viable","Non-viable",IF(BB1194="Viable","Viable",IF(BB1194="Partially non-viable",IF(OR(BD1194="Total splenectomy",BD1194="Partial splenectomy +/- splenopexy"),"Non-viable","Review"),IF(BB1194="NR",IF(OR(BD1194="Total splenectomy",BD1194="Partial splenectomy +/- splenopexy"),"NR - removed, check reason","NR"),"Not applicable")))))</f>
        <v/>
      </c>
    </row>
    <row r="1195">
      <c r="D1195" s="8" t="n"/>
      <c r="E1195" s="9">
        <f>IF(B1195="","",IF(B1195="OWN","Yes","No"))</f>
        <v/>
      </c>
      <c r="AF1195" s="9">
        <f>IF(ISNUMBER(Z1195),IF(Z1195&lt;=2,"&lt;=2 d",IF(Z1195&lt;=7,"3-7 d",IF(Z1195&lt;=30,"8-30 d","&gt;30 d"))),IF(AE1195&lt;&gt;"",AE1195,IF(Z1195="NR","NR","")))</f>
        <v/>
      </c>
      <c r="AX1195" s="9">
        <f>IF(ISNUMBER(AW1195),IF(AW1195&gt;450,"Yes","No"),IF(AW1195="NR","NR",""))</f>
        <v/>
      </c>
      <c r="BJ1195" s="9">
        <f>IF(BB1195="","",IF(BB1195="Non-viable","Non-viable",IF(BB1195="Viable","Viable",IF(BB1195="Partially non-viable",IF(OR(BD1195="Total splenectomy",BD1195="Partial splenectomy +/- splenopexy"),"Non-viable","Review"),IF(BB1195="NR",IF(OR(BD1195="Total splenectomy",BD1195="Partial splenectomy +/- splenopexy"),"NR - removed, check reason","NR"),"Not applicable")))))</f>
        <v/>
      </c>
    </row>
    <row r="1196">
      <c r="D1196" s="8" t="n"/>
      <c r="E1196" s="9">
        <f>IF(B1196="","",IF(B1196="OWN","Yes","No"))</f>
        <v/>
      </c>
      <c r="AF1196" s="9">
        <f>IF(ISNUMBER(Z1196),IF(Z1196&lt;=2,"&lt;=2 d",IF(Z1196&lt;=7,"3-7 d",IF(Z1196&lt;=30,"8-30 d","&gt;30 d"))),IF(AE1196&lt;&gt;"",AE1196,IF(Z1196="NR","NR","")))</f>
        <v/>
      </c>
      <c r="AX1196" s="9">
        <f>IF(ISNUMBER(AW1196),IF(AW1196&gt;450,"Yes","No"),IF(AW1196="NR","NR",""))</f>
        <v/>
      </c>
      <c r="BJ1196" s="9">
        <f>IF(BB1196="","",IF(BB1196="Non-viable","Non-viable",IF(BB1196="Viable","Viable",IF(BB1196="Partially non-viable",IF(OR(BD1196="Total splenectomy",BD1196="Partial splenectomy +/- splenopexy"),"Non-viable","Review"),IF(BB1196="NR",IF(OR(BD1196="Total splenectomy",BD1196="Partial splenectomy +/- splenopexy"),"NR - removed, check reason","NR"),"Not applicable")))))</f>
        <v/>
      </c>
    </row>
    <row r="1197">
      <c r="D1197" s="8" t="n"/>
      <c r="E1197" s="9">
        <f>IF(B1197="","",IF(B1197="OWN","Yes","No"))</f>
        <v/>
      </c>
      <c r="AF1197" s="9">
        <f>IF(ISNUMBER(Z1197),IF(Z1197&lt;=2,"&lt;=2 d",IF(Z1197&lt;=7,"3-7 d",IF(Z1197&lt;=30,"8-30 d","&gt;30 d"))),IF(AE1197&lt;&gt;"",AE1197,IF(Z1197="NR","NR","")))</f>
        <v/>
      </c>
      <c r="AX1197" s="9">
        <f>IF(ISNUMBER(AW1197),IF(AW1197&gt;450,"Yes","No"),IF(AW1197="NR","NR",""))</f>
        <v/>
      </c>
      <c r="BJ1197" s="9">
        <f>IF(BB1197="","",IF(BB1197="Non-viable","Non-viable",IF(BB1197="Viable","Viable",IF(BB1197="Partially non-viable",IF(OR(BD1197="Total splenectomy",BD1197="Partial splenectomy +/- splenopexy"),"Non-viable","Review"),IF(BB1197="NR",IF(OR(BD1197="Total splenectomy",BD1197="Partial splenectomy +/- splenopexy"),"NR - removed, check reason","NR"),"Not applicable")))))</f>
        <v/>
      </c>
    </row>
    <row r="1198">
      <c r="D1198" s="8" t="n"/>
      <c r="E1198" s="9">
        <f>IF(B1198="","",IF(B1198="OWN","Yes","No"))</f>
        <v/>
      </c>
      <c r="AF1198" s="9">
        <f>IF(ISNUMBER(Z1198),IF(Z1198&lt;=2,"&lt;=2 d",IF(Z1198&lt;=7,"3-7 d",IF(Z1198&lt;=30,"8-30 d","&gt;30 d"))),IF(AE1198&lt;&gt;"",AE1198,IF(Z1198="NR","NR","")))</f>
        <v/>
      </c>
      <c r="AX1198" s="9">
        <f>IF(ISNUMBER(AW1198),IF(AW1198&gt;450,"Yes","No"),IF(AW1198="NR","NR",""))</f>
        <v/>
      </c>
      <c r="BJ1198" s="9">
        <f>IF(BB1198="","",IF(BB1198="Non-viable","Non-viable",IF(BB1198="Viable","Viable",IF(BB1198="Partially non-viable",IF(OR(BD1198="Total splenectomy",BD1198="Partial splenectomy +/- splenopexy"),"Non-viable","Review"),IF(BB1198="NR",IF(OR(BD1198="Total splenectomy",BD1198="Partial splenectomy +/- splenopexy"),"NR - removed, check reason","NR"),"Not applicable")))))</f>
        <v/>
      </c>
    </row>
    <row r="1199">
      <c r="D1199" s="8" t="n"/>
      <c r="E1199" s="9">
        <f>IF(B1199="","",IF(B1199="OWN","Yes","No"))</f>
        <v/>
      </c>
      <c r="AF1199" s="9">
        <f>IF(ISNUMBER(Z1199),IF(Z1199&lt;=2,"&lt;=2 d",IF(Z1199&lt;=7,"3-7 d",IF(Z1199&lt;=30,"8-30 d","&gt;30 d"))),IF(AE1199&lt;&gt;"",AE1199,IF(Z1199="NR","NR","")))</f>
        <v/>
      </c>
      <c r="AX1199" s="9">
        <f>IF(ISNUMBER(AW1199),IF(AW1199&gt;450,"Yes","No"),IF(AW1199="NR","NR",""))</f>
        <v/>
      </c>
      <c r="BJ1199" s="9">
        <f>IF(BB1199="","",IF(BB1199="Non-viable","Non-viable",IF(BB1199="Viable","Viable",IF(BB1199="Partially non-viable",IF(OR(BD1199="Total splenectomy",BD1199="Partial splenectomy +/- splenopexy"),"Non-viable","Review"),IF(BB1199="NR",IF(OR(BD1199="Total splenectomy",BD1199="Partial splenectomy +/- splenopexy"),"NR - removed, check reason","NR"),"Not applicable")))))</f>
        <v/>
      </c>
    </row>
    <row r="1200">
      <c r="D1200" s="8" t="n"/>
      <c r="E1200" s="9">
        <f>IF(B1200="","",IF(B1200="OWN","Yes","No"))</f>
        <v/>
      </c>
      <c r="AF1200" s="9">
        <f>IF(ISNUMBER(Z1200),IF(Z1200&lt;=2,"&lt;=2 d",IF(Z1200&lt;=7,"3-7 d",IF(Z1200&lt;=30,"8-30 d","&gt;30 d"))),IF(AE1200&lt;&gt;"",AE1200,IF(Z1200="NR","NR","")))</f>
        <v/>
      </c>
      <c r="AX1200" s="9">
        <f>IF(ISNUMBER(AW1200),IF(AW1200&gt;450,"Yes","No"),IF(AW1200="NR","NR",""))</f>
        <v/>
      </c>
      <c r="BJ1200" s="9">
        <f>IF(BB1200="","",IF(BB1200="Non-viable","Non-viable",IF(BB1200="Viable","Viable",IF(BB1200="Partially non-viable",IF(OR(BD1200="Total splenectomy",BD1200="Partial splenectomy +/- splenopexy"),"Non-viable","Review"),IF(BB1200="NR",IF(OR(BD1200="Total splenectomy",BD1200="Partial splenectomy +/- splenopexy"),"NR - removed, check reason","NR"),"Not applicable")))))</f>
        <v/>
      </c>
    </row>
    <row r="1201">
      <c r="D1201" s="8" t="n"/>
      <c r="E1201" s="9">
        <f>IF(B1201="","",IF(B1201="OWN","Yes","No"))</f>
        <v/>
      </c>
      <c r="AF1201" s="9">
        <f>IF(ISNUMBER(Z1201),IF(Z1201&lt;=2,"&lt;=2 d",IF(Z1201&lt;=7,"3-7 d",IF(Z1201&lt;=30,"8-30 d","&gt;30 d"))),IF(AE1201&lt;&gt;"",AE1201,IF(Z1201="NR","NR","")))</f>
        <v/>
      </c>
      <c r="AX1201" s="9">
        <f>IF(ISNUMBER(AW1201),IF(AW1201&gt;450,"Yes","No"),IF(AW1201="NR","NR",""))</f>
        <v/>
      </c>
      <c r="BJ1201" s="9">
        <f>IF(BB1201="","",IF(BB1201="Non-viable","Non-viable",IF(BB1201="Viable","Viable",IF(BB1201="Partially non-viable",IF(OR(BD1201="Total splenectomy",BD1201="Partial splenectomy +/- splenopexy"),"Non-viable","Review"),IF(BB1201="NR",IF(OR(BD1201="Total splenectomy",BD1201="Partial splenectomy +/- splenopexy"),"NR - removed, check reason","NR"),"Not applicable")))))</f>
        <v/>
      </c>
    </row>
    <row r="1202">
      <c r="D1202" s="8" t="n"/>
      <c r="E1202" s="9">
        <f>IF(B1202="","",IF(B1202="OWN","Yes","No"))</f>
        <v/>
      </c>
      <c r="AF1202" s="9">
        <f>IF(ISNUMBER(Z1202),IF(Z1202&lt;=2,"&lt;=2 d",IF(Z1202&lt;=7,"3-7 d",IF(Z1202&lt;=30,"8-30 d","&gt;30 d"))),IF(AE1202&lt;&gt;"",AE1202,IF(Z1202="NR","NR","")))</f>
        <v/>
      </c>
      <c r="AX1202" s="9">
        <f>IF(ISNUMBER(AW1202),IF(AW1202&gt;450,"Yes","No"),IF(AW1202="NR","NR",""))</f>
        <v/>
      </c>
      <c r="BJ1202" s="9">
        <f>IF(BB1202="","",IF(BB1202="Non-viable","Non-viable",IF(BB1202="Viable","Viable",IF(BB1202="Partially non-viable",IF(OR(BD1202="Total splenectomy",BD1202="Partial splenectomy +/- splenopexy"),"Non-viable","Review"),IF(BB1202="NR",IF(OR(BD1202="Total splenectomy",BD1202="Partial splenectomy +/- splenopexy"),"NR - removed, check reason","NR"),"Not applicable")))))</f>
        <v/>
      </c>
    </row>
    <row r="1203">
      <c r="D1203" s="8" t="n"/>
      <c r="E1203" s="9">
        <f>IF(B1203="","",IF(B1203="OWN","Yes","No"))</f>
        <v/>
      </c>
      <c r="AF1203" s="9">
        <f>IF(ISNUMBER(Z1203),IF(Z1203&lt;=2,"&lt;=2 d",IF(Z1203&lt;=7,"3-7 d",IF(Z1203&lt;=30,"8-30 d","&gt;30 d"))),IF(AE1203&lt;&gt;"",AE1203,IF(Z1203="NR","NR","")))</f>
        <v/>
      </c>
      <c r="AX1203" s="9">
        <f>IF(ISNUMBER(AW1203),IF(AW1203&gt;450,"Yes","No"),IF(AW1203="NR","NR",""))</f>
        <v/>
      </c>
      <c r="BJ1203" s="9">
        <f>IF(BB1203="","",IF(BB1203="Non-viable","Non-viable",IF(BB1203="Viable","Viable",IF(BB1203="Partially non-viable",IF(OR(BD1203="Total splenectomy",BD1203="Partial splenectomy +/- splenopexy"),"Non-viable","Review"),IF(BB1203="NR",IF(OR(BD1203="Total splenectomy",BD1203="Partial splenectomy +/- splenopexy"),"NR - removed, check reason","NR"),"Not applicable")))))</f>
        <v/>
      </c>
    </row>
    <row r="1204">
      <c r="D1204" s="8" t="n"/>
      <c r="E1204" s="9">
        <f>IF(B1204="","",IF(B1204="OWN","Yes","No"))</f>
        <v/>
      </c>
      <c r="AF1204" s="9">
        <f>IF(ISNUMBER(Z1204),IF(Z1204&lt;=2,"&lt;=2 d",IF(Z1204&lt;=7,"3-7 d",IF(Z1204&lt;=30,"8-30 d","&gt;30 d"))),IF(AE1204&lt;&gt;"",AE1204,IF(Z1204="NR","NR","")))</f>
        <v/>
      </c>
      <c r="AX1204" s="9">
        <f>IF(ISNUMBER(AW1204),IF(AW1204&gt;450,"Yes","No"),IF(AW1204="NR","NR",""))</f>
        <v/>
      </c>
      <c r="BJ1204" s="9">
        <f>IF(BB1204="","",IF(BB1204="Non-viable","Non-viable",IF(BB1204="Viable","Viable",IF(BB1204="Partially non-viable",IF(OR(BD1204="Total splenectomy",BD1204="Partial splenectomy +/- splenopexy"),"Non-viable","Review"),IF(BB1204="NR",IF(OR(BD1204="Total splenectomy",BD1204="Partial splenectomy +/- splenopexy"),"NR - removed, check reason","NR"),"Not applicable")))))</f>
        <v/>
      </c>
    </row>
    <row r="1205">
      <c r="D1205" s="8" t="n"/>
      <c r="E1205" s="9">
        <f>IF(B1205="","",IF(B1205="OWN","Yes","No"))</f>
        <v/>
      </c>
      <c r="AF1205" s="9">
        <f>IF(ISNUMBER(Z1205),IF(Z1205&lt;=2,"&lt;=2 d",IF(Z1205&lt;=7,"3-7 d",IF(Z1205&lt;=30,"8-30 d","&gt;30 d"))),IF(AE1205&lt;&gt;"",AE1205,IF(Z1205="NR","NR","")))</f>
        <v/>
      </c>
      <c r="AX1205" s="9">
        <f>IF(ISNUMBER(AW1205),IF(AW1205&gt;450,"Yes","No"),IF(AW1205="NR","NR",""))</f>
        <v/>
      </c>
      <c r="BJ1205" s="9">
        <f>IF(BB1205="","",IF(BB1205="Non-viable","Non-viable",IF(BB1205="Viable","Viable",IF(BB1205="Partially non-viable",IF(OR(BD1205="Total splenectomy",BD1205="Partial splenectomy +/- splenopexy"),"Non-viable","Review"),IF(BB1205="NR",IF(OR(BD1205="Total splenectomy",BD1205="Partial splenectomy +/- splenopexy"),"NR - removed, check reason","NR"),"Not applicable")))))</f>
        <v/>
      </c>
    </row>
    <row r="1206">
      <c r="D1206" s="8" t="n"/>
      <c r="E1206" s="9">
        <f>IF(B1206="","",IF(B1206="OWN","Yes","No"))</f>
        <v/>
      </c>
      <c r="AF1206" s="9">
        <f>IF(ISNUMBER(Z1206),IF(Z1206&lt;=2,"&lt;=2 d",IF(Z1206&lt;=7,"3-7 d",IF(Z1206&lt;=30,"8-30 d","&gt;30 d"))),IF(AE1206&lt;&gt;"",AE1206,IF(Z1206="NR","NR","")))</f>
        <v/>
      </c>
      <c r="AX1206" s="9">
        <f>IF(ISNUMBER(AW1206),IF(AW1206&gt;450,"Yes","No"),IF(AW1206="NR","NR",""))</f>
        <v/>
      </c>
      <c r="BJ1206" s="9">
        <f>IF(BB1206="","",IF(BB1206="Non-viable","Non-viable",IF(BB1206="Viable","Viable",IF(BB1206="Partially non-viable",IF(OR(BD1206="Total splenectomy",BD1206="Partial splenectomy +/- splenopexy"),"Non-viable","Review"),IF(BB1206="NR",IF(OR(BD1206="Total splenectomy",BD1206="Partial splenectomy +/- splenopexy"),"NR - removed, check reason","NR"),"Not applicable")))))</f>
        <v/>
      </c>
    </row>
    <row r="1207">
      <c r="D1207" s="8" t="n"/>
      <c r="E1207" s="9">
        <f>IF(B1207="","",IF(B1207="OWN","Yes","No"))</f>
        <v/>
      </c>
      <c r="AF1207" s="9">
        <f>IF(ISNUMBER(Z1207),IF(Z1207&lt;=2,"&lt;=2 d",IF(Z1207&lt;=7,"3-7 d",IF(Z1207&lt;=30,"8-30 d","&gt;30 d"))),IF(AE1207&lt;&gt;"",AE1207,IF(Z1207="NR","NR","")))</f>
        <v/>
      </c>
      <c r="AX1207" s="9">
        <f>IF(ISNUMBER(AW1207),IF(AW1207&gt;450,"Yes","No"),IF(AW1207="NR","NR",""))</f>
        <v/>
      </c>
      <c r="BJ1207" s="9">
        <f>IF(BB1207="","",IF(BB1207="Non-viable","Non-viable",IF(BB1207="Viable","Viable",IF(BB1207="Partially non-viable",IF(OR(BD1207="Total splenectomy",BD1207="Partial splenectomy +/- splenopexy"),"Non-viable","Review"),IF(BB1207="NR",IF(OR(BD1207="Total splenectomy",BD1207="Partial splenectomy +/- splenopexy"),"NR - removed, check reason","NR"),"Not applicable")))))</f>
        <v/>
      </c>
    </row>
    <row r="1208">
      <c r="D1208" s="8" t="n"/>
      <c r="E1208" s="9">
        <f>IF(B1208="","",IF(B1208="OWN","Yes","No"))</f>
        <v/>
      </c>
      <c r="AF1208" s="9">
        <f>IF(ISNUMBER(Z1208),IF(Z1208&lt;=2,"&lt;=2 d",IF(Z1208&lt;=7,"3-7 d",IF(Z1208&lt;=30,"8-30 d","&gt;30 d"))),IF(AE1208&lt;&gt;"",AE1208,IF(Z1208="NR","NR","")))</f>
        <v/>
      </c>
      <c r="AX1208" s="9">
        <f>IF(ISNUMBER(AW1208),IF(AW1208&gt;450,"Yes","No"),IF(AW1208="NR","NR",""))</f>
        <v/>
      </c>
      <c r="BJ1208" s="9">
        <f>IF(BB1208="","",IF(BB1208="Non-viable","Non-viable",IF(BB1208="Viable","Viable",IF(BB1208="Partially non-viable",IF(OR(BD1208="Total splenectomy",BD1208="Partial splenectomy +/- splenopexy"),"Non-viable","Review"),IF(BB1208="NR",IF(OR(BD1208="Total splenectomy",BD1208="Partial splenectomy +/- splenopexy"),"NR - removed, check reason","NR"),"Not applicable")))))</f>
        <v/>
      </c>
    </row>
    <row r="1209">
      <c r="D1209" s="8" t="n"/>
      <c r="E1209" s="9">
        <f>IF(B1209="","",IF(B1209="OWN","Yes","No"))</f>
        <v/>
      </c>
      <c r="AF1209" s="9">
        <f>IF(ISNUMBER(Z1209),IF(Z1209&lt;=2,"&lt;=2 d",IF(Z1209&lt;=7,"3-7 d",IF(Z1209&lt;=30,"8-30 d","&gt;30 d"))),IF(AE1209&lt;&gt;"",AE1209,IF(Z1209="NR","NR","")))</f>
        <v/>
      </c>
      <c r="AX1209" s="9">
        <f>IF(ISNUMBER(AW1209),IF(AW1209&gt;450,"Yes","No"),IF(AW1209="NR","NR",""))</f>
        <v/>
      </c>
      <c r="BJ1209" s="9">
        <f>IF(BB1209="","",IF(BB1209="Non-viable","Non-viable",IF(BB1209="Viable","Viable",IF(BB1209="Partially non-viable",IF(OR(BD1209="Total splenectomy",BD1209="Partial splenectomy +/- splenopexy"),"Non-viable","Review"),IF(BB1209="NR",IF(OR(BD1209="Total splenectomy",BD1209="Partial splenectomy +/- splenopexy"),"NR - removed, check reason","NR"),"Not applicable")))))</f>
        <v/>
      </c>
    </row>
    <row r="1210">
      <c r="D1210" s="8" t="n"/>
      <c r="E1210" s="9">
        <f>IF(B1210="","",IF(B1210="OWN","Yes","No"))</f>
        <v/>
      </c>
      <c r="AF1210" s="9">
        <f>IF(ISNUMBER(Z1210),IF(Z1210&lt;=2,"&lt;=2 d",IF(Z1210&lt;=7,"3-7 d",IF(Z1210&lt;=30,"8-30 d","&gt;30 d"))),IF(AE1210&lt;&gt;"",AE1210,IF(Z1210="NR","NR","")))</f>
        <v/>
      </c>
      <c r="AX1210" s="9">
        <f>IF(ISNUMBER(AW1210),IF(AW1210&gt;450,"Yes","No"),IF(AW1210="NR","NR",""))</f>
        <v/>
      </c>
      <c r="BJ1210" s="9">
        <f>IF(BB1210="","",IF(BB1210="Non-viable","Non-viable",IF(BB1210="Viable","Viable",IF(BB1210="Partially non-viable",IF(OR(BD1210="Total splenectomy",BD1210="Partial splenectomy +/- splenopexy"),"Non-viable","Review"),IF(BB1210="NR",IF(OR(BD1210="Total splenectomy",BD1210="Partial splenectomy +/- splenopexy"),"NR - removed, check reason","NR"),"Not applicable")))))</f>
        <v/>
      </c>
    </row>
    <row r="1211">
      <c r="D1211" s="8" t="n"/>
      <c r="E1211" s="9">
        <f>IF(B1211="","",IF(B1211="OWN","Yes","No"))</f>
        <v/>
      </c>
      <c r="AF1211" s="9">
        <f>IF(ISNUMBER(Z1211),IF(Z1211&lt;=2,"&lt;=2 d",IF(Z1211&lt;=7,"3-7 d",IF(Z1211&lt;=30,"8-30 d","&gt;30 d"))),IF(AE1211&lt;&gt;"",AE1211,IF(Z1211="NR","NR","")))</f>
        <v/>
      </c>
      <c r="AX1211" s="9">
        <f>IF(ISNUMBER(AW1211),IF(AW1211&gt;450,"Yes","No"),IF(AW1211="NR","NR",""))</f>
        <v/>
      </c>
      <c r="BJ1211" s="9">
        <f>IF(BB1211="","",IF(BB1211="Non-viable","Non-viable",IF(BB1211="Viable","Viable",IF(BB1211="Partially non-viable",IF(OR(BD1211="Total splenectomy",BD1211="Partial splenectomy +/- splenopexy"),"Non-viable","Review"),IF(BB1211="NR",IF(OR(BD1211="Total splenectomy",BD1211="Partial splenectomy +/- splenopexy"),"NR - removed, check reason","NR"),"Not applicable")))))</f>
        <v/>
      </c>
    </row>
    <row r="1212">
      <c r="D1212" s="8" t="n"/>
      <c r="E1212" s="9">
        <f>IF(B1212="","",IF(B1212="OWN","Yes","No"))</f>
        <v/>
      </c>
      <c r="AF1212" s="9">
        <f>IF(ISNUMBER(Z1212),IF(Z1212&lt;=2,"&lt;=2 d",IF(Z1212&lt;=7,"3-7 d",IF(Z1212&lt;=30,"8-30 d","&gt;30 d"))),IF(AE1212&lt;&gt;"",AE1212,IF(Z1212="NR","NR","")))</f>
        <v/>
      </c>
      <c r="AX1212" s="9">
        <f>IF(ISNUMBER(AW1212),IF(AW1212&gt;450,"Yes","No"),IF(AW1212="NR","NR",""))</f>
        <v/>
      </c>
      <c r="BJ1212" s="9">
        <f>IF(BB1212="","",IF(BB1212="Non-viable","Non-viable",IF(BB1212="Viable","Viable",IF(BB1212="Partially non-viable",IF(OR(BD1212="Total splenectomy",BD1212="Partial splenectomy +/- splenopexy"),"Non-viable","Review"),IF(BB1212="NR",IF(OR(BD1212="Total splenectomy",BD1212="Partial splenectomy +/- splenopexy"),"NR - removed, check reason","NR"),"Not applicable")))))</f>
        <v/>
      </c>
    </row>
    <row r="1213">
      <c r="D1213" s="8" t="n"/>
      <c r="E1213" s="9">
        <f>IF(B1213="","",IF(B1213="OWN","Yes","No"))</f>
        <v/>
      </c>
      <c r="AF1213" s="9">
        <f>IF(ISNUMBER(Z1213),IF(Z1213&lt;=2,"&lt;=2 d",IF(Z1213&lt;=7,"3-7 d",IF(Z1213&lt;=30,"8-30 d","&gt;30 d"))),IF(AE1213&lt;&gt;"",AE1213,IF(Z1213="NR","NR","")))</f>
        <v/>
      </c>
      <c r="AX1213" s="9">
        <f>IF(ISNUMBER(AW1213),IF(AW1213&gt;450,"Yes","No"),IF(AW1213="NR","NR",""))</f>
        <v/>
      </c>
      <c r="BJ1213" s="9">
        <f>IF(BB1213="","",IF(BB1213="Non-viable","Non-viable",IF(BB1213="Viable","Viable",IF(BB1213="Partially non-viable",IF(OR(BD1213="Total splenectomy",BD1213="Partial splenectomy +/- splenopexy"),"Non-viable","Review"),IF(BB1213="NR",IF(OR(BD1213="Total splenectomy",BD1213="Partial splenectomy +/- splenopexy"),"NR - removed, check reason","NR"),"Not applicable")))))</f>
        <v/>
      </c>
    </row>
    <row r="1214">
      <c r="D1214" s="8" t="n"/>
      <c r="E1214" s="9">
        <f>IF(B1214="","",IF(B1214="OWN","Yes","No"))</f>
        <v/>
      </c>
      <c r="AF1214" s="9">
        <f>IF(ISNUMBER(Z1214),IF(Z1214&lt;=2,"&lt;=2 d",IF(Z1214&lt;=7,"3-7 d",IF(Z1214&lt;=30,"8-30 d","&gt;30 d"))),IF(AE1214&lt;&gt;"",AE1214,IF(Z1214="NR","NR","")))</f>
        <v/>
      </c>
      <c r="AX1214" s="9">
        <f>IF(ISNUMBER(AW1214),IF(AW1214&gt;450,"Yes","No"),IF(AW1214="NR","NR",""))</f>
        <v/>
      </c>
      <c r="BJ1214" s="9">
        <f>IF(BB1214="","",IF(BB1214="Non-viable","Non-viable",IF(BB1214="Viable","Viable",IF(BB1214="Partially non-viable",IF(OR(BD1214="Total splenectomy",BD1214="Partial splenectomy +/- splenopexy"),"Non-viable","Review"),IF(BB1214="NR",IF(OR(BD1214="Total splenectomy",BD1214="Partial splenectomy +/- splenopexy"),"NR - removed, check reason","NR"),"Not applicable")))))</f>
        <v/>
      </c>
    </row>
    <row r="1215">
      <c r="D1215" s="8" t="n"/>
      <c r="E1215" s="9">
        <f>IF(B1215="","",IF(B1215="OWN","Yes","No"))</f>
        <v/>
      </c>
      <c r="AF1215" s="9">
        <f>IF(ISNUMBER(Z1215),IF(Z1215&lt;=2,"&lt;=2 d",IF(Z1215&lt;=7,"3-7 d",IF(Z1215&lt;=30,"8-30 d","&gt;30 d"))),IF(AE1215&lt;&gt;"",AE1215,IF(Z1215="NR","NR","")))</f>
        <v/>
      </c>
      <c r="AX1215" s="9">
        <f>IF(ISNUMBER(AW1215),IF(AW1215&gt;450,"Yes","No"),IF(AW1215="NR","NR",""))</f>
        <v/>
      </c>
      <c r="BJ1215" s="9">
        <f>IF(BB1215="","",IF(BB1215="Non-viable","Non-viable",IF(BB1215="Viable","Viable",IF(BB1215="Partially non-viable",IF(OR(BD1215="Total splenectomy",BD1215="Partial splenectomy +/- splenopexy"),"Non-viable","Review"),IF(BB1215="NR",IF(OR(BD1215="Total splenectomy",BD1215="Partial splenectomy +/- splenopexy"),"NR - removed, check reason","NR"),"Not applicable")))))</f>
        <v/>
      </c>
    </row>
    <row r="1216">
      <c r="D1216" s="8" t="n"/>
      <c r="E1216" s="9">
        <f>IF(B1216="","",IF(B1216="OWN","Yes","No"))</f>
        <v/>
      </c>
      <c r="AF1216" s="9">
        <f>IF(ISNUMBER(Z1216),IF(Z1216&lt;=2,"&lt;=2 d",IF(Z1216&lt;=7,"3-7 d",IF(Z1216&lt;=30,"8-30 d","&gt;30 d"))),IF(AE1216&lt;&gt;"",AE1216,IF(Z1216="NR","NR","")))</f>
        <v/>
      </c>
      <c r="AX1216" s="9">
        <f>IF(ISNUMBER(AW1216),IF(AW1216&gt;450,"Yes","No"),IF(AW1216="NR","NR",""))</f>
        <v/>
      </c>
      <c r="BJ1216" s="9">
        <f>IF(BB1216="","",IF(BB1216="Non-viable","Non-viable",IF(BB1216="Viable","Viable",IF(BB1216="Partially non-viable",IF(OR(BD1216="Total splenectomy",BD1216="Partial splenectomy +/- splenopexy"),"Non-viable","Review"),IF(BB1216="NR",IF(OR(BD1216="Total splenectomy",BD1216="Partial splenectomy +/- splenopexy"),"NR - removed, check reason","NR"),"Not applicable")))))</f>
        <v/>
      </c>
    </row>
    <row r="1217">
      <c r="D1217" s="8" t="n"/>
      <c r="E1217" s="9">
        <f>IF(B1217="","",IF(B1217="OWN","Yes","No"))</f>
        <v/>
      </c>
      <c r="AF1217" s="9">
        <f>IF(ISNUMBER(Z1217),IF(Z1217&lt;=2,"&lt;=2 d",IF(Z1217&lt;=7,"3-7 d",IF(Z1217&lt;=30,"8-30 d","&gt;30 d"))),IF(AE1217&lt;&gt;"",AE1217,IF(Z1217="NR","NR","")))</f>
        <v/>
      </c>
      <c r="AX1217" s="9">
        <f>IF(ISNUMBER(AW1217),IF(AW1217&gt;450,"Yes","No"),IF(AW1217="NR","NR",""))</f>
        <v/>
      </c>
      <c r="BJ1217" s="9">
        <f>IF(BB1217="","",IF(BB1217="Non-viable","Non-viable",IF(BB1217="Viable","Viable",IF(BB1217="Partially non-viable",IF(OR(BD1217="Total splenectomy",BD1217="Partial splenectomy +/- splenopexy"),"Non-viable","Review"),IF(BB1217="NR",IF(OR(BD1217="Total splenectomy",BD1217="Partial splenectomy +/- splenopexy"),"NR - removed, check reason","NR"),"Not applicable")))))</f>
        <v/>
      </c>
    </row>
    <row r="1218">
      <c r="D1218" s="8" t="n"/>
      <c r="E1218" s="9">
        <f>IF(B1218="","",IF(B1218="OWN","Yes","No"))</f>
        <v/>
      </c>
      <c r="AF1218" s="9">
        <f>IF(ISNUMBER(Z1218),IF(Z1218&lt;=2,"&lt;=2 d",IF(Z1218&lt;=7,"3-7 d",IF(Z1218&lt;=30,"8-30 d","&gt;30 d"))),IF(AE1218&lt;&gt;"",AE1218,IF(Z1218="NR","NR","")))</f>
        <v/>
      </c>
      <c r="AX1218" s="9">
        <f>IF(ISNUMBER(AW1218),IF(AW1218&gt;450,"Yes","No"),IF(AW1218="NR","NR",""))</f>
        <v/>
      </c>
      <c r="BJ1218" s="9">
        <f>IF(BB1218="","",IF(BB1218="Non-viable","Non-viable",IF(BB1218="Viable","Viable",IF(BB1218="Partially non-viable",IF(OR(BD1218="Total splenectomy",BD1218="Partial splenectomy +/- splenopexy"),"Non-viable","Review"),IF(BB1218="NR",IF(OR(BD1218="Total splenectomy",BD1218="Partial splenectomy +/- splenopexy"),"NR - removed, check reason","NR"),"Not applicable")))))</f>
        <v/>
      </c>
    </row>
    <row r="1219">
      <c r="D1219" s="8" t="n"/>
      <c r="E1219" s="9">
        <f>IF(B1219="","",IF(B1219="OWN","Yes","No"))</f>
        <v/>
      </c>
      <c r="AF1219" s="9">
        <f>IF(ISNUMBER(Z1219),IF(Z1219&lt;=2,"&lt;=2 d",IF(Z1219&lt;=7,"3-7 d",IF(Z1219&lt;=30,"8-30 d","&gt;30 d"))),IF(AE1219&lt;&gt;"",AE1219,IF(Z1219="NR","NR","")))</f>
        <v/>
      </c>
      <c r="AX1219" s="9">
        <f>IF(ISNUMBER(AW1219),IF(AW1219&gt;450,"Yes","No"),IF(AW1219="NR","NR",""))</f>
        <v/>
      </c>
      <c r="BJ1219" s="9">
        <f>IF(BB1219="","",IF(BB1219="Non-viable","Non-viable",IF(BB1219="Viable","Viable",IF(BB1219="Partially non-viable",IF(OR(BD1219="Total splenectomy",BD1219="Partial splenectomy +/- splenopexy"),"Non-viable","Review"),IF(BB1219="NR",IF(OR(BD1219="Total splenectomy",BD1219="Partial splenectomy +/- splenopexy"),"NR - removed, check reason","NR"),"Not applicable")))))</f>
        <v/>
      </c>
    </row>
    <row r="1220">
      <c r="D1220" s="8" t="n"/>
      <c r="E1220" s="9">
        <f>IF(B1220="","",IF(B1220="OWN","Yes","No"))</f>
        <v/>
      </c>
      <c r="AF1220" s="9">
        <f>IF(ISNUMBER(Z1220),IF(Z1220&lt;=2,"&lt;=2 d",IF(Z1220&lt;=7,"3-7 d",IF(Z1220&lt;=30,"8-30 d","&gt;30 d"))),IF(AE1220&lt;&gt;"",AE1220,IF(Z1220="NR","NR","")))</f>
        <v/>
      </c>
      <c r="AX1220" s="9">
        <f>IF(ISNUMBER(AW1220),IF(AW1220&gt;450,"Yes","No"),IF(AW1220="NR","NR",""))</f>
        <v/>
      </c>
      <c r="BJ1220" s="9">
        <f>IF(BB1220="","",IF(BB1220="Non-viable","Non-viable",IF(BB1220="Viable","Viable",IF(BB1220="Partially non-viable",IF(OR(BD1220="Total splenectomy",BD1220="Partial splenectomy +/- splenopexy"),"Non-viable","Review"),IF(BB1220="NR",IF(OR(BD1220="Total splenectomy",BD1220="Partial splenectomy +/- splenopexy"),"NR - removed, check reason","NR"),"Not applicable")))))</f>
        <v/>
      </c>
    </row>
    <row r="1221">
      <c r="D1221" s="8" t="n"/>
      <c r="E1221" s="9">
        <f>IF(B1221="","",IF(B1221="OWN","Yes","No"))</f>
        <v/>
      </c>
      <c r="AF1221" s="9">
        <f>IF(ISNUMBER(Z1221),IF(Z1221&lt;=2,"&lt;=2 d",IF(Z1221&lt;=7,"3-7 d",IF(Z1221&lt;=30,"8-30 d","&gt;30 d"))),IF(AE1221&lt;&gt;"",AE1221,IF(Z1221="NR","NR","")))</f>
        <v/>
      </c>
      <c r="AX1221" s="9">
        <f>IF(ISNUMBER(AW1221),IF(AW1221&gt;450,"Yes","No"),IF(AW1221="NR","NR",""))</f>
        <v/>
      </c>
      <c r="BJ1221" s="9">
        <f>IF(BB1221="","",IF(BB1221="Non-viable","Non-viable",IF(BB1221="Viable","Viable",IF(BB1221="Partially non-viable",IF(OR(BD1221="Total splenectomy",BD1221="Partial splenectomy +/- splenopexy"),"Non-viable","Review"),IF(BB1221="NR",IF(OR(BD1221="Total splenectomy",BD1221="Partial splenectomy +/- splenopexy"),"NR - removed, check reason","NR"),"Not applicable")))))</f>
        <v/>
      </c>
    </row>
    <row r="1222">
      <c r="D1222" s="8" t="n"/>
      <c r="E1222" s="9">
        <f>IF(B1222="","",IF(B1222="OWN","Yes","No"))</f>
        <v/>
      </c>
      <c r="AF1222" s="9">
        <f>IF(ISNUMBER(Z1222),IF(Z1222&lt;=2,"&lt;=2 d",IF(Z1222&lt;=7,"3-7 d",IF(Z1222&lt;=30,"8-30 d","&gt;30 d"))),IF(AE1222&lt;&gt;"",AE1222,IF(Z1222="NR","NR","")))</f>
        <v/>
      </c>
      <c r="AX1222" s="9">
        <f>IF(ISNUMBER(AW1222),IF(AW1222&gt;450,"Yes","No"),IF(AW1222="NR","NR",""))</f>
        <v/>
      </c>
      <c r="BJ1222" s="9">
        <f>IF(BB1222="","",IF(BB1222="Non-viable","Non-viable",IF(BB1222="Viable","Viable",IF(BB1222="Partially non-viable",IF(OR(BD1222="Total splenectomy",BD1222="Partial splenectomy +/- splenopexy"),"Non-viable","Review"),IF(BB1222="NR",IF(OR(BD1222="Total splenectomy",BD1222="Partial splenectomy +/- splenopexy"),"NR - removed, check reason","NR"),"Not applicable")))))</f>
        <v/>
      </c>
    </row>
    <row r="1223">
      <c r="D1223" s="8" t="n"/>
      <c r="E1223" s="9">
        <f>IF(B1223="","",IF(B1223="OWN","Yes","No"))</f>
        <v/>
      </c>
      <c r="AF1223" s="9">
        <f>IF(ISNUMBER(Z1223),IF(Z1223&lt;=2,"&lt;=2 d",IF(Z1223&lt;=7,"3-7 d",IF(Z1223&lt;=30,"8-30 d","&gt;30 d"))),IF(AE1223&lt;&gt;"",AE1223,IF(Z1223="NR","NR","")))</f>
        <v/>
      </c>
      <c r="AX1223" s="9">
        <f>IF(ISNUMBER(AW1223),IF(AW1223&gt;450,"Yes","No"),IF(AW1223="NR","NR",""))</f>
        <v/>
      </c>
      <c r="BJ1223" s="9">
        <f>IF(BB1223="","",IF(BB1223="Non-viable","Non-viable",IF(BB1223="Viable","Viable",IF(BB1223="Partially non-viable",IF(OR(BD1223="Total splenectomy",BD1223="Partial splenectomy +/- splenopexy"),"Non-viable","Review"),IF(BB1223="NR",IF(OR(BD1223="Total splenectomy",BD1223="Partial splenectomy +/- splenopexy"),"NR - removed, check reason","NR"),"Not applicable")))))</f>
        <v/>
      </c>
    </row>
    <row r="1224">
      <c r="D1224" s="8" t="n"/>
      <c r="E1224" s="9">
        <f>IF(B1224="","",IF(B1224="OWN","Yes","No"))</f>
        <v/>
      </c>
      <c r="AF1224" s="9">
        <f>IF(ISNUMBER(Z1224),IF(Z1224&lt;=2,"&lt;=2 d",IF(Z1224&lt;=7,"3-7 d",IF(Z1224&lt;=30,"8-30 d","&gt;30 d"))),IF(AE1224&lt;&gt;"",AE1224,IF(Z1224="NR","NR","")))</f>
        <v/>
      </c>
      <c r="AX1224" s="9">
        <f>IF(ISNUMBER(AW1224),IF(AW1224&gt;450,"Yes","No"),IF(AW1224="NR","NR",""))</f>
        <v/>
      </c>
      <c r="BJ1224" s="9">
        <f>IF(BB1224="","",IF(BB1224="Non-viable","Non-viable",IF(BB1224="Viable","Viable",IF(BB1224="Partially non-viable",IF(OR(BD1224="Total splenectomy",BD1224="Partial splenectomy +/- splenopexy"),"Non-viable","Review"),IF(BB1224="NR",IF(OR(BD1224="Total splenectomy",BD1224="Partial splenectomy +/- splenopexy"),"NR - removed, check reason","NR"),"Not applicable")))))</f>
        <v/>
      </c>
    </row>
    <row r="1225">
      <c r="D1225" s="8" t="n"/>
      <c r="E1225" s="9">
        <f>IF(B1225="","",IF(B1225="OWN","Yes","No"))</f>
        <v/>
      </c>
      <c r="AF1225" s="9">
        <f>IF(ISNUMBER(Z1225),IF(Z1225&lt;=2,"&lt;=2 d",IF(Z1225&lt;=7,"3-7 d",IF(Z1225&lt;=30,"8-30 d","&gt;30 d"))),IF(AE1225&lt;&gt;"",AE1225,IF(Z1225="NR","NR","")))</f>
        <v/>
      </c>
      <c r="AX1225" s="9">
        <f>IF(ISNUMBER(AW1225),IF(AW1225&gt;450,"Yes","No"),IF(AW1225="NR","NR",""))</f>
        <v/>
      </c>
      <c r="BJ1225" s="9">
        <f>IF(BB1225="","",IF(BB1225="Non-viable","Non-viable",IF(BB1225="Viable","Viable",IF(BB1225="Partially non-viable",IF(OR(BD1225="Total splenectomy",BD1225="Partial splenectomy +/- splenopexy"),"Non-viable","Review"),IF(BB1225="NR",IF(OR(BD1225="Total splenectomy",BD1225="Partial splenectomy +/- splenopexy"),"NR - removed, check reason","NR"),"Not applicable")))))</f>
        <v/>
      </c>
    </row>
    <row r="1226">
      <c r="D1226" s="8" t="n"/>
      <c r="E1226" s="9">
        <f>IF(B1226="","",IF(B1226="OWN","Yes","No"))</f>
        <v/>
      </c>
      <c r="AF1226" s="9">
        <f>IF(ISNUMBER(Z1226),IF(Z1226&lt;=2,"&lt;=2 d",IF(Z1226&lt;=7,"3-7 d",IF(Z1226&lt;=30,"8-30 d","&gt;30 d"))),IF(AE1226&lt;&gt;"",AE1226,IF(Z1226="NR","NR","")))</f>
        <v/>
      </c>
      <c r="AX1226" s="9">
        <f>IF(ISNUMBER(AW1226),IF(AW1226&gt;450,"Yes","No"),IF(AW1226="NR","NR",""))</f>
        <v/>
      </c>
      <c r="BJ1226" s="9">
        <f>IF(BB1226="","",IF(BB1226="Non-viable","Non-viable",IF(BB1226="Viable","Viable",IF(BB1226="Partially non-viable",IF(OR(BD1226="Total splenectomy",BD1226="Partial splenectomy +/- splenopexy"),"Non-viable","Review"),IF(BB1226="NR",IF(OR(BD1226="Total splenectomy",BD1226="Partial splenectomy +/- splenopexy"),"NR - removed, check reason","NR"),"Not applicable")))))</f>
        <v/>
      </c>
    </row>
    <row r="1227">
      <c r="D1227" s="8" t="n"/>
      <c r="E1227" s="9">
        <f>IF(B1227="","",IF(B1227="OWN","Yes","No"))</f>
        <v/>
      </c>
      <c r="AF1227" s="9">
        <f>IF(ISNUMBER(Z1227),IF(Z1227&lt;=2,"&lt;=2 d",IF(Z1227&lt;=7,"3-7 d",IF(Z1227&lt;=30,"8-30 d","&gt;30 d"))),IF(AE1227&lt;&gt;"",AE1227,IF(Z1227="NR","NR","")))</f>
        <v/>
      </c>
      <c r="AX1227" s="9">
        <f>IF(ISNUMBER(AW1227),IF(AW1227&gt;450,"Yes","No"),IF(AW1227="NR","NR",""))</f>
        <v/>
      </c>
      <c r="BJ1227" s="9">
        <f>IF(BB1227="","",IF(BB1227="Non-viable","Non-viable",IF(BB1227="Viable","Viable",IF(BB1227="Partially non-viable",IF(OR(BD1227="Total splenectomy",BD1227="Partial splenectomy +/- splenopexy"),"Non-viable","Review"),IF(BB1227="NR",IF(OR(BD1227="Total splenectomy",BD1227="Partial splenectomy +/- splenopexy"),"NR - removed, check reason","NR"),"Not applicable")))))</f>
        <v/>
      </c>
    </row>
    <row r="1228">
      <c r="D1228" s="8" t="n"/>
      <c r="E1228" s="9">
        <f>IF(B1228="","",IF(B1228="OWN","Yes","No"))</f>
        <v/>
      </c>
      <c r="AF1228" s="9">
        <f>IF(ISNUMBER(Z1228),IF(Z1228&lt;=2,"&lt;=2 d",IF(Z1228&lt;=7,"3-7 d",IF(Z1228&lt;=30,"8-30 d","&gt;30 d"))),IF(AE1228&lt;&gt;"",AE1228,IF(Z1228="NR","NR","")))</f>
        <v/>
      </c>
      <c r="AX1228" s="9">
        <f>IF(ISNUMBER(AW1228),IF(AW1228&gt;450,"Yes","No"),IF(AW1228="NR","NR",""))</f>
        <v/>
      </c>
      <c r="BJ1228" s="9">
        <f>IF(BB1228="","",IF(BB1228="Non-viable","Non-viable",IF(BB1228="Viable","Viable",IF(BB1228="Partially non-viable",IF(OR(BD1228="Total splenectomy",BD1228="Partial splenectomy +/- splenopexy"),"Non-viable","Review"),IF(BB1228="NR",IF(OR(BD1228="Total splenectomy",BD1228="Partial splenectomy +/- splenopexy"),"NR - removed, check reason","NR"),"Not applicable")))))</f>
        <v/>
      </c>
    </row>
    <row r="1229">
      <c r="D1229" s="8" t="n"/>
      <c r="E1229" s="9">
        <f>IF(B1229="","",IF(B1229="OWN","Yes","No"))</f>
        <v/>
      </c>
      <c r="AF1229" s="9">
        <f>IF(ISNUMBER(Z1229),IF(Z1229&lt;=2,"&lt;=2 d",IF(Z1229&lt;=7,"3-7 d",IF(Z1229&lt;=30,"8-30 d","&gt;30 d"))),IF(AE1229&lt;&gt;"",AE1229,IF(Z1229="NR","NR","")))</f>
        <v/>
      </c>
      <c r="AX1229" s="9">
        <f>IF(ISNUMBER(AW1229),IF(AW1229&gt;450,"Yes","No"),IF(AW1229="NR","NR",""))</f>
        <v/>
      </c>
      <c r="BJ1229" s="9">
        <f>IF(BB1229="","",IF(BB1229="Non-viable","Non-viable",IF(BB1229="Viable","Viable",IF(BB1229="Partially non-viable",IF(OR(BD1229="Total splenectomy",BD1229="Partial splenectomy +/- splenopexy"),"Non-viable","Review"),IF(BB1229="NR",IF(OR(BD1229="Total splenectomy",BD1229="Partial splenectomy +/- splenopexy"),"NR - removed, check reason","NR"),"Not applicable")))))</f>
        <v/>
      </c>
    </row>
    <row r="1230">
      <c r="D1230" s="8" t="n"/>
      <c r="E1230" s="9">
        <f>IF(B1230="","",IF(B1230="OWN","Yes","No"))</f>
        <v/>
      </c>
      <c r="AF1230" s="9">
        <f>IF(ISNUMBER(Z1230),IF(Z1230&lt;=2,"&lt;=2 d",IF(Z1230&lt;=7,"3-7 d",IF(Z1230&lt;=30,"8-30 d","&gt;30 d"))),IF(AE1230&lt;&gt;"",AE1230,IF(Z1230="NR","NR","")))</f>
        <v/>
      </c>
      <c r="AX1230" s="9">
        <f>IF(ISNUMBER(AW1230),IF(AW1230&gt;450,"Yes","No"),IF(AW1230="NR","NR",""))</f>
        <v/>
      </c>
      <c r="BJ1230" s="9">
        <f>IF(BB1230="","",IF(BB1230="Non-viable","Non-viable",IF(BB1230="Viable","Viable",IF(BB1230="Partially non-viable",IF(OR(BD1230="Total splenectomy",BD1230="Partial splenectomy +/- splenopexy"),"Non-viable","Review"),IF(BB1230="NR",IF(OR(BD1230="Total splenectomy",BD1230="Partial splenectomy +/- splenopexy"),"NR - removed, check reason","NR"),"Not applicable")))))</f>
        <v/>
      </c>
    </row>
    <row r="1231">
      <c r="D1231" s="8" t="n"/>
      <c r="E1231" s="9">
        <f>IF(B1231="","",IF(B1231="OWN","Yes","No"))</f>
        <v/>
      </c>
      <c r="AF1231" s="9">
        <f>IF(ISNUMBER(Z1231),IF(Z1231&lt;=2,"&lt;=2 d",IF(Z1231&lt;=7,"3-7 d",IF(Z1231&lt;=30,"8-30 d","&gt;30 d"))),IF(AE1231&lt;&gt;"",AE1231,IF(Z1231="NR","NR","")))</f>
        <v/>
      </c>
      <c r="AX1231" s="9">
        <f>IF(ISNUMBER(AW1231),IF(AW1231&gt;450,"Yes","No"),IF(AW1231="NR","NR",""))</f>
        <v/>
      </c>
      <c r="BJ1231" s="9">
        <f>IF(BB1231="","",IF(BB1231="Non-viable","Non-viable",IF(BB1231="Viable","Viable",IF(BB1231="Partially non-viable",IF(OR(BD1231="Total splenectomy",BD1231="Partial splenectomy +/- splenopexy"),"Non-viable","Review"),IF(BB1231="NR",IF(OR(BD1231="Total splenectomy",BD1231="Partial splenectomy +/- splenopexy"),"NR - removed, check reason","NR"),"Not applicable")))))</f>
        <v/>
      </c>
    </row>
    <row r="1232">
      <c r="D1232" s="8" t="n"/>
      <c r="E1232" s="9">
        <f>IF(B1232="","",IF(B1232="OWN","Yes","No"))</f>
        <v/>
      </c>
      <c r="AF1232" s="9">
        <f>IF(ISNUMBER(Z1232),IF(Z1232&lt;=2,"&lt;=2 d",IF(Z1232&lt;=7,"3-7 d",IF(Z1232&lt;=30,"8-30 d","&gt;30 d"))),IF(AE1232&lt;&gt;"",AE1232,IF(Z1232="NR","NR","")))</f>
        <v/>
      </c>
      <c r="AX1232" s="9">
        <f>IF(ISNUMBER(AW1232),IF(AW1232&gt;450,"Yes","No"),IF(AW1232="NR","NR",""))</f>
        <v/>
      </c>
      <c r="BJ1232" s="9">
        <f>IF(BB1232="","",IF(BB1232="Non-viable","Non-viable",IF(BB1232="Viable","Viable",IF(BB1232="Partially non-viable",IF(OR(BD1232="Total splenectomy",BD1232="Partial splenectomy +/- splenopexy"),"Non-viable","Review"),IF(BB1232="NR",IF(OR(BD1232="Total splenectomy",BD1232="Partial splenectomy +/- splenopexy"),"NR - removed, check reason","NR"),"Not applicable")))))</f>
        <v/>
      </c>
    </row>
    <row r="1233">
      <c r="D1233" s="8" t="n"/>
      <c r="E1233" s="9">
        <f>IF(B1233="","",IF(B1233="OWN","Yes","No"))</f>
        <v/>
      </c>
      <c r="AF1233" s="9">
        <f>IF(ISNUMBER(Z1233),IF(Z1233&lt;=2,"&lt;=2 d",IF(Z1233&lt;=7,"3-7 d",IF(Z1233&lt;=30,"8-30 d","&gt;30 d"))),IF(AE1233&lt;&gt;"",AE1233,IF(Z1233="NR","NR","")))</f>
        <v/>
      </c>
      <c r="AX1233" s="9">
        <f>IF(ISNUMBER(AW1233),IF(AW1233&gt;450,"Yes","No"),IF(AW1233="NR","NR",""))</f>
        <v/>
      </c>
      <c r="BJ1233" s="9">
        <f>IF(BB1233="","",IF(BB1233="Non-viable","Non-viable",IF(BB1233="Viable","Viable",IF(BB1233="Partially non-viable",IF(OR(BD1233="Total splenectomy",BD1233="Partial splenectomy +/- splenopexy"),"Non-viable","Review"),IF(BB1233="NR",IF(OR(BD1233="Total splenectomy",BD1233="Partial splenectomy +/- splenopexy"),"NR - removed, check reason","NR"),"Not applicable")))))</f>
        <v/>
      </c>
    </row>
    <row r="1234">
      <c r="D1234" s="8" t="n"/>
      <c r="E1234" s="9">
        <f>IF(B1234="","",IF(B1234="OWN","Yes","No"))</f>
        <v/>
      </c>
      <c r="AF1234" s="9">
        <f>IF(ISNUMBER(Z1234),IF(Z1234&lt;=2,"&lt;=2 d",IF(Z1234&lt;=7,"3-7 d",IF(Z1234&lt;=30,"8-30 d","&gt;30 d"))),IF(AE1234&lt;&gt;"",AE1234,IF(Z1234="NR","NR","")))</f>
        <v/>
      </c>
      <c r="AX1234" s="9">
        <f>IF(ISNUMBER(AW1234),IF(AW1234&gt;450,"Yes","No"),IF(AW1234="NR","NR",""))</f>
        <v/>
      </c>
      <c r="BJ1234" s="9">
        <f>IF(BB1234="","",IF(BB1234="Non-viable","Non-viable",IF(BB1234="Viable","Viable",IF(BB1234="Partially non-viable",IF(OR(BD1234="Total splenectomy",BD1234="Partial splenectomy +/- splenopexy"),"Non-viable","Review"),IF(BB1234="NR",IF(OR(BD1234="Total splenectomy",BD1234="Partial splenectomy +/- splenopexy"),"NR - removed, check reason","NR"),"Not applicable")))))</f>
        <v/>
      </c>
    </row>
    <row r="1235">
      <c r="D1235" s="8" t="n"/>
      <c r="E1235" s="9">
        <f>IF(B1235="","",IF(B1235="OWN","Yes","No"))</f>
        <v/>
      </c>
      <c r="AF1235" s="9">
        <f>IF(ISNUMBER(Z1235),IF(Z1235&lt;=2,"&lt;=2 d",IF(Z1235&lt;=7,"3-7 d",IF(Z1235&lt;=30,"8-30 d","&gt;30 d"))),IF(AE1235&lt;&gt;"",AE1235,IF(Z1235="NR","NR","")))</f>
        <v/>
      </c>
      <c r="AX1235" s="9">
        <f>IF(ISNUMBER(AW1235),IF(AW1235&gt;450,"Yes","No"),IF(AW1235="NR","NR",""))</f>
        <v/>
      </c>
      <c r="BJ1235" s="9">
        <f>IF(BB1235="","",IF(BB1235="Non-viable","Non-viable",IF(BB1235="Viable","Viable",IF(BB1235="Partially non-viable",IF(OR(BD1235="Total splenectomy",BD1235="Partial splenectomy +/- splenopexy"),"Non-viable","Review"),IF(BB1235="NR",IF(OR(BD1235="Total splenectomy",BD1235="Partial splenectomy +/- splenopexy"),"NR - removed, check reason","NR"),"Not applicable")))))</f>
        <v/>
      </c>
    </row>
    <row r="1236">
      <c r="D1236" s="8" t="n"/>
      <c r="E1236" s="9">
        <f>IF(B1236="","",IF(B1236="OWN","Yes","No"))</f>
        <v/>
      </c>
      <c r="AF1236" s="9">
        <f>IF(ISNUMBER(Z1236),IF(Z1236&lt;=2,"&lt;=2 d",IF(Z1236&lt;=7,"3-7 d",IF(Z1236&lt;=30,"8-30 d","&gt;30 d"))),IF(AE1236&lt;&gt;"",AE1236,IF(Z1236="NR","NR","")))</f>
        <v/>
      </c>
      <c r="AX1236" s="9">
        <f>IF(ISNUMBER(AW1236),IF(AW1236&gt;450,"Yes","No"),IF(AW1236="NR","NR",""))</f>
        <v/>
      </c>
      <c r="BJ1236" s="9">
        <f>IF(BB1236="","",IF(BB1236="Non-viable","Non-viable",IF(BB1236="Viable","Viable",IF(BB1236="Partially non-viable",IF(OR(BD1236="Total splenectomy",BD1236="Partial splenectomy +/- splenopexy"),"Non-viable","Review"),IF(BB1236="NR",IF(OR(BD1236="Total splenectomy",BD1236="Partial splenectomy +/- splenopexy"),"NR - removed, check reason","NR"),"Not applicable")))))</f>
        <v/>
      </c>
    </row>
    <row r="1237">
      <c r="D1237" s="8" t="n"/>
      <c r="E1237" s="9">
        <f>IF(B1237="","",IF(B1237="OWN","Yes","No"))</f>
        <v/>
      </c>
      <c r="AF1237" s="9">
        <f>IF(ISNUMBER(Z1237),IF(Z1237&lt;=2,"&lt;=2 d",IF(Z1237&lt;=7,"3-7 d",IF(Z1237&lt;=30,"8-30 d","&gt;30 d"))),IF(AE1237&lt;&gt;"",AE1237,IF(Z1237="NR","NR","")))</f>
        <v/>
      </c>
      <c r="AX1237" s="9">
        <f>IF(ISNUMBER(AW1237),IF(AW1237&gt;450,"Yes","No"),IF(AW1237="NR","NR",""))</f>
        <v/>
      </c>
      <c r="BJ1237" s="9">
        <f>IF(BB1237="","",IF(BB1237="Non-viable","Non-viable",IF(BB1237="Viable","Viable",IF(BB1237="Partially non-viable",IF(OR(BD1237="Total splenectomy",BD1237="Partial splenectomy +/- splenopexy"),"Non-viable","Review"),IF(BB1237="NR",IF(OR(BD1237="Total splenectomy",BD1237="Partial splenectomy +/- splenopexy"),"NR - removed, check reason","NR"),"Not applicable")))))</f>
        <v/>
      </c>
    </row>
    <row r="1238">
      <c r="D1238" s="8" t="n"/>
      <c r="E1238" s="9">
        <f>IF(B1238="","",IF(B1238="OWN","Yes","No"))</f>
        <v/>
      </c>
      <c r="AF1238" s="9">
        <f>IF(ISNUMBER(Z1238),IF(Z1238&lt;=2,"&lt;=2 d",IF(Z1238&lt;=7,"3-7 d",IF(Z1238&lt;=30,"8-30 d","&gt;30 d"))),IF(AE1238&lt;&gt;"",AE1238,IF(Z1238="NR","NR","")))</f>
        <v/>
      </c>
      <c r="AX1238" s="9">
        <f>IF(ISNUMBER(AW1238),IF(AW1238&gt;450,"Yes","No"),IF(AW1238="NR","NR",""))</f>
        <v/>
      </c>
      <c r="BJ1238" s="9">
        <f>IF(BB1238="","",IF(BB1238="Non-viable","Non-viable",IF(BB1238="Viable","Viable",IF(BB1238="Partially non-viable",IF(OR(BD1238="Total splenectomy",BD1238="Partial splenectomy +/- splenopexy"),"Non-viable","Review"),IF(BB1238="NR",IF(OR(BD1238="Total splenectomy",BD1238="Partial splenectomy +/- splenopexy"),"NR - removed, check reason","NR"),"Not applicable")))))</f>
        <v/>
      </c>
    </row>
    <row r="1239">
      <c r="D1239" s="8" t="n"/>
      <c r="E1239" s="9">
        <f>IF(B1239="","",IF(B1239="OWN","Yes","No"))</f>
        <v/>
      </c>
      <c r="AF1239" s="9">
        <f>IF(ISNUMBER(Z1239),IF(Z1239&lt;=2,"&lt;=2 d",IF(Z1239&lt;=7,"3-7 d",IF(Z1239&lt;=30,"8-30 d","&gt;30 d"))),IF(AE1239&lt;&gt;"",AE1239,IF(Z1239="NR","NR","")))</f>
        <v/>
      </c>
      <c r="AX1239" s="9">
        <f>IF(ISNUMBER(AW1239),IF(AW1239&gt;450,"Yes","No"),IF(AW1239="NR","NR",""))</f>
        <v/>
      </c>
      <c r="BJ1239" s="9">
        <f>IF(BB1239="","",IF(BB1239="Non-viable","Non-viable",IF(BB1239="Viable","Viable",IF(BB1239="Partially non-viable",IF(OR(BD1239="Total splenectomy",BD1239="Partial splenectomy +/- splenopexy"),"Non-viable","Review"),IF(BB1239="NR",IF(OR(BD1239="Total splenectomy",BD1239="Partial splenectomy +/- splenopexy"),"NR - removed, check reason","NR"),"Not applicable")))))</f>
        <v/>
      </c>
    </row>
    <row r="1240">
      <c r="D1240" s="8" t="n"/>
      <c r="E1240" s="9">
        <f>IF(B1240="","",IF(B1240="OWN","Yes","No"))</f>
        <v/>
      </c>
      <c r="AF1240" s="9">
        <f>IF(ISNUMBER(Z1240),IF(Z1240&lt;=2,"&lt;=2 d",IF(Z1240&lt;=7,"3-7 d",IF(Z1240&lt;=30,"8-30 d","&gt;30 d"))),IF(AE1240&lt;&gt;"",AE1240,IF(Z1240="NR","NR","")))</f>
        <v/>
      </c>
      <c r="AX1240" s="9">
        <f>IF(ISNUMBER(AW1240),IF(AW1240&gt;450,"Yes","No"),IF(AW1240="NR","NR",""))</f>
        <v/>
      </c>
      <c r="BJ1240" s="9">
        <f>IF(BB1240="","",IF(BB1240="Non-viable","Non-viable",IF(BB1240="Viable","Viable",IF(BB1240="Partially non-viable",IF(OR(BD1240="Total splenectomy",BD1240="Partial splenectomy +/- splenopexy"),"Non-viable","Review"),IF(BB1240="NR",IF(OR(BD1240="Total splenectomy",BD1240="Partial splenectomy +/- splenopexy"),"NR - removed, check reason","NR"),"Not applicable")))))</f>
        <v/>
      </c>
    </row>
    <row r="1241">
      <c r="D1241" s="8" t="n"/>
      <c r="E1241" s="9">
        <f>IF(B1241="","",IF(B1241="OWN","Yes","No"))</f>
        <v/>
      </c>
      <c r="AF1241" s="9">
        <f>IF(ISNUMBER(Z1241),IF(Z1241&lt;=2,"&lt;=2 d",IF(Z1241&lt;=7,"3-7 d",IF(Z1241&lt;=30,"8-30 d","&gt;30 d"))),IF(AE1241&lt;&gt;"",AE1241,IF(Z1241="NR","NR","")))</f>
        <v/>
      </c>
      <c r="AX1241" s="9">
        <f>IF(ISNUMBER(AW1241),IF(AW1241&gt;450,"Yes","No"),IF(AW1241="NR","NR",""))</f>
        <v/>
      </c>
      <c r="BJ1241" s="9">
        <f>IF(BB1241="","",IF(BB1241="Non-viable","Non-viable",IF(BB1241="Viable","Viable",IF(BB1241="Partially non-viable",IF(OR(BD1241="Total splenectomy",BD1241="Partial splenectomy +/- splenopexy"),"Non-viable","Review"),IF(BB1241="NR",IF(OR(BD1241="Total splenectomy",BD1241="Partial splenectomy +/- splenopexy"),"NR - removed, check reason","NR"),"Not applicable")))))</f>
        <v/>
      </c>
    </row>
    <row r="1242">
      <c r="D1242" s="8" t="n"/>
      <c r="E1242" s="9">
        <f>IF(B1242="","",IF(B1242="OWN","Yes","No"))</f>
        <v/>
      </c>
      <c r="AF1242" s="9">
        <f>IF(ISNUMBER(Z1242),IF(Z1242&lt;=2,"&lt;=2 d",IF(Z1242&lt;=7,"3-7 d",IF(Z1242&lt;=30,"8-30 d","&gt;30 d"))),IF(AE1242&lt;&gt;"",AE1242,IF(Z1242="NR","NR","")))</f>
        <v/>
      </c>
      <c r="AX1242" s="9">
        <f>IF(ISNUMBER(AW1242),IF(AW1242&gt;450,"Yes","No"),IF(AW1242="NR","NR",""))</f>
        <v/>
      </c>
      <c r="BJ1242" s="9">
        <f>IF(BB1242="","",IF(BB1242="Non-viable","Non-viable",IF(BB1242="Viable","Viable",IF(BB1242="Partially non-viable",IF(OR(BD1242="Total splenectomy",BD1242="Partial splenectomy +/- splenopexy"),"Non-viable","Review"),IF(BB1242="NR",IF(OR(BD1242="Total splenectomy",BD1242="Partial splenectomy +/- splenopexy"),"NR - removed, check reason","NR"),"Not applicable")))))</f>
        <v/>
      </c>
    </row>
    <row r="1243">
      <c r="D1243" s="8" t="n"/>
      <c r="E1243" s="9">
        <f>IF(B1243="","",IF(B1243="OWN","Yes","No"))</f>
        <v/>
      </c>
      <c r="AF1243" s="9">
        <f>IF(ISNUMBER(Z1243),IF(Z1243&lt;=2,"&lt;=2 d",IF(Z1243&lt;=7,"3-7 d",IF(Z1243&lt;=30,"8-30 d","&gt;30 d"))),IF(AE1243&lt;&gt;"",AE1243,IF(Z1243="NR","NR","")))</f>
        <v/>
      </c>
      <c r="AX1243" s="9">
        <f>IF(ISNUMBER(AW1243),IF(AW1243&gt;450,"Yes","No"),IF(AW1243="NR","NR",""))</f>
        <v/>
      </c>
      <c r="BJ1243" s="9">
        <f>IF(BB1243="","",IF(BB1243="Non-viable","Non-viable",IF(BB1243="Viable","Viable",IF(BB1243="Partially non-viable",IF(OR(BD1243="Total splenectomy",BD1243="Partial splenectomy +/- splenopexy"),"Non-viable","Review"),IF(BB1243="NR",IF(OR(BD1243="Total splenectomy",BD1243="Partial splenectomy +/- splenopexy"),"NR - removed, check reason","NR"),"Not applicable")))))</f>
        <v/>
      </c>
    </row>
    <row r="1244">
      <c r="D1244" s="8" t="n"/>
      <c r="E1244" s="9">
        <f>IF(B1244="","",IF(B1244="OWN","Yes","No"))</f>
        <v/>
      </c>
      <c r="AF1244" s="9">
        <f>IF(ISNUMBER(Z1244),IF(Z1244&lt;=2,"&lt;=2 d",IF(Z1244&lt;=7,"3-7 d",IF(Z1244&lt;=30,"8-30 d","&gt;30 d"))),IF(AE1244&lt;&gt;"",AE1244,IF(Z1244="NR","NR","")))</f>
        <v/>
      </c>
      <c r="AX1244" s="9">
        <f>IF(ISNUMBER(AW1244),IF(AW1244&gt;450,"Yes","No"),IF(AW1244="NR","NR",""))</f>
        <v/>
      </c>
      <c r="BJ1244" s="9">
        <f>IF(BB1244="","",IF(BB1244="Non-viable","Non-viable",IF(BB1244="Viable","Viable",IF(BB1244="Partially non-viable",IF(OR(BD1244="Total splenectomy",BD1244="Partial splenectomy +/- splenopexy"),"Non-viable","Review"),IF(BB1244="NR",IF(OR(BD1244="Total splenectomy",BD1244="Partial splenectomy +/- splenopexy"),"NR - removed, check reason","NR"),"Not applicable")))))</f>
        <v/>
      </c>
    </row>
    <row r="1245">
      <c r="D1245" s="8" t="n"/>
      <c r="E1245" s="9">
        <f>IF(B1245="","",IF(B1245="OWN","Yes","No"))</f>
        <v/>
      </c>
      <c r="AF1245" s="9">
        <f>IF(ISNUMBER(Z1245),IF(Z1245&lt;=2,"&lt;=2 d",IF(Z1245&lt;=7,"3-7 d",IF(Z1245&lt;=30,"8-30 d","&gt;30 d"))),IF(AE1245&lt;&gt;"",AE1245,IF(Z1245="NR","NR","")))</f>
        <v/>
      </c>
      <c r="AX1245" s="9">
        <f>IF(ISNUMBER(AW1245),IF(AW1245&gt;450,"Yes","No"),IF(AW1245="NR","NR",""))</f>
        <v/>
      </c>
      <c r="BJ1245" s="9">
        <f>IF(BB1245="","",IF(BB1245="Non-viable","Non-viable",IF(BB1245="Viable","Viable",IF(BB1245="Partially non-viable",IF(OR(BD1245="Total splenectomy",BD1245="Partial splenectomy +/- splenopexy"),"Non-viable","Review"),IF(BB1245="NR",IF(OR(BD1245="Total splenectomy",BD1245="Partial splenectomy +/- splenopexy"),"NR - removed, check reason","NR"),"Not applicable")))))</f>
        <v/>
      </c>
    </row>
    <row r="1246">
      <c r="D1246" s="8" t="n"/>
      <c r="E1246" s="9">
        <f>IF(B1246="","",IF(B1246="OWN","Yes","No"))</f>
        <v/>
      </c>
      <c r="AF1246" s="9">
        <f>IF(ISNUMBER(Z1246),IF(Z1246&lt;=2,"&lt;=2 d",IF(Z1246&lt;=7,"3-7 d",IF(Z1246&lt;=30,"8-30 d","&gt;30 d"))),IF(AE1246&lt;&gt;"",AE1246,IF(Z1246="NR","NR","")))</f>
        <v/>
      </c>
      <c r="AX1246" s="9">
        <f>IF(ISNUMBER(AW1246),IF(AW1246&gt;450,"Yes","No"),IF(AW1246="NR","NR",""))</f>
        <v/>
      </c>
      <c r="BJ1246" s="9">
        <f>IF(BB1246="","",IF(BB1246="Non-viable","Non-viable",IF(BB1246="Viable","Viable",IF(BB1246="Partially non-viable",IF(OR(BD1246="Total splenectomy",BD1246="Partial splenectomy +/- splenopexy"),"Non-viable","Review"),IF(BB1246="NR",IF(OR(BD1246="Total splenectomy",BD1246="Partial splenectomy +/- splenopexy"),"NR - removed, check reason","NR"),"Not applicable")))))</f>
        <v/>
      </c>
    </row>
    <row r="1247">
      <c r="D1247" s="8" t="n"/>
      <c r="E1247" s="9">
        <f>IF(B1247="","",IF(B1247="OWN","Yes","No"))</f>
        <v/>
      </c>
      <c r="AF1247" s="9">
        <f>IF(ISNUMBER(Z1247),IF(Z1247&lt;=2,"&lt;=2 d",IF(Z1247&lt;=7,"3-7 d",IF(Z1247&lt;=30,"8-30 d","&gt;30 d"))),IF(AE1247&lt;&gt;"",AE1247,IF(Z1247="NR","NR","")))</f>
        <v/>
      </c>
      <c r="AX1247" s="9">
        <f>IF(ISNUMBER(AW1247),IF(AW1247&gt;450,"Yes","No"),IF(AW1247="NR","NR",""))</f>
        <v/>
      </c>
      <c r="BJ1247" s="9">
        <f>IF(BB1247="","",IF(BB1247="Non-viable","Non-viable",IF(BB1247="Viable","Viable",IF(BB1247="Partially non-viable",IF(OR(BD1247="Total splenectomy",BD1247="Partial splenectomy +/- splenopexy"),"Non-viable","Review"),IF(BB1247="NR",IF(OR(BD1247="Total splenectomy",BD1247="Partial splenectomy +/- splenopexy"),"NR - removed, check reason","NR"),"Not applicable")))))</f>
        <v/>
      </c>
    </row>
    <row r="1248">
      <c r="D1248" s="8" t="n"/>
      <c r="E1248" s="9">
        <f>IF(B1248="","",IF(B1248="OWN","Yes","No"))</f>
        <v/>
      </c>
      <c r="AF1248" s="9">
        <f>IF(ISNUMBER(Z1248),IF(Z1248&lt;=2,"&lt;=2 d",IF(Z1248&lt;=7,"3-7 d",IF(Z1248&lt;=30,"8-30 d","&gt;30 d"))),IF(AE1248&lt;&gt;"",AE1248,IF(Z1248="NR","NR","")))</f>
        <v/>
      </c>
      <c r="AX1248" s="9">
        <f>IF(ISNUMBER(AW1248),IF(AW1248&gt;450,"Yes","No"),IF(AW1248="NR","NR",""))</f>
        <v/>
      </c>
      <c r="BJ1248" s="9">
        <f>IF(BB1248="","",IF(BB1248="Non-viable","Non-viable",IF(BB1248="Viable","Viable",IF(BB1248="Partially non-viable",IF(OR(BD1248="Total splenectomy",BD1248="Partial splenectomy +/- splenopexy"),"Non-viable","Review"),IF(BB1248="NR",IF(OR(BD1248="Total splenectomy",BD1248="Partial splenectomy +/- splenopexy"),"NR - removed, check reason","NR"),"Not applicable")))))</f>
        <v/>
      </c>
    </row>
    <row r="1249">
      <c r="D1249" s="8" t="n"/>
      <c r="E1249" s="9">
        <f>IF(B1249="","",IF(B1249="OWN","Yes","No"))</f>
        <v/>
      </c>
      <c r="AF1249" s="9">
        <f>IF(ISNUMBER(Z1249),IF(Z1249&lt;=2,"&lt;=2 d",IF(Z1249&lt;=7,"3-7 d",IF(Z1249&lt;=30,"8-30 d","&gt;30 d"))),IF(AE1249&lt;&gt;"",AE1249,IF(Z1249="NR","NR","")))</f>
        <v/>
      </c>
      <c r="AX1249" s="9">
        <f>IF(ISNUMBER(AW1249),IF(AW1249&gt;450,"Yes","No"),IF(AW1249="NR","NR",""))</f>
        <v/>
      </c>
      <c r="BJ1249" s="9">
        <f>IF(BB1249="","",IF(BB1249="Non-viable","Non-viable",IF(BB1249="Viable","Viable",IF(BB1249="Partially non-viable",IF(OR(BD1249="Total splenectomy",BD1249="Partial splenectomy +/- splenopexy"),"Non-viable","Review"),IF(BB1249="NR",IF(OR(BD1249="Total splenectomy",BD1249="Partial splenectomy +/- splenopexy"),"NR - removed, check reason","NR"),"Not applicable")))))</f>
        <v/>
      </c>
    </row>
    <row r="1250">
      <c r="D1250" s="8" t="n"/>
      <c r="E1250" s="9">
        <f>IF(B1250="","",IF(B1250="OWN","Yes","No"))</f>
        <v/>
      </c>
      <c r="AF1250" s="9">
        <f>IF(ISNUMBER(Z1250),IF(Z1250&lt;=2,"&lt;=2 d",IF(Z1250&lt;=7,"3-7 d",IF(Z1250&lt;=30,"8-30 d","&gt;30 d"))),IF(AE1250&lt;&gt;"",AE1250,IF(Z1250="NR","NR","")))</f>
        <v/>
      </c>
      <c r="AX1250" s="9">
        <f>IF(ISNUMBER(AW1250),IF(AW1250&gt;450,"Yes","No"),IF(AW1250="NR","NR",""))</f>
        <v/>
      </c>
      <c r="BJ1250" s="9">
        <f>IF(BB1250="","",IF(BB1250="Non-viable","Non-viable",IF(BB1250="Viable","Viable",IF(BB1250="Partially non-viable",IF(OR(BD1250="Total splenectomy",BD1250="Partial splenectomy +/- splenopexy"),"Non-viable","Review"),IF(BB1250="NR",IF(OR(BD1250="Total splenectomy",BD1250="Partial splenectomy +/- splenopexy"),"NR - removed, check reason","NR"),"Not applicable")))))</f>
        <v/>
      </c>
    </row>
    <row r="1251">
      <c r="D1251" s="8" t="n"/>
      <c r="E1251" s="9">
        <f>IF(B1251="","",IF(B1251="OWN","Yes","No"))</f>
        <v/>
      </c>
      <c r="AF1251" s="9">
        <f>IF(ISNUMBER(Z1251),IF(Z1251&lt;=2,"&lt;=2 d",IF(Z1251&lt;=7,"3-7 d",IF(Z1251&lt;=30,"8-30 d","&gt;30 d"))),IF(AE1251&lt;&gt;"",AE1251,IF(Z1251="NR","NR","")))</f>
        <v/>
      </c>
      <c r="AX1251" s="9">
        <f>IF(ISNUMBER(AW1251),IF(AW1251&gt;450,"Yes","No"),IF(AW1251="NR","NR",""))</f>
        <v/>
      </c>
      <c r="BJ1251" s="9">
        <f>IF(BB1251="","",IF(BB1251="Non-viable","Non-viable",IF(BB1251="Viable","Viable",IF(BB1251="Partially non-viable",IF(OR(BD1251="Total splenectomy",BD1251="Partial splenectomy +/- splenopexy"),"Non-viable","Review"),IF(BB1251="NR",IF(OR(BD1251="Total splenectomy",BD1251="Partial splenectomy +/- splenopexy"),"NR - removed, check reason","NR"),"Not applicable")))))</f>
        <v/>
      </c>
    </row>
    <row r="1252">
      <c r="D1252" s="8" t="n"/>
      <c r="E1252" s="9">
        <f>IF(B1252="","",IF(B1252="OWN","Yes","No"))</f>
        <v/>
      </c>
      <c r="AF1252" s="9">
        <f>IF(ISNUMBER(Z1252),IF(Z1252&lt;=2,"&lt;=2 d",IF(Z1252&lt;=7,"3-7 d",IF(Z1252&lt;=30,"8-30 d","&gt;30 d"))),IF(AE1252&lt;&gt;"",AE1252,IF(Z1252="NR","NR","")))</f>
        <v/>
      </c>
      <c r="AX1252" s="9">
        <f>IF(ISNUMBER(AW1252),IF(AW1252&gt;450,"Yes","No"),IF(AW1252="NR","NR",""))</f>
        <v/>
      </c>
      <c r="BJ1252" s="9">
        <f>IF(BB1252="","",IF(BB1252="Non-viable","Non-viable",IF(BB1252="Viable","Viable",IF(BB1252="Partially non-viable",IF(OR(BD1252="Total splenectomy",BD1252="Partial splenectomy +/- splenopexy"),"Non-viable","Review"),IF(BB1252="NR",IF(OR(BD1252="Total splenectomy",BD1252="Partial splenectomy +/- splenopexy"),"NR - removed, check reason","NR"),"Not applicable")))))</f>
        <v/>
      </c>
    </row>
    <row r="1253">
      <c r="D1253" s="8" t="n"/>
      <c r="E1253" s="9">
        <f>IF(B1253="","",IF(B1253="OWN","Yes","No"))</f>
        <v/>
      </c>
      <c r="AF1253" s="9">
        <f>IF(ISNUMBER(Z1253),IF(Z1253&lt;=2,"&lt;=2 d",IF(Z1253&lt;=7,"3-7 d",IF(Z1253&lt;=30,"8-30 d","&gt;30 d"))),IF(AE1253&lt;&gt;"",AE1253,IF(Z1253="NR","NR","")))</f>
        <v/>
      </c>
      <c r="AX1253" s="9">
        <f>IF(ISNUMBER(AW1253),IF(AW1253&gt;450,"Yes","No"),IF(AW1253="NR","NR",""))</f>
        <v/>
      </c>
      <c r="BJ1253" s="9">
        <f>IF(BB1253="","",IF(BB1253="Non-viable","Non-viable",IF(BB1253="Viable","Viable",IF(BB1253="Partially non-viable",IF(OR(BD1253="Total splenectomy",BD1253="Partial splenectomy +/- splenopexy"),"Non-viable","Review"),IF(BB1253="NR",IF(OR(BD1253="Total splenectomy",BD1253="Partial splenectomy +/- splenopexy"),"NR - removed, check reason","NR"),"Not applicable")))))</f>
        <v/>
      </c>
    </row>
    <row r="1254">
      <c r="D1254" s="8" t="n"/>
      <c r="E1254" s="9">
        <f>IF(B1254="","",IF(B1254="OWN","Yes","No"))</f>
        <v/>
      </c>
      <c r="AF1254" s="9">
        <f>IF(ISNUMBER(Z1254),IF(Z1254&lt;=2,"&lt;=2 d",IF(Z1254&lt;=7,"3-7 d",IF(Z1254&lt;=30,"8-30 d","&gt;30 d"))),IF(AE1254&lt;&gt;"",AE1254,IF(Z1254="NR","NR","")))</f>
        <v/>
      </c>
      <c r="AX1254" s="9">
        <f>IF(ISNUMBER(AW1254),IF(AW1254&gt;450,"Yes","No"),IF(AW1254="NR","NR",""))</f>
        <v/>
      </c>
      <c r="BJ1254" s="9">
        <f>IF(BB1254="","",IF(BB1254="Non-viable","Non-viable",IF(BB1254="Viable","Viable",IF(BB1254="Partially non-viable",IF(OR(BD1254="Total splenectomy",BD1254="Partial splenectomy +/- splenopexy"),"Non-viable","Review"),IF(BB1254="NR",IF(OR(BD1254="Total splenectomy",BD1254="Partial splenectomy +/- splenopexy"),"NR - removed, check reason","NR"),"Not applicable")))))</f>
        <v/>
      </c>
    </row>
    <row r="1255">
      <c r="D1255" s="8" t="n"/>
      <c r="E1255" s="9">
        <f>IF(B1255="","",IF(B1255="OWN","Yes","No"))</f>
        <v/>
      </c>
      <c r="AF1255" s="9">
        <f>IF(ISNUMBER(Z1255),IF(Z1255&lt;=2,"&lt;=2 d",IF(Z1255&lt;=7,"3-7 d",IF(Z1255&lt;=30,"8-30 d","&gt;30 d"))),IF(AE1255&lt;&gt;"",AE1255,IF(Z1255="NR","NR","")))</f>
        <v/>
      </c>
      <c r="AX1255" s="9">
        <f>IF(ISNUMBER(AW1255),IF(AW1255&gt;450,"Yes","No"),IF(AW1255="NR","NR",""))</f>
        <v/>
      </c>
      <c r="BJ1255" s="9">
        <f>IF(BB1255="","",IF(BB1255="Non-viable","Non-viable",IF(BB1255="Viable","Viable",IF(BB1255="Partially non-viable",IF(OR(BD1255="Total splenectomy",BD1255="Partial splenectomy +/- splenopexy"),"Non-viable","Review"),IF(BB1255="NR",IF(OR(BD1255="Total splenectomy",BD1255="Partial splenectomy +/- splenopexy"),"NR - removed, check reason","NR"),"Not applicable")))))</f>
        <v/>
      </c>
    </row>
    <row r="1256">
      <c r="D1256" s="8" t="n"/>
      <c r="E1256" s="9">
        <f>IF(B1256="","",IF(B1256="OWN","Yes","No"))</f>
        <v/>
      </c>
      <c r="AF1256" s="9">
        <f>IF(ISNUMBER(Z1256),IF(Z1256&lt;=2,"&lt;=2 d",IF(Z1256&lt;=7,"3-7 d",IF(Z1256&lt;=30,"8-30 d","&gt;30 d"))),IF(AE1256&lt;&gt;"",AE1256,IF(Z1256="NR","NR","")))</f>
        <v/>
      </c>
      <c r="AX1256" s="9">
        <f>IF(ISNUMBER(AW1256),IF(AW1256&gt;450,"Yes","No"),IF(AW1256="NR","NR",""))</f>
        <v/>
      </c>
      <c r="BJ1256" s="9">
        <f>IF(BB1256="","",IF(BB1256="Non-viable","Non-viable",IF(BB1256="Viable","Viable",IF(BB1256="Partially non-viable",IF(OR(BD1256="Total splenectomy",BD1256="Partial splenectomy +/- splenopexy"),"Non-viable","Review"),IF(BB1256="NR",IF(OR(BD1256="Total splenectomy",BD1256="Partial splenectomy +/- splenopexy"),"NR - removed, check reason","NR"),"Not applicable")))))</f>
        <v/>
      </c>
    </row>
    <row r="1257">
      <c r="D1257" s="8" t="n"/>
      <c r="E1257" s="9">
        <f>IF(B1257="","",IF(B1257="OWN","Yes","No"))</f>
        <v/>
      </c>
      <c r="AF1257" s="9">
        <f>IF(ISNUMBER(Z1257),IF(Z1257&lt;=2,"&lt;=2 d",IF(Z1257&lt;=7,"3-7 d",IF(Z1257&lt;=30,"8-30 d","&gt;30 d"))),IF(AE1257&lt;&gt;"",AE1257,IF(Z1257="NR","NR","")))</f>
        <v/>
      </c>
      <c r="AX1257" s="9">
        <f>IF(ISNUMBER(AW1257),IF(AW1257&gt;450,"Yes","No"),IF(AW1257="NR","NR",""))</f>
        <v/>
      </c>
      <c r="BJ1257" s="9">
        <f>IF(BB1257="","",IF(BB1257="Non-viable","Non-viable",IF(BB1257="Viable","Viable",IF(BB1257="Partially non-viable",IF(OR(BD1257="Total splenectomy",BD1257="Partial splenectomy +/- splenopexy"),"Non-viable","Review"),IF(BB1257="NR",IF(OR(BD1257="Total splenectomy",BD1257="Partial splenectomy +/- splenopexy"),"NR - removed, check reason","NR"),"Not applicable")))))</f>
        <v/>
      </c>
    </row>
    <row r="1258">
      <c r="D1258" s="8" t="n"/>
      <c r="E1258" s="9">
        <f>IF(B1258="","",IF(B1258="OWN","Yes","No"))</f>
        <v/>
      </c>
      <c r="AF1258" s="9">
        <f>IF(ISNUMBER(Z1258),IF(Z1258&lt;=2,"&lt;=2 d",IF(Z1258&lt;=7,"3-7 d",IF(Z1258&lt;=30,"8-30 d","&gt;30 d"))),IF(AE1258&lt;&gt;"",AE1258,IF(Z1258="NR","NR","")))</f>
        <v/>
      </c>
      <c r="AX1258" s="9">
        <f>IF(ISNUMBER(AW1258),IF(AW1258&gt;450,"Yes","No"),IF(AW1258="NR","NR",""))</f>
        <v/>
      </c>
      <c r="BJ1258" s="9">
        <f>IF(BB1258="","",IF(BB1258="Non-viable","Non-viable",IF(BB1258="Viable","Viable",IF(BB1258="Partially non-viable",IF(OR(BD1258="Total splenectomy",BD1258="Partial splenectomy +/- splenopexy"),"Non-viable","Review"),IF(BB1258="NR",IF(OR(BD1258="Total splenectomy",BD1258="Partial splenectomy +/- splenopexy"),"NR - removed, check reason","NR"),"Not applicable")))))</f>
        <v/>
      </c>
    </row>
    <row r="1259">
      <c r="D1259" s="8" t="n"/>
      <c r="E1259" s="9">
        <f>IF(B1259="","",IF(B1259="OWN","Yes","No"))</f>
        <v/>
      </c>
      <c r="AF1259" s="9">
        <f>IF(ISNUMBER(Z1259),IF(Z1259&lt;=2,"&lt;=2 d",IF(Z1259&lt;=7,"3-7 d",IF(Z1259&lt;=30,"8-30 d","&gt;30 d"))),IF(AE1259&lt;&gt;"",AE1259,IF(Z1259="NR","NR","")))</f>
        <v/>
      </c>
      <c r="AX1259" s="9">
        <f>IF(ISNUMBER(AW1259),IF(AW1259&gt;450,"Yes","No"),IF(AW1259="NR","NR",""))</f>
        <v/>
      </c>
      <c r="BJ1259" s="9">
        <f>IF(BB1259="","",IF(BB1259="Non-viable","Non-viable",IF(BB1259="Viable","Viable",IF(BB1259="Partially non-viable",IF(OR(BD1259="Total splenectomy",BD1259="Partial splenectomy +/- splenopexy"),"Non-viable","Review"),IF(BB1259="NR",IF(OR(BD1259="Total splenectomy",BD1259="Partial splenectomy +/- splenopexy"),"NR - removed, check reason","NR"),"Not applicable")))))</f>
        <v/>
      </c>
    </row>
    <row r="1260">
      <c r="D1260" s="8" t="n"/>
      <c r="E1260" s="9">
        <f>IF(B1260="","",IF(B1260="OWN","Yes","No"))</f>
        <v/>
      </c>
      <c r="AF1260" s="9">
        <f>IF(ISNUMBER(Z1260),IF(Z1260&lt;=2,"&lt;=2 d",IF(Z1260&lt;=7,"3-7 d",IF(Z1260&lt;=30,"8-30 d","&gt;30 d"))),IF(AE1260&lt;&gt;"",AE1260,IF(Z1260="NR","NR","")))</f>
        <v/>
      </c>
      <c r="AX1260" s="9">
        <f>IF(ISNUMBER(AW1260),IF(AW1260&gt;450,"Yes","No"),IF(AW1260="NR","NR",""))</f>
        <v/>
      </c>
      <c r="BJ1260" s="9">
        <f>IF(BB1260="","",IF(BB1260="Non-viable","Non-viable",IF(BB1260="Viable","Viable",IF(BB1260="Partially non-viable",IF(OR(BD1260="Total splenectomy",BD1260="Partial splenectomy +/- splenopexy"),"Non-viable","Review"),IF(BB1260="NR",IF(OR(BD1260="Total splenectomy",BD1260="Partial splenectomy +/- splenopexy"),"NR - removed, check reason","NR"),"Not applicable")))))</f>
        <v/>
      </c>
    </row>
    <row r="1261">
      <c r="D1261" s="8" t="n"/>
      <c r="E1261" s="9">
        <f>IF(B1261="","",IF(B1261="OWN","Yes","No"))</f>
        <v/>
      </c>
      <c r="AF1261" s="9">
        <f>IF(ISNUMBER(Z1261),IF(Z1261&lt;=2,"&lt;=2 d",IF(Z1261&lt;=7,"3-7 d",IF(Z1261&lt;=30,"8-30 d","&gt;30 d"))),IF(AE1261&lt;&gt;"",AE1261,IF(Z1261="NR","NR","")))</f>
        <v/>
      </c>
      <c r="AX1261" s="9">
        <f>IF(ISNUMBER(AW1261),IF(AW1261&gt;450,"Yes","No"),IF(AW1261="NR","NR",""))</f>
        <v/>
      </c>
      <c r="BJ1261" s="9">
        <f>IF(BB1261="","",IF(BB1261="Non-viable","Non-viable",IF(BB1261="Viable","Viable",IF(BB1261="Partially non-viable",IF(OR(BD1261="Total splenectomy",BD1261="Partial splenectomy +/- splenopexy"),"Non-viable","Review"),IF(BB1261="NR",IF(OR(BD1261="Total splenectomy",BD1261="Partial splenectomy +/- splenopexy"),"NR - removed, check reason","NR"),"Not applicable")))))</f>
        <v/>
      </c>
    </row>
    <row r="1262">
      <c r="D1262" s="8" t="n"/>
      <c r="E1262" s="9">
        <f>IF(B1262="","",IF(B1262="OWN","Yes","No"))</f>
        <v/>
      </c>
      <c r="AF1262" s="9">
        <f>IF(ISNUMBER(Z1262),IF(Z1262&lt;=2,"&lt;=2 d",IF(Z1262&lt;=7,"3-7 d",IF(Z1262&lt;=30,"8-30 d","&gt;30 d"))),IF(AE1262&lt;&gt;"",AE1262,IF(Z1262="NR","NR","")))</f>
        <v/>
      </c>
      <c r="AX1262" s="9">
        <f>IF(ISNUMBER(AW1262),IF(AW1262&gt;450,"Yes","No"),IF(AW1262="NR","NR",""))</f>
        <v/>
      </c>
      <c r="BJ1262" s="9">
        <f>IF(BB1262="","",IF(BB1262="Non-viable","Non-viable",IF(BB1262="Viable","Viable",IF(BB1262="Partially non-viable",IF(OR(BD1262="Total splenectomy",BD1262="Partial splenectomy +/- splenopexy"),"Non-viable","Review"),IF(BB1262="NR",IF(OR(BD1262="Total splenectomy",BD1262="Partial splenectomy +/- splenopexy"),"NR - removed, check reason","NR"),"Not applicable")))))</f>
        <v/>
      </c>
    </row>
    <row r="1263">
      <c r="D1263" s="8" t="n"/>
      <c r="E1263" s="9">
        <f>IF(B1263="","",IF(B1263="OWN","Yes","No"))</f>
        <v/>
      </c>
      <c r="AF1263" s="9">
        <f>IF(ISNUMBER(Z1263),IF(Z1263&lt;=2,"&lt;=2 d",IF(Z1263&lt;=7,"3-7 d",IF(Z1263&lt;=30,"8-30 d","&gt;30 d"))),IF(AE1263&lt;&gt;"",AE1263,IF(Z1263="NR","NR","")))</f>
        <v/>
      </c>
      <c r="AX1263" s="9">
        <f>IF(ISNUMBER(AW1263),IF(AW1263&gt;450,"Yes","No"),IF(AW1263="NR","NR",""))</f>
        <v/>
      </c>
      <c r="BJ1263" s="9">
        <f>IF(BB1263="","",IF(BB1263="Non-viable","Non-viable",IF(BB1263="Viable","Viable",IF(BB1263="Partially non-viable",IF(OR(BD1263="Total splenectomy",BD1263="Partial splenectomy +/- splenopexy"),"Non-viable","Review"),IF(BB1263="NR",IF(OR(BD1263="Total splenectomy",BD1263="Partial splenectomy +/- splenopexy"),"NR - removed, check reason","NR"),"Not applicable")))))</f>
        <v/>
      </c>
    </row>
    <row r="1264">
      <c r="D1264" s="8" t="n"/>
      <c r="E1264" s="9">
        <f>IF(B1264="","",IF(B1264="OWN","Yes","No"))</f>
        <v/>
      </c>
      <c r="AF1264" s="9">
        <f>IF(ISNUMBER(Z1264),IF(Z1264&lt;=2,"&lt;=2 d",IF(Z1264&lt;=7,"3-7 d",IF(Z1264&lt;=30,"8-30 d","&gt;30 d"))),IF(AE1264&lt;&gt;"",AE1264,IF(Z1264="NR","NR","")))</f>
        <v/>
      </c>
      <c r="AX1264" s="9">
        <f>IF(ISNUMBER(AW1264),IF(AW1264&gt;450,"Yes","No"),IF(AW1264="NR","NR",""))</f>
        <v/>
      </c>
      <c r="BJ1264" s="9">
        <f>IF(BB1264="","",IF(BB1264="Non-viable","Non-viable",IF(BB1264="Viable","Viable",IF(BB1264="Partially non-viable",IF(OR(BD1264="Total splenectomy",BD1264="Partial splenectomy +/- splenopexy"),"Non-viable","Review"),IF(BB1264="NR",IF(OR(BD1264="Total splenectomy",BD1264="Partial splenectomy +/- splenopexy"),"NR - removed, check reason","NR"),"Not applicable")))))</f>
        <v/>
      </c>
    </row>
    <row r="1265">
      <c r="D1265" s="8" t="n"/>
      <c r="E1265" s="9">
        <f>IF(B1265="","",IF(B1265="OWN","Yes","No"))</f>
        <v/>
      </c>
      <c r="AF1265" s="9">
        <f>IF(ISNUMBER(Z1265),IF(Z1265&lt;=2,"&lt;=2 d",IF(Z1265&lt;=7,"3-7 d",IF(Z1265&lt;=30,"8-30 d","&gt;30 d"))),IF(AE1265&lt;&gt;"",AE1265,IF(Z1265="NR","NR","")))</f>
        <v/>
      </c>
      <c r="AX1265" s="9">
        <f>IF(ISNUMBER(AW1265),IF(AW1265&gt;450,"Yes","No"),IF(AW1265="NR","NR",""))</f>
        <v/>
      </c>
      <c r="BJ1265" s="9">
        <f>IF(BB1265="","",IF(BB1265="Non-viable","Non-viable",IF(BB1265="Viable","Viable",IF(BB1265="Partially non-viable",IF(OR(BD1265="Total splenectomy",BD1265="Partial splenectomy +/- splenopexy"),"Non-viable","Review"),IF(BB1265="NR",IF(OR(BD1265="Total splenectomy",BD1265="Partial splenectomy +/- splenopexy"),"NR - removed, check reason","NR"),"Not applicable")))))</f>
        <v/>
      </c>
    </row>
    <row r="1266">
      <c r="D1266" s="8" t="n"/>
      <c r="E1266" s="9">
        <f>IF(B1266="","",IF(B1266="OWN","Yes","No"))</f>
        <v/>
      </c>
      <c r="AF1266" s="9">
        <f>IF(ISNUMBER(Z1266),IF(Z1266&lt;=2,"&lt;=2 d",IF(Z1266&lt;=7,"3-7 d",IF(Z1266&lt;=30,"8-30 d","&gt;30 d"))),IF(AE1266&lt;&gt;"",AE1266,IF(Z1266="NR","NR","")))</f>
        <v/>
      </c>
      <c r="AX1266" s="9">
        <f>IF(ISNUMBER(AW1266),IF(AW1266&gt;450,"Yes","No"),IF(AW1266="NR","NR",""))</f>
        <v/>
      </c>
      <c r="BJ1266" s="9">
        <f>IF(BB1266="","",IF(BB1266="Non-viable","Non-viable",IF(BB1266="Viable","Viable",IF(BB1266="Partially non-viable",IF(OR(BD1266="Total splenectomy",BD1266="Partial splenectomy +/- splenopexy"),"Non-viable","Review"),IF(BB1266="NR",IF(OR(BD1266="Total splenectomy",BD1266="Partial splenectomy +/- splenopexy"),"NR - removed, check reason","NR"),"Not applicable")))))</f>
        <v/>
      </c>
    </row>
    <row r="1267">
      <c r="D1267" s="8" t="n"/>
      <c r="E1267" s="9">
        <f>IF(B1267="","",IF(B1267="OWN","Yes","No"))</f>
        <v/>
      </c>
      <c r="AF1267" s="9">
        <f>IF(ISNUMBER(Z1267),IF(Z1267&lt;=2,"&lt;=2 d",IF(Z1267&lt;=7,"3-7 d",IF(Z1267&lt;=30,"8-30 d","&gt;30 d"))),IF(AE1267&lt;&gt;"",AE1267,IF(Z1267="NR","NR","")))</f>
        <v/>
      </c>
      <c r="AX1267" s="9">
        <f>IF(ISNUMBER(AW1267),IF(AW1267&gt;450,"Yes","No"),IF(AW1267="NR","NR",""))</f>
        <v/>
      </c>
      <c r="BJ1267" s="9">
        <f>IF(BB1267="","",IF(BB1267="Non-viable","Non-viable",IF(BB1267="Viable","Viable",IF(BB1267="Partially non-viable",IF(OR(BD1267="Total splenectomy",BD1267="Partial splenectomy +/- splenopexy"),"Non-viable","Review"),IF(BB1267="NR",IF(OR(BD1267="Total splenectomy",BD1267="Partial splenectomy +/- splenopexy"),"NR - removed, check reason","NR"),"Not applicable")))))</f>
        <v/>
      </c>
    </row>
    <row r="1268">
      <c r="D1268" s="8" t="n"/>
      <c r="E1268" s="9">
        <f>IF(B1268="","",IF(B1268="OWN","Yes","No"))</f>
        <v/>
      </c>
      <c r="AF1268" s="9">
        <f>IF(ISNUMBER(Z1268),IF(Z1268&lt;=2,"&lt;=2 d",IF(Z1268&lt;=7,"3-7 d",IF(Z1268&lt;=30,"8-30 d","&gt;30 d"))),IF(AE1268&lt;&gt;"",AE1268,IF(Z1268="NR","NR","")))</f>
        <v/>
      </c>
      <c r="AX1268" s="9">
        <f>IF(ISNUMBER(AW1268),IF(AW1268&gt;450,"Yes","No"),IF(AW1268="NR","NR",""))</f>
        <v/>
      </c>
      <c r="BJ1268" s="9">
        <f>IF(BB1268="","",IF(BB1268="Non-viable","Non-viable",IF(BB1268="Viable","Viable",IF(BB1268="Partially non-viable",IF(OR(BD1268="Total splenectomy",BD1268="Partial splenectomy +/- splenopexy"),"Non-viable","Review"),IF(BB1268="NR",IF(OR(BD1268="Total splenectomy",BD1268="Partial splenectomy +/- splenopexy"),"NR - removed, check reason","NR"),"Not applicable")))))</f>
        <v/>
      </c>
    </row>
    <row r="1269">
      <c r="D1269" s="8" t="n"/>
      <c r="E1269" s="9">
        <f>IF(B1269="","",IF(B1269="OWN","Yes","No"))</f>
        <v/>
      </c>
      <c r="AF1269" s="9">
        <f>IF(ISNUMBER(Z1269),IF(Z1269&lt;=2,"&lt;=2 d",IF(Z1269&lt;=7,"3-7 d",IF(Z1269&lt;=30,"8-30 d","&gt;30 d"))),IF(AE1269&lt;&gt;"",AE1269,IF(Z1269="NR","NR","")))</f>
        <v/>
      </c>
      <c r="AX1269" s="9">
        <f>IF(ISNUMBER(AW1269),IF(AW1269&gt;450,"Yes","No"),IF(AW1269="NR","NR",""))</f>
        <v/>
      </c>
      <c r="BJ1269" s="9">
        <f>IF(BB1269="","",IF(BB1269="Non-viable","Non-viable",IF(BB1269="Viable","Viable",IF(BB1269="Partially non-viable",IF(OR(BD1269="Total splenectomy",BD1269="Partial splenectomy +/- splenopexy"),"Non-viable","Review"),IF(BB1269="NR",IF(OR(BD1269="Total splenectomy",BD1269="Partial splenectomy +/- splenopexy"),"NR - removed, check reason","NR"),"Not applicable")))))</f>
        <v/>
      </c>
    </row>
    <row r="1270">
      <c r="D1270" s="8" t="n"/>
      <c r="E1270" s="9">
        <f>IF(B1270="","",IF(B1270="OWN","Yes","No"))</f>
        <v/>
      </c>
      <c r="AF1270" s="9">
        <f>IF(ISNUMBER(Z1270),IF(Z1270&lt;=2,"&lt;=2 d",IF(Z1270&lt;=7,"3-7 d",IF(Z1270&lt;=30,"8-30 d","&gt;30 d"))),IF(AE1270&lt;&gt;"",AE1270,IF(Z1270="NR","NR","")))</f>
        <v/>
      </c>
      <c r="AX1270" s="9">
        <f>IF(ISNUMBER(AW1270),IF(AW1270&gt;450,"Yes","No"),IF(AW1270="NR","NR",""))</f>
        <v/>
      </c>
      <c r="BJ1270" s="9">
        <f>IF(BB1270="","",IF(BB1270="Non-viable","Non-viable",IF(BB1270="Viable","Viable",IF(BB1270="Partially non-viable",IF(OR(BD1270="Total splenectomy",BD1270="Partial splenectomy +/- splenopexy"),"Non-viable","Review"),IF(BB1270="NR",IF(OR(BD1270="Total splenectomy",BD1270="Partial splenectomy +/- splenopexy"),"NR - removed, check reason","NR"),"Not applicable")))))</f>
        <v/>
      </c>
    </row>
    <row r="1271">
      <c r="D1271" s="8" t="n"/>
      <c r="E1271" s="9">
        <f>IF(B1271="","",IF(B1271="OWN","Yes","No"))</f>
        <v/>
      </c>
      <c r="AF1271" s="9">
        <f>IF(ISNUMBER(Z1271),IF(Z1271&lt;=2,"&lt;=2 d",IF(Z1271&lt;=7,"3-7 d",IF(Z1271&lt;=30,"8-30 d","&gt;30 d"))),IF(AE1271&lt;&gt;"",AE1271,IF(Z1271="NR","NR","")))</f>
        <v/>
      </c>
      <c r="AX1271" s="9">
        <f>IF(ISNUMBER(AW1271),IF(AW1271&gt;450,"Yes","No"),IF(AW1271="NR","NR",""))</f>
        <v/>
      </c>
      <c r="BJ1271" s="9">
        <f>IF(BB1271="","",IF(BB1271="Non-viable","Non-viable",IF(BB1271="Viable","Viable",IF(BB1271="Partially non-viable",IF(OR(BD1271="Total splenectomy",BD1271="Partial splenectomy +/- splenopexy"),"Non-viable","Review"),IF(BB1271="NR",IF(OR(BD1271="Total splenectomy",BD1271="Partial splenectomy +/- splenopexy"),"NR - removed, check reason","NR"),"Not applicable")))))</f>
        <v/>
      </c>
    </row>
    <row r="1272">
      <c r="D1272" s="8" t="n"/>
      <c r="E1272" s="9">
        <f>IF(B1272="","",IF(B1272="OWN","Yes","No"))</f>
        <v/>
      </c>
      <c r="AF1272" s="9">
        <f>IF(ISNUMBER(Z1272),IF(Z1272&lt;=2,"&lt;=2 d",IF(Z1272&lt;=7,"3-7 d",IF(Z1272&lt;=30,"8-30 d","&gt;30 d"))),IF(AE1272&lt;&gt;"",AE1272,IF(Z1272="NR","NR","")))</f>
        <v/>
      </c>
      <c r="AX1272" s="9">
        <f>IF(ISNUMBER(AW1272),IF(AW1272&gt;450,"Yes","No"),IF(AW1272="NR","NR",""))</f>
        <v/>
      </c>
      <c r="BJ1272" s="9">
        <f>IF(BB1272="","",IF(BB1272="Non-viable","Non-viable",IF(BB1272="Viable","Viable",IF(BB1272="Partially non-viable",IF(OR(BD1272="Total splenectomy",BD1272="Partial splenectomy +/- splenopexy"),"Non-viable","Review"),IF(BB1272="NR",IF(OR(BD1272="Total splenectomy",BD1272="Partial splenectomy +/- splenopexy"),"NR - removed, check reason","NR"),"Not applicable")))))</f>
        <v/>
      </c>
    </row>
    <row r="1273">
      <c r="D1273" s="8" t="n"/>
      <c r="E1273" s="9">
        <f>IF(B1273="","",IF(B1273="OWN","Yes","No"))</f>
        <v/>
      </c>
      <c r="AF1273" s="9">
        <f>IF(ISNUMBER(Z1273),IF(Z1273&lt;=2,"&lt;=2 d",IF(Z1273&lt;=7,"3-7 d",IF(Z1273&lt;=30,"8-30 d","&gt;30 d"))),IF(AE1273&lt;&gt;"",AE1273,IF(Z1273="NR","NR","")))</f>
        <v/>
      </c>
      <c r="AX1273" s="9">
        <f>IF(ISNUMBER(AW1273),IF(AW1273&gt;450,"Yes","No"),IF(AW1273="NR","NR",""))</f>
        <v/>
      </c>
      <c r="BJ1273" s="9">
        <f>IF(BB1273="","",IF(BB1273="Non-viable","Non-viable",IF(BB1273="Viable","Viable",IF(BB1273="Partially non-viable",IF(OR(BD1273="Total splenectomy",BD1273="Partial splenectomy +/- splenopexy"),"Non-viable","Review"),IF(BB1273="NR",IF(OR(BD1273="Total splenectomy",BD1273="Partial splenectomy +/- splenopexy"),"NR - removed, check reason","NR"),"Not applicable")))))</f>
        <v/>
      </c>
    </row>
    <row r="1274">
      <c r="D1274" s="8" t="n"/>
      <c r="E1274" s="9">
        <f>IF(B1274="","",IF(B1274="OWN","Yes","No"))</f>
        <v/>
      </c>
      <c r="AF1274" s="9">
        <f>IF(ISNUMBER(Z1274),IF(Z1274&lt;=2,"&lt;=2 d",IF(Z1274&lt;=7,"3-7 d",IF(Z1274&lt;=30,"8-30 d","&gt;30 d"))),IF(AE1274&lt;&gt;"",AE1274,IF(Z1274="NR","NR","")))</f>
        <v/>
      </c>
      <c r="AX1274" s="9">
        <f>IF(ISNUMBER(AW1274),IF(AW1274&gt;450,"Yes","No"),IF(AW1274="NR","NR",""))</f>
        <v/>
      </c>
      <c r="BJ1274" s="9">
        <f>IF(BB1274="","",IF(BB1274="Non-viable","Non-viable",IF(BB1274="Viable","Viable",IF(BB1274="Partially non-viable",IF(OR(BD1274="Total splenectomy",BD1274="Partial splenectomy +/- splenopexy"),"Non-viable","Review"),IF(BB1274="NR",IF(OR(BD1274="Total splenectomy",BD1274="Partial splenectomy +/- splenopexy"),"NR - removed, check reason","NR"),"Not applicable")))))</f>
        <v/>
      </c>
    </row>
    <row r="1275">
      <c r="D1275" s="8" t="n"/>
      <c r="E1275" s="9">
        <f>IF(B1275="","",IF(B1275="OWN","Yes","No"))</f>
        <v/>
      </c>
      <c r="AF1275" s="9">
        <f>IF(ISNUMBER(Z1275),IF(Z1275&lt;=2,"&lt;=2 d",IF(Z1275&lt;=7,"3-7 d",IF(Z1275&lt;=30,"8-30 d","&gt;30 d"))),IF(AE1275&lt;&gt;"",AE1275,IF(Z1275="NR","NR","")))</f>
        <v/>
      </c>
      <c r="AX1275" s="9">
        <f>IF(ISNUMBER(AW1275),IF(AW1275&gt;450,"Yes","No"),IF(AW1275="NR","NR",""))</f>
        <v/>
      </c>
      <c r="BJ1275" s="9">
        <f>IF(BB1275="","",IF(BB1275="Non-viable","Non-viable",IF(BB1275="Viable","Viable",IF(BB1275="Partially non-viable",IF(OR(BD1275="Total splenectomy",BD1275="Partial splenectomy +/- splenopexy"),"Non-viable","Review"),IF(BB1275="NR",IF(OR(BD1275="Total splenectomy",BD1275="Partial splenectomy +/- splenopexy"),"NR - removed, check reason","NR"),"Not applicable")))))</f>
        <v/>
      </c>
    </row>
    <row r="1276">
      <c r="D1276" s="8" t="n"/>
      <c r="E1276" s="9">
        <f>IF(B1276="","",IF(B1276="OWN","Yes","No"))</f>
        <v/>
      </c>
      <c r="AF1276" s="9">
        <f>IF(ISNUMBER(Z1276),IF(Z1276&lt;=2,"&lt;=2 d",IF(Z1276&lt;=7,"3-7 d",IF(Z1276&lt;=30,"8-30 d","&gt;30 d"))),IF(AE1276&lt;&gt;"",AE1276,IF(Z1276="NR","NR","")))</f>
        <v/>
      </c>
      <c r="AX1276" s="9">
        <f>IF(ISNUMBER(AW1276),IF(AW1276&gt;450,"Yes","No"),IF(AW1276="NR","NR",""))</f>
        <v/>
      </c>
      <c r="BJ1276" s="9">
        <f>IF(BB1276="","",IF(BB1276="Non-viable","Non-viable",IF(BB1276="Viable","Viable",IF(BB1276="Partially non-viable",IF(OR(BD1276="Total splenectomy",BD1276="Partial splenectomy +/- splenopexy"),"Non-viable","Review"),IF(BB1276="NR",IF(OR(BD1276="Total splenectomy",BD1276="Partial splenectomy +/- splenopexy"),"NR - removed, check reason","NR"),"Not applicable")))))</f>
        <v/>
      </c>
    </row>
    <row r="1277">
      <c r="D1277" s="8" t="n"/>
      <c r="E1277" s="9">
        <f>IF(B1277="","",IF(B1277="OWN","Yes","No"))</f>
        <v/>
      </c>
      <c r="AF1277" s="9">
        <f>IF(ISNUMBER(Z1277),IF(Z1277&lt;=2,"&lt;=2 d",IF(Z1277&lt;=7,"3-7 d",IF(Z1277&lt;=30,"8-30 d","&gt;30 d"))),IF(AE1277&lt;&gt;"",AE1277,IF(Z1277="NR","NR","")))</f>
        <v/>
      </c>
      <c r="AX1277" s="9">
        <f>IF(ISNUMBER(AW1277),IF(AW1277&gt;450,"Yes","No"),IF(AW1277="NR","NR",""))</f>
        <v/>
      </c>
      <c r="BJ1277" s="9">
        <f>IF(BB1277="","",IF(BB1277="Non-viable","Non-viable",IF(BB1277="Viable","Viable",IF(BB1277="Partially non-viable",IF(OR(BD1277="Total splenectomy",BD1277="Partial splenectomy +/- splenopexy"),"Non-viable","Review"),IF(BB1277="NR",IF(OR(BD1277="Total splenectomy",BD1277="Partial splenectomy +/- splenopexy"),"NR - removed, check reason","NR"),"Not applicable")))))</f>
        <v/>
      </c>
    </row>
    <row r="1278">
      <c r="D1278" s="8" t="n"/>
      <c r="E1278" s="9">
        <f>IF(B1278="","",IF(B1278="OWN","Yes","No"))</f>
        <v/>
      </c>
      <c r="AF1278" s="9">
        <f>IF(ISNUMBER(Z1278),IF(Z1278&lt;=2,"&lt;=2 d",IF(Z1278&lt;=7,"3-7 d",IF(Z1278&lt;=30,"8-30 d","&gt;30 d"))),IF(AE1278&lt;&gt;"",AE1278,IF(Z1278="NR","NR","")))</f>
        <v/>
      </c>
      <c r="AX1278" s="9">
        <f>IF(ISNUMBER(AW1278),IF(AW1278&gt;450,"Yes","No"),IF(AW1278="NR","NR",""))</f>
        <v/>
      </c>
      <c r="BJ1278" s="9">
        <f>IF(BB1278="","",IF(BB1278="Non-viable","Non-viable",IF(BB1278="Viable","Viable",IF(BB1278="Partially non-viable",IF(OR(BD1278="Total splenectomy",BD1278="Partial splenectomy +/- splenopexy"),"Non-viable","Review"),IF(BB1278="NR",IF(OR(BD1278="Total splenectomy",BD1278="Partial splenectomy +/- splenopexy"),"NR - removed, check reason","NR"),"Not applicable")))))</f>
        <v/>
      </c>
    </row>
    <row r="1279">
      <c r="D1279" s="8" t="n"/>
      <c r="E1279" s="9">
        <f>IF(B1279="","",IF(B1279="OWN","Yes","No"))</f>
        <v/>
      </c>
      <c r="AF1279" s="9">
        <f>IF(ISNUMBER(Z1279),IF(Z1279&lt;=2,"&lt;=2 d",IF(Z1279&lt;=7,"3-7 d",IF(Z1279&lt;=30,"8-30 d","&gt;30 d"))),IF(AE1279&lt;&gt;"",AE1279,IF(Z1279="NR","NR","")))</f>
        <v/>
      </c>
      <c r="AX1279" s="9">
        <f>IF(ISNUMBER(AW1279),IF(AW1279&gt;450,"Yes","No"),IF(AW1279="NR","NR",""))</f>
        <v/>
      </c>
      <c r="BJ1279" s="9">
        <f>IF(BB1279="","",IF(BB1279="Non-viable","Non-viable",IF(BB1279="Viable","Viable",IF(BB1279="Partially non-viable",IF(OR(BD1279="Total splenectomy",BD1279="Partial splenectomy +/- splenopexy"),"Non-viable","Review"),IF(BB1279="NR",IF(OR(BD1279="Total splenectomy",BD1279="Partial splenectomy +/- splenopexy"),"NR - removed, check reason","NR"),"Not applicable")))))</f>
        <v/>
      </c>
    </row>
    <row r="1280">
      <c r="D1280" s="8" t="n"/>
      <c r="E1280" s="9">
        <f>IF(B1280="","",IF(B1280="OWN","Yes","No"))</f>
        <v/>
      </c>
      <c r="AF1280" s="9">
        <f>IF(ISNUMBER(Z1280),IF(Z1280&lt;=2,"&lt;=2 d",IF(Z1280&lt;=7,"3-7 d",IF(Z1280&lt;=30,"8-30 d","&gt;30 d"))),IF(AE1280&lt;&gt;"",AE1280,IF(Z1280="NR","NR","")))</f>
        <v/>
      </c>
      <c r="AX1280" s="9">
        <f>IF(ISNUMBER(AW1280),IF(AW1280&gt;450,"Yes","No"),IF(AW1280="NR","NR",""))</f>
        <v/>
      </c>
      <c r="BJ1280" s="9">
        <f>IF(BB1280="","",IF(BB1280="Non-viable","Non-viable",IF(BB1280="Viable","Viable",IF(BB1280="Partially non-viable",IF(OR(BD1280="Total splenectomy",BD1280="Partial splenectomy +/- splenopexy"),"Non-viable","Review"),IF(BB1280="NR",IF(OR(BD1280="Total splenectomy",BD1280="Partial splenectomy +/- splenopexy"),"NR - removed, check reason","NR"),"Not applicable")))))</f>
        <v/>
      </c>
    </row>
    <row r="1281">
      <c r="D1281" s="8" t="n"/>
      <c r="E1281" s="9">
        <f>IF(B1281="","",IF(B1281="OWN","Yes","No"))</f>
        <v/>
      </c>
      <c r="AF1281" s="9">
        <f>IF(ISNUMBER(Z1281),IF(Z1281&lt;=2,"&lt;=2 d",IF(Z1281&lt;=7,"3-7 d",IF(Z1281&lt;=30,"8-30 d","&gt;30 d"))),IF(AE1281&lt;&gt;"",AE1281,IF(Z1281="NR","NR","")))</f>
        <v/>
      </c>
      <c r="AX1281" s="9">
        <f>IF(ISNUMBER(AW1281),IF(AW1281&gt;450,"Yes","No"),IF(AW1281="NR","NR",""))</f>
        <v/>
      </c>
      <c r="BJ1281" s="9">
        <f>IF(BB1281="","",IF(BB1281="Non-viable","Non-viable",IF(BB1281="Viable","Viable",IF(BB1281="Partially non-viable",IF(OR(BD1281="Total splenectomy",BD1281="Partial splenectomy +/- splenopexy"),"Non-viable","Review"),IF(BB1281="NR",IF(OR(BD1281="Total splenectomy",BD1281="Partial splenectomy +/- splenopexy"),"NR - removed, check reason","NR"),"Not applicable")))))</f>
        <v/>
      </c>
    </row>
    <row r="1282">
      <c r="D1282" s="8" t="n"/>
      <c r="E1282" s="9">
        <f>IF(B1282="","",IF(B1282="OWN","Yes","No"))</f>
        <v/>
      </c>
      <c r="AF1282" s="9">
        <f>IF(ISNUMBER(Z1282),IF(Z1282&lt;=2,"&lt;=2 d",IF(Z1282&lt;=7,"3-7 d",IF(Z1282&lt;=30,"8-30 d","&gt;30 d"))),IF(AE1282&lt;&gt;"",AE1282,IF(Z1282="NR","NR","")))</f>
        <v/>
      </c>
      <c r="AX1282" s="9">
        <f>IF(ISNUMBER(AW1282),IF(AW1282&gt;450,"Yes","No"),IF(AW1282="NR","NR",""))</f>
        <v/>
      </c>
      <c r="BJ1282" s="9">
        <f>IF(BB1282="","",IF(BB1282="Non-viable","Non-viable",IF(BB1282="Viable","Viable",IF(BB1282="Partially non-viable",IF(OR(BD1282="Total splenectomy",BD1282="Partial splenectomy +/- splenopexy"),"Non-viable","Review"),IF(BB1282="NR",IF(OR(BD1282="Total splenectomy",BD1282="Partial splenectomy +/- splenopexy"),"NR - removed, check reason","NR"),"Not applicable")))))</f>
        <v/>
      </c>
    </row>
    <row r="1283">
      <c r="D1283" s="8" t="n"/>
      <c r="E1283" s="9">
        <f>IF(B1283="","",IF(B1283="OWN","Yes","No"))</f>
        <v/>
      </c>
      <c r="AF1283" s="9">
        <f>IF(ISNUMBER(Z1283),IF(Z1283&lt;=2,"&lt;=2 d",IF(Z1283&lt;=7,"3-7 d",IF(Z1283&lt;=30,"8-30 d","&gt;30 d"))),IF(AE1283&lt;&gt;"",AE1283,IF(Z1283="NR","NR","")))</f>
        <v/>
      </c>
      <c r="AX1283" s="9">
        <f>IF(ISNUMBER(AW1283),IF(AW1283&gt;450,"Yes","No"),IF(AW1283="NR","NR",""))</f>
        <v/>
      </c>
      <c r="BJ1283" s="9">
        <f>IF(BB1283="","",IF(BB1283="Non-viable","Non-viable",IF(BB1283="Viable","Viable",IF(BB1283="Partially non-viable",IF(OR(BD1283="Total splenectomy",BD1283="Partial splenectomy +/- splenopexy"),"Non-viable","Review"),IF(BB1283="NR",IF(OR(BD1283="Total splenectomy",BD1283="Partial splenectomy +/- splenopexy"),"NR - removed, check reason","NR"),"Not applicable")))))</f>
        <v/>
      </c>
    </row>
    <row r="1284">
      <c r="D1284" s="8" t="n"/>
      <c r="E1284" s="9">
        <f>IF(B1284="","",IF(B1284="OWN","Yes","No"))</f>
        <v/>
      </c>
      <c r="AF1284" s="9">
        <f>IF(ISNUMBER(Z1284),IF(Z1284&lt;=2,"&lt;=2 d",IF(Z1284&lt;=7,"3-7 d",IF(Z1284&lt;=30,"8-30 d","&gt;30 d"))),IF(AE1284&lt;&gt;"",AE1284,IF(Z1284="NR","NR","")))</f>
        <v/>
      </c>
      <c r="AX1284" s="9">
        <f>IF(ISNUMBER(AW1284),IF(AW1284&gt;450,"Yes","No"),IF(AW1284="NR","NR",""))</f>
        <v/>
      </c>
      <c r="BJ1284" s="9">
        <f>IF(BB1284="","",IF(BB1284="Non-viable","Non-viable",IF(BB1284="Viable","Viable",IF(BB1284="Partially non-viable",IF(OR(BD1284="Total splenectomy",BD1284="Partial splenectomy +/- splenopexy"),"Non-viable","Review"),IF(BB1284="NR",IF(OR(BD1284="Total splenectomy",BD1284="Partial splenectomy +/- splenopexy"),"NR - removed, check reason","NR"),"Not applicable")))))</f>
        <v/>
      </c>
    </row>
    <row r="1285">
      <c r="D1285" s="8" t="n"/>
      <c r="E1285" s="9">
        <f>IF(B1285="","",IF(B1285="OWN","Yes","No"))</f>
        <v/>
      </c>
      <c r="AF1285" s="9">
        <f>IF(ISNUMBER(Z1285),IF(Z1285&lt;=2,"&lt;=2 d",IF(Z1285&lt;=7,"3-7 d",IF(Z1285&lt;=30,"8-30 d","&gt;30 d"))),IF(AE1285&lt;&gt;"",AE1285,IF(Z1285="NR","NR","")))</f>
        <v/>
      </c>
      <c r="AX1285" s="9">
        <f>IF(ISNUMBER(AW1285),IF(AW1285&gt;450,"Yes","No"),IF(AW1285="NR","NR",""))</f>
        <v/>
      </c>
      <c r="BJ1285" s="9">
        <f>IF(BB1285="","",IF(BB1285="Non-viable","Non-viable",IF(BB1285="Viable","Viable",IF(BB1285="Partially non-viable",IF(OR(BD1285="Total splenectomy",BD1285="Partial splenectomy +/- splenopexy"),"Non-viable","Review"),IF(BB1285="NR",IF(OR(BD1285="Total splenectomy",BD1285="Partial splenectomy +/- splenopexy"),"NR - removed, check reason","NR"),"Not applicable")))))</f>
        <v/>
      </c>
    </row>
    <row r="1286">
      <c r="D1286" s="8" t="n"/>
      <c r="E1286" s="9">
        <f>IF(B1286="","",IF(B1286="OWN","Yes","No"))</f>
        <v/>
      </c>
      <c r="AF1286" s="9">
        <f>IF(ISNUMBER(Z1286),IF(Z1286&lt;=2,"&lt;=2 d",IF(Z1286&lt;=7,"3-7 d",IF(Z1286&lt;=30,"8-30 d","&gt;30 d"))),IF(AE1286&lt;&gt;"",AE1286,IF(Z1286="NR","NR","")))</f>
        <v/>
      </c>
      <c r="AX1286" s="9">
        <f>IF(ISNUMBER(AW1286),IF(AW1286&gt;450,"Yes","No"),IF(AW1286="NR","NR",""))</f>
        <v/>
      </c>
      <c r="BJ1286" s="9">
        <f>IF(BB1286="","",IF(BB1286="Non-viable","Non-viable",IF(BB1286="Viable","Viable",IF(BB1286="Partially non-viable",IF(OR(BD1286="Total splenectomy",BD1286="Partial splenectomy +/- splenopexy"),"Non-viable","Review"),IF(BB1286="NR",IF(OR(BD1286="Total splenectomy",BD1286="Partial splenectomy +/- splenopexy"),"NR - removed, check reason","NR"),"Not applicable")))))</f>
        <v/>
      </c>
    </row>
    <row r="1287">
      <c r="D1287" s="8" t="n"/>
      <c r="E1287" s="9">
        <f>IF(B1287="","",IF(B1287="OWN","Yes","No"))</f>
        <v/>
      </c>
      <c r="AF1287" s="9">
        <f>IF(ISNUMBER(Z1287),IF(Z1287&lt;=2,"&lt;=2 d",IF(Z1287&lt;=7,"3-7 d",IF(Z1287&lt;=30,"8-30 d","&gt;30 d"))),IF(AE1287&lt;&gt;"",AE1287,IF(Z1287="NR","NR","")))</f>
        <v/>
      </c>
      <c r="AX1287" s="9">
        <f>IF(ISNUMBER(AW1287),IF(AW1287&gt;450,"Yes","No"),IF(AW1287="NR","NR",""))</f>
        <v/>
      </c>
      <c r="BJ1287" s="9">
        <f>IF(BB1287="","",IF(BB1287="Non-viable","Non-viable",IF(BB1287="Viable","Viable",IF(BB1287="Partially non-viable",IF(OR(BD1287="Total splenectomy",BD1287="Partial splenectomy +/- splenopexy"),"Non-viable","Review"),IF(BB1287="NR",IF(OR(BD1287="Total splenectomy",BD1287="Partial splenectomy +/- splenopexy"),"NR - removed, check reason","NR"),"Not applicable")))))</f>
        <v/>
      </c>
    </row>
    <row r="1288">
      <c r="D1288" s="8" t="n"/>
      <c r="E1288" s="9">
        <f>IF(B1288="","",IF(B1288="OWN","Yes","No"))</f>
        <v/>
      </c>
      <c r="AF1288" s="9">
        <f>IF(ISNUMBER(Z1288),IF(Z1288&lt;=2,"&lt;=2 d",IF(Z1288&lt;=7,"3-7 d",IF(Z1288&lt;=30,"8-30 d","&gt;30 d"))),IF(AE1288&lt;&gt;"",AE1288,IF(Z1288="NR","NR","")))</f>
        <v/>
      </c>
      <c r="AX1288" s="9">
        <f>IF(ISNUMBER(AW1288),IF(AW1288&gt;450,"Yes","No"),IF(AW1288="NR","NR",""))</f>
        <v/>
      </c>
      <c r="BJ1288" s="9">
        <f>IF(BB1288="","",IF(BB1288="Non-viable","Non-viable",IF(BB1288="Viable","Viable",IF(BB1288="Partially non-viable",IF(OR(BD1288="Total splenectomy",BD1288="Partial splenectomy +/- splenopexy"),"Non-viable","Review"),IF(BB1288="NR",IF(OR(BD1288="Total splenectomy",BD1288="Partial splenectomy +/- splenopexy"),"NR - removed, check reason","NR"),"Not applicable")))))</f>
        <v/>
      </c>
    </row>
    <row r="1289">
      <c r="D1289" s="8" t="n"/>
      <c r="E1289" s="9">
        <f>IF(B1289="","",IF(B1289="OWN","Yes","No"))</f>
        <v/>
      </c>
      <c r="AF1289" s="9">
        <f>IF(ISNUMBER(Z1289),IF(Z1289&lt;=2,"&lt;=2 d",IF(Z1289&lt;=7,"3-7 d",IF(Z1289&lt;=30,"8-30 d","&gt;30 d"))),IF(AE1289&lt;&gt;"",AE1289,IF(Z1289="NR","NR","")))</f>
        <v/>
      </c>
      <c r="AX1289" s="9">
        <f>IF(ISNUMBER(AW1289),IF(AW1289&gt;450,"Yes","No"),IF(AW1289="NR","NR",""))</f>
        <v/>
      </c>
      <c r="BJ1289" s="9">
        <f>IF(BB1289="","",IF(BB1289="Non-viable","Non-viable",IF(BB1289="Viable","Viable",IF(BB1289="Partially non-viable",IF(OR(BD1289="Total splenectomy",BD1289="Partial splenectomy +/- splenopexy"),"Non-viable","Review"),IF(BB1289="NR",IF(OR(BD1289="Total splenectomy",BD1289="Partial splenectomy +/- splenopexy"),"NR - removed, check reason","NR"),"Not applicable")))))</f>
        <v/>
      </c>
    </row>
    <row r="1290">
      <c r="D1290" s="8" t="n"/>
      <c r="E1290" s="9">
        <f>IF(B1290="","",IF(B1290="OWN","Yes","No"))</f>
        <v/>
      </c>
      <c r="AF1290" s="9">
        <f>IF(ISNUMBER(Z1290),IF(Z1290&lt;=2,"&lt;=2 d",IF(Z1290&lt;=7,"3-7 d",IF(Z1290&lt;=30,"8-30 d","&gt;30 d"))),IF(AE1290&lt;&gt;"",AE1290,IF(Z1290="NR","NR","")))</f>
        <v/>
      </c>
      <c r="AX1290" s="9">
        <f>IF(ISNUMBER(AW1290),IF(AW1290&gt;450,"Yes","No"),IF(AW1290="NR","NR",""))</f>
        <v/>
      </c>
      <c r="BJ1290" s="9">
        <f>IF(BB1290="","",IF(BB1290="Non-viable","Non-viable",IF(BB1290="Viable","Viable",IF(BB1290="Partially non-viable",IF(OR(BD1290="Total splenectomy",BD1290="Partial splenectomy +/- splenopexy"),"Non-viable","Review"),IF(BB1290="NR",IF(OR(BD1290="Total splenectomy",BD1290="Partial splenectomy +/- splenopexy"),"NR - removed, check reason","NR"),"Not applicable")))))</f>
        <v/>
      </c>
    </row>
    <row r="1291">
      <c r="D1291" s="8" t="n"/>
      <c r="E1291" s="9">
        <f>IF(B1291="","",IF(B1291="OWN","Yes","No"))</f>
        <v/>
      </c>
      <c r="AF1291" s="9">
        <f>IF(ISNUMBER(Z1291),IF(Z1291&lt;=2,"&lt;=2 d",IF(Z1291&lt;=7,"3-7 d",IF(Z1291&lt;=30,"8-30 d","&gt;30 d"))),IF(AE1291&lt;&gt;"",AE1291,IF(Z1291="NR","NR","")))</f>
        <v/>
      </c>
      <c r="AX1291" s="9">
        <f>IF(ISNUMBER(AW1291),IF(AW1291&gt;450,"Yes","No"),IF(AW1291="NR","NR",""))</f>
        <v/>
      </c>
      <c r="BJ1291" s="9">
        <f>IF(BB1291="","",IF(BB1291="Non-viable","Non-viable",IF(BB1291="Viable","Viable",IF(BB1291="Partially non-viable",IF(OR(BD1291="Total splenectomy",BD1291="Partial splenectomy +/- splenopexy"),"Non-viable","Review"),IF(BB1291="NR",IF(OR(BD1291="Total splenectomy",BD1291="Partial splenectomy +/- splenopexy"),"NR - removed, check reason","NR"),"Not applicable")))))</f>
        <v/>
      </c>
    </row>
    <row r="1292">
      <c r="D1292" s="8" t="n"/>
      <c r="E1292" s="9">
        <f>IF(B1292="","",IF(B1292="OWN","Yes","No"))</f>
        <v/>
      </c>
      <c r="AF1292" s="9">
        <f>IF(ISNUMBER(Z1292),IF(Z1292&lt;=2,"&lt;=2 d",IF(Z1292&lt;=7,"3-7 d",IF(Z1292&lt;=30,"8-30 d","&gt;30 d"))),IF(AE1292&lt;&gt;"",AE1292,IF(Z1292="NR","NR","")))</f>
        <v/>
      </c>
      <c r="AX1292" s="9">
        <f>IF(ISNUMBER(AW1292),IF(AW1292&gt;450,"Yes","No"),IF(AW1292="NR","NR",""))</f>
        <v/>
      </c>
      <c r="BJ1292" s="9">
        <f>IF(BB1292="","",IF(BB1292="Non-viable","Non-viable",IF(BB1292="Viable","Viable",IF(BB1292="Partially non-viable",IF(OR(BD1292="Total splenectomy",BD1292="Partial splenectomy +/- splenopexy"),"Non-viable","Review"),IF(BB1292="NR",IF(OR(BD1292="Total splenectomy",BD1292="Partial splenectomy +/- splenopexy"),"NR - removed, check reason","NR"),"Not applicable")))))</f>
        <v/>
      </c>
    </row>
    <row r="1293">
      <c r="D1293" s="8" t="n"/>
      <c r="E1293" s="9">
        <f>IF(B1293="","",IF(B1293="OWN","Yes","No"))</f>
        <v/>
      </c>
      <c r="AF1293" s="9">
        <f>IF(ISNUMBER(Z1293),IF(Z1293&lt;=2,"&lt;=2 d",IF(Z1293&lt;=7,"3-7 d",IF(Z1293&lt;=30,"8-30 d","&gt;30 d"))),IF(AE1293&lt;&gt;"",AE1293,IF(Z1293="NR","NR","")))</f>
        <v/>
      </c>
      <c r="AX1293" s="9">
        <f>IF(ISNUMBER(AW1293),IF(AW1293&gt;450,"Yes","No"),IF(AW1293="NR","NR",""))</f>
        <v/>
      </c>
      <c r="BJ1293" s="9">
        <f>IF(BB1293="","",IF(BB1293="Non-viable","Non-viable",IF(BB1293="Viable","Viable",IF(BB1293="Partially non-viable",IF(OR(BD1293="Total splenectomy",BD1293="Partial splenectomy +/- splenopexy"),"Non-viable","Review"),IF(BB1293="NR",IF(OR(BD1293="Total splenectomy",BD1293="Partial splenectomy +/- splenopexy"),"NR - removed, check reason","NR"),"Not applicable")))))</f>
        <v/>
      </c>
    </row>
    <row r="1294">
      <c r="D1294" s="8" t="n"/>
      <c r="E1294" s="9">
        <f>IF(B1294="","",IF(B1294="OWN","Yes","No"))</f>
        <v/>
      </c>
      <c r="AF1294" s="9">
        <f>IF(ISNUMBER(Z1294),IF(Z1294&lt;=2,"&lt;=2 d",IF(Z1294&lt;=7,"3-7 d",IF(Z1294&lt;=30,"8-30 d","&gt;30 d"))),IF(AE1294&lt;&gt;"",AE1294,IF(Z1294="NR","NR","")))</f>
        <v/>
      </c>
      <c r="AX1294" s="9">
        <f>IF(ISNUMBER(AW1294),IF(AW1294&gt;450,"Yes","No"),IF(AW1294="NR","NR",""))</f>
        <v/>
      </c>
      <c r="BJ1294" s="9">
        <f>IF(BB1294="","",IF(BB1294="Non-viable","Non-viable",IF(BB1294="Viable","Viable",IF(BB1294="Partially non-viable",IF(OR(BD1294="Total splenectomy",BD1294="Partial splenectomy +/- splenopexy"),"Non-viable","Review"),IF(BB1294="NR",IF(OR(BD1294="Total splenectomy",BD1294="Partial splenectomy +/- splenopexy"),"NR - removed, check reason","NR"),"Not applicable")))))</f>
        <v/>
      </c>
    </row>
    <row r="1295">
      <c r="D1295" s="8" t="n"/>
      <c r="E1295" s="9">
        <f>IF(B1295="","",IF(B1295="OWN","Yes","No"))</f>
        <v/>
      </c>
      <c r="AF1295" s="9">
        <f>IF(ISNUMBER(Z1295),IF(Z1295&lt;=2,"&lt;=2 d",IF(Z1295&lt;=7,"3-7 d",IF(Z1295&lt;=30,"8-30 d","&gt;30 d"))),IF(AE1295&lt;&gt;"",AE1295,IF(Z1295="NR","NR","")))</f>
        <v/>
      </c>
      <c r="AX1295" s="9">
        <f>IF(ISNUMBER(AW1295),IF(AW1295&gt;450,"Yes","No"),IF(AW1295="NR","NR",""))</f>
        <v/>
      </c>
      <c r="BJ1295" s="9">
        <f>IF(BB1295="","",IF(BB1295="Non-viable","Non-viable",IF(BB1295="Viable","Viable",IF(BB1295="Partially non-viable",IF(OR(BD1295="Total splenectomy",BD1295="Partial splenectomy +/- splenopexy"),"Non-viable","Review"),IF(BB1295="NR",IF(OR(BD1295="Total splenectomy",BD1295="Partial splenectomy +/- splenopexy"),"NR - removed, check reason","NR"),"Not applicable")))))</f>
        <v/>
      </c>
    </row>
    <row r="1296">
      <c r="D1296" s="8" t="n"/>
      <c r="E1296" s="9">
        <f>IF(B1296="","",IF(B1296="OWN","Yes","No"))</f>
        <v/>
      </c>
      <c r="AF1296" s="9">
        <f>IF(ISNUMBER(Z1296),IF(Z1296&lt;=2,"&lt;=2 d",IF(Z1296&lt;=7,"3-7 d",IF(Z1296&lt;=30,"8-30 d","&gt;30 d"))),IF(AE1296&lt;&gt;"",AE1296,IF(Z1296="NR","NR","")))</f>
        <v/>
      </c>
      <c r="AX1296" s="9">
        <f>IF(ISNUMBER(AW1296),IF(AW1296&gt;450,"Yes","No"),IF(AW1296="NR","NR",""))</f>
        <v/>
      </c>
      <c r="BJ1296" s="9">
        <f>IF(BB1296="","",IF(BB1296="Non-viable","Non-viable",IF(BB1296="Viable","Viable",IF(BB1296="Partially non-viable",IF(OR(BD1296="Total splenectomy",BD1296="Partial splenectomy +/- splenopexy"),"Non-viable","Review"),IF(BB1296="NR",IF(OR(BD1296="Total splenectomy",BD1296="Partial splenectomy +/- splenopexy"),"NR - removed, check reason","NR"),"Not applicable")))))</f>
        <v/>
      </c>
    </row>
    <row r="1297">
      <c r="D1297" s="8" t="n"/>
      <c r="E1297" s="9">
        <f>IF(B1297="","",IF(B1297="OWN","Yes","No"))</f>
        <v/>
      </c>
      <c r="AF1297" s="9">
        <f>IF(ISNUMBER(Z1297),IF(Z1297&lt;=2,"&lt;=2 d",IF(Z1297&lt;=7,"3-7 d",IF(Z1297&lt;=30,"8-30 d","&gt;30 d"))),IF(AE1297&lt;&gt;"",AE1297,IF(Z1297="NR","NR","")))</f>
        <v/>
      </c>
      <c r="AX1297" s="9">
        <f>IF(ISNUMBER(AW1297),IF(AW1297&gt;450,"Yes","No"),IF(AW1297="NR","NR",""))</f>
        <v/>
      </c>
      <c r="BJ1297" s="9">
        <f>IF(BB1297="","",IF(BB1297="Non-viable","Non-viable",IF(BB1297="Viable","Viable",IF(BB1297="Partially non-viable",IF(OR(BD1297="Total splenectomy",BD1297="Partial splenectomy +/- splenopexy"),"Non-viable","Review"),IF(BB1297="NR",IF(OR(BD1297="Total splenectomy",BD1297="Partial splenectomy +/- splenopexy"),"NR - removed, check reason","NR"),"Not applicable")))))</f>
        <v/>
      </c>
    </row>
    <row r="1298">
      <c r="D1298" s="8" t="n"/>
      <c r="E1298" s="9">
        <f>IF(B1298="","",IF(B1298="OWN","Yes","No"))</f>
        <v/>
      </c>
      <c r="AF1298" s="9">
        <f>IF(ISNUMBER(Z1298),IF(Z1298&lt;=2,"&lt;=2 d",IF(Z1298&lt;=7,"3-7 d",IF(Z1298&lt;=30,"8-30 d","&gt;30 d"))),IF(AE1298&lt;&gt;"",AE1298,IF(Z1298="NR","NR","")))</f>
        <v/>
      </c>
      <c r="AX1298" s="9">
        <f>IF(ISNUMBER(AW1298),IF(AW1298&gt;450,"Yes","No"),IF(AW1298="NR","NR",""))</f>
        <v/>
      </c>
      <c r="BJ1298" s="9">
        <f>IF(BB1298="","",IF(BB1298="Non-viable","Non-viable",IF(BB1298="Viable","Viable",IF(BB1298="Partially non-viable",IF(OR(BD1298="Total splenectomy",BD1298="Partial splenectomy +/- splenopexy"),"Non-viable","Review"),IF(BB1298="NR",IF(OR(BD1298="Total splenectomy",BD1298="Partial splenectomy +/- splenopexy"),"NR - removed, check reason","NR"),"Not applicable")))))</f>
        <v/>
      </c>
    </row>
    <row r="1299">
      <c r="D1299" s="8" t="n"/>
      <c r="E1299" s="9">
        <f>IF(B1299="","",IF(B1299="OWN","Yes","No"))</f>
        <v/>
      </c>
      <c r="AF1299" s="9">
        <f>IF(ISNUMBER(Z1299),IF(Z1299&lt;=2,"&lt;=2 d",IF(Z1299&lt;=7,"3-7 d",IF(Z1299&lt;=30,"8-30 d","&gt;30 d"))),IF(AE1299&lt;&gt;"",AE1299,IF(Z1299="NR","NR","")))</f>
        <v/>
      </c>
      <c r="AX1299" s="9">
        <f>IF(ISNUMBER(AW1299),IF(AW1299&gt;450,"Yes","No"),IF(AW1299="NR","NR",""))</f>
        <v/>
      </c>
      <c r="BJ1299" s="9">
        <f>IF(BB1299="","",IF(BB1299="Non-viable","Non-viable",IF(BB1299="Viable","Viable",IF(BB1299="Partially non-viable",IF(OR(BD1299="Total splenectomy",BD1299="Partial splenectomy +/- splenopexy"),"Non-viable","Review"),IF(BB1299="NR",IF(OR(BD1299="Total splenectomy",BD1299="Partial splenectomy +/- splenopexy"),"NR - removed, check reason","NR"),"Not applicable")))))</f>
        <v/>
      </c>
    </row>
    <row r="1300">
      <c r="D1300" s="8" t="n"/>
      <c r="E1300" s="9">
        <f>IF(B1300="","",IF(B1300="OWN","Yes","No"))</f>
        <v/>
      </c>
      <c r="AF1300" s="9">
        <f>IF(ISNUMBER(Z1300),IF(Z1300&lt;=2,"&lt;=2 d",IF(Z1300&lt;=7,"3-7 d",IF(Z1300&lt;=30,"8-30 d","&gt;30 d"))),IF(AE1300&lt;&gt;"",AE1300,IF(Z1300="NR","NR","")))</f>
        <v/>
      </c>
      <c r="AX1300" s="9">
        <f>IF(ISNUMBER(AW1300),IF(AW1300&gt;450,"Yes","No"),IF(AW1300="NR","NR",""))</f>
        <v/>
      </c>
      <c r="BJ1300" s="9">
        <f>IF(BB1300="","",IF(BB1300="Non-viable","Non-viable",IF(BB1300="Viable","Viable",IF(BB1300="Partially non-viable",IF(OR(BD1300="Total splenectomy",BD1300="Partial splenectomy +/- splenopexy"),"Non-viable","Review"),IF(BB1300="NR",IF(OR(BD1300="Total splenectomy",BD1300="Partial splenectomy +/- splenopexy"),"NR - removed, check reason","NR"),"Not applicable")))))</f>
        <v/>
      </c>
    </row>
    <row r="1301">
      <c r="D1301" s="8" t="n"/>
      <c r="E1301" s="9">
        <f>IF(B1301="","",IF(B1301="OWN","Yes","No"))</f>
        <v/>
      </c>
      <c r="AF1301" s="9">
        <f>IF(ISNUMBER(Z1301),IF(Z1301&lt;=2,"&lt;=2 d",IF(Z1301&lt;=7,"3-7 d",IF(Z1301&lt;=30,"8-30 d","&gt;30 d"))),IF(AE1301&lt;&gt;"",AE1301,IF(Z1301="NR","NR","")))</f>
        <v/>
      </c>
      <c r="AX1301" s="9">
        <f>IF(ISNUMBER(AW1301),IF(AW1301&gt;450,"Yes","No"),IF(AW1301="NR","NR",""))</f>
        <v/>
      </c>
      <c r="BJ1301" s="9">
        <f>IF(BB1301="","",IF(BB1301="Non-viable","Non-viable",IF(BB1301="Viable","Viable",IF(BB1301="Partially non-viable",IF(OR(BD1301="Total splenectomy",BD1301="Partial splenectomy +/- splenopexy"),"Non-viable","Review"),IF(BB1301="NR",IF(OR(BD1301="Total splenectomy",BD1301="Partial splenectomy +/- splenopexy"),"NR - removed, check reason","NR"),"Not applicable")))))</f>
        <v/>
      </c>
    </row>
    <row r="1302">
      <c r="D1302" s="8" t="n"/>
      <c r="E1302" s="9">
        <f>IF(B1302="","",IF(B1302="OWN","Yes","No"))</f>
        <v/>
      </c>
      <c r="AF1302" s="9">
        <f>IF(ISNUMBER(Z1302),IF(Z1302&lt;=2,"&lt;=2 d",IF(Z1302&lt;=7,"3-7 d",IF(Z1302&lt;=30,"8-30 d","&gt;30 d"))),IF(AE1302&lt;&gt;"",AE1302,IF(Z1302="NR","NR","")))</f>
        <v/>
      </c>
      <c r="AX1302" s="9">
        <f>IF(ISNUMBER(AW1302),IF(AW1302&gt;450,"Yes","No"),IF(AW1302="NR","NR",""))</f>
        <v/>
      </c>
      <c r="BJ1302" s="9">
        <f>IF(BB1302="","",IF(BB1302="Non-viable","Non-viable",IF(BB1302="Viable","Viable",IF(BB1302="Partially non-viable",IF(OR(BD1302="Total splenectomy",BD1302="Partial splenectomy +/- splenopexy"),"Non-viable","Review"),IF(BB1302="NR",IF(OR(BD1302="Total splenectomy",BD1302="Partial splenectomy +/- splenopexy"),"NR - removed, check reason","NR"),"Not applicable")))))</f>
        <v/>
      </c>
    </row>
    <row r="1303">
      <c r="D1303" s="8" t="n"/>
      <c r="E1303" s="9">
        <f>IF(B1303="","",IF(B1303="OWN","Yes","No"))</f>
        <v/>
      </c>
      <c r="AF1303" s="9">
        <f>IF(ISNUMBER(Z1303),IF(Z1303&lt;=2,"&lt;=2 d",IF(Z1303&lt;=7,"3-7 d",IF(Z1303&lt;=30,"8-30 d","&gt;30 d"))),IF(AE1303&lt;&gt;"",AE1303,IF(Z1303="NR","NR","")))</f>
        <v/>
      </c>
      <c r="AX1303" s="9">
        <f>IF(ISNUMBER(AW1303),IF(AW1303&gt;450,"Yes","No"),IF(AW1303="NR","NR",""))</f>
        <v/>
      </c>
      <c r="BJ1303" s="9">
        <f>IF(BB1303="","",IF(BB1303="Non-viable","Non-viable",IF(BB1303="Viable","Viable",IF(BB1303="Partially non-viable",IF(OR(BD1303="Total splenectomy",BD1303="Partial splenectomy +/- splenopexy"),"Non-viable","Review"),IF(BB1303="NR",IF(OR(BD1303="Total splenectomy",BD1303="Partial splenectomy +/- splenopexy"),"NR - removed, check reason","NR"),"Not applicable")))))</f>
        <v/>
      </c>
    </row>
    <row r="1304">
      <c r="D1304" s="8" t="n"/>
      <c r="E1304" s="9">
        <f>IF(B1304="","",IF(B1304="OWN","Yes","No"))</f>
        <v/>
      </c>
      <c r="AF1304" s="9">
        <f>IF(ISNUMBER(Z1304),IF(Z1304&lt;=2,"&lt;=2 d",IF(Z1304&lt;=7,"3-7 d",IF(Z1304&lt;=30,"8-30 d","&gt;30 d"))),IF(AE1304&lt;&gt;"",AE1304,IF(Z1304="NR","NR","")))</f>
        <v/>
      </c>
      <c r="AX1304" s="9">
        <f>IF(ISNUMBER(AW1304),IF(AW1304&gt;450,"Yes","No"),IF(AW1304="NR","NR",""))</f>
        <v/>
      </c>
      <c r="BJ1304" s="9">
        <f>IF(BB1304="","",IF(BB1304="Non-viable","Non-viable",IF(BB1304="Viable","Viable",IF(BB1304="Partially non-viable",IF(OR(BD1304="Total splenectomy",BD1304="Partial splenectomy +/- splenopexy"),"Non-viable","Review"),IF(BB1304="NR",IF(OR(BD1304="Total splenectomy",BD1304="Partial splenectomy +/- splenopexy"),"NR - removed, check reason","NR"),"Not applicable")))))</f>
        <v/>
      </c>
    </row>
    <row r="1305">
      <c r="D1305" s="8" t="n"/>
      <c r="E1305" s="9">
        <f>IF(B1305="","",IF(B1305="OWN","Yes","No"))</f>
        <v/>
      </c>
      <c r="AF1305" s="9">
        <f>IF(ISNUMBER(Z1305),IF(Z1305&lt;=2,"&lt;=2 d",IF(Z1305&lt;=7,"3-7 d",IF(Z1305&lt;=30,"8-30 d","&gt;30 d"))),IF(AE1305&lt;&gt;"",AE1305,IF(Z1305="NR","NR","")))</f>
        <v/>
      </c>
      <c r="AX1305" s="9">
        <f>IF(ISNUMBER(AW1305),IF(AW1305&gt;450,"Yes","No"),IF(AW1305="NR","NR",""))</f>
        <v/>
      </c>
      <c r="BJ1305" s="9">
        <f>IF(BB1305="","",IF(BB1305="Non-viable","Non-viable",IF(BB1305="Viable","Viable",IF(BB1305="Partially non-viable",IF(OR(BD1305="Total splenectomy",BD1305="Partial splenectomy +/- splenopexy"),"Non-viable","Review"),IF(BB1305="NR",IF(OR(BD1305="Total splenectomy",BD1305="Partial splenectomy +/- splenopexy"),"NR - removed, check reason","NR"),"Not applicable")))))</f>
        <v/>
      </c>
    </row>
    <row r="1306">
      <c r="D1306" s="8" t="n"/>
      <c r="E1306" s="9">
        <f>IF(B1306="","",IF(B1306="OWN","Yes","No"))</f>
        <v/>
      </c>
      <c r="AF1306" s="9">
        <f>IF(ISNUMBER(Z1306),IF(Z1306&lt;=2,"&lt;=2 d",IF(Z1306&lt;=7,"3-7 d",IF(Z1306&lt;=30,"8-30 d","&gt;30 d"))),IF(AE1306&lt;&gt;"",AE1306,IF(Z1306="NR","NR","")))</f>
        <v/>
      </c>
      <c r="AX1306" s="9">
        <f>IF(ISNUMBER(AW1306),IF(AW1306&gt;450,"Yes","No"),IF(AW1306="NR","NR",""))</f>
        <v/>
      </c>
      <c r="BJ1306" s="9">
        <f>IF(BB1306="","",IF(BB1306="Non-viable","Non-viable",IF(BB1306="Viable","Viable",IF(BB1306="Partially non-viable",IF(OR(BD1306="Total splenectomy",BD1306="Partial splenectomy +/- splenopexy"),"Non-viable","Review"),IF(BB1306="NR",IF(OR(BD1306="Total splenectomy",BD1306="Partial splenectomy +/- splenopexy"),"NR - removed, check reason","NR"),"Not applicable")))))</f>
        <v/>
      </c>
    </row>
    <row r="1307">
      <c r="D1307" s="8" t="n"/>
      <c r="E1307" s="9">
        <f>IF(B1307="","",IF(B1307="OWN","Yes","No"))</f>
        <v/>
      </c>
      <c r="AF1307" s="9">
        <f>IF(ISNUMBER(Z1307),IF(Z1307&lt;=2,"&lt;=2 d",IF(Z1307&lt;=7,"3-7 d",IF(Z1307&lt;=30,"8-30 d","&gt;30 d"))),IF(AE1307&lt;&gt;"",AE1307,IF(Z1307="NR","NR","")))</f>
        <v/>
      </c>
      <c r="AX1307" s="9">
        <f>IF(ISNUMBER(AW1307),IF(AW1307&gt;450,"Yes","No"),IF(AW1307="NR","NR",""))</f>
        <v/>
      </c>
      <c r="BJ1307" s="9">
        <f>IF(BB1307="","",IF(BB1307="Non-viable","Non-viable",IF(BB1307="Viable","Viable",IF(BB1307="Partially non-viable",IF(OR(BD1307="Total splenectomy",BD1307="Partial splenectomy +/- splenopexy"),"Non-viable","Review"),IF(BB1307="NR",IF(OR(BD1307="Total splenectomy",BD1307="Partial splenectomy +/- splenopexy"),"NR - removed, check reason","NR"),"Not applicable")))))</f>
        <v/>
      </c>
    </row>
    <row r="1308">
      <c r="D1308" s="8" t="n"/>
      <c r="E1308" s="9">
        <f>IF(B1308="","",IF(B1308="OWN","Yes","No"))</f>
        <v/>
      </c>
      <c r="AF1308" s="9">
        <f>IF(ISNUMBER(Z1308),IF(Z1308&lt;=2,"&lt;=2 d",IF(Z1308&lt;=7,"3-7 d",IF(Z1308&lt;=30,"8-30 d","&gt;30 d"))),IF(AE1308&lt;&gt;"",AE1308,IF(Z1308="NR","NR","")))</f>
        <v/>
      </c>
      <c r="AX1308" s="9">
        <f>IF(ISNUMBER(AW1308),IF(AW1308&gt;450,"Yes","No"),IF(AW1308="NR","NR",""))</f>
        <v/>
      </c>
      <c r="BJ1308" s="9">
        <f>IF(BB1308="","",IF(BB1308="Non-viable","Non-viable",IF(BB1308="Viable","Viable",IF(BB1308="Partially non-viable",IF(OR(BD1308="Total splenectomy",BD1308="Partial splenectomy +/- splenopexy"),"Non-viable","Review"),IF(BB1308="NR",IF(OR(BD1308="Total splenectomy",BD1308="Partial splenectomy +/- splenopexy"),"NR - removed, check reason","NR"),"Not applicable")))))</f>
        <v/>
      </c>
    </row>
    <row r="1309">
      <c r="D1309" s="8" t="n"/>
      <c r="E1309" s="9">
        <f>IF(B1309="","",IF(B1309="OWN","Yes","No"))</f>
        <v/>
      </c>
      <c r="AF1309" s="9">
        <f>IF(ISNUMBER(Z1309),IF(Z1309&lt;=2,"&lt;=2 d",IF(Z1309&lt;=7,"3-7 d",IF(Z1309&lt;=30,"8-30 d","&gt;30 d"))),IF(AE1309&lt;&gt;"",AE1309,IF(Z1309="NR","NR","")))</f>
        <v/>
      </c>
      <c r="AX1309" s="9">
        <f>IF(ISNUMBER(AW1309),IF(AW1309&gt;450,"Yes","No"),IF(AW1309="NR","NR",""))</f>
        <v/>
      </c>
      <c r="BJ1309" s="9">
        <f>IF(BB1309="","",IF(BB1309="Non-viable","Non-viable",IF(BB1309="Viable","Viable",IF(BB1309="Partially non-viable",IF(OR(BD1309="Total splenectomy",BD1309="Partial splenectomy +/- splenopexy"),"Non-viable","Review"),IF(BB1309="NR",IF(OR(BD1309="Total splenectomy",BD1309="Partial splenectomy +/- splenopexy"),"NR - removed, check reason","NR"),"Not applicable")))))</f>
        <v/>
      </c>
    </row>
    <row r="1310">
      <c r="D1310" s="8" t="n"/>
      <c r="E1310" s="9">
        <f>IF(B1310="","",IF(B1310="OWN","Yes","No"))</f>
        <v/>
      </c>
      <c r="AF1310" s="9">
        <f>IF(ISNUMBER(Z1310),IF(Z1310&lt;=2,"&lt;=2 d",IF(Z1310&lt;=7,"3-7 d",IF(Z1310&lt;=30,"8-30 d","&gt;30 d"))),IF(AE1310&lt;&gt;"",AE1310,IF(Z1310="NR","NR","")))</f>
        <v/>
      </c>
      <c r="AX1310" s="9">
        <f>IF(ISNUMBER(AW1310),IF(AW1310&gt;450,"Yes","No"),IF(AW1310="NR","NR",""))</f>
        <v/>
      </c>
      <c r="BJ1310" s="9">
        <f>IF(BB1310="","",IF(BB1310="Non-viable","Non-viable",IF(BB1310="Viable","Viable",IF(BB1310="Partially non-viable",IF(OR(BD1310="Total splenectomy",BD1310="Partial splenectomy +/- splenopexy"),"Non-viable","Review"),IF(BB1310="NR",IF(OR(BD1310="Total splenectomy",BD1310="Partial splenectomy +/- splenopexy"),"NR - removed, check reason","NR"),"Not applicable")))))</f>
        <v/>
      </c>
    </row>
    <row r="1311">
      <c r="D1311" s="8" t="n"/>
      <c r="E1311" s="9">
        <f>IF(B1311="","",IF(B1311="OWN","Yes","No"))</f>
        <v/>
      </c>
      <c r="AF1311" s="9">
        <f>IF(ISNUMBER(Z1311),IF(Z1311&lt;=2,"&lt;=2 d",IF(Z1311&lt;=7,"3-7 d",IF(Z1311&lt;=30,"8-30 d","&gt;30 d"))),IF(AE1311&lt;&gt;"",AE1311,IF(Z1311="NR","NR","")))</f>
        <v/>
      </c>
      <c r="AX1311" s="9">
        <f>IF(ISNUMBER(AW1311),IF(AW1311&gt;450,"Yes","No"),IF(AW1311="NR","NR",""))</f>
        <v/>
      </c>
      <c r="BJ1311" s="9">
        <f>IF(BB1311="","",IF(BB1311="Non-viable","Non-viable",IF(BB1311="Viable","Viable",IF(BB1311="Partially non-viable",IF(OR(BD1311="Total splenectomy",BD1311="Partial splenectomy +/- splenopexy"),"Non-viable","Review"),IF(BB1311="NR",IF(OR(BD1311="Total splenectomy",BD1311="Partial splenectomy +/- splenopexy"),"NR - removed, check reason","NR"),"Not applicable")))))</f>
        <v/>
      </c>
    </row>
    <row r="1312">
      <c r="D1312" s="8" t="n"/>
      <c r="E1312" s="9">
        <f>IF(B1312="","",IF(B1312="OWN","Yes","No"))</f>
        <v/>
      </c>
      <c r="AF1312" s="9">
        <f>IF(ISNUMBER(Z1312),IF(Z1312&lt;=2,"&lt;=2 d",IF(Z1312&lt;=7,"3-7 d",IF(Z1312&lt;=30,"8-30 d","&gt;30 d"))),IF(AE1312&lt;&gt;"",AE1312,IF(Z1312="NR","NR","")))</f>
        <v/>
      </c>
      <c r="AX1312" s="9">
        <f>IF(ISNUMBER(AW1312),IF(AW1312&gt;450,"Yes","No"),IF(AW1312="NR","NR",""))</f>
        <v/>
      </c>
      <c r="BJ1312" s="9">
        <f>IF(BB1312="","",IF(BB1312="Non-viable","Non-viable",IF(BB1312="Viable","Viable",IF(BB1312="Partially non-viable",IF(OR(BD1312="Total splenectomy",BD1312="Partial splenectomy +/- splenopexy"),"Non-viable","Review"),IF(BB1312="NR",IF(OR(BD1312="Total splenectomy",BD1312="Partial splenectomy +/- splenopexy"),"NR - removed, check reason","NR"),"Not applicable")))))</f>
        <v/>
      </c>
    </row>
    <row r="1313">
      <c r="D1313" s="8" t="n"/>
      <c r="E1313" s="9">
        <f>IF(B1313="","",IF(B1313="OWN","Yes","No"))</f>
        <v/>
      </c>
      <c r="AF1313" s="9">
        <f>IF(ISNUMBER(Z1313),IF(Z1313&lt;=2,"&lt;=2 d",IF(Z1313&lt;=7,"3-7 d",IF(Z1313&lt;=30,"8-30 d","&gt;30 d"))),IF(AE1313&lt;&gt;"",AE1313,IF(Z1313="NR","NR","")))</f>
        <v/>
      </c>
      <c r="AX1313" s="9">
        <f>IF(ISNUMBER(AW1313),IF(AW1313&gt;450,"Yes","No"),IF(AW1313="NR","NR",""))</f>
        <v/>
      </c>
      <c r="BJ1313" s="9">
        <f>IF(BB1313="","",IF(BB1313="Non-viable","Non-viable",IF(BB1313="Viable","Viable",IF(BB1313="Partially non-viable",IF(OR(BD1313="Total splenectomy",BD1313="Partial splenectomy +/- splenopexy"),"Non-viable","Review"),IF(BB1313="NR",IF(OR(BD1313="Total splenectomy",BD1313="Partial splenectomy +/- splenopexy"),"NR - removed, check reason","NR"),"Not applicable")))))</f>
        <v/>
      </c>
    </row>
    <row r="1314">
      <c r="D1314" s="8" t="n"/>
      <c r="E1314" s="9">
        <f>IF(B1314="","",IF(B1314="OWN","Yes","No"))</f>
        <v/>
      </c>
      <c r="AF1314" s="9">
        <f>IF(ISNUMBER(Z1314),IF(Z1314&lt;=2,"&lt;=2 d",IF(Z1314&lt;=7,"3-7 d",IF(Z1314&lt;=30,"8-30 d","&gt;30 d"))),IF(AE1314&lt;&gt;"",AE1314,IF(Z1314="NR","NR","")))</f>
        <v/>
      </c>
      <c r="AX1314" s="9">
        <f>IF(ISNUMBER(AW1314),IF(AW1314&gt;450,"Yes","No"),IF(AW1314="NR","NR",""))</f>
        <v/>
      </c>
      <c r="BJ1314" s="9">
        <f>IF(BB1314="","",IF(BB1314="Non-viable","Non-viable",IF(BB1314="Viable","Viable",IF(BB1314="Partially non-viable",IF(OR(BD1314="Total splenectomy",BD1314="Partial splenectomy +/- splenopexy"),"Non-viable","Review"),IF(BB1314="NR",IF(OR(BD1314="Total splenectomy",BD1314="Partial splenectomy +/- splenopexy"),"NR - removed, check reason","NR"),"Not applicable")))))</f>
        <v/>
      </c>
    </row>
    <row r="1315">
      <c r="D1315" s="8" t="n"/>
      <c r="E1315" s="9">
        <f>IF(B1315="","",IF(B1315="OWN","Yes","No"))</f>
        <v/>
      </c>
      <c r="AF1315" s="9">
        <f>IF(ISNUMBER(Z1315),IF(Z1315&lt;=2,"&lt;=2 d",IF(Z1315&lt;=7,"3-7 d",IF(Z1315&lt;=30,"8-30 d","&gt;30 d"))),IF(AE1315&lt;&gt;"",AE1315,IF(Z1315="NR","NR","")))</f>
        <v/>
      </c>
      <c r="AX1315" s="9">
        <f>IF(ISNUMBER(AW1315),IF(AW1315&gt;450,"Yes","No"),IF(AW1315="NR","NR",""))</f>
        <v/>
      </c>
      <c r="BJ1315" s="9">
        <f>IF(BB1315="","",IF(BB1315="Non-viable","Non-viable",IF(BB1315="Viable","Viable",IF(BB1315="Partially non-viable",IF(OR(BD1315="Total splenectomy",BD1315="Partial splenectomy +/- splenopexy"),"Non-viable","Review"),IF(BB1315="NR",IF(OR(BD1315="Total splenectomy",BD1315="Partial splenectomy +/- splenopexy"),"NR - removed, check reason","NR"),"Not applicable")))))</f>
        <v/>
      </c>
    </row>
    <row r="1316">
      <c r="D1316" s="8" t="n"/>
      <c r="E1316" s="9">
        <f>IF(B1316="","",IF(B1316="OWN","Yes","No"))</f>
        <v/>
      </c>
      <c r="AF1316" s="9">
        <f>IF(ISNUMBER(Z1316),IF(Z1316&lt;=2,"&lt;=2 d",IF(Z1316&lt;=7,"3-7 d",IF(Z1316&lt;=30,"8-30 d","&gt;30 d"))),IF(AE1316&lt;&gt;"",AE1316,IF(Z1316="NR","NR","")))</f>
        <v/>
      </c>
      <c r="AX1316" s="9">
        <f>IF(ISNUMBER(AW1316),IF(AW1316&gt;450,"Yes","No"),IF(AW1316="NR","NR",""))</f>
        <v/>
      </c>
      <c r="BJ1316" s="9">
        <f>IF(BB1316="","",IF(BB1316="Non-viable","Non-viable",IF(BB1316="Viable","Viable",IF(BB1316="Partially non-viable",IF(OR(BD1316="Total splenectomy",BD1316="Partial splenectomy +/- splenopexy"),"Non-viable","Review"),IF(BB1316="NR",IF(OR(BD1316="Total splenectomy",BD1316="Partial splenectomy +/- splenopexy"),"NR - removed, check reason","NR"),"Not applicable")))))</f>
        <v/>
      </c>
    </row>
    <row r="1317">
      <c r="D1317" s="8" t="n"/>
      <c r="E1317" s="9">
        <f>IF(B1317="","",IF(B1317="OWN","Yes","No"))</f>
        <v/>
      </c>
      <c r="AF1317" s="9">
        <f>IF(ISNUMBER(Z1317),IF(Z1317&lt;=2,"&lt;=2 d",IF(Z1317&lt;=7,"3-7 d",IF(Z1317&lt;=30,"8-30 d","&gt;30 d"))),IF(AE1317&lt;&gt;"",AE1317,IF(Z1317="NR","NR","")))</f>
        <v/>
      </c>
      <c r="AX1317" s="9">
        <f>IF(ISNUMBER(AW1317),IF(AW1317&gt;450,"Yes","No"),IF(AW1317="NR","NR",""))</f>
        <v/>
      </c>
      <c r="BJ1317" s="9">
        <f>IF(BB1317="","",IF(BB1317="Non-viable","Non-viable",IF(BB1317="Viable","Viable",IF(BB1317="Partially non-viable",IF(OR(BD1317="Total splenectomy",BD1317="Partial splenectomy +/- splenopexy"),"Non-viable","Review"),IF(BB1317="NR",IF(OR(BD1317="Total splenectomy",BD1317="Partial splenectomy +/- splenopexy"),"NR - removed, check reason","NR"),"Not applicable")))))</f>
        <v/>
      </c>
    </row>
    <row r="1318">
      <c r="D1318" s="8" t="n"/>
      <c r="E1318" s="9">
        <f>IF(B1318="","",IF(B1318="OWN","Yes","No"))</f>
        <v/>
      </c>
      <c r="AF1318" s="9">
        <f>IF(ISNUMBER(Z1318),IF(Z1318&lt;=2,"&lt;=2 d",IF(Z1318&lt;=7,"3-7 d",IF(Z1318&lt;=30,"8-30 d","&gt;30 d"))),IF(AE1318&lt;&gt;"",AE1318,IF(Z1318="NR","NR","")))</f>
        <v/>
      </c>
      <c r="AX1318" s="9">
        <f>IF(ISNUMBER(AW1318),IF(AW1318&gt;450,"Yes","No"),IF(AW1318="NR","NR",""))</f>
        <v/>
      </c>
      <c r="BJ1318" s="9">
        <f>IF(BB1318="","",IF(BB1318="Non-viable","Non-viable",IF(BB1318="Viable","Viable",IF(BB1318="Partially non-viable",IF(OR(BD1318="Total splenectomy",BD1318="Partial splenectomy +/- splenopexy"),"Non-viable","Review"),IF(BB1318="NR",IF(OR(BD1318="Total splenectomy",BD1318="Partial splenectomy +/- splenopexy"),"NR - removed, check reason","NR"),"Not applicable")))))</f>
        <v/>
      </c>
    </row>
    <row r="1319">
      <c r="D1319" s="8" t="n"/>
      <c r="E1319" s="9">
        <f>IF(B1319="","",IF(B1319="OWN","Yes","No"))</f>
        <v/>
      </c>
      <c r="AF1319" s="9">
        <f>IF(ISNUMBER(Z1319),IF(Z1319&lt;=2,"&lt;=2 d",IF(Z1319&lt;=7,"3-7 d",IF(Z1319&lt;=30,"8-30 d","&gt;30 d"))),IF(AE1319&lt;&gt;"",AE1319,IF(Z1319="NR","NR","")))</f>
        <v/>
      </c>
      <c r="AX1319" s="9">
        <f>IF(ISNUMBER(AW1319),IF(AW1319&gt;450,"Yes","No"),IF(AW1319="NR","NR",""))</f>
        <v/>
      </c>
      <c r="BJ1319" s="9">
        <f>IF(BB1319="","",IF(BB1319="Non-viable","Non-viable",IF(BB1319="Viable","Viable",IF(BB1319="Partially non-viable",IF(OR(BD1319="Total splenectomy",BD1319="Partial splenectomy +/- splenopexy"),"Non-viable","Review"),IF(BB1319="NR",IF(OR(BD1319="Total splenectomy",BD1319="Partial splenectomy +/- splenopexy"),"NR - removed, check reason","NR"),"Not applicable")))))</f>
        <v/>
      </c>
    </row>
    <row r="1320">
      <c r="D1320" s="8" t="n"/>
      <c r="E1320" s="9">
        <f>IF(B1320="","",IF(B1320="OWN","Yes","No"))</f>
        <v/>
      </c>
      <c r="AF1320" s="9">
        <f>IF(ISNUMBER(Z1320),IF(Z1320&lt;=2,"&lt;=2 d",IF(Z1320&lt;=7,"3-7 d",IF(Z1320&lt;=30,"8-30 d","&gt;30 d"))),IF(AE1320&lt;&gt;"",AE1320,IF(Z1320="NR","NR","")))</f>
        <v/>
      </c>
      <c r="AX1320" s="9">
        <f>IF(ISNUMBER(AW1320),IF(AW1320&gt;450,"Yes","No"),IF(AW1320="NR","NR",""))</f>
        <v/>
      </c>
      <c r="BJ1320" s="9">
        <f>IF(BB1320="","",IF(BB1320="Non-viable","Non-viable",IF(BB1320="Viable","Viable",IF(BB1320="Partially non-viable",IF(OR(BD1320="Total splenectomy",BD1320="Partial splenectomy +/- splenopexy"),"Non-viable","Review"),IF(BB1320="NR",IF(OR(BD1320="Total splenectomy",BD1320="Partial splenectomy +/- splenopexy"),"NR - removed, check reason","NR"),"Not applicable")))))</f>
        <v/>
      </c>
    </row>
    <row r="1321">
      <c r="D1321" s="8" t="n"/>
      <c r="E1321" s="9">
        <f>IF(B1321="","",IF(B1321="OWN","Yes","No"))</f>
        <v/>
      </c>
      <c r="AF1321" s="9">
        <f>IF(ISNUMBER(Z1321),IF(Z1321&lt;=2,"&lt;=2 d",IF(Z1321&lt;=7,"3-7 d",IF(Z1321&lt;=30,"8-30 d","&gt;30 d"))),IF(AE1321&lt;&gt;"",AE1321,IF(Z1321="NR","NR","")))</f>
        <v/>
      </c>
      <c r="AX1321" s="9">
        <f>IF(ISNUMBER(AW1321),IF(AW1321&gt;450,"Yes","No"),IF(AW1321="NR","NR",""))</f>
        <v/>
      </c>
      <c r="BJ1321" s="9">
        <f>IF(BB1321="","",IF(BB1321="Non-viable","Non-viable",IF(BB1321="Viable","Viable",IF(BB1321="Partially non-viable",IF(OR(BD1321="Total splenectomy",BD1321="Partial splenectomy +/- splenopexy"),"Non-viable","Review"),IF(BB1321="NR",IF(OR(BD1321="Total splenectomy",BD1321="Partial splenectomy +/- splenopexy"),"NR - removed, check reason","NR"),"Not applicable")))))</f>
        <v/>
      </c>
    </row>
    <row r="1322">
      <c r="D1322" s="8" t="n"/>
      <c r="E1322" s="9">
        <f>IF(B1322="","",IF(B1322="OWN","Yes","No"))</f>
        <v/>
      </c>
      <c r="AF1322" s="9">
        <f>IF(ISNUMBER(Z1322),IF(Z1322&lt;=2,"&lt;=2 d",IF(Z1322&lt;=7,"3-7 d",IF(Z1322&lt;=30,"8-30 d","&gt;30 d"))),IF(AE1322&lt;&gt;"",AE1322,IF(Z1322="NR","NR","")))</f>
        <v/>
      </c>
      <c r="AX1322" s="9">
        <f>IF(ISNUMBER(AW1322),IF(AW1322&gt;450,"Yes","No"),IF(AW1322="NR","NR",""))</f>
        <v/>
      </c>
      <c r="BJ1322" s="9">
        <f>IF(BB1322="","",IF(BB1322="Non-viable","Non-viable",IF(BB1322="Viable","Viable",IF(BB1322="Partially non-viable",IF(OR(BD1322="Total splenectomy",BD1322="Partial splenectomy +/- splenopexy"),"Non-viable","Review"),IF(BB1322="NR",IF(OR(BD1322="Total splenectomy",BD1322="Partial splenectomy +/- splenopexy"),"NR - removed, check reason","NR"),"Not applicable")))))</f>
        <v/>
      </c>
    </row>
    <row r="1323">
      <c r="D1323" s="8" t="n"/>
      <c r="E1323" s="9">
        <f>IF(B1323="","",IF(B1323="OWN","Yes","No"))</f>
        <v/>
      </c>
      <c r="AF1323" s="9">
        <f>IF(ISNUMBER(Z1323),IF(Z1323&lt;=2,"&lt;=2 d",IF(Z1323&lt;=7,"3-7 d",IF(Z1323&lt;=30,"8-30 d","&gt;30 d"))),IF(AE1323&lt;&gt;"",AE1323,IF(Z1323="NR","NR","")))</f>
        <v/>
      </c>
      <c r="AX1323" s="9">
        <f>IF(ISNUMBER(AW1323),IF(AW1323&gt;450,"Yes","No"),IF(AW1323="NR","NR",""))</f>
        <v/>
      </c>
      <c r="BJ1323" s="9">
        <f>IF(BB1323="","",IF(BB1323="Non-viable","Non-viable",IF(BB1323="Viable","Viable",IF(BB1323="Partially non-viable",IF(OR(BD1323="Total splenectomy",BD1323="Partial splenectomy +/- splenopexy"),"Non-viable","Review"),IF(BB1323="NR",IF(OR(BD1323="Total splenectomy",BD1323="Partial splenectomy +/- splenopexy"),"NR - removed, check reason","NR"),"Not applicable")))))</f>
        <v/>
      </c>
    </row>
    <row r="1324">
      <c r="D1324" s="8" t="n"/>
      <c r="E1324" s="9">
        <f>IF(B1324="","",IF(B1324="OWN","Yes","No"))</f>
        <v/>
      </c>
      <c r="AF1324" s="9">
        <f>IF(ISNUMBER(Z1324),IF(Z1324&lt;=2,"&lt;=2 d",IF(Z1324&lt;=7,"3-7 d",IF(Z1324&lt;=30,"8-30 d","&gt;30 d"))),IF(AE1324&lt;&gt;"",AE1324,IF(Z1324="NR","NR","")))</f>
        <v/>
      </c>
      <c r="AX1324" s="9">
        <f>IF(ISNUMBER(AW1324),IF(AW1324&gt;450,"Yes","No"),IF(AW1324="NR","NR",""))</f>
        <v/>
      </c>
      <c r="BJ1324" s="9">
        <f>IF(BB1324="","",IF(BB1324="Non-viable","Non-viable",IF(BB1324="Viable","Viable",IF(BB1324="Partially non-viable",IF(OR(BD1324="Total splenectomy",BD1324="Partial splenectomy +/- splenopexy"),"Non-viable","Review"),IF(BB1324="NR",IF(OR(BD1324="Total splenectomy",BD1324="Partial splenectomy +/- splenopexy"),"NR - removed, check reason","NR"),"Not applicable")))))</f>
        <v/>
      </c>
    </row>
    <row r="1325">
      <c r="D1325" s="8" t="n"/>
      <c r="E1325" s="9">
        <f>IF(B1325="","",IF(B1325="OWN","Yes","No"))</f>
        <v/>
      </c>
      <c r="AF1325" s="9">
        <f>IF(ISNUMBER(Z1325),IF(Z1325&lt;=2,"&lt;=2 d",IF(Z1325&lt;=7,"3-7 d",IF(Z1325&lt;=30,"8-30 d","&gt;30 d"))),IF(AE1325&lt;&gt;"",AE1325,IF(Z1325="NR","NR","")))</f>
        <v/>
      </c>
      <c r="AX1325" s="9">
        <f>IF(ISNUMBER(AW1325),IF(AW1325&gt;450,"Yes","No"),IF(AW1325="NR","NR",""))</f>
        <v/>
      </c>
      <c r="BJ1325" s="9">
        <f>IF(BB1325="","",IF(BB1325="Non-viable","Non-viable",IF(BB1325="Viable","Viable",IF(BB1325="Partially non-viable",IF(OR(BD1325="Total splenectomy",BD1325="Partial splenectomy +/- splenopexy"),"Non-viable","Review"),IF(BB1325="NR",IF(OR(BD1325="Total splenectomy",BD1325="Partial splenectomy +/- splenopexy"),"NR - removed, check reason","NR"),"Not applicable")))))</f>
        <v/>
      </c>
    </row>
    <row r="1326">
      <c r="D1326" s="8" t="n"/>
      <c r="E1326" s="9">
        <f>IF(B1326="","",IF(B1326="OWN","Yes","No"))</f>
        <v/>
      </c>
      <c r="AF1326" s="9">
        <f>IF(ISNUMBER(Z1326),IF(Z1326&lt;=2,"&lt;=2 d",IF(Z1326&lt;=7,"3-7 d",IF(Z1326&lt;=30,"8-30 d","&gt;30 d"))),IF(AE1326&lt;&gt;"",AE1326,IF(Z1326="NR","NR","")))</f>
        <v/>
      </c>
      <c r="AX1326" s="9">
        <f>IF(ISNUMBER(AW1326),IF(AW1326&gt;450,"Yes","No"),IF(AW1326="NR","NR",""))</f>
        <v/>
      </c>
      <c r="BJ1326" s="9">
        <f>IF(BB1326="","",IF(BB1326="Non-viable","Non-viable",IF(BB1326="Viable","Viable",IF(BB1326="Partially non-viable",IF(OR(BD1326="Total splenectomy",BD1326="Partial splenectomy +/- splenopexy"),"Non-viable","Review"),IF(BB1326="NR",IF(OR(BD1326="Total splenectomy",BD1326="Partial splenectomy +/- splenopexy"),"NR - removed, check reason","NR"),"Not applicable")))))</f>
        <v/>
      </c>
    </row>
    <row r="1327">
      <c r="D1327" s="8" t="n"/>
      <c r="E1327" s="9">
        <f>IF(B1327="","",IF(B1327="OWN","Yes","No"))</f>
        <v/>
      </c>
      <c r="AF1327" s="9">
        <f>IF(ISNUMBER(Z1327),IF(Z1327&lt;=2,"&lt;=2 d",IF(Z1327&lt;=7,"3-7 d",IF(Z1327&lt;=30,"8-30 d","&gt;30 d"))),IF(AE1327&lt;&gt;"",AE1327,IF(Z1327="NR","NR","")))</f>
        <v/>
      </c>
      <c r="AX1327" s="9">
        <f>IF(ISNUMBER(AW1327),IF(AW1327&gt;450,"Yes","No"),IF(AW1327="NR","NR",""))</f>
        <v/>
      </c>
      <c r="BJ1327" s="9">
        <f>IF(BB1327="","",IF(BB1327="Non-viable","Non-viable",IF(BB1327="Viable","Viable",IF(BB1327="Partially non-viable",IF(OR(BD1327="Total splenectomy",BD1327="Partial splenectomy +/- splenopexy"),"Non-viable","Review"),IF(BB1327="NR",IF(OR(BD1327="Total splenectomy",BD1327="Partial splenectomy +/- splenopexy"),"NR - removed, check reason","NR"),"Not applicable")))))</f>
        <v/>
      </c>
    </row>
    <row r="1328">
      <c r="D1328" s="8" t="n"/>
      <c r="E1328" s="9">
        <f>IF(B1328="","",IF(B1328="OWN","Yes","No"))</f>
        <v/>
      </c>
      <c r="AF1328" s="9">
        <f>IF(ISNUMBER(Z1328),IF(Z1328&lt;=2,"&lt;=2 d",IF(Z1328&lt;=7,"3-7 d",IF(Z1328&lt;=30,"8-30 d","&gt;30 d"))),IF(AE1328&lt;&gt;"",AE1328,IF(Z1328="NR","NR","")))</f>
        <v/>
      </c>
      <c r="AX1328" s="9">
        <f>IF(ISNUMBER(AW1328),IF(AW1328&gt;450,"Yes","No"),IF(AW1328="NR","NR",""))</f>
        <v/>
      </c>
      <c r="BJ1328" s="9">
        <f>IF(BB1328="","",IF(BB1328="Non-viable","Non-viable",IF(BB1328="Viable","Viable",IF(BB1328="Partially non-viable",IF(OR(BD1328="Total splenectomy",BD1328="Partial splenectomy +/- splenopexy"),"Non-viable","Review"),IF(BB1328="NR",IF(OR(BD1328="Total splenectomy",BD1328="Partial splenectomy +/- splenopexy"),"NR - removed, check reason","NR"),"Not applicable")))))</f>
        <v/>
      </c>
    </row>
    <row r="1329">
      <c r="D1329" s="8" t="n"/>
      <c r="E1329" s="9">
        <f>IF(B1329="","",IF(B1329="OWN","Yes","No"))</f>
        <v/>
      </c>
      <c r="AF1329" s="9">
        <f>IF(ISNUMBER(Z1329),IF(Z1329&lt;=2,"&lt;=2 d",IF(Z1329&lt;=7,"3-7 d",IF(Z1329&lt;=30,"8-30 d","&gt;30 d"))),IF(AE1329&lt;&gt;"",AE1329,IF(Z1329="NR","NR","")))</f>
        <v/>
      </c>
      <c r="AX1329" s="9">
        <f>IF(ISNUMBER(AW1329),IF(AW1329&gt;450,"Yes","No"),IF(AW1329="NR","NR",""))</f>
        <v/>
      </c>
      <c r="BJ1329" s="9">
        <f>IF(BB1329="","",IF(BB1329="Non-viable","Non-viable",IF(BB1329="Viable","Viable",IF(BB1329="Partially non-viable",IF(OR(BD1329="Total splenectomy",BD1329="Partial splenectomy +/- splenopexy"),"Non-viable","Review"),IF(BB1329="NR",IF(OR(BD1329="Total splenectomy",BD1329="Partial splenectomy +/- splenopexy"),"NR - removed, check reason","NR"),"Not applicable")))))</f>
        <v/>
      </c>
    </row>
    <row r="1330">
      <c r="D1330" s="8" t="n"/>
      <c r="E1330" s="9">
        <f>IF(B1330="","",IF(B1330="OWN","Yes","No"))</f>
        <v/>
      </c>
      <c r="AF1330" s="9">
        <f>IF(ISNUMBER(Z1330),IF(Z1330&lt;=2,"&lt;=2 d",IF(Z1330&lt;=7,"3-7 d",IF(Z1330&lt;=30,"8-30 d","&gt;30 d"))),IF(AE1330&lt;&gt;"",AE1330,IF(Z1330="NR","NR","")))</f>
        <v/>
      </c>
      <c r="AX1330" s="9">
        <f>IF(ISNUMBER(AW1330),IF(AW1330&gt;450,"Yes","No"),IF(AW1330="NR","NR",""))</f>
        <v/>
      </c>
      <c r="BJ1330" s="9">
        <f>IF(BB1330="","",IF(BB1330="Non-viable","Non-viable",IF(BB1330="Viable","Viable",IF(BB1330="Partially non-viable",IF(OR(BD1330="Total splenectomy",BD1330="Partial splenectomy +/- splenopexy"),"Non-viable","Review"),IF(BB1330="NR",IF(OR(BD1330="Total splenectomy",BD1330="Partial splenectomy +/- splenopexy"),"NR - removed, check reason","NR"),"Not applicable")))))</f>
        <v/>
      </c>
    </row>
    <row r="1331">
      <c r="D1331" s="8" t="n"/>
      <c r="E1331" s="9">
        <f>IF(B1331="","",IF(B1331="OWN","Yes","No"))</f>
        <v/>
      </c>
      <c r="AF1331" s="9">
        <f>IF(ISNUMBER(Z1331),IF(Z1331&lt;=2,"&lt;=2 d",IF(Z1331&lt;=7,"3-7 d",IF(Z1331&lt;=30,"8-30 d","&gt;30 d"))),IF(AE1331&lt;&gt;"",AE1331,IF(Z1331="NR","NR","")))</f>
        <v/>
      </c>
      <c r="AX1331" s="9">
        <f>IF(ISNUMBER(AW1331),IF(AW1331&gt;450,"Yes","No"),IF(AW1331="NR","NR",""))</f>
        <v/>
      </c>
      <c r="BJ1331" s="9">
        <f>IF(BB1331="","",IF(BB1331="Non-viable","Non-viable",IF(BB1331="Viable","Viable",IF(BB1331="Partially non-viable",IF(OR(BD1331="Total splenectomy",BD1331="Partial splenectomy +/- splenopexy"),"Non-viable","Review"),IF(BB1331="NR",IF(OR(BD1331="Total splenectomy",BD1331="Partial splenectomy +/- splenopexy"),"NR - removed, check reason","NR"),"Not applicable")))))</f>
        <v/>
      </c>
    </row>
    <row r="1332">
      <c r="D1332" s="8" t="n"/>
      <c r="E1332" s="9">
        <f>IF(B1332="","",IF(B1332="OWN","Yes","No"))</f>
        <v/>
      </c>
      <c r="AF1332" s="9">
        <f>IF(ISNUMBER(Z1332),IF(Z1332&lt;=2,"&lt;=2 d",IF(Z1332&lt;=7,"3-7 d",IF(Z1332&lt;=30,"8-30 d","&gt;30 d"))),IF(AE1332&lt;&gt;"",AE1332,IF(Z1332="NR","NR","")))</f>
        <v/>
      </c>
      <c r="AX1332" s="9">
        <f>IF(ISNUMBER(AW1332),IF(AW1332&gt;450,"Yes","No"),IF(AW1332="NR","NR",""))</f>
        <v/>
      </c>
      <c r="BJ1332" s="9">
        <f>IF(BB1332="","",IF(BB1332="Non-viable","Non-viable",IF(BB1332="Viable","Viable",IF(BB1332="Partially non-viable",IF(OR(BD1332="Total splenectomy",BD1332="Partial splenectomy +/- splenopexy"),"Non-viable","Review"),IF(BB1332="NR",IF(OR(BD1332="Total splenectomy",BD1332="Partial splenectomy +/- splenopexy"),"NR - removed, check reason","NR"),"Not applicable")))))</f>
        <v/>
      </c>
    </row>
    <row r="1333">
      <c r="D1333" s="8" t="n"/>
      <c r="E1333" s="9">
        <f>IF(B1333="","",IF(B1333="OWN","Yes","No"))</f>
        <v/>
      </c>
      <c r="AF1333" s="9">
        <f>IF(ISNUMBER(Z1333),IF(Z1333&lt;=2,"&lt;=2 d",IF(Z1333&lt;=7,"3-7 d",IF(Z1333&lt;=30,"8-30 d","&gt;30 d"))),IF(AE1333&lt;&gt;"",AE1333,IF(Z1333="NR","NR","")))</f>
        <v/>
      </c>
      <c r="AX1333" s="9">
        <f>IF(ISNUMBER(AW1333),IF(AW1333&gt;450,"Yes","No"),IF(AW1333="NR","NR",""))</f>
        <v/>
      </c>
      <c r="BJ1333" s="9">
        <f>IF(BB1333="","",IF(BB1333="Non-viable","Non-viable",IF(BB1333="Viable","Viable",IF(BB1333="Partially non-viable",IF(OR(BD1333="Total splenectomy",BD1333="Partial splenectomy +/- splenopexy"),"Non-viable","Review"),IF(BB1333="NR",IF(OR(BD1333="Total splenectomy",BD1333="Partial splenectomy +/- splenopexy"),"NR - removed, check reason","NR"),"Not applicable")))))</f>
        <v/>
      </c>
    </row>
    <row r="1334">
      <c r="D1334" s="8" t="n"/>
      <c r="E1334" s="9">
        <f>IF(B1334="","",IF(B1334="OWN","Yes","No"))</f>
        <v/>
      </c>
      <c r="AF1334" s="9">
        <f>IF(ISNUMBER(Z1334),IF(Z1334&lt;=2,"&lt;=2 d",IF(Z1334&lt;=7,"3-7 d",IF(Z1334&lt;=30,"8-30 d","&gt;30 d"))),IF(AE1334&lt;&gt;"",AE1334,IF(Z1334="NR","NR","")))</f>
        <v/>
      </c>
      <c r="AX1334" s="9">
        <f>IF(ISNUMBER(AW1334),IF(AW1334&gt;450,"Yes","No"),IF(AW1334="NR","NR",""))</f>
        <v/>
      </c>
      <c r="BJ1334" s="9">
        <f>IF(BB1334="","",IF(BB1334="Non-viable","Non-viable",IF(BB1334="Viable","Viable",IF(BB1334="Partially non-viable",IF(OR(BD1334="Total splenectomy",BD1334="Partial splenectomy +/- splenopexy"),"Non-viable","Review"),IF(BB1334="NR",IF(OR(BD1334="Total splenectomy",BD1334="Partial splenectomy +/- splenopexy"),"NR - removed, check reason","NR"),"Not applicable")))))</f>
        <v/>
      </c>
    </row>
    <row r="1335">
      <c r="D1335" s="8" t="n"/>
      <c r="E1335" s="9">
        <f>IF(B1335="","",IF(B1335="OWN","Yes","No"))</f>
        <v/>
      </c>
      <c r="AF1335" s="9">
        <f>IF(ISNUMBER(Z1335),IF(Z1335&lt;=2,"&lt;=2 d",IF(Z1335&lt;=7,"3-7 d",IF(Z1335&lt;=30,"8-30 d","&gt;30 d"))),IF(AE1335&lt;&gt;"",AE1335,IF(Z1335="NR","NR","")))</f>
        <v/>
      </c>
      <c r="AX1335" s="9">
        <f>IF(ISNUMBER(AW1335),IF(AW1335&gt;450,"Yes","No"),IF(AW1335="NR","NR",""))</f>
        <v/>
      </c>
      <c r="BJ1335" s="9">
        <f>IF(BB1335="","",IF(BB1335="Non-viable","Non-viable",IF(BB1335="Viable","Viable",IF(BB1335="Partially non-viable",IF(OR(BD1335="Total splenectomy",BD1335="Partial splenectomy +/- splenopexy"),"Non-viable","Review"),IF(BB1335="NR",IF(OR(BD1335="Total splenectomy",BD1335="Partial splenectomy +/- splenopexy"),"NR - removed, check reason","NR"),"Not applicable")))))</f>
        <v/>
      </c>
    </row>
    <row r="1336">
      <c r="D1336" s="8" t="n"/>
      <c r="E1336" s="9">
        <f>IF(B1336="","",IF(B1336="OWN","Yes","No"))</f>
        <v/>
      </c>
      <c r="AF1336" s="9">
        <f>IF(ISNUMBER(Z1336),IF(Z1336&lt;=2,"&lt;=2 d",IF(Z1336&lt;=7,"3-7 d",IF(Z1336&lt;=30,"8-30 d","&gt;30 d"))),IF(AE1336&lt;&gt;"",AE1336,IF(Z1336="NR","NR","")))</f>
        <v/>
      </c>
      <c r="AX1336" s="9">
        <f>IF(ISNUMBER(AW1336),IF(AW1336&gt;450,"Yes","No"),IF(AW1336="NR","NR",""))</f>
        <v/>
      </c>
      <c r="BJ1336" s="9">
        <f>IF(BB1336="","",IF(BB1336="Non-viable","Non-viable",IF(BB1336="Viable","Viable",IF(BB1336="Partially non-viable",IF(OR(BD1336="Total splenectomy",BD1336="Partial splenectomy +/- splenopexy"),"Non-viable","Review"),IF(BB1336="NR",IF(OR(BD1336="Total splenectomy",BD1336="Partial splenectomy +/- splenopexy"),"NR - removed, check reason","NR"),"Not applicable")))))</f>
        <v/>
      </c>
    </row>
    <row r="1337">
      <c r="D1337" s="8" t="n"/>
      <c r="E1337" s="9">
        <f>IF(B1337="","",IF(B1337="OWN","Yes","No"))</f>
        <v/>
      </c>
      <c r="AF1337" s="9">
        <f>IF(ISNUMBER(Z1337),IF(Z1337&lt;=2,"&lt;=2 d",IF(Z1337&lt;=7,"3-7 d",IF(Z1337&lt;=30,"8-30 d","&gt;30 d"))),IF(AE1337&lt;&gt;"",AE1337,IF(Z1337="NR","NR","")))</f>
        <v/>
      </c>
      <c r="AX1337" s="9">
        <f>IF(ISNUMBER(AW1337),IF(AW1337&gt;450,"Yes","No"),IF(AW1337="NR","NR",""))</f>
        <v/>
      </c>
      <c r="BJ1337" s="9">
        <f>IF(BB1337="","",IF(BB1337="Non-viable","Non-viable",IF(BB1337="Viable","Viable",IF(BB1337="Partially non-viable",IF(OR(BD1337="Total splenectomy",BD1337="Partial splenectomy +/- splenopexy"),"Non-viable","Review"),IF(BB1337="NR",IF(OR(BD1337="Total splenectomy",BD1337="Partial splenectomy +/- splenopexy"),"NR - removed, check reason","NR"),"Not applicable")))))</f>
        <v/>
      </c>
    </row>
    <row r="1338">
      <c r="D1338" s="8" t="n"/>
      <c r="E1338" s="9">
        <f>IF(B1338="","",IF(B1338="OWN","Yes","No"))</f>
        <v/>
      </c>
      <c r="AF1338" s="9">
        <f>IF(ISNUMBER(Z1338),IF(Z1338&lt;=2,"&lt;=2 d",IF(Z1338&lt;=7,"3-7 d",IF(Z1338&lt;=30,"8-30 d","&gt;30 d"))),IF(AE1338&lt;&gt;"",AE1338,IF(Z1338="NR","NR","")))</f>
        <v/>
      </c>
      <c r="AX1338" s="9">
        <f>IF(ISNUMBER(AW1338),IF(AW1338&gt;450,"Yes","No"),IF(AW1338="NR","NR",""))</f>
        <v/>
      </c>
      <c r="BJ1338" s="9">
        <f>IF(BB1338="","",IF(BB1338="Non-viable","Non-viable",IF(BB1338="Viable","Viable",IF(BB1338="Partially non-viable",IF(OR(BD1338="Total splenectomy",BD1338="Partial splenectomy +/- splenopexy"),"Non-viable","Review"),IF(BB1338="NR",IF(OR(BD1338="Total splenectomy",BD1338="Partial splenectomy +/- splenopexy"),"NR - removed, check reason","NR"),"Not applicable")))))</f>
        <v/>
      </c>
    </row>
    <row r="1339">
      <c r="D1339" s="8" t="n"/>
      <c r="E1339" s="9">
        <f>IF(B1339="","",IF(B1339="OWN","Yes","No"))</f>
        <v/>
      </c>
      <c r="AF1339" s="9">
        <f>IF(ISNUMBER(Z1339),IF(Z1339&lt;=2,"&lt;=2 d",IF(Z1339&lt;=7,"3-7 d",IF(Z1339&lt;=30,"8-30 d","&gt;30 d"))),IF(AE1339&lt;&gt;"",AE1339,IF(Z1339="NR","NR","")))</f>
        <v/>
      </c>
      <c r="AX1339" s="9">
        <f>IF(ISNUMBER(AW1339),IF(AW1339&gt;450,"Yes","No"),IF(AW1339="NR","NR",""))</f>
        <v/>
      </c>
      <c r="BJ1339" s="9">
        <f>IF(BB1339="","",IF(BB1339="Non-viable","Non-viable",IF(BB1339="Viable","Viable",IF(BB1339="Partially non-viable",IF(OR(BD1339="Total splenectomy",BD1339="Partial splenectomy +/- splenopexy"),"Non-viable","Review"),IF(BB1339="NR",IF(OR(BD1339="Total splenectomy",BD1339="Partial splenectomy +/- splenopexy"),"NR - removed, check reason","NR"),"Not applicable")))))</f>
        <v/>
      </c>
    </row>
    <row r="1340">
      <c r="D1340" s="8" t="n"/>
      <c r="E1340" s="9">
        <f>IF(B1340="","",IF(B1340="OWN","Yes","No"))</f>
        <v/>
      </c>
      <c r="AF1340" s="9">
        <f>IF(ISNUMBER(Z1340),IF(Z1340&lt;=2,"&lt;=2 d",IF(Z1340&lt;=7,"3-7 d",IF(Z1340&lt;=30,"8-30 d","&gt;30 d"))),IF(AE1340&lt;&gt;"",AE1340,IF(Z1340="NR","NR","")))</f>
        <v/>
      </c>
      <c r="AX1340" s="9">
        <f>IF(ISNUMBER(AW1340),IF(AW1340&gt;450,"Yes","No"),IF(AW1340="NR","NR",""))</f>
        <v/>
      </c>
      <c r="BJ1340" s="9">
        <f>IF(BB1340="","",IF(BB1340="Non-viable","Non-viable",IF(BB1340="Viable","Viable",IF(BB1340="Partially non-viable",IF(OR(BD1340="Total splenectomy",BD1340="Partial splenectomy +/- splenopexy"),"Non-viable","Review"),IF(BB1340="NR",IF(OR(BD1340="Total splenectomy",BD1340="Partial splenectomy +/- splenopexy"),"NR - removed, check reason","NR"),"Not applicable")))))</f>
        <v/>
      </c>
    </row>
    <row r="1341">
      <c r="D1341" s="8" t="n"/>
      <c r="E1341" s="9">
        <f>IF(B1341="","",IF(B1341="OWN","Yes","No"))</f>
        <v/>
      </c>
      <c r="AF1341" s="9">
        <f>IF(ISNUMBER(Z1341),IF(Z1341&lt;=2,"&lt;=2 d",IF(Z1341&lt;=7,"3-7 d",IF(Z1341&lt;=30,"8-30 d","&gt;30 d"))),IF(AE1341&lt;&gt;"",AE1341,IF(Z1341="NR","NR","")))</f>
        <v/>
      </c>
      <c r="AX1341" s="9">
        <f>IF(ISNUMBER(AW1341),IF(AW1341&gt;450,"Yes","No"),IF(AW1341="NR","NR",""))</f>
        <v/>
      </c>
      <c r="BJ1341" s="9">
        <f>IF(BB1341="","",IF(BB1341="Non-viable","Non-viable",IF(BB1341="Viable","Viable",IF(BB1341="Partially non-viable",IF(OR(BD1341="Total splenectomy",BD1341="Partial splenectomy +/- splenopexy"),"Non-viable","Review"),IF(BB1341="NR",IF(OR(BD1341="Total splenectomy",BD1341="Partial splenectomy +/- splenopexy"),"NR - removed, check reason","NR"),"Not applicable")))))</f>
        <v/>
      </c>
    </row>
    <row r="1342">
      <c r="D1342" s="8" t="n"/>
      <c r="E1342" s="9">
        <f>IF(B1342="","",IF(B1342="OWN","Yes","No"))</f>
        <v/>
      </c>
      <c r="AF1342" s="9">
        <f>IF(ISNUMBER(Z1342),IF(Z1342&lt;=2,"&lt;=2 d",IF(Z1342&lt;=7,"3-7 d",IF(Z1342&lt;=30,"8-30 d","&gt;30 d"))),IF(AE1342&lt;&gt;"",AE1342,IF(Z1342="NR","NR","")))</f>
        <v/>
      </c>
      <c r="AX1342" s="9">
        <f>IF(ISNUMBER(AW1342),IF(AW1342&gt;450,"Yes","No"),IF(AW1342="NR","NR",""))</f>
        <v/>
      </c>
      <c r="BJ1342" s="9">
        <f>IF(BB1342="","",IF(BB1342="Non-viable","Non-viable",IF(BB1342="Viable","Viable",IF(BB1342="Partially non-viable",IF(OR(BD1342="Total splenectomy",BD1342="Partial splenectomy +/- splenopexy"),"Non-viable","Review"),IF(BB1342="NR",IF(OR(BD1342="Total splenectomy",BD1342="Partial splenectomy +/- splenopexy"),"NR - removed, check reason","NR"),"Not applicable")))))</f>
        <v/>
      </c>
    </row>
    <row r="1343">
      <c r="D1343" s="8" t="n"/>
      <c r="E1343" s="9">
        <f>IF(B1343="","",IF(B1343="OWN","Yes","No"))</f>
        <v/>
      </c>
      <c r="AF1343" s="9">
        <f>IF(ISNUMBER(Z1343),IF(Z1343&lt;=2,"&lt;=2 d",IF(Z1343&lt;=7,"3-7 d",IF(Z1343&lt;=30,"8-30 d","&gt;30 d"))),IF(AE1343&lt;&gt;"",AE1343,IF(Z1343="NR","NR","")))</f>
        <v/>
      </c>
      <c r="AX1343" s="9">
        <f>IF(ISNUMBER(AW1343),IF(AW1343&gt;450,"Yes","No"),IF(AW1343="NR","NR",""))</f>
        <v/>
      </c>
      <c r="BJ1343" s="9">
        <f>IF(BB1343="","",IF(BB1343="Non-viable","Non-viable",IF(BB1343="Viable","Viable",IF(BB1343="Partially non-viable",IF(OR(BD1343="Total splenectomy",BD1343="Partial splenectomy +/- splenopexy"),"Non-viable","Review"),IF(BB1343="NR",IF(OR(BD1343="Total splenectomy",BD1343="Partial splenectomy +/- splenopexy"),"NR - removed, check reason","NR"),"Not applicable")))))</f>
        <v/>
      </c>
    </row>
    <row r="1344">
      <c r="D1344" s="8" t="n"/>
      <c r="E1344" s="9">
        <f>IF(B1344="","",IF(B1344="OWN","Yes","No"))</f>
        <v/>
      </c>
      <c r="AF1344" s="9">
        <f>IF(ISNUMBER(Z1344),IF(Z1344&lt;=2,"&lt;=2 d",IF(Z1344&lt;=7,"3-7 d",IF(Z1344&lt;=30,"8-30 d","&gt;30 d"))),IF(AE1344&lt;&gt;"",AE1344,IF(Z1344="NR","NR","")))</f>
        <v/>
      </c>
      <c r="AX1344" s="9">
        <f>IF(ISNUMBER(AW1344),IF(AW1344&gt;450,"Yes","No"),IF(AW1344="NR","NR",""))</f>
        <v/>
      </c>
      <c r="BJ1344" s="9">
        <f>IF(BB1344="","",IF(BB1344="Non-viable","Non-viable",IF(BB1344="Viable","Viable",IF(BB1344="Partially non-viable",IF(OR(BD1344="Total splenectomy",BD1344="Partial splenectomy +/- splenopexy"),"Non-viable","Review"),IF(BB1344="NR",IF(OR(BD1344="Total splenectomy",BD1344="Partial splenectomy +/- splenopexy"),"NR - removed, check reason","NR"),"Not applicable")))))</f>
        <v/>
      </c>
    </row>
    <row r="1345">
      <c r="D1345" s="8" t="n"/>
      <c r="E1345" s="9">
        <f>IF(B1345="","",IF(B1345="OWN","Yes","No"))</f>
        <v/>
      </c>
      <c r="AF1345" s="9">
        <f>IF(ISNUMBER(Z1345),IF(Z1345&lt;=2,"&lt;=2 d",IF(Z1345&lt;=7,"3-7 d",IF(Z1345&lt;=30,"8-30 d","&gt;30 d"))),IF(AE1345&lt;&gt;"",AE1345,IF(Z1345="NR","NR","")))</f>
        <v/>
      </c>
      <c r="AX1345" s="9">
        <f>IF(ISNUMBER(AW1345),IF(AW1345&gt;450,"Yes","No"),IF(AW1345="NR","NR",""))</f>
        <v/>
      </c>
      <c r="BJ1345" s="9">
        <f>IF(BB1345="","",IF(BB1345="Non-viable","Non-viable",IF(BB1345="Viable","Viable",IF(BB1345="Partially non-viable",IF(OR(BD1345="Total splenectomy",BD1345="Partial splenectomy +/- splenopexy"),"Non-viable","Review"),IF(BB1345="NR",IF(OR(BD1345="Total splenectomy",BD1345="Partial splenectomy +/- splenopexy"),"NR - removed, check reason","NR"),"Not applicable")))))</f>
        <v/>
      </c>
    </row>
    <row r="1346">
      <c r="D1346" s="8" t="n"/>
      <c r="E1346" s="9">
        <f>IF(B1346="","",IF(B1346="OWN","Yes","No"))</f>
        <v/>
      </c>
      <c r="AF1346" s="9">
        <f>IF(ISNUMBER(Z1346),IF(Z1346&lt;=2,"&lt;=2 d",IF(Z1346&lt;=7,"3-7 d",IF(Z1346&lt;=30,"8-30 d","&gt;30 d"))),IF(AE1346&lt;&gt;"",AE1346,IF(Z1346="NR","NR","")))</f>
        <v/>
      </c>
      <c r="AX1346" s="9">
        <f>IF(ISNUMBER(AW1346),IF(AW1346&gt;450,"Yes","No"),IF(AW1346="NR","NR",""))</f>
        <v/>
      </c>
      <c r="BJ1346" s="9">
        <f>IF(BB1346="","",IF(BB1346="Non-viable","Non-viable",IF(BB1346="Viable","Viable",IF(BB1346="Partially non-viable",IF(OR(BD1346="Total splenectomy",BD1346="Partial splenectomy +/- splenopexy"),"Non-viable","Review"),IF(BB1346="NR",IF(OR(BD1346="Total splenectomy",BD1346="Partial splenectomy +/- splenopexy"),"NR - removed, check reason","NR"),"Not applicable")))))</f>
        <v/>
      </c>
    </row>
    <row r="1347">
      <c r="D1347" s="8" t="n"/>
      <c r="E1347" s="9">
        <f>IF(B1347="","",IF(B1347="OWN","Yes","No"))</f>
        <v/>
      </c>
      <c r="AF1347" s="9">
        <f>IF(ISNUMBER(Z1347),IF(Z1347&lt;=2,"&lt;=2 d",IF(Z1347&lt;=7,"3-7 d",IF(Z1347&lt;=30,"8-30 d","&gt;30 d"))),IF(AE1347&lt;&gt;"",AE1347,IF(Z1347="NR","NR","")))</f>
        <v/>
      </c>
      <c r="AX1347" s="9">
        <f>IF(ISNUMBER(AW1347),IF(AW1347&gt;450,"Yes","No"),IF(AW1347="NR","NR",""))</f>
        <v/>
      </c>
      <c r="BJ1347" s="9">
        <f>IF(BB1347="","",IF(BB1347="Non-viable","Non-viable",IF(BB1347="Viable","Viable",IF(BB1347="Partially non-viable",IF(OR(BD1347="Total splenectomy",BD1347="Partial splenectomy +/- splenopexy"),"Non-viable","Review"),IF(BB1347="NR",IF(OR(BD1347="Total splenectomy",BD1347="Partial splenectomy +/- splenopexy"),"NR - removed, check reason","NR"),"Not applicable")))))</f>
        <v/>
      </c>
    </row>
    <row r="1348">
      <c r="D1348" s="8" t="n"/>
      <c r="E1348" s="9">
        <f>IF(B1348="","",IF(B1348="OWN","Yes","No"))</f>
        <v/>
      </c>
      <c r="AF1348" s="9">
        <f>IF(ISNUMBER(Z1348),IF(Z1348&lt;=2,"&lt;=2 d",IF(Z1348&lt;=7,"3-7 d",IF(Z1348&lt;=30,"8-30 d","&gt;30 d"))),IF(AE1348&lt;&gt;"",AE1348,IF(Z1348="NR","NR","")))</f>
        <v/>
      </c>
      <c r="AX1348" s="9">
        <f>IF(ISNUMBER(AW1348),IF(AW1348&gt;450,"Yes","No"),IF(AW1348="NR","NR",""))</f>
        <v/>
      </c>
      <c r="BJ1348" s="9">
        <f>IF(BB1348="","",IF(BB1348="Non-viable","Non-viable",IF(BB1348="Viable","Viable",IF(BB1348="Partially non-viable",IF(OR(BD1348="Total splenectomy",BD1348="Partial splenectomy +/- splenopexy"),"Non-viable","Review"),IF(BB1348="NR",IF(OR(BD1348="Total splenectomy",BD1348="Partial splenectomy +/- splenopexy"),"NR - removed, check reason","NR"),"Not applicable")))))</f>
        <v/>
      </c>
    </row>
    <row r="1349">
      <c r="D1349" s="8" t="n"/>
      <c r="E1349" s="9">
        <f>IF(B1349="","",IF(B1349="OWN","Yes","No"))</f>
        <v/>
      </c>
      <c r="AF1349" s="9">
        <f>IF(ISNUMBER(Z1349),IF(Z1349&lt;=2,"&lt;=2 d",IF(Z1349&lt;=7,"3-7 d",IF(Z1349&lt;=30,"8-30 d","&gt;30 d"))),IF(AE1349&lt;&gt;"",AE1349,IF(Z1349="NR","NR","")))</f>
        <v/>
      </c>
      <c r="AX1349" s="9">
        <f>IF(ISNUMBER(AW1349),IF(AW1349&gt;450,"Yes","No"),IF(AW1349="NR","NR",""))</f>
        <v/>
      </c>
      <c r="BJ1349" s="9">
        <f>IF(BB1349="","",IF(BB1349="Non-viable","Non-viable",IF(BB1349="Viable","Viable",IF(BB1349="Partially non-viable",IF(OR(BD1349="Total splenectomy",BD1349="Partial splenectomy +/- splenopexy"),"Non-viable","Review"),IF(BB1349="NR",IF(OR(BD1349="Total splenectomy",BD1349="Partial splenectomy +/- splenopexy"),"NR - removed, check reason","NR"),"Not applicable")))))</f>
        <v/>
      </c>
    </row>
    <row r="1350">
      <c r="D1350" s="8" t="n"/>
      <c r="E1350" s="9">
        <f>IF(B1350="","",IF(B1350="OWN","Yes","No"))</f>
        <v/>
      </c>
      <c r="AF1350" s="9">
        <f>IF(ISNUMBER(Z1350),IF(Z1350&lt;=2,"&lt;=2 d",IF(Z1350&lt;=7,"3-7 d",IF(Z1350&lt;=30,"8-30 d","&gt;30 d"))),IF(AE1350&lt;&gt;"",AE1350,IF(Z1350="NR","NR","")))</f>
        <v/>
      </c>
      <c r="AX1350" s="9">
        <f>IF(ISNUMBER(AW1350),IF(AW1350&gt;450,"Yes","No"),IF(AW1350="NR","NR",""))</f>
        <v/>
      </c>
      <c r="BJ1350" s="9">
        <f>IF(BB1350="","",IF(BB1350="Non-viable","Non-viable",IF(BB1350="Viable","Viable",IF(BB1350="Partially non-viable",IF(OR(BD1350="Total splenectomy",BD1350="Partial splenectomy +/- splenopexy"),"Non-viable","Review"),IF(BB1350="NR",IF(OR(BD1350="Total splenectomy",BD1350="Partial splenectomy +/- splenopexy"),"NR - removed, check reason","NR"),"Not applicable")))))</f>
        <v/>
      </c>
    </row>
    <row r="1351">
      <c r="D1351" s="8" t="n"/>
      <c r="E1351" s="9">
        <f>IF(B1351="","",IF(B1351="OWN","Yes","No"))</f>
        <v/>
      </c>
      <c r="AF1351" s="9">
        <f>IF(ISNUMBER(Z1351),IF(Z1351&lt;=2,"&lt;=2 d",IF(Z1351&lt;=7,"3-7 d",IF(Z1351&lt;=30,"8-30 d","&gt;30 d"))),IF(AE1351&lt;&gt;"",AE1351,IF(Z1351="NR","NR","")))</f>
        <v/>
      </c>
      <c r="AX1351" s="9">
        <f>IF(ISNUMBER(AW1351),IF(AW1351&gt;450,"Yes","No"),IF(AW1351="NR","NR",""))</f>
        <v/>
      </c>
      <c r="BJ1351" s="9">
        <f>IF(BB1351="","",IF(BB1351="Non-viable","Non-viable",IF(BB1351="Viable","Viable",IF(BB1351="Partially non-viable",IF(OR(BD1351="Total splenectomy",BD1351="Partial splenectomy +/- splenopexy"),"Non-viable","Review"),IF(BB1351="NR",IF(OR(BD1351="Total splenectomy",BD1351="Partial splenectomy +/- splenopexy"),"NR - removed, check reason","NR"),"Not applicable")))))</f>
        <v/>
      </c>
    </row>
    <row r="1352">
      <c r="D1352" s="8" t="n"/>
      <c r="E1352" s="9">
        <f>IF(B1352="","",IF(B1352="OWN","Yes","No"))</f>
        <v/>
      </c>
      <c r="AF1352" s="9">
        <f>IF(ISNUMBER(Z1352),IF(Z1352&lt;=2,"&lt;=2 d",IF(Z1352&lt;=7,"3-7 d",IF(Z1352&lt;=30,"8-30 d","&gt;30 d"))),IF(AE1352&lt;&gt;"",AE1352,IF(Z1352="NR","NR","")))</f>
        <v/>
      </c>
      <c r="AX1352" s="9">
        <f>IF(ISNUMBER(AW1352),IF(AW1352&gt;450,"Yes","No"),IF(AW1352="NR","NR",""))</f>
        <v/>
      </c>
      <c r="BJ1352" s="9">
        <f>IF(BB1352="","",IF(BB1352="Non-viable","Non-viable",IF(BB1352="Viable","Viable",IF(BB1352="Partially non-viable",IF(OR(BD1352="Total splenectomy",BD1352="Partial splenectomy +/- splenopexy"),"Non-viable","Review"),IF(BB1352="NR",IF(OR(BD1352="Total splenectomy",BD1352="Partial splenectomy +/- splenopexy"),"NR - removed, check reason","NR"),"Not applicable")))))</f>
        <v/>
      </c>
    </row>
    <row r="1353">
      <c r="D1353" s="8" t="n"/>
      <c r="E1353" s="9">
        <f>IF(B1353="","",IF(B1353="OWN","Yes","No"))</f>
        <v/>
      </c>
      <c r="AF1353" s="9">
        <f>IF(ISNUMBER(Z1353),IF(Z1353&lt;=2,"&lt;=2 d",IF(Z1353&lt;=7,"3-7 d",IF(Z1353&lt;=30,"8-30 d","&gt;30 d"))),IF(AE1353&lt;&gt;"",AE1353,IF(Z1353="NR","NR","")))</f>
        <v/>
      </c>
      <c r="AX1353" s="9">
        <f>IF(ISNUMBER(AW1353),IF(AW1353&gt;450,"Yes","No"),IF(AW1353="NR","NR",""))</f>
        <v/>
      </c>
      <c r="BJ1353" s="9">
        <f>IF(BB1353="","",IF(BB1353="Non-viable","Non-viable",IF(BB1353="Viable","Viable",IF(BB1353="Partially non-viable",IF(OR(BD1353="Total splenectomy",BD1353="Partial splenectomy +/- splenopexy"),"Non-viable","Review"),IF(BB1353="NR",IF(OR(BD1353="Total splenectomy",BD1353="Partial splenectomy +/- splenopexy"),"NR - removed, check reason","NR"),"Not applicable")))))</f>
        <v/>
      </c>
    </row>
    <row r="1354">
      <c r="D1354" s="8" t="n"/>
      <c r="E1354" s="9">
        <f>IF(B1354="","",IF(B1354="OWN","Yes","No"))</f>
        <v/>
      </c>
      <c r="AF1354" s="9">
        <f>IF(ISNUMBER(Z1354),IF(Z1354&lt;=2,"&lt;=2 d",IF(Z1354&lt;=7,"3-7 d",IF(Z1354&lt;=30,"8-30 d","&gt;30 d"))),IF(AE1354&lt;&gt;"",AE1354,IF(Z1354="NR","NR","")))</f>
        <v/>
      </c>
      <c r="AX1354" s="9">
        <f>IF(ISNUMBER(AW1354),IF(AW1354&gt;450,"Yes","No"),IF(AW1354="NR","NR",""))</f>
        <v/>
      </c>
      <c r="BJ1354" s="9">
        <f>IF(BB1354="","",IF(BB1354="Non-viable","Non-viable",IF(BB1354="Viable","Viable",IF(BB1354="Partially non-viable",IF(OR(BD1354="Total splenectomy",BD1354="Partial splenectomy +/- splenopexy"),"Non-viable","Review"),IF(BB1354="NR",IF(OR(BD1354="Total splenectomy",BD1354="Partial splenectomy +/- splenopexy"),"NR - removed, check reason","NR"),"Not applicable")))))</f>
        <v/>
      </c>
    </row>
    <row r="1355">
      <c r="D1355" s="8" t="n"/>
      <c r="E1355" s="9">
        <f>IF(B1355="","",IF(B1355="OWN","Yes","No"))</f>
        <v/>
      </c>
      <c r="AF1355" s="9">
        <f>IF(ISNUMBER(Z1355),IF(Z1355&lt;=2,"&lt;=2 d",IF(Z1355&lt;=7,"3-7 d",IF(Z1355&lt;=30,"8-30 d","&gt;30 d"))),IF(AE1355&lt;&gt;"",AE1355,IF(Z1355="NR","NR","")))</f>
        <v/>
      </c>
      <c r="AX1355" s="9">
        <f>IF(ISNUMBER(AW1355),IF(AW1355&gt;450,"Yes","No"),IF(AW1355="NR","NR",""))</f>
        <v/>
      </c>
      <c r="BJ1355" s="9">
        <f>IF(BB1355="","",IF(BB1355="Non-viable","Non-viable",IF(BB1355="Viable","Viable",IF(BB1355="Partially non-viable",IF(OR(BD1355="Total splenectomy",BD1355="Partial splenectomy +/- splenopexy"),"Non-viable","Review"),IF(BB1355="NR",IF(OR(BD1355="Total splenectomy",BD1355="Partial splenectomy +/- splenopexy"),"NR - removed, check reason","NR"),"Not applicable")))))</f>
        <v/>
      </c>
    </row>
    <row r="1356">
      <c r="D1356" s="8" t="n"/>
      <c r="E1356" s="9">
        <f>IF(B1356="","",IF(B1356="OWN","Yes","No"))</f>
        <v/>
      </c>
      <c r="AF1356" s="9">
        <f>IF(ISNUMBER(Z1356),IF(Z1356&lt;=2,"&lt;=2 d",IF(Z1356&lt;=7,"3-7 d",IF(Z1356&lt;=30,"8-30 d","&gt;30 d"))),IF(AE1356&lt;&gt;"",AE1356,IF(Z1356="NR","NR","")))</f>
        <v/>
      </c>
      <c r="AX1356" s="9">
        <f>IF(ISNUMBER(AW1356),IF(AW1356&gt;450,"Yes","No"),IF(AW1356="NR","NR",""))</f>
        <v/>
      </c>
      <c r="BJ1356" s="9">
        <f>IF(BB1356="","",IF(BB1356="Non-viable","Non-viable",IF(BB1356="Viable","Viable",IF(BB1356="Partially non-viable",IF(OR(BD1356="Total splenectomy",BD1356="Partial splenectomy +/- splenopexy"),"Non-viable","Review"),IF(BB1356="NR",IF(OR(BD1356="Total splenectomy",BD1356="Partial splenectomy +/- splenopexy"),"NR - removed, check reason","NR"),"Not applicable")))))</f>
        <v/>
      </c>
    </row>
    <row r="1357">
      <c r="D1357" s="8" t="n"/>
      <c r="E1357" s="9">
        <f>IF(B1357="","",IF(B1357="OWN","Yes","No"))</f>
        <v/>
      </c>
      <c r="AF1357" s="9">
        <f>IF(ISNUMBER(Z1357),IF(Z1357&lt;=2,"&lt;=2 d",IF(Z1357&lt;=7,"3-7 d",IF(Z1357&lt;=30,"8-30 d","&gt;30 d"))),IF(AE1357&lt;&gt;"",AE1357,IF(Z1357="NR","NR","")))</f>
        <v/>
      </c>
      <c r="AX1357" s="9">
        <f>IF(ISNUMBER(AW1357),IF(AW1357&gt;450,"Yes","No"),IF(AW1357="NR","NR",""))</f>
        <v/>
      </c>
      <c r="BJ1357" s="9">
        <f>IF(BB1357="","",IF(BB1357="Non-viable","Non-viable",IF(BB1357="Viable","Viable",IF(BB1357="Partially non-viable",IF(OR(BD1357="Total splenectomy",BD1357="Partial splenectomy +/- splenopexy"),"Non-viable","Review"),IF(BB1357="NR",IF(OR(BD1357="Total splenectomy",BD1357="Partial splenectomy +/- splenopexy"),"NR - removed, check reason","NR"),"Not applicable")))))</f>
        <v/>
      </c>
    </row>
    <row r="1358">
      <c r="D1358" s="8" t="n"/>
      <c r="E1358" s="9">
        <f>IF(B1358="","",IF(B1358="OWN","Yes","No"))</f>
        <v/>
      </c>
      <c r="AF1358" s="9">
        <f>IF(ISNUMBER(Z1358),IF(Z1358&lt;=2,"&lt;=2 d",IF(Z1358&lt;=7,"3-7 d",IF(Z1358&lt;=30,"8-30 d","&gt;30 d"))),IF(AE1358&lt;&gt;"",AE1358,IF(Z1358="NR","NR","")))</f>
        <v/>
      </c>
      <c r="AX1358" s="9">
        <f>IF(ISNUMBER(AW1358),IF(AW1358&gt;450,"Yes","No"),IF(AW1358="NR","NR",""))</f>
        <v/>
      </c>
      <c r="BJ1358" s="9">
        <f>IF(BB1358="","",IF(BB1358="Non-viable","Non-viable",IF(BB1358="Viable","Viable",IF(BB1358="Partially non-viable",IF(OR(BD1358="Total splenectomy",BD1358="Partial splenectomy +/- splenopexy"),"Non-viable","Review"),IF(BB1358="NR",IF(OR(BD1358="Total splenectomy",BD1358="Partial splenectomy +/- splenopexy"),"NR - removed, check reason","NR"),"Not applicable")))))</f>
        <v/>
      </c>
    </row>
    <row r="1359">
      <c r="D1359" s="8" t="n"/>
      <c r="E1359" s="9">
        <f>IF(B1359="","",IF(B1359="OWN","Yes","No"))</f>
        <v/>
      </c>
      <c r="AF1359" s="9">
        <f>IF(ISNUMBER(Z1359),IF(Z1359&lt;=2,"&lt;=2 d",IF(Z1359&lt;=7,"3-7 d",IF(Z1359&lt;=30,"8-30 d","&gt;30 d"))),IF(AE1359&lt;&gt;"",AE1359,IF(Z1359="NR","NR","")))</f>
        <v/>
      </c>
      <c r="AX1359" s="9">
        <f>IF(ISNUMBER(AW1359),IF(AW1359&gt;450,"Yes","No"),IF(AW1359="NR","NR",""))</f>
        <v/>
      </c>
      <c r="BJ1359" s="9">
        <f>IF(BB1359="","",IF(BB1359="Non-viable","Non-viable",IF(BB1359="Viable","Viable",IF(BB1359="Partially non-viable",IF(OR(BD1359="Total splenectomy",BD1359="Partial splenectomy +/- splenopexy"),"Non-viable","Review"),IF(BB1359="NR",IF(OR(BD1359="Total splenectomy",BD1359="Partial splenectomy +/- splenopexy"),"NR - removed, check reason","NR"),"Not applicable")))))</f>
        <v/>
      </c>
    </row>
    <row r="1360">
      <c r="D1360" s="8" t="n"/>
      <c r="E1360" s="9">
        <f>IF(B1360="","",IF(B1360="OWN","Yes","No"))</f>
        <v/>
      </c>
      <c r="AF1360" s="9">
        <f>IF(ISNUMBER(Z1360),IF(Z1360&lt;=2,"&lt;=2 d",IF(Z1360&lt;=7,"3-7 d",IF(Z1360&lt;=30,"8-30 d","&gt;30 d"))),IF(AE1360&lt;&gt;"",AE1360,IF(Z1360="NR","NR","")))</f>
        <v/>
      </c>
      <c r="AX1360" s="9">
        <f>IF(ISNUMBER(AW1360),IF(AW1360&gt;450,"Yes","No"),IF(AW1360="NR","NR",""))</f>
        <v/>
      </c>
      <c r="BJ1360" s="9">
        <f>IF(BB1360="","",IF(BB1360="Non-viable","Non-viable",IF(BB1360="Viable","Viable",IF(BB1360="Partially non-viable",IF(OR(BD1360="Total splenectomy",BD1360="Partial splenectomy +/- splenopexy"),"Non-viable","Review"),IF(BB1360="NR",IF(OR(BD1360="Total splenectomy",BD1360="Partial splenectomy +/- splenopexy"),"NR - removed, check reason","NR"),"Not applicable")))))</f>
        <v/>
      </c>
    </row>
    <row r="1361">
      <c r="D1361" s="8" t="n"/>
      <c r="E1361" s="9">
        <f>IF(B1361="","",IF(B1361="OWN","Yes","No"))</f>
        <v/>
      </c>
      <c r="AF1361" s="9">
        <f>IF(ISNUMBER(Z1361),IF(Z1361&lt;=2,"&lt;=2 d",IF(Z1361&lt;=7,"3-7 d",IF(Z1361&lt;=30,"8-30 d","&gt;30 d"))),IF(AE1361&lt;&gt;"",AE1361,IF(Z1361="NR","NR","")))</f>
        <v/>
      </c>
      <c r="AX1361" s="9">
        <f>IF(ISNUMBER(AW1361),IF(AW1361&gt;450,"Yes","No"),IF(AW1361="NR","NR",""))</f>
        <v/>
      </c>
      <c r="BJ1361" s="9">
        <f>IF(BB1361="","",IF(BB1361="Non-viable","Non-viable",IF(BB1361="Viable","Viable",IF(BB1361="Partially non-viable",IF(OR(BD1361="Total splenectomy",BD1361="Partial splenectomy +/- splenopexy"),"Non-viable","Review"),IF(BB1361="NR",IF(OR(BD1361="Total splenectomy",BD1361="Partial splenectomy +/- splenopexy"),"NR - removed, check reason","NR"),"Not applicable")))))</f>
        <v/>
      </c>
    </row>
    <row r="1362">
      <c r="D1362" s="8" t="n"/>
      <c r="E1362" s="9">
        <f>IF(B1362="","",IF(B1362="OWN","Yes","No"))</f>
        <v/>
      </c>
      <c r="AF1362" s="9">
        <f>IF(ISNUMBER(Z1362),IF(Z1362&lt;=2,"&lt;=2 d",IF(Z1362&lt;=7,"3-7 d",IF(Z1362&lt;=30,"8-30 d","&gt;30 d"))),IF(AE1362&lt;&gt;"",AE1362,IF(Z1362="NR","NR","")))</f>
        <v/>
      </c>
      <c r="AX1362" s="9">
        <f>IF(ISNUMBER(AW1362),IF(AW1362&gt;450,"Yes","No"),IF(AW1362="NR","NR",""))</f>
        <v/>
      </c>
      <c r="BJ1362" s="9">
        <f>IF(BB1362="","",IF(BB1362="Non-viable","Non-viable",IF(BB1362="Viable","Viable",IF(BB1362="Partially non-viable",IF(OR(BD1362="Total splenectomy",BD1362="Partial splenectomy +/- splenopexy"),"Non-viable","Review"),IF(BB1362="NR",IF(OR(BD1362="Total splenectomy",BD1362="Partial splenectomy +/- splenopexy"),"NR - removed, check reason","NR"),"Not applicable")))))</f>
        <v/>
      </c>
    </row>
    <row r="1363">
      <c r="D1363" s="8" t="n"/>
      <c r="E1363" s="9">
        <f>IF(B1363="","",IF(B1363="OWN","Yes","No"))</f>
        <v/>
      </c>
      <c r="AF1363" s="9">
        <f>IF(ISNUMBER(Z1363),IF(Z1363&lt;=2,"&lt;=2 d",IF(Z1363&lt;=7,"3-7 d",IF(Z1363&lt;=30,"8-30 d","&gt;30 d"))),IF(AE1363&lt;&gt;"",AE1363,IF(Z1363="NR","NR","")))</f>
        <v/>
      </c>
      <c r="AX1363" s="9">
        <f>IF(ISNUMBER(AW1363),IF(AW1363&gt;450,"Yes","No"),IF(AW1363="NR","NR",""))</f>
        <v/>
      </c>
      <c r="BJ1363" s="9">
        <f>IF(BB1363="","",IF(BB1363="Non-viable","Non-viable",IF(BB1363="Viable","Viable",IF(BB1363="Partially non-viable",IF(OR(BD1363="Total splenectomy",BD1363="Partial splenectomy +/- splenopexy"),"Non-viable","Review"),IF(BB1363="NR",IF(OR(BD1363="Total splenectomy",BD1363="Partial splenectomy +/- splenopexy"),"NR - removed, check reason","NR"),"Not applicable")))))</f>
        <v/>
      </c>
    </row>
    <row r="1364">
      <c r="D1364" s="8" t="n"/>
      <c r="E1364" s="9">
        <f>IF(B1364="","",IF(B1364="OWN","Yes","No"))</f>
        <v/>
      </c>
      <c r="AF1364" s="9">
        <f>IF(ISNUMBER(Z1364),IF(Z1364&lt;=2,"&lt;=2 d",IF(Z1364&lt;=7,"3-7 d",IF(Z1364&lt;=30,"8-30 d","&gt;30 d"))),IF(AE1364&lt;&gt;"",AE1364,IF(Z1364="NR","NR","")))</f>
        <v/>
      </c>
      <c r="AX1364" s="9">
        <f>IF(ISNUMBER(AW1364),IF(AW1364&gt;450,"Yes","No"),IF(AW1364="NR","NR",""))</f>
        <v/>
      </c>
      <c r="BJ1364" s="9">
        <f>IF(BB1364="","",IF(BB1364="Non-viable","Non-viable",IF(BB1364="Viable","Viable",IF(BB1364="Partially non-viable",IF(OR(BD1364="Total splenectomy",BD1364="Partial splenectomy +/- splenopexy"),"Non-viable","Review"),IF(BB1364="NR",IF(OR(BD1364="Total splenectomy",BD1364="Partial splenectomy +/- splenopexy"),"NR - removed, check reason","NR"),"Not applicable")))))</f>
        <v/>
      </c>
    </row>
    <row r="1365">
      <c r="D1365" s="8" t="n"/>
      <c r="E1365" s="9">
        <f>IF(B1365="","",IF(B1365="OWN","Yes","No"))</f>
        <v/>
      </c>
      <c r="AF1365" s="9">
        <f>IF(ISNUMBER(Z1365),IF(Z1365&lt;=2,"&lt;=2 d",IF(Z1365&lt;=7,"3-7 d",IF(Z1365&lt;=30,"8-30 d","&gt;30 d"))),IF(AE1365&lt;&gt;"",AE1365,IF(Z1365="NR","NR","")))</f>
        <v/>
      </c>
      <c r="AX1365" s="9">
        <f>IF(ISNUMBER(AW1365),IF(AW1365&gt;450,"Yes","No"),IF(AW1365="NR","NR",""))</f>
        <v/>
      </c>
      <c r="BJ1365" s="9">
        <f>IF(BB1365="","",IF(BB1365="Non-viable","Non-viable",IF(BB1365="Viable","Viable",IF(BB1365="Partially non-viable",IF(OR(BD1365="Total splenectomy",BD1365="Partial splenectomy +/- splenopexy"),"Non-viable","Review"),IF(BB1365="NR",IF(OR(BD1365="Total splenectomy",BD1365="Partial splenectomy +/- splenopexy"),"NR - removed, check reason","NR"),"Not applicable")))))</f>
        <v/>
      </c>
    </row>
    <row r="1366">
      <c r="D1366" s="8" t="n"/>
      <c r="E1366" s="9">
        <f>IF(B1366="","",IF(B1366="OWN","Yes","No"))</f>
        <v/>
      </c>
      <c r="AF1366" s="9">
        <f>IF(ISNUMBER(Z1366),IF(Z1366&lt;=2,"&lt;=2 d",IF(Z1366&lt;=7,"3-7 d",IF(Z1366&lt;=30,"8-30 d","&gt;30 d"))),IF(AE1366&lt;&gt;"",AE1366,IF(Z1366="NR","NR","")))</f>
        <v/>
      </c>
      <c r="AX1366" s="9">
        <f>IF(ISNUMBER(AW1366),IF(AW1366&gt;450,"Yes","No"),IF(AW1366="NR","NR",""))</f>
        <v/>
      </c>
      <c r="BJ1366" s="9">
        <f>IF(BB1366="","",IF(BB1366="Non-viable","Non-viable",IF(BB1366="Viable","Viable",IF(BB1366="Partially non-viable",IF(OR(BD1366="Total splenectomy",BD1366="Partial splenectomy +/- splenopexy"),"Non-viable","Review"),IF(BB1366="NR",IF(OR(BD1366="Total splenectomy",BD1366="Partial splenectomy +/- splenopexy"),"NR - removed, check reason","NR"),"Not applicable")))))</f>
        <v/>
      </c>
    </row>
    <row r="1367">
      <c r="D1367" s="8" t="n"/>
      <c r="E1367" s="9">
        <f>IF(B1367="","",IF(B1367="OWN","Yes","No"))</f>
        <v/>
      </c>
      <c r="AF1367" s="9">
        <f>IF(ISNUMBER(Z1367),IF(Z1367&lt;=2,"&lt;=2 d",IF(Z1367&lt;=7,"3-7 d",IF(Z1367&lt;=30,"8-30 d","&gt;30 d"))),IF(AE1367&lt;&gt;"",AE1367,IF(Z1367="NR","NR","")))</f>
        <v/>
      </c>
      <c r="AX1367" s="9">
        <f>IF(ISNUMBER(AW1367),IF(AW1367&gt;450,"Yes","No"),IF(AW1367="NR","NR",""))</f>
        <v/>
      </c>
      <c r="BJ1367" s="9">
        <f>IF(BB1367="","",IF(BB1367="Non-viable","Non-viable",IF(BB1367="Viable","Viable",IF(BB1367="Partially non-viable",IF(OR(BD1367="Total splenectomy",BD1367="Partial splenectomy +/- splenopexy"),"Non-viable","Review"),IF(BB1367="NR",IF(OR(BD1367="Total splenectomy",BD1367="Partial splenectomy +/- splenopexy"),"NR - removed, check reason","NR"),"Not applicable")))))</f>
        <v/>
      </c>
    </row>
    <row r="1368">
      <c r="D1368" s="8" t="n"/>
      <c r="E1368" s="9">
        <f>IF(B1368="","",IF(B1368="OWN","Yes","No"))</f>
        <v/>
      </c>
      <c r="AF1368" s="9">
        <f>IF(ISNUMBER(Z1368),IF(Z1368&lt;=2,"&lt;=2 d",IF(Z1368&lt;=7,"3-7 d",IF(Z1368&lt;=30,"8-30 d","&gt;30 d"))),IF(AE1368&lt;&gt;"",AE1368,IF(Z1368="NR","NR","")))</f>
        <v/>
      </c>
      <c r="AX1368" s="9">
        <f>IF(ISNUMBER(AW1368),IF(AW1368&gt;450,"Yes","No"),IF(AW1368="NR","NR",""))</f>
        <v/>
      </c>
      <c r="BJ1368" s="9">
        <f>IF(BB1368="","",IF(BB1368="Non-viable","Non-viable",IF(BB1368="Viable","Viable",IF(BB1368="Partially non-viable",IF(OR(BD1368="Total splenectomy",BD1368="Partial splenectomy +/- splenopexy"),"Non-viable","Review"),IF(BB1368="NR",IF(OR(BD1368="Total splenectomy",BD1368="Partial splenectomy +/- splenopexy"),"NR - removed, check reason","NR"),"Not applicable")))))</f>
        <v/>
      </c>
    </row>
    <row r="1369">
      <c r="D1369" s="8" t="n"/>
      <c r="E1369" s="9">
        <f>IF(B1369="","",IF(B1369="OWN","Yes","No"))</f>
        <v/>
      </c>
      <c r="AF1369" s="9">
        <f>IF(ISNUMBER(Z1369),IF(Z1369&lt;=2,"&lt;=2 d",IF(Z1369&lt;=7,"3-7 d",IF(Z1369&lt;=30,"8-30 d","&gt;30 d"))),IF(AE1369&lt;&gt;"",AE1369,IF(Z1369="NR","NR","")))</f>
        <v/>
      </c>
      <c r="AX1369" s="9">
        <f>IF(ISNUMBER(AW1369),IF(AW1369&gt;450,"Yes","No"),IF(AW1369="NR","NR",""))</f>
        <v/>
      </c>
      <c r="BJ1369" s="9">
        <f>IF(BB1369="","",IF(BB1369="Non-viable","Non-viable",IF(BB1369="Viable","Viable",IF(BB1369="Partially non-viable",IF(OR(BD1369="Total splenectomy",BD1369="Partial splenectomy +/- splenopexy"),"Non-viable","Review"),IF(BB1369="NR",IF(OR(BD1369="Total splenectomy",BD1369="Partial splenectomy +/- splenopexy"),"NR - removed, check reason","NR"),"Not applicable")))))</f>
        <v/>
      </c>
    </row>
    <row r="1370">
      <c r="D1370" s="8" t="n"/>
      <c r="E1370" s="9">
        <f>IF(B1370="","",IF(B1370="OWN","Yes","No"))</f>
        <v/>
      </c>
      <c r="AF1370" s="9">
        <f>IF(ISNUMBER(Z1370),IF(Z1370&lt;=2,"&lt;=2 d",IF(Z1370&lt;=7,"3-7 d",IF(Z1370&lt;=30,"8-30 d","&gt;30 d"))),IF(AE1370&lt;&gt;"",AE1370,IF(Z1370="NR","NR","")))</f>
        <v/>
      </c>
      <c r="AX1370" s="9">
        <f>IF(ISNUMBER(AW1370),IF(AW1370&gt;450,"Yes","No"),IF(AW1370="NR","NR",""))</f>
        <v/>
      </c>
      <c r="BJ1370" s="9">
        <f>IF(BB1370="","",IF(BB1370="Non-viable","Non-viable",IF(BB1370="Viable","Viable",IF(BB1370="Partially non-viable",IF(OR(BD1370="Total splenectomy",BD1370="Partial splenectomy +/- splenopexy"),"Non-viable","Review"),IF(BB1370="NR",IF(OR(BD1370="Total splenectomy",BD1370="Partial splenectomy +/- splenopexy"),"NR - removed, check reason","NR"),"Not applicable")))))</f>
        <v/>
      </c>
    </row>
    <row r="1371">
      <c r="D1371" s="8" t="n"/>
      <c r="E1371" s="9">
        <f>IF(B1371="","",IF(B1371="OWN","Yes","No"))</f>
        <v/>
      </c>
      <c r="AF1371" s="9">
        <f>IF(ISNUMBER(Z1371),IF(Z1371&lt;=2,"&lt;=2 d",IF(Z1371&lt;=7,"3-7 d",IF(Z1371&lt;=30,"8-30 d","&gt;30 d"))),IF(AE1371&lt;&gt;"",AE1371,IF(Z1371="NR","NR","")))</f>
        <v/>
      </c>
      <c r="AX1371" s="9">
        <f>IF(ISNUMBER(AW1371),IF(AW1371&gt;450,"Yes","No"),IF(AW1371="NR","NR",""))</f>
        <v/>
      </c>
      <c r="BJ1371" s="9">
        <f>IF(BB1371="","",IF(BB1371="Non-viable","Non-viable",IF(BB1371="Viable","Viable",IF(BB1371="Partially non-viable",IF(OR(BD1371="Total splenectomy",BD1371="Partial splenectomy +/- splenopexy"),"Non-viable","Review"),IF(BB1371="NR",IF(OR(BD1371="Total splenectomy",BD1371="Partial splenectomy +/- splenopexy"),"NR - removed, check reason","NR"),"Not applicable")))))</f>
        <v/>
      </c>
    </row>
    <row r="1372">
      <c r="D1372" s="8" t="n"/>
      <c r="E1372" s="9">
        <f>IF(B1372="","",IF(B1372="OWN","Yes","No"))</f>
        <v/>
      </c>
      <c r="AF1372" s="9">
        <f>IF(ISNUMBER(Z1372),IF(Z1372&lt;=2,"&lt;=2 d",IF(Z1372&lt;=7,"3-7 d",IF(Z1372&lt;=30,"8-30 d","&gt;30 d"))),IF(AE1372&lt;&gt;"",AE1372,IF(Z1372="NR","NR","")))</f>
        <v/>
      </c>
      <c r="AX1372" s="9">
        <f>IF(ISNUMBER(AW1372),IF(AW1372&gt;450,"Yes","No"),IF(AW1372="NR","NR",""))</f>
        <v/>
      </c>
      <c r="BJ1372" s="9">
        <f>IF(BB1372="","",IF(BB1372="Non-viable","Non-viable",IF(BB1372="Viable","Viable",IF(BB1372="Partially non-viable",IF(OR(BD1372="Total splenectomy",BD1372="Partial splenectomy +/- splenopexy"),"Non-viable","Review"),IF(BB1372="NR",IF(OR(BD1372="Total splenectomy",BD1372="Partial splenectomy +/- splenopexy"),"NR - removed, check reason","NR"),"Not applicable")))))</f>
        <v/>
      </c>
    </row>
    <row r="1373">
      <c r="D1373" s="8" t="n"/>
      <c r="E1373" s="9">
        <f>IF(B1373="","",IF(B1373="OWN","Yes","No"))</f>
        <v/>
      </c>
      <c r="AF1373" s="9">
        <f>IF(ISNUMBER(Z1373),IF(Z1373&lt;=2,"&lt;=2 d",IF(Z1373&lt;=7,"3-7 d",IF(Z1373&lt;=30,"8-30 d","&gt;30 d"))),IF(AE1373&lt;&gt;"",AE1373,IF(Z1373="NR","NR","")))</f>
        <v/>
      </c>
      <c r="AX1373" s="9">
        <f>IF(ISNUMBER(AW1373),IF(AW1373&gt;450,"Yes","No"),IF(AW1373="NR","NR",""))</f>
        <v/>
      </c>
      <c r="BJ1373" s="9">
        <f>IF(BB1373="","",IF(BB1373="Non-viable","Non-viable",IF(BB1373="Viable","Viable",IF(BB1373="Partially non-viable",IF(OR(BD1373="Total splenectomy",BD1373="Partial splenectomy +/- splenopexy"),"Non-viable","Review"),IF(BB1373="NR",IF(OR(BD1373="Total splenectomy",BD1373="Partial splenectomy +/- splenopexy"),"NR - removed, check reason","NR"),"Not applicable")))))</f>
        <v/>
      </c>
    </row>
    <row r="1374">
      <c r="D1374" s="8" t="n"/>
      <c r="E1374" s="9">
        <f>IF(B1374="","",IF(B1374="OWN","Yes","No"))</f>
        <v/>
      </c>
      <c r="AF1374" s="9">
        <f>IF(ISNUMBER(Z1374),IF(Z1374&lt;=2,"&lt;=2 d",IF(Z1374&lt;=7,"3-7 d",IF(Z1374&lt;=30,"8-30 d","&gt;30 d"))),IF(AE1374&lt;&gt;"",AE1374,IF(Z1374="NR","NR","")))</f>
        <v/>
      </c>
      <c r="AX1374" s="9">
        <f>IF(ISNUMBER(AW1374),IF(AW1374&gt;450,"Yes","No"),IF(AW1374="NR","NR",""))</f>
        <v/>
      </c>
      <c r="BJ1374" s="9">
        <f>IF(BB1374="","",IF(BB1374="Non-viable","Non-viable",IF(BB1374="Viable","Viable",IF(BB1374="Partially non-viable",IF(OR(BD1374="Total splenectomy",BD1374="Partial splenectomy +/- splenopexy"),"Non-viable","Review"),IF(BB1374="NR",IF(OR(BD1374="Total splenectomy",BD1374="Partial splenectomy +/- splenopexy"),"NR - removed, check reason","NR"),"Not applicable")))))</f>
        <v/>
      </c>
    </row>
    <row r="1375">
      <c r="D1375" s="8" t="n"/>
      <c r="E1375" s="9">
        <f>IF(B1375="","",IF(B1375="OWN","Yes","No"))</f>
        <v/>
      </c>
      <c r="AF1375" s="9">
        <f>IF(ISNUMBER(Z1375),IF(Z1375&lt;=2,"&lt;=2 d",IF(Z1375&lt;=7,"3-7 d",IF(Z1375&lt;=30,"8-30 d","&gt;30 d"))),IF(AE1375&lt;&gt;"",AE1375,IF(Z1375="NR","NR","")))</f>
        <v/>
      </c>
      <c r="AX1375" s="9">
        <f>IF(ISNUMBER(AW1375),IF(AW1375&gt;450,"Yes","No"),IF(AW1375="NR","NR",""))</f>
        <v/>
      </c>
      <c r="BJ1375" s="9">
        <f>IF(BB1375="","",IF(BB1375="Non-viable","Non-viable",IF(BB1375="Viable","Viable",IF(BB1375="Partially non-viable",IF(OR(BD1375="Total splenectomy",BD1375="Partial splenectomy +/- splenopexy"),"Non-viable","Review"),IF(BB1375="NR",IF(OR(BD1375="Total splenectomy",BD1375="Partial splenectomy +/- splenopexy"),"NR - removed, check reason","NR"),"Not applicable")))))</f>
        <v/>
      </c>
    </row>
    <row r="1376">
      <c r="D1376" s="8" t="n"/>
      <c r="E1376" s="9">
        <f>IF(B1376="","",IF(B1376="OWN","Yes","No"))</f>
        <v/>
      </c>
      <c r="AF1376" s="9">
        <f>IF(ISNUMBER(Z1376),IF(Z1376&lt;=2,"&lt;=2 d",IF(Z1376&lt;=7,"3-7 d",IF(Z1376&lt;=30,"8-30 d","&gt;30 d"))),IF(AE1376&lt;&gt;"",AE1376,IF(Z1376="NR","NR","")))</f>
        <v/>
      </c>
      <c r="AX1376" s="9">
        <f>IF(ISNUMBER(AW1376),IF(AW1376&gt;450,"Yes","No"),IF(AW1376="NR","NR",""))</f>
        <v/>
      </c>
      <c r="BJ1376" s="9">
        <f>IF(BB1376="","",IF(BB1376="Non-viable","Non-viable",IF(BB1376="Viable","Viable",IF(BB1376="Partially non-viable",IF(OR(BD1376="Total splenectomy",BD1376="Partial splenectomy +/- splenopexy"),"Non-viable","Review"),IF(BB1376="NR",IF(OR(BD1376="Total splenectomy",BD1376="Partial splenectomy +/- splenopexy"),"NR - removed, check reason","NR"),"Not applicable")))))</f>
        <v/>
      </c>
    </row>
    <row r="1377">
      <c r="D1377" s="8" t="n"/>
      <c r="E1377" s="9">
        <f>IF(B1377="","",IF(B1377="OWN","Yes","No"))</f>
        <v/>
      </c>
      <c r="AF1377" s="9">
        <f>IF(ISNUMBER(Z1377),IF(Z1377&lt;=2,"&lt;=2 d",IF(Z1377&lt;=7,"3-7 d",IF(Z1377&lt;=30,"8-30 d","&gt;30 d"))),IF(AE1377&lt;&gt;"",AE1377,IF(Z1377="NR","NR","")))</f>
        <v/>
      </c>
      <c r="AX1377" s="9">
        <f>IF(ISNUMBER(AW1377),IF(AW1377&gt;450,"Yes","No"),IF(AW1377="NR","NR",""))</f>
        <v/>
      </c>
      <c r="BJ1377" s="9">
        <f>IF(BB1377="","",IF(BB1377="Non-viable","Non-viable",IF(BB1377="Viable","Viable",IF(BB1377="Partially non-viable",IF(OR(BD1377="Total splenectomy",BD1377="Partial splenectomy +/- splenopexy"),"Non-viable","Review"),IF(BB1377="NR",IF(OR(BD1377="Total splenectomy",BD1377="Partial splenectomy +/- splenopexy"),"NR - removed, check reason","NR"),"Not applicable")))))</f>
        <v/>
      </c>
    </row>
    <row r="1378">
      <c r="D1378" s="8" t="n"/>
      <c r="E1378" s="9">
        <f>IF(B1378="","",IF(B1378="OWN","Yes","No"))</f>
        <v/>
      </c>
      <c r="AF1378" s="9">
        <f>IF(ISNUMBER(Z1378),IF(Z1378&lt;=2,"&lt;=2 d",IF(Z1378&lt;=7,"3-7 d",IF(Z1378&lt;=30,"8-30 d","&gt;30 d"))),IF(AE1378&lt;&gt;"",AE1378,IF(Z1378="NR","NR","")))</f>
        <v/>
      </c>
      <c r="AX1378" s="9">
        <f>IF(ISNUMBER(AW1378),IF(AW1378&gt;450,"Yes","No"),IF(AW1378="NR","NR",""))</f>
        <v/>
      </c>
      <c r="BJ1378" s="9">
        <f>IF(BB1378="","",IF(BB1378="Non-viable","Non-viable",IF(BB1378="Viable","Viable",IF(BB1378="Partially non-viable",IF(OR(BD1378="Total splenectomy",BD1378="Partial splenectomy +/- splenopexy"),"Non-viable","Review"),IF(BB1378="NR",IF(OR(BD1378="Total splenectomy",BD1378="Partial splenectomy +/- splenopexy"),"NR - removed, check reason","NR"),"Not applicable")))))</f>
        <v/>
      </c>
    </row>
    <row r="1379">
      <c r="D1379" s="8" t="n"/>
      <c r="E1379" s="9">
        <f>IF(B1379="","",IF(B1379="OWN","Yes","No"))</f>
        <v/>
      </c>
      <c r="AF1379" s="9">
        <f>IF(ISNUMBER(Z1379),IF(Z1379&lt;=2,"&lt;=2 d",IF(Z1379&lt;=7,"3-7 d",IF(Z1379&lt;=30,"8-30 d","&gt;30 d"))),IF(AE1379&lt;&gt;"",AE1379,IF(Z1379="NR","NR","")))</f>
        <v/>
      </c>
      <c r="AX1379" s="9">
        <f>IF(ISNUMBER(AW1379),IF(AW1379&gt;450,"Yes","No"),IF(AW1379="NR","NR",""))</f>
        <v/>
      </c>
      <c r="BJ1379" s="9">
        <f>IF(BB1379="","",IF(BB1379="Non-viable","Non-viable",IF(BB1379="Viable","Viable",IF(BB1379="Partially non-viable",IF(OR(BD1379="Total splenectomy",BD1379="Partial splenectomy +/- splenopexy"),"Non-viable","Review"),IF(BB1379="NR",IF(OR(BD1379="Total splenectomy",BD1379="Partial splenectomy +/- splenopexy"),"NR - removed, check reason","NR"),"Not applicable")))))</f>
        <v/>
      </c>
    </row>
    <row r="1380">
      <c r="D1380" s="8" t="n"/>
      <c r="E1380" s="9">
        <f>IF(B1380="","",IF(B1380="OWN","Yes","No"))</f>
        <v/>
      </c>
      <c r="AF1380" s="9">
        <f>IF(ISNUMBER(Z1380),IF(Z1380&lt;=2,"&lt;=2 d",IF(Z1380&lt;=7,"3-7 d",IF(Z1380&lt;=30,"8-30 d","&gt;30 d"))),IF(AE1380&lt;&gt;"",AE1380,IF(Z1380="NR","NR","")))</f>
        <v/>
      </c>
      <c r="AX1380" s="9">
        <f>IF(ISNUMBER(AW1380),IF(AW1380&gt;450,"Yes","No"),IF(AW1380="NR","NR",""))</f>
        <v/>
      </c>
      <c r="BJ1380" s="9">
        <f>IF(BB1380="","",IF(BB1380="Non-viable","Non-viable",IF(BB1380="Viable","Viable",IF(BB1380="Partially non-viable",IF(OR(BD1380="Total splenectomy",BD1380="Partial splenectomy +/- splenopexy"),"Non-viable","Review"),IF(BB1380="NR",IF(OR(BD1380="Total splenectomy",BD1380="Partial splenectomy +/- splenopexy"),"NR - removed, check reason","NR"),"Not applicable")))))</f>
        <v/>
      </c>
    </row>
    <row r="1381">
      <c r="D1381" s="8" t="n"/>
      <c r="E1381" s="9">
        <f>IF(B1381="","",IF(B1381="OWN","Yes","No"))</f>
        <v/>
      </c>
      <c r="AF1381" s="9">
        <f>IF(ISNUMBER(Z1381),IF(Z1381&lt;=2,"&lt;=2 d",IF(Z1381&lt;=7,"3-7 d",IF(Z1381&lt;=30,"8-30 d","&gt;30 d"))),IF(AE1381&lt;&gt;"",AE1381,IF(Z1381="NR","NR","")))</f>
        <v/>
      </c>
      <c r="AX1381" s="9">
        <f>IF(ISNUMBER(AW1381),IF(AW1381&gt;450,"Yes","No"),IF(AW1381="NR","NR",""))</f>
        <v/>
      </c>
      <c r="BJ1381" s="9">
        <f>IF(BB1381="","",IF(BB1381="Non-viable","Non-viable",IF(BB1381="Viable","Viable",IF(BB1381="Partially non-viable",IF(OR(BD1381="Total splenectomy",BD1381="Partial splenectomy +/- splenopexy"),"Non-viable","Review"),IF(BB1381="NR",IF(OR(BD1381="Total splenectomy",BD1381="Partial splenectomy +/- splenopexy"),"NR - removed, check reason","NR"),"Not applicable")))))</f>
        <v/>
      </c>
    </row>
    <row r="1382">
      <c r="D1382" s="8" t="n"/>
      <c r="E1382" s="9">
        <f>IF(B1382="","",IF(B1382="OWN","Yes","No"))</f>
        <v/>
      </c>
      <c r="AF1382" s="9">
        <f>IF(ISNUMBER(Z1382),IF(Z1382&lt;=2,"&lt;=2 d",IF(Z1382&lt;=7,"3-7 d",IF(Z1382&lt;=30,"8-30 d","&gt;30 d"))),IF(AE1382&lt;&gt;"",AE1382,IF(Z1382="NR","NR","")))</f>
        <v/>
      </c>
      <c r="AX1382" s="9">
        <f>IF(ISNUMBER(AW1382),IF(AW1382&gt;450,"Yes","No"),IF(AW1382="NR","NR",""))</f>
        <v/>
      </c>
      <c r="BJ1382" s="9">
        <f>IF(BB1382="","",IF(BB1382="Non-viable","Non-viable",IF(BB1382="Viable","Viable",IF(BB1382="Partially non-viable",IF(OR(BD1382="Total splenectomy",BD1382="Partial splenectomy +/- splenopexy"),"Non-viable","Review"),IF(BB1382="NR",IF(OR(BD1382="Total splenectomy",BD1382="Partial splenectomy +/- splenopexy"),"NR - removed, check reason","NR"),"Not applicable")))))</f>
        <v/>
      </c>
    </row>
    <row r="1383">
      <c r="D1383" s="8" t="n"/>
      <c r="E1383" s="9">
        <f>IF(B1383="","",IF(B1383="OWN","Yes","No"))</f>
        <v/>
      </c>
      <c r="AF1383" s="9">
        <f>IF(ISNUMBER(Z1383),IF(Z1383&lt;=2,"&lt;=2 d",IF(Z1383&lt;=7,"3-7 d",IF(Z1383&lt;=30,"8-30 d","&gt;30 d"))),IF(AE1383&lt;&gt;"",AE1383,IF(Z1383="NR","NR","")))</f>
        <v/>
      </c>
      <c r="AX1383" s="9">
        <f>IF(ISNUMBER(AW1383),IF(AW1383&gt;450,"Yes","No"),IF(AW1383="NR","NR",""))</f>
        <v/>
      </c>
      <c r="BJ1383" s="9">
        <f>IF(BB1383="","",IF(BB1383="Non-viable","Non-viable",IF(BB1383="Viable","Viable",IF(BB1383="Partially non-viable",IF(OR(BD1383="Total splenectomy",BD1383="Partial splenectomy +/- splenopexy"),"Non-viable","Review"),IF(BB1383="NR",IF(OR(BD1383="Total splenectomy",BD1383="Partial splenectomy +/- splenopexy"),"NR - removed, check reason","NR"),"Not applicable")))))</f>
        <v/>
      </c>
    </row>
    <row r="1384">
      <c r="D1384" s="8" t="n"/>
      <c r="E1384" s="9">
        <f>IF(B1384="","",IF(B1384="OWN","Yes","No"))</f>
        <v/>
      </c>
      <c r="AF1384" s="9">
        <f>IF(ISNUMBER(Z1384),IF(Z1384&lt;=2,"&lt;=2 d",IF(Z1384&lt;=7,"3-7 d",IF(Z1384&lt;=30,"8-30 d","&gt;30 d"))),IF(AE1384&lt;&gt;"",AE1384,IF(Z1384="NR","NR","")))</f>
        <v/>
      </c>
      <c r="AX1384" s="9">
        <f>IF(ISNUMBER(AW1384),IF(AW1384&gt;450,"Yes","No"),IF(AW1384="NR","NR",""))</f>
        <v/>
      </c>
      <c r="BJ1384" s="9">
        <f>IF(BB1384="","",IF(BB1384="Non-viable","Non-viable",IF(BB1384="Viable","Viable",IF(BB1384="Partially non-viable",IF(OR(BD1384="Total splenectomy",BD1384="Partial splenectomy +/- splenopexy"),"Non-viable","Review"),IF(BB1384="NR",IF(OR(BD1384="Total splenectomy",BD1384="Partial splenectomy +/- splenopexy"),"NR - removed, check reason","NR"),"Not applicable")))))</f>
        <v/>
      </c>
    </row>
    <row r="1385">
      <c r="D1385" s="8" t="n"/>
      <c r="E1385" s="9">
        <f>IF(B1385="","",IF(B1385="OWN","Yes","No"))</f>
        <v/>
      </c>
      <c r="AF1385" s="9">
        <f>IF(ISNUMBER(Z1385),IF(Z1385&lt;=2,"&lt;=2 d",IF(Z1385&lt;=7,"3-7 d",IF(Z1385&lt;=30,"8-30 d","&gt;30 d"))),IF(AE1385&lt;&gt;"",AE1385,IF(Z1385="NR","NR","")))</f>
        <v/>
      </c>
      <c r="AX1385" s="9">
        <f>IF(ISNUMBER(AW1385),IF(AW1385&gt;450,"Yes","No"),IF(AW1385="NR","NR",""))</f>
        <v/>
      </c>
      <c r="BJ1385" s="9">
        <f>IF(BB1385="","",IF(BB1385="Non-viable","Non-viable",IF(BB1385="Viable","Viable",IF(BB1385="Partially non-viable",IF(OR(BD1385="Total splenectomy",BD1385="Partial splenectomy +/- splenopexy"),"Non-viable","Review"),IF(BB1385="NR",IF(OR(BD1385="Total splenectomy",BD1385="Partial splenectomy +/- splenopexy"),"NR - removed, check reason","NR"),"Not applicable")))))</f>
        <v/>
      </c>
    </row>
    <row r="1386">
      <c r="D1386" s="8" t="n"/>
      <c r="E1386" s="9">
        <f>IF(B1386="","",IF(B1386="OWN","Yes","No"))</f>
        <v/>
      </c>
      <c r="AF1386" s="9">
        <f>IF(ISNUMBER(Z1386),IF(Z1386&lt;=2,"&lt;=2 d",IF(Z1386&lt;=7,"3-7 d",IF(Z1386&lt;=30,"8-30 d","&gt;30 d"))),IF(AE1386&lt;&gt;"",AE1386,IF(Z1386="NR","NR","")))</f>
        <v/>
      </c>
      <c r="AX1386" s="9">
        <f>IF(ISNUMBER(AW1386),IF(AW1386&gt;450,"Yes","No"),IF(AW1386="NR","NR",""))</f>
        <v/>
      </c>
      <c r="BJ1386" s="9">
        <f>IF(BB1386="","",IF(BB1386="Non-viable","Non-viable",IF(BB1386="Viable","Viable",IF(BB1386="Partially non-viable",IF(OR(BD1386="Total splenectomy",BD1386="Partial splenectomy +/- splenopexy"),"Non-viable","Review"),IF(BB1386="NR",IF(OR(BD1386="Total splenectomy",BD1386="Partial splenectomy +/- splenopexy"),"NR - removed, check reason","NR"),"Not applicable")))))</f>
        <v/>
      </c>
    </row>
    <row r="1387">
      <c r="D1387" s="8" t="n"/>
      <c r="E1387" s="9">
        <f>IF(B1387="","",IF(B1387="OWN","Yes","No"))</f>
        <v/>
      </c>
      <c r="AF1387" s="9">
        <f>IF(ISNUMBER(Z1387),IF(Z1387&lt;=2,"&lt;=2 d",IF(Z1387&lt;=7,"3-7 d",IF(Z1387&lt;=30,"8-30 d","&gt;30 d"))),IF(AE1387&lt;&gt;"",AE1387,IF(Z1387="NR","NR","")))</f>
        <v/>
      </c>
      <c r="AX1387" s="9">
        <f>IF(ISNUMBER(AW1387),IF(AW1387&gt;450,"Yes","No"),IF(AW1387="NR","NR",""))</f>
        <v/>
      </c>
      <c r="BJ1387" s="9">
        <f>IF(BB1387="","",IF(BB1387="Non-viable","Non-viable",IF(BB1387="Viable","Viable",IF(BB1387="Partially non-viable",IF(OR(BD1387="Total splenectomy",BD1387="Partial splenectomy +/- splenopexy"),"Non-viable","Review"),IF(BB1387="NR",IF(OR(BD1387="Total splenectomy",BD1387="Partial splenectomy +/- splenopexy"),"NR - removed, check reason","NR"),"Not applicable")))))</f>
        <v/>
      </c>
    </row>
    <row r="1388">
      <c r="D1388" s="8" t="n"/>
      <c r="E1388" s="9">
        <f>IF(B1388="","",IF(B1388="OWN","Yes","No"))</f>
        <v/>
      </c>
      <c r="AF1388" s="9">
        <f>IF(ISNUMBER(Z1388),IF(Z1388&lt;=2,"&lt;=2 d",IF(Z1388&lt;=7,"3-7 d",IF(Z1388&lt;=30,"8-30 d","&gt;30 d"))),IF(AE1388&lt;&gt;"",AE1388,IF(Z1388="NR","NR","")))</f>
        <v/>
      </c>
      <c r="AX1388" s="9">
        <f>IF(ISNUMBER(AW1388),IF(AW1388&gt;450,"Yes","No"),IF(AW1388="NR","NR",""))</f>
        <v/>
      </c>
      <c r="BJ1388" s="9">
        <f>IF(BB1388="","",IF(BB1388="Non-viable","Non-viable",IF(BB1388="Viable","Viable",IF(BB1388="Partially non-viable",IF(OR(BD1388="Total splenectomy",BD1388="Partial splenectomy +/- splenopexy"),"Non-viable","Review"),IF(BB1388="NR",IF(OR(BD1388="Total splenectomy",BD1388="Partial splenectomy +/- splenopexy"),"NR - removed, check reason","NR"),"Not applicable")))))</f>
        <v/>
      </c>
    </row>
    <row r="1389">
      <c r="D1389" s="8" t="n"/>
      <c r="E1389" s="9">
        <f>IF(B1389="","",IF(B1389="OWN","Yes","No"))</f>
        <v/>
      </c>
      <c r="AF1389" s="9">
        <f>IF(ISNUMBER(Z1389),IF(Z1389&lt;=2,"&lt;=2 d",IF(Z1389&lt;=7,"3-7 d",IF(Z1389&lt;=30,"8-30 d","&gt;30 d"))),IF(AE1389&lt;&gt;"",AE1389,IF(Z1389="NR","NR","")))</f>
        <v/>
      </c>
      <c r="AX1389" s="9">
        <f>IF(ISNUMBER(AW1389),IF(AW1389&gt;450,"Yes","No"),IF(AW1389="NR","NR",""))</f>
        <v/>
      </c>
      <c r="BJ1389" s="9">
        <f>IF(BB1389="","",IF(BB1389="Non-viable","Non-viable",IF(BB1389="Viable","Viable",IF(BB1389="Partially non-viable",IF(OR(BD1389="Total splenectomy",BD1389="Partial splenectomy +/- splenopexy"),"Non-viable","Review"),IF(BB1389="NR",IF(OR(BD1389="Total splenectomy",BD1389="Partial splenectomy +/- splenopexy"),"NR - removed, check reason","NR"),"Not applicable")))))</f>
        <v/>
      </c>
    </row>
    <row r="1390">
      <c r="D1390" s="8" t="n"/>
      <c r="E1390" s="9">
        <f>IF(B1390="","",IF(B1390="OWN","Yes","No"))</f>
        <v/>
      </c>
      <c r="AF1390" s="9">
        <f>IF(ISNUMBER(Z1390),IF(Z1390&lt;=2,"&lt;=2 d",IF(Z1390&lt;=7,"3-7 d",IF(Z1390&lt;=30,"8-30 d","&gt;30 d"))),IF(AE1390&lt;&gt;"",AE1390,IF(Z1390="NR","NR","")))</f>
        <v/>
      </c>
      <c r="AX1390" s="9">
        <f>IF(ISNUMBER(AW1390),IF(AW1390&gt;450,"Yes","No"),IF(AW1390="NR","NR",""))</f>
        <v/>
      </c>
      <c r="BJ1390" s="9">
        <f>IF(BB1390="","",IF(BB1390="Non-viable","Non-viable",IF(BB1390="Viable","Viable",IF(BB1390="Partially non-viable",IF(OR(BD1390="Total splenectomy",BD1390="Partial splenectomy +/- splenopexy"),"Non-viable","Review"),IF(BB1390="NR",IF(OR(BD1390="Total splenectomy",BD1390="Partial splenectomy +/- splenopexy"),"NR - removed, check reason","NR"),"Not applicable")))))</f>
        <v/>
      </c>
    </row>
    <row r="1391">
      <c r="D1391" s="8" t="n"/>
      <c r="E1391" s="9">
        <f>IF(B1391="","",IF(B1391="OWN","Yes","No"))</f>
        <v/>
      </c>
      <c r="AF1391" s="9">
        <f>IF(ISNUMBER(Z1391),IF(Z1391&lt;=2,"&lt;=2 d",IF(Z1391&lt;=7,"3-7 d",IF(Z1391&lt;=30,"8-30 d","&gt;30 d"))),IF(AE1391&lt;&gt;"",AE1391,IF(Z1391="NR","NR","")))</f>
        <v/>
      </c>
      <c r="AX1391" s="9">
        <f>IF(ISNUMBER(AW1391),IF(AW1391&gt;450,"Yes","No"),IF(AW1391="NR","NR",""))</f>
        <v/>
      </c>
      <c r="BJ1391" s="9">
        <f>IF(BB1391="","",IF(BB1391="Non-viable","Non-viable",IF(BB1391="Viable","Viable",IF(BB1391="Partially non-viable",IF(OR(BD1391="Total splenectomy",BD1391="Partial splenectomy +/- splenopexy"),"Non-viable","Review"),IF(BB1391="NR",IF(OR(BD1391="Total splenectomy",BD1391="Partial splenectomy +/- splenopexy"),"NR - removed, check reason","NR"),"Not applicable")))))</f>
        <v/>
      </c>
    </row>
    <row r="1392">
      <c r="D1392" s="8" t="n"/>
      <c r="E1392" s="9">
        <f>IF(B1392="","",IF(B1392="OWN","Yes","No"))</f>
        <v/>
      </c>
      <c r="AF1392" s="9">
        <f>IF(ISNUMBER(Z1392),IF(Z1392&lt;=2,"&lt;=2 d",IF(Z1392&lt;=7,"3-7 d",IF(Z1392&lt;=30,"8-30 d","&gt;30 d"))),IF(AE1392&lt;&gt;"",AE1392,IF(Z1392="NR","NR","")))</f>
        <v/>
      </c>
      <c r="AX1392" s="9">
        <f>IF(ISNUMBER(AW1392),IF(AW1392&gt;450,"Yes","No"),IF(AW1392="NR","NR",""))</f>
        <v/>
      </c>
      <c r="BJ1392" s="9">
        <f>IF(BB1392="","",IF(BB1392="Non-viable","Non-viable",IF(BB1392="Viable","Viable",IF(BB1392="Partially non-viable",IF(OR(BD1392="Total splenectomy",BD1392="Partial splenectomy +/- splenopexy"),"Non-viable","Review"),IF(BB1392="NR",IF(OR(BD1392="Total splenectomy",BD1392="Partial splenectomy +/- splenopexy"),"NR - removed, check reason","NR"),"Not applicable")))))</f>
        <v/>
      </c>
    </row>
    <row r="1393">
      <c r="D1393" s="8" t="n"/>
      <c r="E1393" s="9">
        <f>IF(B1393="","",IF(B1393="OWN","Yes","No"))</f>
        <v/>
      </c>
      <c r="AF1393" s="9">
        <f>IF(ISNUMBER(Z1393),IF(Z1393&lt;=2,"&lt;=2 d",IF(Z1393&lt;=7,"3-7 d",IF(Z1393&lt;=30,"8-30 d","&gt;30 d"))),IF(AE1393&lt;&gt;"",AE1393,IF(Z1393="NR","NR","")))</f>
        <v/>
      </c>
      <c r="AX1393" s="9">
        <f>IF(ISNUMBER(AW1393),IF(AW1393&gt;450,"Yes","No"),IF(AW1393="NR","NR",""))</f>
        <v/>
      </c>
      <c r="BJ1393" s="9">
        <f>IF(BB1393="","",IF(BB1393="Non-viable","Non-viable",IF(BB1393="Viable","Viable",IF(BB1393="Partially non-viable",IF(OR(BD1393="Total splenectomy",BD1393="Partial splenectomy +/- splenopexy"),"Non-viable","Review"),IF(BB1393="NR",IF(OR(BD1393="Total splenectomy",BD1393="Partial splenectomy +/- splenopexy"),"NR - removed, check reason","NR"),"Not applicable")))))</f>
        <v/>
      </c>
    </row>
    <row r="1394">
      <c r="D1394" s="8" t="n"/>
      <c r="E1394" s="9">
        <f>IF(B1394="","",IF(B1394="OWN","Yes","No"))</f>
        <v/>
      </c>
      <c r="AF1394" s="9">
        <f>IF(ISNUMBER(Z1394),IF(Z1394&lt;=2,"&lt;=2 d",IF(Z1394&lt;=7,"3-7 d",IF(Z1394&lt;=30,"8-30 d","&gt;30 d"))),IF(AE1394&lt;&gt;"",AE1394,IF(Z1394="NR","NR","")))</f>
        <v/>
      </c>
      <c r="AX1394" s="9">
        <f>IF(ISNUMBER(AW1394),IF(AW1394&gt;450,"Yes","No"),IF(AW1394="NR","NR",""))</f>
        <v/>
      </c>
      <c r="BJ1394" s="9">
        <f>IF(BB1394="","",IF(BB1394="Non-viable","Non-viable",IF(BB1394="Viable","Viable",IF(BB1394="Partially non-viable",IF(OR(BD1394="Total splenectomy",BD1394="Partial splenectomy +/- splenopexy"),"Non-viable","Review"),IF(BB1394="NR",IF(OR(BD1394="Total splenectomy",BD1394="Partial splenectomy +/- splenopexy"),"NR - removed, check reason","NR"),"Not applicable")))))</f>
        <v/>
      </c>
    </row>
    <row r="1395">
      <c r="D1395" s="8" t="n"/>
      <c r="E1395" s="9">
        <f>IF(B1395="","",IF(B1395="OWN","Yes","No"))</f>
        <v/>
      </c>
      <c r="AF1395" s="9">
        <f>IF(ISNUMBER(Z1395),IF(Z1395&lt;=2,"&lt;=2 d",IF(Z1395&lt;=7,"3-7 d",IF(Z1395&lt;=30,"8-30 d","&gt;30 d"))),IF(AE1395&lt;&gt;"",AE1395,IF(Z1395="NR","NR","")))</f>
        <v/>
      </c>
      <c r="AX1395" s="9">
        <f>IF(ISNUMBER(AW1395),IF(AW1395&gt;450,"Yes","No"),IF(AW1395="NR","NR",""))</f>
        <v/>
      </c>
      <c r="BJ1395" s="9">
        <f>IF(BB1395="","",IF(BB1395="Non-viable","Non-viable",IF(BB1395="Viable","Viable",IF(BB1395="Partially non-viable",IF(OR(BD1395="Total splenectomy",BD1395="Partial splenectomy +/- splenopexy"),"Non-viable","Review"),IF(BB1395="NR",IF(OR(BD1395="Total splenectomy",BD1395="Partial splenectomy +/- splenopexy"),"NR - removed, check reason","NR"),"Not applicable")))))</f>
        <v/>
      </c>
    </row>
    <row r="1396">
      <c r="D1396" s="8" t="n"/>
      <c r="E1396" s="9">
        <f>IF(B1396="","",IF(B1396="OWN","Yes","No"))</f>
        <v/>
      </c>
      <c r="AF1396" s="9">
        <f>IF(ISNUMBER(Z1396),IF(Z1396&lt;=2,"&lt;=2 d",IF(Z1396&lt;=7,"3-7 d",IF(Z1396&lt;=30,"8-30 d","&gt;30 d"))),IF(AE1396&lt;&gt;"",AE1396,IF(Z1396="NR","NR","")))</f>
        <v/>
      </c>
      <c r="AX1396" s="9">
        <f>IF(ISNUMBER(AW1396),IF(AW1396&gt;450,"Yes","No"),IF(AW1396="NR","NR",""))</f>
        <v/>
      </c>
      <c r="BJ1396" s="9">
        <f>IF(BB1396="","",IF(BB1396="Non-viable","Non-viable",IF(BB1396="Viable","Viable",IF(BB1396="Partially non-viable",IF(OR(BD1396="Total splenectomy",BD1396="Partial splenectomy +/- splenopexy"),"Non-viable","Review"),IF(BB1396="NR",IF(OR(BD1396="Total splenectomy",BD1396="Partial splenectomy +/- splenopexy"),"NR - removed, check reason","NR"),"Not applicable")))))</f>
        <v/>
      </c>
    </row>
    <row r="1397">
      <c r="D1397" s="8" t="n"/>
      <c r="E1397" s="9">
        <f>IF(B1397="","",IF(B1397="OWN","Yes","No"))</f>
        <v/>
      </c>
      <c r="AF1397" s="9">
        <f>IF(ISNUMBER(Z1397),IF(Z1397&lt;=2,"&lt;=2 d",IF(Z1397&lt;=7,"3-7 d",IF(Z1397&lt;=30,"8-30 d","&gt;30 d"))),IF(AE1397&lt;&gt;"",AE1397,IF(Z1397="NR","NR","")))</f>
        <v/>
      </c>
      <c r="AX1397" s="9">
        <f>IF(ISNUMBER(AW1397),IF(AW1397&gt;450,"Yes","No"),IF(AW1397="NR","NR",""))</f>
        <v/>
      </c>
      <c r="BJ1397" s="9">
        <f>IF(BB1397="","",IF(BB1397="Non-viable","Non-viable",IF(BB1397="Viable","Viable",IF(BB1397="Partially non-viable",IF(OR(BD1397="Total splenectomy",BD1397="Partial splenectomy +/- splenopexy"),"Non-viable","Review"),IF(BB1397="NR",IF(OR(BD1397="Total splenectomy",BD1397="Partial splenectomy +/- splenopexy"),"NR - removed, check reason","NR"),"Not applicable")))))</f>
        <v/>
      </c>
    </row>
    <row r="1398">
      <c r="D1398" s="8" t="n"/>
      <c r="E1398" s="9">
        <f>IF(B1398="","",IF(B1398="OWN","Yes","No"))</f>
        <v/>
      </c>
      <c r="AF1398" s="9">
        <f>IF(ISNUMBER(Z1398),IF(Z1398&lt;=2,"&lt;=2 d",IF(Z1398&lt;=7,"3-7 d",IF(Z1398&lt;=30,"8-30 d","&gt;30 d"))),IF(AE1398&lt;&gt;"",AE1398,IF(Z1398="NR","NR","")))</f>
        <v/>
      </c>
      <c r="AX1398" s="9">
        <f>IF(ISNUMBER(AW1398),IF(AW1398&gt;450,"Yes","No"),IF(AW1398="NR","NR",""))</f>
        <v/>
      </c>
      <c r="BJ1398" s="9">
        <f>IF(BB1398="","",IF(BB1398="Non-viable","Non-viable",IF(BB1398="Viable","Viable",IF(BB1398="Partially non-viable",IF(OR(BD1398="Total splenectomy",BD1398="Partial splenectomy +/- splenopexy"),"Non-viable","Review"),IF(BB1398="NR",IF(OR(BD1398="Total splenectomy",BD1398="Partial splenectomy +/- splenopexy"),"NR - removed, check reason","NR"),"Not applicable")))))</f>
        <v/>
      </c>
    </row>
    <row r="1399">
      <c r="D1399" s="8" t="n"/>
      <c r="E1399" s="9">
        <f>IF(B1399="","",IF(B1399="OWN","Yes","No"))</f>
        <v/>
      </c>
      <c r="AF1399" s="9">
        <f>IF(ISNUMBER(Z1399),IF(Z1399&lt;=2,"&lt;=2 d",IF(Z1399&lt;=7,"3-7 d",IF(Z1399&lt;=30,"8-30 d","&gt;30 d"))),IF(AE1399&lt;&gt;"",AE1399,IF(Z1399="NR","NR","")))</f>
        <v/>
      </c>
      <c r="AX1399" s="9">
        <f>IF(ISNUMBER(AW1399),IF(AW1399&gt;450,"Yes","No"),IF(AW1399="NR","NR",""))</f>
        <v/>
      </c>
      <c r="BJ1399" s="9">
        <f>IF(BB1399="","",IF(BB1399="Non-viable","Non-viable",IF(BB1399="Viable","Viable",IF(BB1399="Partially non-viable",IF(OR(BD1399="Total splenectomy",BD1399="Partial splenectomy +/- splenopexy"),"Non-viable","Review"),IF(BB1399="NR",IF(OR(BD1399="Total splenectomy",BD1399="Partial splenectomy +/- splenopexy"),"NR - removed, check reason","NR"),"Not applicable")))))</f>
        <v/>
      </c>
    </row>
    <row r="1400">
      <c r="D1400" s="8" t="n"/>
      <c r="E1400" s="9">
        <f>IF(B1400="","",IF(B1400="OWN","Yes","No"))</f>
        <v/>
      </c>
      <c r="AF1400" s="9">
        <f>IF(ISNUMBER(Z1400),IF(Z1400&lt;=2,"&lt;=2 d",IF(Z1400&lt;=7,"3-7 d",IF(Z1400&lt;=30,"8-30 d","&gt;30 d"))),IF(AE1400&lt;&gt;"",AE1400,IF(Z1400="NR","NR","")))</f>
        <v/>
      </c>
      <c r="AX1400" s="9">
        <f>IF(ISNUMBER(AW1400),IF(AW1400&gt;450,"Yes","No"),IF(AW1400="NR","NR",""))</f>
        <v/>
      </c>
      <c r="BJ1400" s="9">
        <f>IF(BB1400="","",IF(BB1400="Non-viable","Non-viable",IF(BB1400="Viable","Viable",IF(BB1400="Partially non-viable",IF(OR(BD1400="Total splenectomy",BD1400="Partial splenectomy +/- splenopexy"),"Non-viable","Review"),IF(BB1400="NR",IF(OR(BD1400="Total splenectomy",BD1400="Partial splenectomy +/- splenopexy"),"NR - removed, check reason","NR"),"Not applicable")))))</f>
        <v/>
      </c>
    </row>
    <row r="1401">
      <c r="D1401" s="8" t="n"/>
      <c r="E1401" s="9">
        <f>IF(B1401="","",IF(B1401="OWN","Yes","No"))</f>
        <v/>
      </c>
      <c r="AF1401" s="9">
        <f>IF(ISNUMBER(Z1401),IF(Z1401&lt;=2,"&lt;=2 d",IF(Z1401&lt;=7,"3-7 d",IF(Z1401&lt;=30,"8-30 d","&gt;30 d"))),IF(AE1401&lt;&gt;"",AE1401,IF(Z1401="NR","NR","")))</f>
        <v/>
      </c>
      <c r="AX1401" s="9">
        <f>IF(ISNUMBER(AW1401),IF(AW1401&gt;450,"Yes","No"),IF(AW1401="NR","NR",""))</f>
        <v/>
      </c>
      <c r="BJ1401" s="9">
        <f>IF(BB1401="","",IF(BB1401="Non-viable","Non-viable",IF(BB1401="Viable","Viable",IF(BB1401="Partially non-viable",IF(OR(BD1401="Total splenectomy",BD1401="Partial splenectomy +/- splenopexy"),"Non-viable","Review"),IF(BB1401="NR",IF(OR(BD1401="Total splenectomy",BD1401="Partial splenectomy +/- splenopexy"),"NR - removed, check reason","NR"),"Not applicable")))))</f>
        <v/>
      </c>
    </row>
    <row r="1402">
      <c r="D1402" s="8" t="n"/>
      <c r="E1402" s="9">
        <f>IF(B1402="","",IF(B1402="OWN","Yes","No"))</f>
        <v/>
      </c>
      <c r="AF1402" s="9">
        <f>IF(ISNUMBER(Z1402),IF(Z1402&lt;=2,"&lt;=2 d",IF(Z1402&lt;=7,"3-7 d",IF(Z1402&lt;=30,"8-30 d","&gt;30 d"))),IF(AE1402&lt;&gt;"",AE1402,IF(Z1402="NR","NR","")))</f>
        <v/>
      </c>
      <c r="AX1402" s="9">
        <f>IF(ISNUMBER(AW1402),IF(AW1402&gt;450,"Yes","No"),IF(AW1402="NR","NR",""))</f>
        <v/>
      </c>
      <c r="BJ1402" s="9">
        <f>IF(BB1402="","",IF(BB1402="Non-viable","Non-viable",IF(BB1402="Viable","Viable",IF(BB1402="Partially non-viable",IF(OR(BD1402="Total splenectomy",BD1402="Partial splenectomy +/- splenopexy"),"Non-viable","Review"),IF(BB1402="NR",IF(OR(BD1402="Total splenectomy",BD1402="Partial splenectomy +/- splenopexy"),"NR - removed, check reason","NR"),"Not applicable")))))</f>
        <v/>
      </c>
    </row>
    <row r="1403">
      <c r="D1403" s="8" t="n"/>
      <c r="E1403" s="9">
        <f>IF(B1403="","",IF(B1403="OWN","Yes","No"))</f>
        <v/>
      </c>
      <c r="AF1403" s="9">
        <f>IF(ISNUMBER(Z1403),IF(Z1403&lt;=2,"&lt;=2 d",IF(Z1403&lt;=7,"3-7 d",IF(Z1403&lt;=30,"8-30 d","&gt;30 d"))),IF(AE1403&lt;&gt;"",AE1403,IF(Z1403="NR","NR","")))</f>
        <v/>
      </c>
      <c r="AX1403" s="9">
        <f>IF(ISNUMBER(AW1403),IF(AW1403&gt;450,"Yes","No"),IF(AW1403="NR","NR",""))</f>
        <v/>
      </c>
      <c r="BJ1403" s="9">
        <f>IF(BB1403="","",IF(BB1403="Non-viable","Non-viable",IF(BB1403="Viable","Viable",IF(BB1403="Partially non-viable",IF(OR(BD1403="Total splenectomy",BD1403="Partial splenectomy +/- splenopexy"),"Non-viable","Review"),IF(BB1403="NR",IF(OR(BD1403="Total splenectomy",BD1403="Partial splenectomy +/- splenopexy"),"NR - removed, check reason","NR"),"Not applicable")))))</f>
        <v/>
      </c>
    </row>
    <row r="1404">
      <c r="D1404" s="8" t="n"/>
      <c r="E1404" s="9">
        <f>IF(B1404="","",IF(B1404="OWN","Yes","No"))</f>
        <v/>
      </c>
      <c r="AF1404" s="9">
        <f>IF(ISNUMBER(Z1404),IF(Z1404&lt;=2,"&lt;=2 d",IF(Z1404&lt;=7,"3-7 d",IF(Z1404&lt;=30,"8-30 d","&gt;30 d"))),IF(AE1404&lt;&gt;"",AE1404,IF(Z1404="NR","NR","")))</f>
        <v/>
      </c>
      <c r="AX1404" s="9">
        <f>IF(ISNUMBER(AW1404),IF(AW1404&gt;450,"Yes","No"),IF(AW1404="NR","NR",""))</f>
        <v/>
      </c>
      <c r="BJ1404" s="9">
        <f>IF(BB1404="","",IF(BB1404="Non-viable","Non-viable",IF(BB1404="Viable","Viable",IF(BB1404="Partially non-viable",IF(OR(BD1404="Total splenectomy",BD1404="Partial splenectomy +/- splenopexy"),"Non-viable","Review"),IF(BB1404="NR",IF(OR(BD1404="Total splenectomy",BD1404="Partial splenectomy +/- splenopexy"),"NR - removed, check reason","NR"),"Not applicable")))))</f>
        <v/>
      </c>
    </row>
    <row r="1405">
      <c r="D1405" s="8" t="n"/>
      <c r="E1405" s="9">
        <f>IF(B1405="","",IF(B1405="OWN","Yes","No"))</f>
        <v/>
      </c>
      <c r="AF1405" s="9">
        <f>IF(ISNUMBER(Z1405),IF(Z1405&lt;=2,"&lt;=2 d",IF(Z1405&lt;=7,"3-7 d",IF(Z1405&lt;=30,"8-30 d","&gt;30 d"))),IF(AE1405&lt;&gt;"",AE1405,IF(Z1405="NR","NR","")))</f>
        <v/>
      </c>
      <c r="AX1405" s="9">
        <f>IF(ISNUMBER(AW1405),IF(AW1405&gt;450,"Yes","No"),IF(AW1405="NR","NR",""))</f>
        <v/>
      </c>
      <c r="BJ1405" s="9">
        <f>IF(BB1405="","",IF(BB1405="Non-viable","Non-viable",IF(BB1405="Viable","Viable",IF(BB1405="Partially non-viable",IF(OR(BD1405="Total splenectomy",BD1405="Partial splenectomy +/- splenopexy"),"Non-viable","Review"),IF(BB1405="NR",IF(OR(BD1405="Total splenectomy",BD1405="Partial splenectomy +/- splenopexy"),"NR - removed, check reason","NR"),"Not applicable")))))</f>
        <v/>
      </c>
    </row>
    <row r="1406">
      <c r="D1406" s="8" t="n"/>
      <c r="E1406" s="9">
        <f>IF(B1406="","",IF(B1406="OWN","Yes","No"))</f>
        <v/>
      </c>
      <c r="AF1406" s="9">
        <f>IF(ISNUMBER(Z1406),IF(Z1406&lt;=2,"&lt;=2 d",IF(Z1406&lt;=7,"3-7 d",IF(Z1406&lt;=30,"8-30 d","&gt;30 d"))),IF(AE1406&lt;&gt;"",AE1406,IF(Z1406="NR","NR","")))</f>
        <v/>
      </c>
      <c r="AX1406" s="9">
        <f>IF(ISNUMBER(AW1406),IF(AW1406&gt;450,"Yes","No"),IF(AW1406="NR","NR",""))</f>
        <v/>
      </c>
      <c r="BJ1406" s="9">
        <f>IF(BB1406="","",IF(BB1406="Non-viable","Non-viable",IF(BB1406="Viable","Viable",IF(BB1406="Partially non-viable",IF(OR(BD1406="Total splenectomy",BD1406="Partial splenectomy +/- splenopexy"),"Non-viable","Review"),IF(BB1406="NR",IF(OR(BD1406="Total splenectomy",BD1406="Partial splenectomy +/- splenopexy"),"NR - removed, check reason","NR"),"Not applicable")))))</f>
        <v/>
      </c>
    </row>
    <row r="1407">
      <c r="D1407" s="8" t="n"/>
      <c r="E1407" s="9">
        <f>IF(B1407="","",IF(B1407="OWN","Yes","No"))</f>
        <v/>
      </c>
      <c r="AF1407" s="9">
        <f>IF(ISNUMBER(Z1407),IF(Z1407&lt;=2,"&lt;=2 d",IF(Z1407&lt;=7,"3-7 d",IF(Z1407&lt;=30,"8-30 d","&gt;30 d"))),IF(AE1407&lt;&gt;"",AE1407,IF(Z1407="NR","NR","")))</f>
        <v/>
      </c>
      <c r="AX1407" s="9">
        <f>IF(ISNUMBER(AW1407),IF(AW1407&gt;450,"Yes","No"),IF(AW1407="NR","NR",""))</f>
        <v/>
      </c>
      <c r="BJ1407" s="9">
        <f>IF(BB1407="","",IF(BB1407="Non-viable","Non-viable",IF(BB1407="Viable","Viable",IF(BB1407="Partially non-viable",IF(OR(BD1407="Total splenectomy",BD1407="Partial splenectomy +/- splenopexy"),"Non-viable","Review"),IF(BB1407="NR",IF(OR(BD1407="Total splenectomy",BD1407="Partial splenectomy +/- splenopexy"),"NR - removed, check reason","NR"),"Not applicable")))))</f>
        <v/>
      </c>
    </row>
    <row r="1408">
      <c r="D1408" s="8" t="n"/>
      <c r="E1408" s="9">
        <f>IF(B1408="","",IF(B1408="OWN","Yes","No"))</f>
        <v/>
      </c>
      <c r="AF1408" s="9">
        <f>IF(ISNUMBER(Z1408),IF(Z1408&lt;=2,"&lt;=2 d",IF(Z1408&lt;=7,"3-7 d",IF(Z1408&lt;=30,"8-30 d","&gt;30 d"))),IF(AE1408&lt;&gt;"",AE1408,IF(Z1408="NR","NR","")))</f>
        <v/>
      </c>
      <c r="AX1408" s="9">
        <f>IF(ISNUMBER(AW1408),IF(AW1408&gt;450,"Yes","No"),IF(AW1408="NR","NR",""))</f>
        <v/>
      </c>
      <c r="BJ1408" s="9">
        <f>IF(BB1408="","",IF(BB1408="Non-viable","Non-viable",IF(BB1408="Viable","Viable",IF(BB1408="Partially non-viable",IF(OR(BD1408="Total splenectomy",BD1408="Partial splenectomy +/- splenopexy"),"Non-viable","Review"),IF(BB1408="NR",IF(OR(BD1408="Total splenectomy",BD1408="Partial splenectomy +/- splenopexy"),"NR - removed, check reason","NR"),"Not applicable")))))</f>
        <v/>
      </c>
    </row>
    <row r="1409">
      <c r="D1409" s="8" t="n"/>
      <c r="E1409" s="9">
        <f>IF(B1409="","",IF(B1409="OWN","Yes","No"))</f>
        <v/>
      </c>
      <c r="AF1409" s="9">
        <f>IF(ISNUMBER(Z1409),IF(Z1409&lt;=2,"&lt;=2 d",IF(Z1409&lt;=7,"3-7 d",IF(Z1409&lt;=30,"8-30 d","&gt;30 d"))),IF(AE1409&lt;&gt;"",AE1409,IF(Z1409="NR","NR","")))</f>
        <v/>
      </c>
      <c r="AX1409" s="9">
        <f>IF(ISNUMBER(AW1409),IF(AW1409&gt;450,"Yes","No"),IF(AW1409="NR","NR",""))</f>
        <v/>
      </c>
      <c r="BJ1409" s="9">
        <f>IF(BB1409="","",IF(BB1409="Non-viable","Non-viable",IF(BB1409="Viable","Viable",IF(BB1409="Partially non-viable",IF(OR(BD1409="Total splenectomy",BD1409="Partial splenectomy +/- splenopexy"),"Non-viable","Review"),IF(BB1409="NR",IF(OR(BD1409="Total splenectomy",BD1409="Partial splenectomy +/- splenopexy"),"NR - removed, check reason","NR"),"Not applicable")))))</f>
        <v/>
      </c>
    </row>
    <row r="1410">
      <c r="D1410" s="8" t="n"/>
      <c r="E1410" s="9">
        <f>IF(B1410="","",IF(B1410="OWN","Yes","No"))</f>
        <v/>
      </c>
      <c r="AF1410" s="9">
        <f>IF(ISNUMBER(Z1410),IF(Z1410&lt;=2,"&lt;=2 d",IF(Z1410&lt;=7,"3-7 d",IF(Z1410&lt;=30,"8-30 d","&gt;30 d"))),IF(AE1410&lt;&gt;"",AE1410,IF(Z1410="NR","NR","")))</f>
        <v/>
      </c>
      <c r="AX1410" s="9">
        <f>IF(ISNUMBER(AW1410),IF(AW1410&gt;450,"Yes","No"),IF(AW1410="NR","NR",""))</f>
        <v/>
      </c>
      <c r="BJ1410" s="9">
        <f>IF(BB1410="","",IF(BB1410="Non-viable","Non-viable",IF(BB1410="Viable","Viable",IF(BB1410="Partially non-viable",IF(OR(BD1410="Total splenectomy",BD1410="Partial splenectomy +/- splenopexy"),"Non-viable","Review"),IF(BB1410="NR",IF(OR(BD1410="Total splenectomy",BD1410="Partial splenectomy +/- splenopexy"),"NR - removed, check reason","NR"),"Not applicable")))))</f>
        <v/>
      </c>
    </row>
    <row r="1411">
      <c r="D1411" s="8" t="n"/>
      <c r="E1411" s="9">
        <f>IF(B1411="","",IF(B1411="OWN","Yes","No"))</f>
        <v/>
      </c>
      <c r="AF1411" s="9">
        <f>IF(ISNUMBER(Z1411),IF(Z1411&lt;=2,"&lt;=2 d",IF(Z1411&lt;=7,"3-7 d",IF(Z1411&lt;=30,"8-30 d","&gt;30 d"))),IF(AE1411&lt;&gt;"",AE1411,IF(Z1411="NR","NR","")))</f>
        <v/>
      </c>
      <c r="AX1411" s="9">
        <f>IF(ISNUMBER(AW1411),IF(AW1411&gt;450,"Yes","No"),IF(AW1411="NR","NR",""))</f>
        <v/>
      </c>
      <c r="BJ1411" s="9">
        <f>IF(BB1411="","",IF(BB1411="Non-viable","Non-viable",IF(BB1411="Viable","Viable",IF(BB1411="Partially non-viable",IF(OR(BD1411="Total splenectomy",BD1411="Partial splenectomy +/- splenopexy"),"Non-viable","Review"),IF(BB1411="NR",IF(OR(BD1411="Total splenectomy",BD1411="Partial splenectomy +/- splenopexy"),"NR - removed, check reason","NR"),"Not applicable")))))</f>
        <v/>
      </c>
    </row>
    <row r="1412">
      <c r="D1412" s="8" t="n"/>
      <c r="E1412" s="9">
        <f>IF(B1412="","",IF(B1412="OWN","Yes","No"))</f>
        <v/>
      </c>
      <c r="AF1412" s="9">
        <f>IF(ISNUMBER(Z1412),IF(Z1412&lt;=2,"&lt;=2 d",IF(Z1412&lt;=7,"3-7 d",IF(Z1412&lt;=30,"8-30 d","&gt;30 d"))),IF(AE1412&lt;&gt;"",AE1412,IF(Z1412="NR","NR","")))</f>
        <v/>
      </c>
      <c r="AX1412" s="9">
        <f>IF(ISNUMBER(AW1412),IF(AW1412&gt;450,"Yes","No"),IF(AW1412="NR","NR",""))</f>
        <v/>
      </c>
      <c r="BJ1412" s="9">
        <f>IF(BB1412="","",IF(BB1412="Non-viable","Non-viable",IF(BB1412="Viable","Viable",IF(BB1412="Partially non-viable",IF(OR(BD1412="Total splenectomy",BD1412="Partial splenectomy +/- splenopexy"),"Non-viable","Review"),IF(BB1412="NR",IF(OR(BD1412="Total splenectomy",BD1412="Partial splenectomy +/- splenopexy"),"NR - removed, check reason","NR"),"Not applicable")))))</f>
        <v/>
      </c>
    </row>
    <row r="1413">
      <c r="D1413" s="8" t="n"/>
      <c r="E1413" s="9">
        <f>IF(B1413="","",IF(B1413="OWN","Yes","No"))</f>
        <v/>
      </c>
      <c r="AF1413" s="9">
        <f>IF(ISNUMBER(Z1413),IF(Z1413&lt;=2,"&lt;=2 d",IF(Z1413&lt;=7,"3-7 d",IF(Z1413&lt;=30,"8-30 d","&gt;30 d"))),IF(AE1413&lt;&gt;"",AE1413,IF(Z1413="NR","NR","")))</f>
        <v/>
      </c>
      <c r="AX1413" s="9">
        <f>IF(ISNUMBER(AW1413),IF(AW1413&gt;450,"Yes","No"),IF(AW1413="NR","NR",""))</f>
        <v/>
      </c>
      <c r="BJ1413" s="9">
        <f>IF(BB1413="","",IF(BB1413="Non-viable","Non-viable",IF(BB1413="Viable","Viable",IF(BB1413="Partially non-viable",IF(OR(BD1413="Total splenectomy",BD1413="Partial splenectomy +/- splenopexy"),"Non-viable","Review"),IF(BB1413="NR",IF(OR(BD1413="Total splenectomy",BD1413="Partial splenectomy +/- splenopexy"),"NR - removed, check reason","NR"),"Not applicable")))))</f>
        <v/>
      </c>
    </row>
    <row r="1414">
      <c r="D1414" s="8" t="n"/>
      <c r="E1414" s="9">
        <f>IF(B1414="","",IF(B1414="OWN","Yes","No"))</f>
        <v/>
      </c>
      <c r="AF1414" s="9">
        <f>IF(ISNUMBER(Z1414),IF(Z1414&lt;=2,"&lt;=2 d",IF(Z1414&lt;=7,"3-7 d",IF(Z1414&lt;=30,"8-30 d","&gt;30 d"))),IF(AE1414&lt;&gt;"",AE1414,IF(Z1414="NR","NR","")))</f>
        <v/>
      </c>
      <c r="AX1414" s="9">
        <f>IF(ISNUMBER(AW1414),IF(AW1414&gt;450,"Yes","No"),IF(AW1414="NR","NR",""))</f>
        <v/>
      </c>
      <c r="BJ1414" s="9">
        <f>IF(BB1414="","",IF(BB1414="Non-viable","Non-viable",IF(BB1414="Viable","Viable",IF(BB1414="Partially non-viable",IF(OR(BD1414="Total splenectomy",BD1414="Partial splenectomy +/- splenopexy"),"Non-viable","Review"),IF(BB1414="NR",IF(OR(BD1414="Total splenectomy",BD1414="Partial splenectomy +/- splenopexy"),"NR - removed, check reason","NR"),"Not applicable")))))</f>
        <v/>
      </c>
    </row>
    <row r="1415">
      <c r="D1415" s="8" t="n"/>
      <c r="E1415" s="9">
        <f>IF(B1415="","",IF(B1415="OWN","Yes","No"))</f>
        <v/>
      </c>
      <c r="AF1415" s="9">
        <f>IF(ISNUMBER(Z1415),IF(Z1415&lt;=2,"&lt;=2 d",IF(Z1415&lt;=7,"3-7 d",IF(Z1415&lt;=30,"8-30 d","&gt;30 d"))),IF(AE1415&lt;&gt;"",AE1415,IF(Z1415="NR","NR","")))</f>
        <v/>
      </c>
      <c r="AX1415" s="9">
        <f>IF(ISNUMBER(AW1415),IF(AW1415&gt;450,"Yes","No"),IF(AW1415="NR","NR",""))</f>
        <v/>
      </c>
      <c r="BJ1415" s="9">
        <f>IF(BB1415="","",IF(BB1415="Non-viable","Non-viable",IF(BB1415="Viable","Viable",IF(BB1415="Partially non-viable",IF(OR(BD1415="Total splenectomy",BD1415="Partial splenectomy +/- splenopexy"),"Non-viable","Review"),IF(BB1415="NR",IF(OR(BD1415="Total splenectomy",BD1415="Partial splenectomy +/- splenopexy"),"NR - removed, check reason","NR"),"Not applicable")))))</f>
        <v/>
      </c>
    </row>
    <row r="1416">
      <c r="D1416" s="8" t="n"/>
      <c r="E1416" s="9">
        <f>IF(B1416="","",IF(B1416="OWN","Yes","No"))</f>
        <v/>
      </c>
      <c r="AF1416" s="9">
        <f>IF(ISNUMBER(Z1416),IF(Z1416&lt;=2,"&lt;=2 d",IF(Z1416&lt;=7,"3-7 d",IF(Z1416&lt;=30,"8-30 d","&gt;30 d"))),IF(AE1416&lt;&gt;"",AE1416,IF(Z1416="NR","NR","")))</f>
        <v/>
      </c>
      <c r="AX1416" s="9">
        <f>IF(ISNUMBER(AW1416),IF(AW1416&gt;450,"Yes","No"),IF(AW1416="NR","NR",""))</f>
        <v/>
      </c>
      <c r="BJ1416" s="9">
        <f>IF(BB1416="","",IF(BB1416="Non-viable","Non-viable",IF(BB1416="Viable","Viable",IF(BB1416="Partially non-viable",IF(OR(BD1416="Total splenectomy",BD1416="Partial splenectomy +/- splenopexy"),"Non-viable","Review"),IF(BB1416="NR",IF(OR(BD1416="Total splenectomy",BD1416="Partial splenectomy +/- splenopexy"),"NR - removed, check reason","NR"),"Not applicable")))))</f>
        <v/>
      </c>
    </row>
    <row r="1417">
      <c r="D1417" s="8" t="n"/>
      <c r="E1417" s="9">
        <f>IF(B1417="","",IF(B1417="OWN","Yes","No"))</f>
        <v/>
      </c>
      <c r="AF1417" s="9">
        <f>IF(ISNUMBER(Z1417),IF(Z1417&lt;=2,"&lt;=2 d",IF(Z1417&lt;=7,"3-7 d",IF(Z1417&lt;=30,"8-30 d","&gt;30 d"))),IF(AE1417&lt;&gt;"",AE1417,IF(Z1417="NR","NR","")))</f>
        <v/>
      </c>
      <c r="AX1417" s="9">
        <f>IF(ISNUMBER(AW1417),IF(AW1417&gt;450,"Yes","No"),IF(AW1417="NR","NR",""))</f>
        <v/>
      </c>
      <c r="BJ1417" s="9">
        <f>IF(BB1417="","",IF(BB1417="Non-viable","Non-viable",IF(BB1417="Viable","Viable",IF(BB1417="Partially non-viable",IF(OR(BD1417="Total splenectomy",BD1417="Partial splenectomy +/- splenopexy"),"Non-viable","Review"),IF(BB1417="NR",IF(OR(BD1417="Total splenectomy",BD1417="Partial splenectomy +/- splenopexy"),"NR - removed, check reason","NR"),"Not applicable")))))</f>
        <v/>
      </c>
    </row>
    <row r="1418">
      <c r="D1418" s="8" t="n"/>
      <c r="E1418" s="9">
        <f>IF(B1418="","",IF(B1418="OWN","Yes","No"))</f>
        <v/>
      </c>
      <c r="AF1418" s="9">
        <f>IF(ISNUMBER(Z1418),IF(Z1418&lt;=2,"&lt;=2 d",IF(Z1418&lt;=7,"3-7 d",IF(Z1418&lt;=30,"8-30 d","&gt;30 d"))),IF(AE1418&lt;&gt;"",AE1418,IF(Z1418="NR","NR","")))</f>
        <v/>
      </c>
      <c r="AX1418" s="9">
        <f>IF(ISNUMBER(AW1418),IF(AW1418&gt;450,"Yes","No"),IF(AW1418="NR","NR",""))</f>
        <v/>
      </c>
      <c r="BJ1418" s="9">
        <f>IF(BB1418="","",IF(BB1418="Non-viable","Non-viable",IF(BB1418="Viable","Viable",IF(BB1418="Partially non-viable",IF(OR(BD1418="Total splenectomy",BD1418="Partial splenectomy +/- splenopexy"),"Non-viable","Review"),IF(BB1418="NR",IF(OR(BD1418="Total splenectomy",BD1418="Partial splenectomy +/- splenopexy"),"NR - removed, check reason","NR"),"Not applicable")))))</f>
        <v/>
      </c>
    </row>
    <row r="1419">
      <c r="D1419" s="8" t="n"/>
      <c r="E1419" s="9">
        <f>IF(B1419="","",IF(B1419="OWN","Yes","No"))</f>
        <v/>
      </c>
      <c r="AF1419" s="9">
        <f>IF(ISNUMBER(Z1419),IF(Z1419&lt;=2,"&lt;=2 d",IF(Z1419&lt;=7,"3-7 d",IF(Z1419&lt;=30,"8-30 d","&gt;30 d"))),IF(AE1419&lt;&gt;"",AE1419,IF(Z1419="NR","NR","")))</f>
        <v/>
      </c>
      <c r="AX1419" s="9">
        <f>IF(ISNUMBER(AW1419),IF(AW1419&gt;450,"Yes","No"),IF(AW1419="NR","NR",""))</f>
        <v/>
      </c>
      <c r="BJ1419" s="9">
        <f>IF(BB1419="","",IF(BB1419="Non-viable","Non-viable",IF(BB1419="Viable","Viable",IF(BB1419="Partially non-viable",IF(OR(BD1419="Total splenectomy",BD1419="Partial splenectomy +/- splenopexy"),"Non-viable","Review"),IF(BB1419="NR",IF(OR(BD1419="Total splenectomy",BD1419="Partial splenectomy +/- splenopexy"),"NR - removed, check reason","NR"),"Not applicable")))))</f>
        <v/>
      </c>
    </row>
    <row r="1420">
      <c r="D1420" s="8" t="n"/>
      <c r="E1420" s="9">
        <f>IF(B1420="","",IF(B1420="OWN","Yes","No"))</f>
        <v/>
      </c>
      <c r="AF1420" s="9">
        <f>IF(ISNUMBER(Z1420),IF(Z1420&lt;=2,"&lt;=2 d",IF(Z1420&lt;=7,"3-7 d",IF(Z1420&lt;=30,"8-30 d","&gt;30 d"))),IF(AE1420&lt;&gt;"",AE1420,IF(Z1420="NR","NR","")))</f>
        <v/>
      </c>
      <c r="AX1420" s="9">
        <f>IF(ISNUMBER(AW1420),IF(AW1420&gt;450,"Yes","No"),IF(AW1420="NR","NR",""))</f>
        <v/>
      </c>
      <c r="BJ1420" s="9">
        <f>IF(BB1420="","",IF(BB1420="Non-viable","Non-viable",IF(BB1420="Viable","Viable",IF(BB1420="Partially non-viable",IF(OR(BD1420="Total splenectomy",BD1420="Partial splenectomy +/- splenopexy"),"Non-viable","Review"),IF(BB1420="NR",IF(OR(BD1420="Total splenectomy",BD1420="Partial splenectomy +/- splenopexy"),"NR - removed, check reason","NR"),"Not applicable")))))</f>
        <v/>
      </c>
    </row>
    <row r="1421">
      <c r="D1421" s="8" t="n"/>
      <c r="E1421" s="9">
        <f>IF(B1421="","",IF(B1421="OWN","Yes","No"))</f>
        <v/>
      </c>
      <c r="AF1421" s="9">
        <f>IF(ISNUMBER(Z1421),IF(Z1421&lt;=2,"&lt;=2 d",IF(Z1421&lt;=7,"3-7 d",IF(Z1421&lt;=30,"8-30 d","&gt;30 d"))),IF(AE1421&lt;&gt;"",AE1421,IF(Z1421="NR","NR","")))</f>
        <v/>
      </c>
      <c r="AX1421" s="9">
        <f>IF(ISNUMBER(AW1421),IF(AW1421&gt;450,"Yes","No"),IF(AW1421="NR","NR",""))</f>
        <v/>
      </c>
      <c r="BJ1421" s="9">
        <f>IF(BB1421="","",IF(BB1421="Non-viable","Non-viable",IF(BB1421="Viable","Viable",IF(BB1421="Partially non-viable",IF(OR(BD1421="Total splenectomy",BD1421="Partial splenectomy +/- splenopexy"),"Non-viable","Review"),IF(BB1421="NR",IF(OR(BD1421="Total splenectomy",BD1421="Partial splenectomy +/- splenopexy"),"NR - removed, check reason","NR"),"Not applicable")))))</f>
        <v/>
      </c>
    </row>
    <row r="1422">
      <c r="D1422" s="8" t="n"/>
      <c r="E1422" s="9">
        <f>IF(B1422="","",IF(B1422="OWN","Yes","No"))</f>
        <v/>
      </c>
      <c r="AF1422" s="9">
        <f>IF(ISNUMBER(Z1422),IF(Z1422&lt;=2,"&lt;=2 d",IF(Z1422&lt;=7,"3-7 d",IF(Z1422&lt;=30,"8-30 d","&gt;30 d"))),IF(AE1422&lt;&gt;"",AE1422,IF(Z1422="NR","NR","")))</f>
        <v/>
      </c>
      <c r="AX1422" s="9">
        <f>IF(ISNUMBER(AW1422),IF(AW1422&gt;450,"Yes","No"),IF(AW1422="NR","NR",""))</f>
        <v/>
      </c>
      <c r="BJ1422" s="9">
        <f>IF(BB1422="","",IF(BB1422="Non-viable","Non-viable",IF(BB1422="Viable","Viable",IF(BB1422="Partially non-viable",IF(OR(BD1422="Total splenectomy",BD1422="Partial splenectomy +/- splenopexy"),"Non-viable","Review"),IF(BB1422="NR",IF(OR(BD1422="Total splenectomy",BD1422="Partial splenectomy +/- splenopexy"),"NR - removed, check reason","NR"),"Not applicable")))))</f>
        <v/>
      </c>
    </row>
    <row r="1423">
      <c r="D1423" s="8" t="n"/>
      <c r="E1423" s="9">
        <f>IF(B1423="","",IF(B1423="OWN","Yes","No"))</f>
        <v/>
      </c>
      <c r="AF1423" s="9">
        <f>IF(ISNUMBER(Z1423),IF(Z1423&lt;=2,"&lt;=2 d",IF(Z1423&lt;=7,"3-7 d",IF(Z1423&lt;=30,"8-30 d","&gt;30 d"))),IF(AE1423&lt;&gt;"",AE1423,IF(Z1423="NR","NR","")))</f>
        <v/>
      </c>
      <c r="AX1423" s="9">
        <f>IF(ISNUMBER(AW1423),IF(AW1423&gt;450,"Yes","No"),IF(AW1423="NR","NR",""))</f>
        <v/>
      </c>
      <c r="BJ1423" s="9">
        <f>IF(BB1423="","",IF(BB1423="Non-viable","Non-viable",IF(BB1423="Viable","Viable",IF(BB1423="Partially non-viable",IF(OR(BD1423="Total splenectomy",BD1423="Partial splenectomy +/- splenopexy"),"Non-viable","Review"),IF(BB1423="NR",IF(OR(BD1423="Total splenectomy",BD1423="Partial splenectomy +/- splenopexy"),"NR - removed, check reason","NR"),"Not applicable")))))</f>
        <v/>
      </c>
    </row>
    <row r="1424">
      <c r="D1424" s="8" t="n"/>
      <c r="E1424" s="9">
        <f>IF(B1424="","",IF(B1424="OWN","Yes","No"))</f>
        <v/>
      </c>
      <c r="AF1424" s="9">
        <f>IF(ISNUMBER(Z1424),IF(Z1424&lt;=2,"&lt;=2 d",IF(Z1424&lt;=7,"3-7 d",IF(Z1424&lt;=30,"8-30 d","&gt;30 d"))),IF(AE1424&lt;&gt;"",AE1424,IF(Z1424="NR","NR","")))</f>
        <v/>
      </c>
      <c r="AX1424" s="9">
        <f>IF(ISNUMBER(AW1424),IF(AW1424&gt;450,"Yes","No"),IF(AW1424="NR","NR",""))</f>
        <v/>
      </c>
      <c r="BJ1424" s="9">
        <f>IF(BB1424="","",IF(BB1424="Non-viable","Non-viable",IF(BB1424="Viable","Viable",IF(BB1424="Partially non-viable",IF(OR(BD1424="Total splenectomy",BD1424="Partial splenectomy +/- splenopexy"),"Non-viable","Review"),IF(BB1424="NR",IF(OR(BD1424="Total splenectomy",BD1424="Partial splenectomy +/- splenopexy"),"NR - removed, check reason","NR"),"Not applicable")))))</f>
        <v/>
      </c>
    </row>
    <row r="1425">
      <c r="D1425" s="8" t="n"/>
      <c r="E1425" s="9">
        <f>IF(B1425="","",IF(B1425="OWN","Yes","No"))</f>
        <v/>
      </c>
      <c r="AF1425" s="9">
        <f>IF(ISNUMBER(Z1425),IF(Z1425&lt;=2,"&lt;=2 d",IF(Z1425&lt;=7,"3-7 d",IF(Z1425&lt;=30,"8-30 d","&gt;30 d"))),IF(AE1425&lt;&gt;"",AE1425,IF(Z1425="NR","NR","")))</f>
        <v/>
      </c>
      <c r="AX1425" s="9">
        <f>IF(ISNUMBER(AW1425),IF(AW1425&gt;450,"Yes","No"),IF(AW1425="NR","NR",""))</f>
        <v/>
      </c>
      <c r="BJ1425" s="9">
        <f>IF(BB1425="","",IF(BB1425="Non-viable","Non-viable",IF(BB1425="Viable","Viable",IF(BB1425="Partially non-viable",IF(OR(BD1425="Total splenectomy",BD1425="Partial splenectomy +/- splenopexy"),"Non-viable","Review"),IF(BB1425="NR",IF(OR(BD1425="Total splenectomy",BD1425="Partial splenectomy +/- splenopexy"),"NR - removed, check reason","NR"),"Not applicable")))))</f>
        <v/>
      </c>
    </row>
    <row r="1426">
      <c r="D1426" s="8" t="n"/>
      <c r="E1426" s="9">
        <f>IF(B1426="","",IF(B1426="OWN","Yes","No"))</f>
        <v/>
      </c>
      <c r="AF1426" s="9">
        <f>IF(ISNUMBER(Z1426),IF(Z1426&lt;=2,"&lt;=2 d",IF(Z1426&lt;=7,"3-7 d",IF(Z1426&lt;=30,"8-30 d","&gt;30 d"))),IF(AE1426&lt;&gt;"",AE1426,IF(Z1426="NR","NR","")))</f>
        <v/>
      </c>
      <c r="AX1426" s="9">
        <f>IF(ISNUMBER(AW1426),IF(AW1426&gt;450,"Yes","No"),IF(AW1426="NR","NR",""))</f>
        <v/>
      </c>
      <c r="BJ1426" s="9">
        <f>IF(BB1426="","",IF(BB1426="Non-viable","Non-viable",IF(BB1426="Viable","Viable",IF(BB1426="Partially non-viable",IF(OR(BD1426="Total splenectomy",BD1426="Partial splenectomy +/- splenopexy"),"Non-viable","Review"),IF(BB1426="NR",IF(OR(BD1426="Total splenectomy",BD1426="Partial splenectomy +/- splenopexy"),"NR - removed, check reason","NR"),"Not applicable")))))</f>
        <v/>
      </c>
    </row>
    <row r="1427">
      <c r="D1427" s="8" t="n"/>
      <c r="E1427" s="9">
        <f>IF(B1427="","",IF(B1427="OWN","Yes","No"))</f>
        <v/>
      </c>
      <c r="AF1427" s="9">
        <f>IF(ISNUMBER(Z1427),IF(Z1427&lt;=2,"&lt;=2 d",IF(Z1427&lt;=7,"3-7 d",IF(Z1427&lt;=30,"8-30 d","&gt;30 d"))),IF(AE1427&lt;&gt;"",AE1427,IF(Z1427="NR","NR","")))</f>
        <v/>
      </c>
      <c r="AX1427" s="9">
        <f>IF(ISNUMBER(AW1427),IF(AW1427&gt;450,"Yes","No"),IF(AW1427="NR","NR",""))</f>
        <v/>
      </c>
      <c r="BJ1427" s="9">
        <f>IF(BB1427="","",IF(BB1427="Non-viable","Non-viable",IF(BB1427="Viable","Viable",IF(BB1427="Partially non-viable",IF(OR(BD1427="Total splenectomy",BD1427="Partial splenectomy +/- splenopexy"),"Non-viable","Review"),IF(BB1427="NR",IF(OR(BD1427="Total splenectomy",BD1427="Partial splenectomy +/- splenopexy"),"NR - removed, check reason","NR"),"Not applicable")))))</f>
        <v/>
      </c>
    </row>
    <row r="1428">
      <c r="D1428" s="8" t="n"/>
      <c r="E1428" s="9">
        <f>IF(B1428="","",IF(B1428="OWN","Yes","No"))</f>
        <v/>
      </c>
      <c r="AF1428" s="9">
        <f>IF(ISNUMBER(Z1428),IF(Z1428&lt;=2,"&lt;=2 d",IF(Z1428&lt;=7,"3-7 d",IF(Z1428&lt;=30,"8-30 d","&gt;30 d"))),IF(AE1428&lt;&gt;"",AE1428,IF(Z1428="NR","NR","")))</f>
        <v/>
      </c>
      <c r="AX1428" s="9">
        <f>IF(ISNUMBER(AW1428),IF(AW1428&gt;450,"Yes","No"),IF(AW1428="NR","NR",""))</f>
        <v/>
      </c>
      <c r="BJ1428" s="9">
        <f>IF(BB1428="","",IF(BB1428="Non-viable","Non-viable",IF(BB1428="Viable","Viable",IF(BB1428="Partially non-viable",IF(OR(BD1428="Total splenectomy",BD1428="Partial splenectomy +/- splenopexy"),"Non-viable","Review"),IF(BB1428="NR",IF(OR(BD1428="Total splenectomy",BD1428="Partial splenectomy +/- splenopexy"),"NR - removed, check reason","NR"),"Not applicable")))))</f>
        <v/>
      </c>
    </row>
    <row r="1429">
      <c r="D1429" s="8" t="n"/>
      <c r="E1429" s="9">
        <f>IF(B1429="","",IF(B1429="OWN","Yes","No"))</f>
        <v/>
      </c>
      <c r="AF1429" s="9">
        <f>IF(ISNUMBER(Z1429),IF(Z1429&lt;=2,"&lt;=2 d",IF(Z1429&lt;=7,"3-7 d",IF(Z1429&lt;=30,"8-30 d","&gt;30 d"))),IF(AE1429&lt;&gt;"",AE1429,IF(Z1429="NR","NR","")))</f>
        <v/>
      </c>
      <c r="AX1429" s="9">
        <f>IF(ISNUMBER(AW1429),IF(AW1429&gt;450,"Yes","No"),IF(AW1429="NR","NR",""))</f>
        <v/>
      </c>
      <c r="BJ1429" s="9">
        <f>IF(BB1429="","",IF(BB1429="Non-viable","Non-viable",IF(BB1429="Viable","Viable",IF(BB1429="Partially non-viable",IF(OR(BD1429="Total splenectomy",BD1429="Partial splenectomy +/- splenopexy"),"Non-viable","Review"),IF(BB1429="NR",IF(OR(BD1429="Total splenectomy",BD1429="Partial splenectomy +/- splenopexy"),"NR - removed, check reason","NR"),"Not applicable")))))</f>
        <v/>
      </c>
    </row>
    <row r="1430">
      <c r="D1430" s="8" t="n"/>
      <c r="E1430" s="9">
        <f>IF(B1430="","",IF(B1430="OWN","Yes","No"))</f>
        <v/>
      </c>
      <c r="AF1430" s="9">
        <f>IF(ISNUMBER(Z1430),IF(Z1430&lt;=2,"&lt;=2 d",IF(Z1430&lt;=7,"3-7 d",IF(Z1430&lt;=30,"8-30 d","&gt;30 d"))),IF(AE1430&lt;&gt;"",AE1430,IF(Z1430="NR","NR","")))</f>
        <v/>
      </c>
      <c r="AX1430" s="9">
        <f>IF(ISNUMBER(AW1430),IF(AW1430&gt;450,"Yes","No"),IF(AW1430="NR","NR",""))</f>
        <v/>
      </c>
      <c r="BJ1430" s="9">
        <f>IF(BB1430="","",IF(BB1430="Non-viable","Non-viable",IF(BB1430="Viable","Viable",IF(BB1430="Partially non-viable",IF(OR(BD1430="Total splenectomy",BD1430="Partial splenectomy +/- splenopexy"),"Non-viable","Review"),IF(BB1430="NR",IF(OR(BD1430="Total splenectomy",BD1430="Partial splenectomy +/- splenopexy"),"NR - removed, check reason","NR"),"Not applicable")))))</f>
        <v/>
      </c>
    </row>
    <row r="1431">
      <c r="D1431" s="8" t="n"/>
      <c r="E1431" s="9">
        <f>IF(B1431="","",IF(B1431="OWN","Yes","No"))</f>
        <v/>
      </c>
      <c r="AF1431" s="9">
        <f>IF(ISNUMBER(Z1431),IF(Z1431&lt;=2,"&lt;=2 d",IF(Z1431&lt;=7,"3-7 d",IF(Z1431&lt;=30,"8-30 d","&gt;30 d"))),IF(AE1431&lt;&gt;"",AE1431,IF(Z1431="NR","NR","")))</f>
        <v/>
      </c>
      <c r="AX1431" s="9">
        <f>IF(ISNUMBER(AW1431),IF(AW1431&gt;450,"Yes","No"),IF(AW1431="NR","NR",""))</f>
        <v/>
      </c>
      <c r="BJ1431" s="9">
        <f>IF(BB1431="","",IF(BB1431="Non-viable","Non-viable",IF(BB1431="Viable","Viable",IF(BB1431="Partially non-viable",IF(OR(BD1431="Total splenectomy",BD1431="Partial splenectomy +/- splenopexy"),"Non-viable","Review"),IF(BB1431="NR",IF(OR(BD1431="Total splenectomy",BD1431="Partial splenectomy +/- splenopexy"),"NR - removed, check reason","NR"),"Not applicable")))))</f>
        <v/>
      </c>
    </row>
    <row r="1432">
      <c r="D1432" s="8" t="n"/>
      <c r="E1432" s="9">
        <f>IF(B1432="","",IF(B1432="OWN","Yes","No"))</f>
        <v/>
      </c>
      <c r="AF1432" s="9">
        <f>IF(ISNUMBER(Z1432),IF(Z1432&lt;=2,"&lt;=2 d",IF(Z1432&lt;=7,"3-7 d",IF(Z1432&lt;=30,"8-30 d","&gt;30 d"))),IF(AE1432&lt;&gt;"",AE1432,IF(Z1432="NR","NR","")))</f>
        <v/>
      </c>
      <c r="AX1432" s="9">
        <f>IF(ISNUMBER(AW1432),IF(AW1432&gt;450,"Yes","No"),IF(AW1432="NR","NR",""))</f>
        <v/>
      </c>
      <c r="BJ1432" s="9">
        <f>IF(BB1432="","",IF(BB1432="Non-viable","Non-viable",IF(BB1432="Viable","Viable",IF(BB1432="Partially non-viable",IF(OR(BD1432="Total splenectomy",BD1432="Partial splenectomy +/- splenopexy"),"Non-viable","Review"),IF(BB1432="NR",IF(OR(BD1432="Total splenectomy",BD1432="Partial splenectomy +/- splenopexy"),"NR - removed, check reason","NR"),"Not applicable")))))</f>
        <v/>
      </c>
    </row>
    <row r="1433">
      <c r="D1433" s="8" t="n"/>
      <c r="E1433" s="9">
        <f>IF(B1433="","",IF(B1433="OWN","Yes","No"))</f>
        <v/>
      </c>
      <c r="AF1433" s="9">
        <f>IF(ISNUMBER(Z1433),IF(Z1433&lt;=2,"&lt;=2 d",IF(Z1433&lt;=7,"3-7 d",IF(Z1433&lt;=30,"8-30 d","&gt;30 d"))),IF(AE1433&lt;&gt;"",AE1433,IF(Z1433="NR","NR","")))</f>
        <v/>
      </c>
      <c r="AX1433" s="9">
        <f>IF(ISNUMBER(AW1433),IF(AW1433&gt;450,"Yes","No"),IF(AW1433="NR","NR",""))</f>
        <v/>
      </c>
      <c r="BJ1433" s="9">
        <f>IF(BB1433="","",IF(BB1433="Non-viable","Non-viable",IF(BB1433="Viable","Viable",IF(BB1433="Partially non-viable",IF(OR(BD1433="Total splenectomy",BD1433="Partial splenectomy +/- splenopexy"),"Non-viable","Review"),IF(BB1433="NR",IF(OR(BD1433="Total splenectomy",BD1433="Partial splenectomy +/- splenopexy"),"NR - removed, check reason","NR"),"Not applicable")))))</f>
        <v/>
      </c>
    </row>
    <row r="1434">
      <c r="D1434" s="8" t="n"/>
      <c r="E1434" s="9">
        <f>IF(B1434="","",IF(B1434="OWN","Yes","No"))</f>
        <v/>
      </c>
      <c r="AF1434" s="9">
        <f>IF(ISNUMBER(Z1434),IF(Z1434&lt;=2,"&lt;=2 d",IF(Z1434&lt;=7,"3-7 d",IF(Z1434&lt;=30,"8-30 d","&gt;30 d"))),IF(AE1434&lt;&gt;"",AE1434,IF(Z1434="NR","NR","")))</f>
        <v/>
      </c>
      <c r="AX1434" s="9">
        <f>IF(ISNUMBER(AW1434),IF(AW1434&gt;450,"Yes","No"),IF(AW1434="NR","NR",""))</f>
        <v/>
      </c>
      <c r="BJ1434" s="9">
        <f>IF(BB1434="","",IF(BB1434="Non-viable","Non-viable",IF(BB1434="Viable","Viable",IF(BB1434="Partially non-viable",IF(OR(BD1434="Total splenectomy",BD1434="Partial splenectomy +/- splenopexy"),"Non-viable","Review"),IF(BB1434="NR",IF(OR(BD1434="Total splenectomy",BD1434="Partial splenectomy +/- splenopexy"),"NR - removed, check reason","NR"),"Not applicable")))))</f>
        <v/>
      </c>
    </row>
    <row r="1435">
      <c r="D1435" s="8" t="n"/>
      <c r="E1435" s="9">
        <f>IF(B1435="","",IF(B1435="OWN","Yes","No"))</f>
        <v/>
      </c>
      <c r="AF1435" s="9">
        <f>IF(ISNUMBER(Z1435),IF(Z1435&lt;=2,"&lt;=2 d",IF(Z1435&lt;=7,"3-7 d",IF(Z1435&lt;=30,"8-30 d","&gt;30 d"))),IF(AE1435&lt;&gt;"",AE1435,IF(Z1435="NR","NR","")))</f>
        <v/>
      </c>
      <c r="AX1435" s="9">
        <f>IF(ISNUMBER(AW1435),IF(AW1435&gt;450,"Yes","No"),IF(AW1435="NR","NR",""))</f>
        <v/>
      </c>
      <c r="BJ1435" s="9">
        <f>IF(BB1435="","",IF(BB1435="Non-viable","Non-viable",IF(BB1435="Viable","Viable",IF(BB1435="Partially non-viable",IF(OR(BD1435="Total splenectomy",BD1435="Partial splenectomy +/- splenopexy"),"Non-viable","Review"),IF(BB1435="NR",IF(OR(BD1435="Total splenectomy",BD1435="Partial splenectomy +/- splenopexy"),"NR - removed, check reason","NR"),"Not applicable")))))</f>
        <v/>
      </c>
    </row>
    <row r="1436">
      <c r="D1436" s="8" t="n"/>
      <c r="E1436" s="9">
        <f>IF(B1436="","",IF(B1436="OWN","Yes","No"))</f>
        <v/>
      </c>
      <c r="AF1436" s="9">
        <f>IF(ISNUMBER(Z1436),IF(Z1436&lt;=2,"&lt;=2 d",IF(Z1436&lt;=7,"3-7 d",IF(Z1436&lt;=30,"8-30 d","&gt;30 d"))),IF(AE1436&lt;&gt;"",AE1436,IF(Z1436="NR","NR","")))</f>
        <v/>
      </c>
      <c r="AX1436" s="9">
        <f>IF(ISNUMBER(AW1436),IF(AW1436&gt;450,"Yes","No"),IF(AW1436="NR","NR",""))</f>
        <v/>
      </c>
      <c r="BJ1436" s="9">
        <f>IF(BB1436="","",IF(BB1436="Non-viable","Non-viable",IF(BB1436="Viable","Viable",IF(BB1436="Partially non-viable",IF(OR(BD1436="Total splenectomy",BD1436="Partial splenectomy +/- splenopexy"),"Non-viable","Review"),IF(BB1436="NR",IF(OR(BD1436="Total splenectomy",BD1436="Partial splenectomy +/- splenopexy"),"NR - removed, check reason","NR"),"Not applicable")))))</f>
        <v/>
      </c>
    </row>
    <row r="1437">
      <c r="D1437" s="8" t="n"/>
      <c r="E1437" s="9">
        <f>IF(B1437="","",IF(B1437="OWN","Yes","No"))</f>
        <v/>
      </c>
      <c r="AF1437" s="9">
        <f>IF(ISNUMBER(Z1437),IF(Z1437&lt;=2,"&lt;=2 d",IF(Z1437&lt;=7,"3-7 d",IF(Z1437&lt;=30,"8-30 d","&gt;30 d"))),IF(AE1437&lt;&gt;"",AE1437,IF(Z1437="NR","NR","")))</f>
        <v/>
      </c>
      <c r="AX1437" s="9">
        <f>IF(ISNUMBER(AW1437),IF(AW1437&gt;450,"Yes","No"),IF(AW1437="NR","NR",""))</f>
        <v/>
      </c>
      <c r="BJ1437" s="9">
        <f>IF(BB1437="","",IF(BB1437="Non-viable","Non-viable",IF(BB1437="Viable","Viable",IF(BB1437="Partially non-viable",IF(OR(BD1437="Total splenectomy",BD1437="Partial splenectomy +/- splenopexy"),"Non-viable","Review"),IF(BB1437="NR",IF(OR(BD1437="Total splenectomy",BD1437="Partial splenectomy +/- splenopexy"),"NR - removed, check reason","NR"),"Not applicable")))))</f>
        <v/>
      </c>
    </row>
    <row r="1438">
      <c r="D1438" s="8" t="n"/>
      <c r="E1438" s="9">
        <f>IF(B1438="","",IF(B1438="OWN","Yes","No"))</f>
        <v/>
      </c>
      <c r="AF1438" s="9">
        <f>IF(ISNUMBER(Z1438),IF(Z1438&lt;=2,"&lt;=2 d",IF(Z1438&lt;=7,"3-7 d",IF(Z1438&lt;=30,"8-30 d","&gt;30 d"))),IF(AE1438&lt;&gt;"",AE1438,IF(Z1438="NR","NR","")))</f>
        <v/>
      </c>
      <c r="AX1438" s="9">
        <f>IF(ISNUMBER(AW1438),IF(AW1438&gt;450,"Yes","No"),IF(AW1438="NR","NR",""))</f>
        <v/>
      </c>
      <c r="BJ1438" s="9">
        <f>IF(BB1438="","",IF(BB1438="Non-viable","Non-viable",IF(BB1438="Viable","Viable",IF(BB1438="Partially non-viable",IF(OR(BD1438="Total splenectomy",BD1438="Partial splenectomy +/- splenopexy"),"Non-viable","Review"),IF(BB1438="NR",IF(OR(BD1438="Total splenectomy",BD1438="Partial splenectomy +/- splenopexy"),"NR - removed, check reason","NR"),"Not applicable")))))</f>
        <v/>
      </c>
    </row>
    <row r="1439">
      <c r="D1439" s="8" t="n"/>
      <c r="E1439" s="9">
        <f>IF(B1439="","",IF(B1439="OWN","Yes","No"))</f>
        <v/>
      </c>
      <c r="AF1439" s="9">
        <f>IF(ISNUMBER(Z1439),IF(Z1439&lt;=2,"&lt;=2 d",IF(Z1439&lt;=7,"3-7 d",IF(Z1439&lt;=30,"8-30 d","&gt;30 d"))),IF(AE1439&lt;&gt;"",AE1439,IF(Z1439="NR","NR","")))</f>
        <v/>
      </c>
      <c r="AX1439" s="9">
        <f>IF(ISNUMBER(AW1439),IF(AW1439&gt;450,"Yes","No"),IF(AW1439="NR","NR",""))</f>
        <v/>
      </c>
      <c r="BJ1439" s="9">
        <f>IF(BB1439="","",IF(BB1439="Non-viable","Non-viable",IF(BB1439="Viable","Viable",IF(BB1439="Partially non-viable",IF(OR(BD1439="Total splenectomy",BD1439="Partial splenectomy +/- splenopexy"),"Non-viable","Review"),IF(BB1439="NR",IF(OR(BD1439="Total splenectomy",BD1439="Partial splenectomy +/- splenopexy"),"NR - removed, check reason","NR"),"Not applicable")))))</f>
        <v/>
      </c>
    </row>
    <row r="1440">
      <c r="D1440" s="8" t="n"/>
      <c r="E1440" s="9">
        <f>IF(B1440="","",IF(B1440="OWN","Yes","No"))</f>
        <v/>
      </c>
      <c r="AF1440" s="9">
        <f>IF(ISNUMBER(Z1440),IF(Z1440&lt;=2,"&lt;=2 d",IF(Z1440&lt;=7,"3-7 d",IF(Z1440&lt;=30,"8-30 d","&gt;30 d"))),IF(AE1440&lt;&gt;"",AE1440,IF(Z1440="NR","NR","")))</f>
        <v/>
      </c>
      <c r="AX1440" s="9">
        <f>IF(ISNUMBER(AW1440),IF(AW1440&gt;450,"Yes","No"),IF(AW1440="NR","NR",""))</f>
        <v/>
      </c>
      <c r="BJ1440" s="9">
        <f>IF(BB1440="","",IF(BB1440="Non-viable","Non-viable",IF(BB1440="Viable","Viable",IF(BB1440="Partially non-viable",IF(OR(BD1440="Total splenectomy",BD1440="Partial splenectomy +/- splenopexy"),"Non-viable","Review"),IF(BB1440="NR",IF(OR(BD1440="Total splenectomy",BD1440="Partial splenectomy +/- splenopexy"),"NR - removed, check reason","NR"),"Not applicable")))))</f>
        <v/>
      </c>
    </row>
    <row r="1441">
      <c r="D1441" s="8" t="n"/>
      <c r="E1441" s="9">
        <f>IF(B1441="","",IF(B1441="OWN","Yes","No"))</f>
        <v/>
      </c>
      <c r="AF1441" s="9">
        <f>IF(ISNUMBER(Z1441),IF(Z1441&lt;=2,"&lt;=2 d",IF(Z1441&lt;=7,"3-7 d",IF(Z1441&lt;=30,"8-30 d","&gt;30 d"))),IF(AE1441&lt;&gt;"",AE1441,IF(Z1441="NR","NR","")))</f>
        <v/>
      </c>
      <c r="AX1441" s="9">
        <f>IF(ISNUMBER(AW1441),IF(AW1441&gt;450,"Yes","No"),IF(AW1441="NR","NR",""))</f>
        <v/>
      </c>
      <c r="BJ1441" s="9">
        <f>IF(BB1441="","",IF(BB1441="Non-viable","Non-viable",IF(BB1441="Viable","Viable",IF(BB1441="Partially non-viable",IF(OR(BD1441="Total splenectomy",BD1441="Partial splenectomy +/- splenopexy"),"Non-viable","Review"),IF(BB1441="NR",IF(OR(BD1441="Total splenectomy",BD1441="Partial splenectomy +/- splenopexy"),"NR - removed, check reason","NR"),"Not applicable")))))</f>
        <v/>
      </c>
    </row>
    <row r="1442">
      <c r="D1442" s="8" t="n"/>
      <c r="E1442" s="9">
        <f>IF(B1442="","",IF(B1442="OWN","Yes","No"))</f>
        <v/>
      </c>
      <c r="AF1442" s="9">
        <f>IF(ISNUMBER(Z1442),IF(Z1442&lt;=2,"&lt;=2 d",IF(Z1442&lt;=7,"3-7 d",IF(Z1442&lt;=30,"8-30 d","&gt;30 d"))),IF(AE1442&lt;&gt;"",AE1442,IF(Z1442="NR","NR","")))</f>
        <v/>
      </c>
      <c r="AX1442" s="9">
        <f>IF(ISNUMBER(AW1442),IF(AW1442&gt;450,"Yes","No"),IF(AW1442="NR","NR",""))</f>
        <v/>
      </c>
      <c r="BJ1442" s="9">
        <f>IF(BB1442="","",IF(BB1442="Non-viable","Non-viable",IF(BB1442="Viable","Viable",IF(BB1442="Partially non-viable",IF(OR(BD1442="Total splenectomy",BD1442="Partial splenectomy +/- splenopexy"),"Non-viable","Review"),IF(BB1442="NR",IF(OR(BD1442="Total splenectomy",BD1442="Partial splenectomy +/- splenopexy"),"NR - removed, check reason","NR"),"Not applicable")))))</f>
        <v/>
      </c>
    </row>
    <row r="1443">
      <c r="D1443" s="8" t="n"/>
      <c r="E1443" s="9">
        <f>IF(B1443="","",IF(B1443="OWN","Yes","No"))</f>
        <v/>
      </c>
      <c r="AF1443" s="9">
        <f>IF(ISNUMBER(Z1443),IF(Z1443&lt;=2,"&lt;=2 d",IF(Z1443&lt;=7,"3-7 d",IF(Z1443&lt;=30,"8-30 d","&gt;30 d"))),IF(AE1443&lt;&gt;"",AE1443,IF(Z1443="NR","NR","")))</f>
        <v/>
      </c>
      <c r="AX1443" s="9">
        <f>IF(ISNUMBER(AW1443),IF(AW1443&gt;450,"Yes","No"),IF(AW1443="NR","NR",""))</f>
        <v/>
      </c>
      <c r="BJ1443" s="9">
        <f>IF(BB1443="","",IF(BB1443="Non-viable","Non-viable",IF(BB1443="Viable","Viable",IF(BB1443="Partially non-viable",IF(OR(BD1443="Total splenectomy",BD1443="Partial splenectomy +/- splenopexy"),"Non-viable","Review"),IF(BB1443="NR",IF(OR(BD1443="Total splenectomy",BD1443="Partial splenectomy +/- splenopexy"),"NR - removed, check reason","NR"),"Not applicable")))))</f>
        <v/>
      </c>
    </row>
    <row r="1444">
      <c r="D1444" s="8" t="n"/>
      <c r="E1444" s="9">
        <f>IF(B1444="","",IF(B1444="OWN","Yes","No"))</f>
        <v/>
      </c>
      <c r="AF1444" s="9">
        <f>IF(ISNUMBER(Z1444),IF(Z1444&lt;=2,"&lt;=2 d",IF(Z1444&lt;=7,"3-7 d",IF(Z1444&lt;=30,"8-30 d","&gt;30 d"))),IF(AE1444&lt;&gt;"",AE1444,IF(Z1444="NR","NR","")))</f>
        <v/>
      </c>
      <c r="AX1444" s="9">
        <f>IF(ISNUMBER(AW1444),IF(AW1444&gt;450,"Yes","No"),IF(AW1444="NR","NR",""))</f>
        <v/>
      </c>
      <c r="BJ1444" s="9">
        <f>IF(BB1444="","",IF(BB1444="Non-viable","Non-viable",IF(BB1444="Viable","Viable",IF(BB1444="Partially non-viable",IF(OR(BD1444="Total splenectomy",BD1444="Partial splenectomy +/- splenopexy"),"Non-viable","Review"),IF(BB1444="NR",IF(OR(BD1444="Total splenectomy",BD1444="Partial splenectomy +/- splenopexy"),"NR - removed, check reason","NR"),"Not applicable")))))</f>
        <v/>
      </c>
    </row>
    <row r="1445">
      <c r="D1445" s="8" t="n"/>
      <c r="E1445" s="9">
        <f>IF(B1445="","",IF(B1445="OWN","Yes","No"))</f>
        <v/>
      </c>
      <c r="AF1445" s="9">
        <f>IF(ISNUMBER(Z1445),IF(Z1445&lt;=2,"&lt;=2 d",IF(Z1445&lt;=7,"3-7 d",IF(Z1445&lt;=30,"8-30 d","&gt;30 d"))),IF(AE1445&lt;&gt;"",AE1445,IF(Z1445="NR","NR","")))</f>
        <v/>
      </c>
      <c r="AX1445" s="9">
        <f>IF(ISNUMBER(AW1445),IF(AW1445&gt;450,"Yes","No"),IF(AW1445="NR","NR",""))</f>
        <v/>
      </c>
      <c r="BJ1445" s="9">
        <f>IF(BB1445="","",IF(BB1445="Non-viable","Non-viable",IF(BB1445="Viable","Viable",IF(BB1445="Partially non-viable",IF(OR(BD1445="Total splenectomy",BD1445="Partial splenectomy +/- splenopexy"),"Non-viable","Review"),IF(BB1445="NR",IF(OR(BD1445="Total splenectomy",BD1445="Partial splenectomy +/- splenopexy"),"NR - removed, check reason","NR"),"Not applicable")))))</f>
        <v/>
      </c>
    </row>
    <row r="1446">
      <c r="D1446" s="8" t="n"/>
      <c r="E1446" s="9">
        <f>IF(B1446="","",IF(B1446="OWN","Yes","No"))</f>
        <v/>
      </c>
      <c r="AF1446" s="9">
        <f>IF(ISNUMBER(Z1446),IF(Z1446&lt;=2,"&lt;=2 d",IF(Z1446&lt;=7,"3-7 d",IF(Z1446&lt;=30,"8-30 d","&gt;30 d"))),IF(AE1446&lt;&gt;"",AE1446,IF(Z1446="NR","NR","")))</f>
        <v/>
      </c>
      <c r="AX1446" s="9">
        <f>IF(ISNUMBER(AW1446),IF(AW1446&gt;450,"Yes","No"),IF(AW1446="NR","NR",""))</f>
        <v/>
      </c>
      <c r="BJ1446" s="9">
        <f>IF(BB1446="","",IF(BB1446="Non-viable","Non-viable",IF(BB1446="Viable","Viable",IF(BB1446="Partially non-viable",IF(OR(BD1446="Total splenectomy",BD1446="Partial splenectomy +/- splenopexy"),"Non-viable","Review"),IF(BB1446="NR",IF(OR(BD1446="Total splenectomy",BD1446="Partial splenectomy +/- splenopexy"),"NR - removed, check reason","NR"),"Not applicable")))))</f>
        <v/>
      </c>
    </row>
    <row r="1447">
      <c r="D1447" s="8" t="n"/>
      <c r="E1447" s="9">
        <f>IF(B1447="","",IF(B1447="OWN","Yes","No"))</f>
        <v/>
      </c>
      <c r="AF1447" s="9">
        <f>IF(ISNUMBER(Z1447),IF(Z1447&lt;=2,"&lt;=2 d",IF(Z1447&lt;=7,"3-7 d",IF(Z1447&lt;=30,"8-30 d","&gt;30 d"))),IF(AE1447&lt;&gt;"",AE1447,IF(Z1447="NR","NR","")))</f>
        <v/>
      </c>
      <c r="AX1447" s="9">
        <f>IF(ISNUMBER(AW1447),IF(AW1447&gt;450,"Yes","No"),IF(AW1447="NR","NR",""))</f>
        <v/>
      </c>
      <c r="BJ1447" s="9">
        <f>IF(BB1447="","",IF(BB1447="Non-viable","Non-viable",IF(BB1447="Viable","Viable",IF(BB1447="Partially non-viable",IF(OR(BD1447="Total splenectomy",BD1447="Partial splenectomy +/- splenopexy"),"Non-viable","Review"),IF(BB1447="NR",IF(OR(BD1447="Total splenectomy",BD1447="Partial splenectomy +/- splenopexy"),"NR - removed, check reason","NR"),"Not applicable")))))</f>
        <v/>
      </c>
    </row>
    <row r="1448">
      <c r="D1448" s="8" t="n"/>
      <c r="E1448" s="9">
        <f>IF(B1448="","",IF(B1448="OWN","Yes","No"))</f>
        <v/>
      </c>
      <c r="AF1448" s="9">
        <f>IF(ISNUMBER(Z1448),IF(Z1448&lt;=2,"&lt;=2 d",IF(Z1448&lt;=7,"3-7 d",IF(Z1448&lt;=30,"8-30 d","&gt;30 d"))),IF(AE1448&lt;&gt;"",AE1448,IF(Z1448="NR","NR","")))</f>
        <v/>
      </c>
      <c r="AX1448" s="9">
        <f>IF(ISNUMBER(AW1448),IF(AW1448&gt;450,"Yes","No"),IF(AW1448="NR","NR",""))</f>
        <v/>
      </c>
      <c r="BJ1448" s="9">
        <f>IF(BB1448="","",IF(BB1448="Non-viable","Non-viable",IF(BB1448="Viable","Viable",IF(BB1448="Partially non-viable",IF(OR(BD1448="Total splenectomy",BD1448="Partial splenectomy +/- splenopexy"),"Non-viable","Review"),IF(BB1448="NR",IF(OR(BD1448="Total splenectomy",BD1448="Partial splenectomy +/- splenopexy"),"NR - removed, check reason","NR"),"Not applicable")))))</f>
        <v/>
      </c>
    </row>
    <row r="1449">
      <c r="D1449" s="8" t="n"/>
      <c r="E1449" s="9">
        <f>IF(B1449="","",IF(B1449="OWN","Yes","No"))</f>
        <v/>
      </c>
      <c r="AF1449" s="9">
        <f>IF(ISNUMBER(Z1449),IF(Z1449&lt;=2,"&lt;=2 d",IF(Z1449&lt;=7,"3-7 d",IF(Z1449&lt;=30,"8-30 d","&gt;30 d"))),IF(AE1449&lt;&gt;"",AE1449,IF(Z1449="NR","NR","")))</f>
        <v/>
      </c>
      <c r="AX1449" s="9">
        <f>IF(ISNUMBER(AW1449),IF(AW1449&gt;450,"Yes","No"),IF(AW1449="NR","NR",""))</f>
        <v/>
      </c>
      <c r="BJ1449" s="9">
        <f>IF(BB1449="","",IF(BB1449="Non-viable","Non-viable",IF(BB1449="Viable","Viable",IF(BB1449="Partially non-viable",IF(OR(BD1449="Total splenectomy",BD1449="Partial splenectomy +/- splenopexy"),"Non-viable","Review"),IF(BB1449="NR",IF(OR(BD1449="Total splenectomy",BD1449="Partial splenectomy +/- splenopexy"),"NR - removed, check reason","NR"),"Not applicable")))))</f>
        <v/>
      </c>
    </row>
    <row r="1450">
      <c r="D1450" s="8" t="n"/>
      <c r="E1450" s="9">
        <f>IF(B1450="","",IF(B1450="OWN","Yes","No"))</f>
        <v/>
      </c>
      <c r="AF1450" s="9">
        <f>IF(ISNUMBER(Z1450),IF(Z1450&lt;=2,"&lt;=2 d",IF(Z1450&lt;=7,"3-7 d",IF(Z1450&lt;=30,"8-30 d","&gt;30 d"))),IF(AE1450&lt;&gt;"",AE1450,IF(Z1450="NR","NR","")))</f>
        <v/>
      </c>
      <c r="AX1450" s="9">
        <f>IF(ISNUMBER(AW1450),IF(AW1450&gt;450,"Yes","No"),IF(AW1450="NR","NR",""))</f>
        <v/>
      </c>
      <c r="BJ1450" s="9">
        <f>IF(BB1450="","",IF(BB1450="Non-viable","Non-viable",IF(BB1450="Viable","Viable",IF(BB1450="Partially non-viable",IF(OR(BD1450="Total splenectomy",BD1450="Partial splenectomy +/- splenopexy"),"Non-viable","Review"),IF(BB1450="NR",IF(OR(BD1450="Total splenectomy",BD1450="Partial splenectomy +/- splenopexy"),"NR - removed, check reason","NR"),"Not applicable")))))</f>
        <v/>
      </c>
    </row>
    <row r="1451">
      <c r="D1451" s="8" t="n"/>
      <c r="E1451" s="9">
        <f>IF(B1451="","",IF(B1451="OWN","Yes","No"))</f>
        <v/>
      </c>
      <c r="AF1451" s="9">
        <f>IF(ISNUMBER(Z1451),IF(Z1451&lt;=2,"&lt;=2 d",IF(Z1451&lt;=7,"3-7 d",IF(Z1451&lt;=30,"8-30 d","&gt;30 d"))),IF(AE1451&lt;&gt;"",AE1451,IF(Z1451="NR","NR","")))</f>
        <v/>
      </c>
      <c r="AX1451" s="9">
        <f>IF(ISNUMBER(AW1451),IF(AW1451&gt;450,"Yes","No"),IF(AW1451="NR","NR",""))</f>
        <v/>
      </c>
      <c r="BJ1451" s="9">
        <f>IF(BB1451="","",IF(BB1451="Non-viable","Non-viable",IF(BB1451="Viable","Viable",IF(BB1451="Partially non-viable",IF(OR(BD1451="Total splenectomy",BD1451="Partial splenectomy +/- splenopexy"),"Non-viable","Review"),IF(BB1451="NR",IF(OR(BD1451="Total splenectomy",BD1451="Partial splenectomy +/- splenopexy"),"NR - removed, check reason","NR"),"Not applicable")))))</f>
        <v/>
      </c>
    </row>
    <row r="1452">
      <c r="D1452" s="8" t="n"/>
      <c r="E1452" s="9">
        <f>IF(B1452="","",IF(B1452="OWN","Yes","No"))</f>
        <v/>
      </c>
      <c r="AF1452" s="9">
        <f>IF(ISNUMBER(Z1452),IF(Z1452&lt;=2,"&lt;=2 d",IF(Z1452&lt;=7,"3-7 d",IF(Z1452&lt;=30,"8-30 d","&gt;30 d"))),IF(AE1452&lt;&gt;"",AE1452,IF(Z1452="NR","NR","")))</f>
        <v/>
      </c>
      <c r="AX1452" s="9">
        <f>IF(ISNUMBER(AW1452),IF(AW1452&gt;450,"Yes","No"),IF(AW1452="NR","NR",""))</f>
        <v/>
      </c>
      <c r="BJ1452" s="9">
        <f>IF(BB1452="","",IF(BB1452="Non-viable","Non-viable",IF(BB1452="Viable","Viable",IF(BB1452="Partially non-viable",IF(OR(BD1452="Total splenectomy",BD1452="Partial splenectomy +/- splenopexy"),"Non-viable","Review"),IF(BB1452="NR",IF(OR(BD1452="Total splenectomy",BD1452="Partial splenectomy +/- splenopexy"),"NR - removed, check reason","NR"),"Not applicable")))))</f>
        <v/>
      </c>
    </row>
    <row r="1453">
      <c r="D1453" s="8" t="n"/>
      <c r="E1453" s="9">
        <f>IF(B1453="","",IF(B1453="OWN","Yes","No"))</f>
        <v/>
      </c>
      <c r="AF1453" s="9">
        <f>IF(ISNUMBER(Z1453),IF(Z1453&lt;=2,"&lt;=2 d",IF(Z1453&lt;=7,"3-7 d",IF(Z1453&lt;=30,"8-30 d","&gt;30 d"))),IF(AE1453&lt;&gt;"",AE1453,IF(Z1453="NR","NR","")))</f>
        <v/>
      </c>
      <c r="AX1453" s="9">
        <f>IF(ISNUMBER(AW1453),IF(AW1453&gt;450,"Yes","No"),IF(AW1453="NR","NR",""))</f>
        <v/>
      </c>
      <c r="BJ1453" s="9">
        <f>IF(BB1453="","",IF(BB1453="Non-viable","Non-viable",IF(BB1453="Viable","Viable",IF(BB1453="Partially non-viable",IF(OR(BD1453="Total splenectomy",BD1453="Partial splenectomy +/- splenopexy"),"Non-viable","Review"),IF(BB1453="NR",IF(OR(BD1453="Total splenectomy",BD1453="Partial splenectomy +/- splenopexy"),"NR - removed, check reason","NR"),"Not applicable")))))</f>
        <v/>
      </c>
    </row>
    <row r="1454">
      <c r="D1454" s="8" t="n"/>
      <c r="E1454" s="9">
        <f>IF(B1454="","",IF(B1454="OWN","Yes","No"))</f>
        <v/>
      </c>
      <c r="AF1454" s="9">
        <f>IF(ISNUMBER(Z1454),IF(Z1454&lt;=2,"&lt;=2 d",IF(Z1454&lt;=7,"3-7 d",IF(Z1454&lt;=30,"8-30 d","&gt;30 d"))),IF(AE1454&lt;&gt;"",AE1454,IF(Z1454="NR","NR","")))</f>
        <v/>
      </c>
      <c r="AX1454" s="9">
        <f>IF(ISNUMBER(AW1454),IF(AW1454&gt;450,"Yes","No"),IF(AW1454="NR","NR",""))</f>
        <v/>
      </c>
      <c r="BJ1454" s="9">
        <f>IF(BB1454="","",IF(BB1454="Non-viable","Non-viable",IF(BB1454="Viable","Viable",IF(BB1454="Partially non-viable",IF(OR(BD1454="Total splenectomy",BD1454="Partial splenectomy +/- splenopexy"),"Non-viable","Review"),IF(BB1454="NR",IF(OR(BD1454="Total splenectomy",BD1454="Partial splenectomy +/- splenopexy"),"NR - removed, check reason","NR"),"Not applicable")))))</f>
        <v/>
      </c>
    </row>
    <row r="1455">
      <c r="D1455" s="8" t="n"/>
      <c r="E1455" s="9">
        <f>IF(B1455="","",IF(B1455="OWN","Yes","No"))</f>
        <v/>
      </c>
      <c r="AF1455" s="9">
        <f>IF(ISNUMBER(Z1455),IF(Z1455&lt;=2,"&lt;=2 d",IF(Z1455&lt;=7,"3-7 d",IF(Z1455&lt;=30,"8-30 d","&gt;30 d"))),IF(AE1455&lt;&gt;"",AE1455,IF(Z1455="NR","NR","")))</f>
        <v/>
      </c>
      <c r="AX1455" s="9">
        <f>IF(ISNUMBER(AW1455),IF(AW1455&gt;450,"Yes","No"),IF(AW1455="NR","NR",""))</f>
        <v/>
      </c>
      <c r="BJ1455" s="9">
        <f>IF(BB1455="","",IF(BB1455="Non-viable","Non-viable",IF(BB1455="Viable","Viable",IF(BB1455="Partially non-viable",IF(OR(BD1455="Total splenectomy",BD1455="Partial splenectomy +/- splenopexy"),"Non-viable","Review"),IF(BB1455="NR",IF(OR(BD1455="Total splenectomy",BD1455="Partial splenectomy +/- splenopexy"),"NR - removed, check reason","NR"),"Not applicable")))))</f>
        <v/>
      </c>
    </row>
    <row r="1456">
      <c r="D1456" s="8" t="n"/>
      <c r="E1456" s="9">
        <f>IF(B1456="","",IF(B1456="OWN","Yes","No"))</f>
        <v/>
      </c>
      <c r="AF1456" s="9">
        <f>IF(ISNUMBER(Z1456),IF(Z1456&lt;=2,"&lt;=2 d",IF(Z1456&lt;=7,"3-7 d",IF(Z1456&lt;=30,"8-30 d","&gt;30 d"))),IF(AE1456&lt;&gt;"",AE1456,IF(Z1456="NR","NR","")))</f>
        <v/>
      </c>
      <c r="AX1456" s="9">
        <f>IF(ISNUMBER(AW1456),IF(AW1456&gt;450,"Yes","No"),IF(AW1456="NR","NR",""))</f>
        <v/>
      </c>
      <c r="BJ1456" s="9">
        <f>IF(BB1456="","",IF(BB1456="Non-viable","Non-viable",IF(BB1456="Viable","Viable",IF(BB1456="Partially non-viable",IF(OR(BD1456="Total splenectomy",BD1456="Partial splenectomy +/- splenopexy"),"Non-viable","Review"),IF(BB1456="NR",IF(OR(BD1456="Total splenectomy",BD1456="Partial splenectomy +/- splenopexy"),"NR - removed, check reason","NR"),"Not applicable")))))</f>
        <v/>
      </c>
    </row>
    <row r="1457">
      <c r="D1457" s="8" t="n"/>
      <c r="E1457" s="9">
        <f>IF(B1457="","",IF(B1457="OWN","Yes","No"))</f>
        <v/>
      </c>
      <c r="AF1457" s="9">
        <f>IF(ISNUMBER(Z1457),IF(Z1457&lt;=2,"&lt;=2 d",IF(Z1457&lt;=7,"3-7 d",IF(Z1457&lt;=30,"8-30 d","&gt;30 d"))),IF(AE1457&lt;&gt;"",AE1457,IF(Z1457="NR","NR","")))</f>
        <v/>
      </c>
      <c r="AX1457" s="9">
        <f>IF(ISNUMBER(AW1457),IF(AW1457&gt;450,"Yes","No"),IF(AW1457="NR","NR",""))</f>
        <v/>
      </c>
      <c r="BJ1457" s="9">
        <f>IF(BB1457="","",IF(BB1457="Non-viable","Non-viable",IF(BB1457="Viable","Viable",IF(BB1457="Partially non-viable",IF(OR(BD1457="Total splenectomy",BD1457="Partial splenectomy +/- splenopexy"),"Non-viable","Review"),IF(BB1457="NR",IF(OR(BD1457="Total splenectomy",BD1457="Partial splenectomy +/- splenopexy"),"NR - removed, check reason","NR"),"Not applicable")))))</f>
        <v/>
      </c>
    </row>
    <row r="1458">
      <c r="D1458" s="8" t="n"/>
      <c r="E1458" s="9">
        <f>IF(B1458="","",IF(B1458="OWN","Yes","No"))</f>
        <v/>
      </c>
      <c r="AF1458" s="9">
        <f>IF(ISNUMBER(Z1458),IF(Z1458&lt;=2,"&lt;=2 d",IF(Z1458&lt;=7,"3-7 d",IF(Z1458&lt;=30,"8-30 d","&gt;30 d"))),IF(AE1458&lt;&gt;"",AE1458,IF(Z1458="NR","NR","")))</f>
        <v/>
      </c>
      <c r="AX1458" s="9">
        <f>IF(ISNUMBER(AW1458),IF(AW1458&gt;450,"Yes","No"),IF(AW1458="NR","NR",""))</f>
        <v/>
      </c>
      <c r="BJ1458" s="9">
        <f>IF(BB1458="","",IF(BB1458="Non-viable","Non-viable",IF(BB1458="Viable","Viable",IF(BB1458="Partially non-viable",IF(OR(BD1458="Total splenectomy",BD1458="Partial splenectomy +/- splenopexy"),"Non-viable","Review"),IF(BB1458="NR",IF(OR(BD1458="Total splenectomy",BD1458="Partial splenectomy +/- splenopexy"),"NR - removed, check reason","NR"),"Not applicable")))))</f>
        <v/>
      </c>
    </row>
    <row r="1459">
      <c r="D1459" s="8" t="n"/>
      <c r="E1459" s="9">
        <f>IF(B1459="","",IF(B1459="OWN","Yes","No"))</f>
        <v/>
      </c>
      <c r="AF1459" s="9">
        <f>IF(ISNUMBER(Z1459),IF(Z1459&lt;=2,"&lt;=2 d",IF(Z1459&lt;=7,"3-7 d",IF(Z1459&lt;=30,"8-30 d","&gt;30 d"))),IF(AE1459&lt;&gt;"",AE1459,IF(Z1459="NR","NR","")))</f>
        <v/>
      </c>
      <c r="AX1459" s="9">
        <f>IF(ISNUMBER(AW1459),IF(AW1459&gt;450,"Yes","No"),IF(AW1459="NR","NR",""))</f>
        <v/>
      </c>
      <c r="BJ1459" s="9">
        <f>IF(BB1459="","",IF(BB1459="Non-viable","Non-viable",IF(BB1459="Viable","Viable",IF(BB1459="Partially non-viable",IF(OR(BD1459="Total splenectomy",BD1459="Partial splenectomy +/- splenopexy"),"Non-viable","Review"),IF(BB1459="NR",IF(OR(BD1459="Total splenectomy",BD1459="Partial splenectomy +/- splenopexy"),"NR - removed, check reason","NR"),"Not applicable")))))</f>
        <v/>
      </c>
    </row>
    <row r="1460">
      <c r="D1460" s="8" t="n"/>
      <c r="E1460" s="9">
        <f>IF(B1460="","",IF(B1460="OWN","Yes","No"))</f>
        <v/>
      </c>
      <c r="AF1460" s="9">
        <f>IF(ISNUMBER(Z1460),IF(Z1460&lt;=2,"&lt;=2 d",IF(Z1460&lt;=7,"3-7 d",IF(Z1460&lt;=30,"8-30 d","&gt;30 d"))),IF(AE1460&lt;&gt;"",AE1460,IF(Z1460="NR","NR","")))</f>
        <v/>
      </c>
      <c r="AX1460" s="9">
        <f>IF(ISNUMBER(AW1460),IF(AW1460&gt;450,"Yes","No"),IF(AW1460="NR","NR",""))</f>
        <v/>
      </c>
      <c r="BJ1460" s="9">
        <f>IF(BB1460="","",IF(BB1460="Non-viable","Non-viable",IF(BB1460="Viable","Viable",IF(BB1460="Partially non-viable",IF(OR(BD1460="Total splenectomy",BD1460="Partial splenectomy +/- splenopexy"),"Non-viable","Review"),IF(BB1460="NR",IF(OR(BD1460="Total splenectomy",BD1460="Partial splenectomy +/- splenopexy"),"NR - removed, check reason","NR"),"Not applicable")))))</f>
        <v/>
      </c>
    </row>
    <row r="1461">
      <c r="D1461" s="8" t="n"/>
      <c r="E1461" s="9">
        <f>IF(B1461="","",IF(B1461="OWN","Yes","No"))</f>
        <v/>
      </c>
      <c r="AF1461" s="9">
        <f>IF(ISNUMBER(Z1461),IF(Z1461&lt;=2,"&lt;=2 d",IF(Z1461&lt;=7,"3-7 d",IF(Z1461&lt;=30,"8-30 d","&gt;30 d"))),IF(AE1461&lt;&gt;"",AE1461,IF(Z1461="NR","NR","")))</f>
        <v/>
      </c>
      <c r="AX1461" s="9">
        <f>IF(ISNUMBER(AW1461),IF(AW1461&gt;450,"Yes","No"),IF(AW1461="NR","NR",""))</f>
        <v/>
      </c>
      <c r="BJ1461" s="9">
        <f>IF(BB1461="","",IF(BB1461="Non-viable","Non-viable",IF(BB1461="Viable","Viable",IF(BB1461="Partially non-viable",IF(OR(BD1461="Total splenectomy",BD1461="Partial splenectomy +/- splenopexy"),"Non-viable","Review"),IF(BB1461="NR",IF(OR(BD1461="Total splenectomy",BD1461="Partial splenectomy +/- splenopexy"),"NR - removed, check reason","NR"),"Not applicable")))))</f>
        <v/>
      </c>
    </row>
    <row r="1462">
      <c r="D1462" s="8" t="n"/>
      <c r="E1462" s="9">
        <f>IF(B1462="","",IF(B1462="OWN","Yes","No"))</f>
        <v/>
      </c>
      <c r="AF1462" s="9">
        <f>IF(ISNUMBER(Z1462),IF(Z1462&lt;=2,"&lt;=2 d",IF(Z1462&lt;=7,"3-7 d",IF(Z1462&lt;=30,"8-30 d","&gt;30 d"))),IF(AE1462&lt;&gt;"",AE1462,IF(Z1462="NR","NR","")))</f>
        <v/>
      </c>
      <c r="AX1462" s="9">
        <f>IF(ISNUMBER(AW1462),IF(AW1462&gt;450,"Yes","No"),IF(AW1462="NR","NR",""))</f>
        <v/>
      </c>
      <c r="BJ1462" s="9">
        <f>IF(BB1462="","",IF(BB1462="Non-viable","Non-viable",IF(BB1462="Viable","Viable",IF(BB1462="Partially non-viable",IF(OR(BD1462="Total splenectomy",BD1462="Partial splenectomy +/- splenopexy"),"Non-viable","Review"),IF(BB1462="NR",IF(OR(BD1462="Total splenectomy",BD1462="Partial splenectomy +/- splenopexy"),"NR - removed, check reason","NR"),"Not applicable")))))</f>
        <v/>
      </c>
    </row>
    <row r="1463">
      <c r="D1463" s="8" t="n"/>
      <c r="E1463" s="9">
        <f>IF(B1463="","",IF(B1463="OWN","Yes","No"))</f>
        <v/>
      </c>
      <c r="AF1463" s="9">
        <f>IF(ISNUMBER(Z1463),IF(Z1463&lt;=2,"&lt;=2 d",IF(Z1463&lt;=7,"3-7 d",IF(Z1463&lt;=30,"8-30 d","&gt;30 d"))),IF(AE1463&lt;&gt;"",AE1463,IF(Z1463="NR","NR","")))</f>
        <v/>
      </c>
      <c r="AX1463" s="9">
        <f>IF(ISNUMBER(AW1463),IF(AW1463&gt;450,"Yes","No"),IF(AW1463="NR","NR",""))</f>
        <v/>
      </c>
      <c r="BJ1463" s="9">
        <f>IF(BB1463="","",IF(BB1463="Non-viable","Non-viable",IF(BB1463="Viable","Viable",IF(BB1463="Partially non-viable",IF(OR(BD1463="Total splenectomy",BD1463="Partial splenectomy +/- splenopexy"),"Non-viable","Review"),IF(BB1463="NR",IF(OR(BD1463="Total splenectomy",BD1463="Partial splenectomy +/- splenopexy"),"NR - removed, check reason","NR"),"Not applicable")))))</f>
        <v/>
      </c>
    </row>
    <row r="1464">
      <c r="D1464" s="8" t="n"/>
      <c r="E1464" s="9">
        <f>IF(B1464="","",IF(B1464="OWN","Yes","No"))</f>
        <v/>
      </c>
      <c r="AF1464" s="9">
        <f>IF(ISNUMBER(Z1464),IF(Z1464&lt;=2,"&lt;=2 d",IF(Z1464&lt;=7,"3-7 d",IF(Z1464&lt;=30,"8-30 d","&gt;30 d"))),IF(AE1464&lt;&gt;"",AE1464,IF(Z1464="NR","NR","")))</f>
        <v/>
      </c>
      <c r="AX1464" s="9">
        <f>IF(ISNUMBER(AW1464),IF(AW1464&gt;450,"Yes","No"),IF(AW1464="NR","NR",""))</f>
        <v/>
      </c>
      <c r="BJ1464" s="9">
        <f>IF(BB1464="","",IF(BB1464="Non-viable","Non-viable",IF(BB1464="Viable","Viable",IF(BB1464="Partially non-viable",IF(OR(BD1464="Total splenectomy",BD1464="Partial splenectomy +/- splenopexy"),"Non-viable","Review"),IF(BB1464="NR",IF(OR(BD1464="Total splenectomy",BD1464="Partial splenectomy +/- splenopexy"),"NR - removed, check reason","NR"),"Not applicable")))))</f>
        <v/>
      </c>
    </row>
    <row r="1465">
      <c r="D1465" s="8" t="n"/>
      <c r="E1465" s="9">
        <f>IF(B1465="","",IF(B1465="OWN","Yes","No"))</f>
        <v/>
      </c>
      <c r="AF1465" s="9">
        <f>IF(ISNUMBER(Z1465),IF(Z1465&lt;=2,"&lt;=2 d",IF(Z1465&lt;=7,"3-7 d",IF(Z1465&lt;=30,"8-30 d","&gt;30 d"))),IF(AE1465&lt;&gt;"",AE1465,IF(Z1465="NR","NR","")))</f>
        <v/>
      </c>
      <c r="AX1465" s="9">
        <f>IF(ISNUMBER(AW1465),IF(AW1465&gt;450,"Yes","No"),IF(AW1465="NR","NR",""))</f>
        <v/>
      </c>
      <c r="BJ1465" s="9">
        <f>IF(BB1465="","",IF(BB1465="Non-viable","Non-viable",IF(BB1465="Viable","Viable",IF(BB1465="Partially non-viable",IF(OR(BD1465="Total splenectomy",BD1465="Partial splenectomy +/- splenopexy"),"Non-viable","Review"),IF(BB1465="NR",IF(OR(BD1465="Total splenectomy",BD1465="Partial splenectomy +/- splenopexy"),"NR - removed, check reason","NR"),"Not applicable")))))</f>
        <v/>
      </c>
    </row>
    <row r="1466">
      <c r="D1466" s="8" t="n"/>
      <c r="E1466" s="9">
        <f>IF(B1466="","",IF(B1466="OWN","Yes","No"))</f>
        <v/>
      </c>
      <c r="AF1466" s="9">
        <f>IF(ISNUMBER(Z1466),IF(Z1466&lt;=2,"&lt;=2 d",IF(Z1466&lt;=7,"3-7 d",IF(Z1466&lt;=30,"8-30 d","&gt;30 d"))),IF(AE1466&lt;&gt;"",AE1466,IF(Z1466="NR","NR","")))</f>
        <v/>
      </c>
      <c r="AX1466" s="9">
        <f>IF(ISNUMBER(AW1466),IF(AW1466&gt;450,"Yes","No"),IF(AW1466="NR","NR",""))</f>
        <v/>
      </c>
      <c r="BJ1466" s="9">
        <f>IF(BB1466="","",IF(BB1466="Non-viable","Non-viable",IF(BB1466="Viable","Viable",IF(BB1466="Partially non-viable",IF(OR(BD1466="Total splenectomy",BD1466="Partial splenectomy +/- splenopexy"),"Non-viable","Review"),IF(BB1466="NR",IF(OR(BD1466="Total splenectomy",BD1466="Partial splenectomy +/- splenopexy"),"NR - removed, check reason","NR"),"Not applicable")))))</f>
        <v/>
      </c>
    </row>
    <row r="1467">
      <c r="D1467" s="8" t="n"/>
      <c r="E1467" s="9">
        <f>IF(B1467="","",IF(B1467="OWN","Yes","No"))</f>
        <v/>
      </c>
      <c r="AF1467" s="9">
        <f>IF(ISNUMBER(Z1467),IF(Z1467&lt;=2,"&lt;=2 d",IF(Z1467&lt;=7,"3-7 d",IF(Z1467&lt;=30,"8-30 d","&gt;30 d"))),IF(AE1467&lt;&gt;"",AE1467,IF(Z1467="NR","NR","")))</f>
        <v/>
      </c>
      <c r="AX1467" s="9">
        <f>IF(ISNUMBER(AW1467),IF(AW1467&gt;450,"Yes","No"),IF(AW1467="NR","NR",""))</f>
        <v/>
      </c>
      <c r="BJ1467" s="9">
        <f>IF(BB1467="","",IF(BB1467="Non-viable","Non-viable",IF(BB1467="Viable","Viable",IF(BB1467="Partially non-viable",IF(OR(BD1467="Total splenectomy",BD1467="Partial splenectomy +/- splenopexy"),"Non-viable","Review"),IF(BB1467="NR",IF(OR(BD1467="Total splenectomy",BD1467="Partial splenectomy +/- splenopexy"),"NR - removed, check reason","NR"),"Not applicable")))))</f>
        <v/>
      </c>
    </row>
    <row r="1468">
      <c r="D1468" s="8" t="n"/>
      <c r="E1468" s="9">
        <f>IF(B1468="","",IF(B1468="OWN","Yes","No"))</f>
        <v/>
      </c>
      <c r="AF1468" s="9">
        <f>IF(ISNUMBER(Z1468),IF(Z1468&lt;=2,"&lt;=2 d",IF(Z1468&lt;=7,"3-7 d",IF(Z1468&lt;=30,"8-30 d","&gt;30 d"))),IF(AE1468&lt;&gt;"",AE1468,IF(Z1468="NR","NR","")))</f>
        <v/>
      </c>
      <c r="AX1468" s="9">
        <f>IF(ISNUMBER(AW1468),IF(AW1468&gt;450,"Yes","No"),IF(AW1468="NR","NR",""))</f>
        <v/>
      </c>
      <c r="BJ1468" s="9">
        <f>IF(BB1468="","",IF(BB1468="Non-viable","Non-viable",IF(BB1468="Viable","Viable",IF(BB1468="Partially non-viable",IF(OR(BD1468="Total splenectomy",BD1468="Partial splenectomy +/- splenopexy"),"Non-viable","Review"),IF(BB1468="NR",IF(OR(BD1468="Total splenectomy",BD1468="Partial splenectomy +/- splenopexy"),"NR - removed, check reason","NR"),"Not applicable")))))</f>
        <v/>
      </c>
    </row>
    <row r="1469">
      <c r="D1469" s="8" t="n"/>
      <c r="E1469" s="9">
        <f>IF(B1469="","",IF(B1469="OWN","Yes","No"))</f>
        <v/>
      </c>
      <c r="AF1469" s="9">
        <f>IF(ISNUMBER(Z1469),IF(Z1469&lt;=2,"&lt;=2 d",IF(Z1469&lt;=7,"3-7 d",IF(Z1469&lt;=30,"8-30 d","&gt;30 d"))),IF(AE1469&lt;&gt;"",AE1469,IF(Z1469="NR","NR","")))</f>
        <v/>
      </c>
      <c r="AX1469" s="9">
        <f>IF(ISNUMBER(AW1469),IF(AW1469&gt;450,"Yes","No"),IF(AW1469="NR","NR",""))</f>
        <v/>
      </c>
      <c r="BJ1469" s="9">
        <f>IF(BB1469="","",IF(BB1469="Non-viable","Non-viable",IF(BB1469="Viable","Viable",IF(BB1469="Partially non-viable",IF(OR(BD1469="Total splenectomy",BD1469="Partial splenectomy +/- splenopexy"),"Non-viable","Review"),IF(BB1469="NR",IF(OR(BD1469="Total splenectomy",BD1469="Partial splenectomy +/- splenopexy"),"NR - removed, check reason","NR"),"Not applicable")))))</f>
        <v/>
      </c>
    </row>
    <row r="1470">
      <c r="D1470" s="8" t="n"/>
      <c r="E1470" s="9">
        <f>IF(B1470="","",IF(B1470="OWN","Yes","No"))</f>
        <v/>
      </c>
      <c r="AF1470" s="9">
        <f>IF(ISNUMBER(Z1470),IF(Z1470&lt;=2,"&lt;=2 d",IF(Z1470&lt;=7,"3-7 d",IF(Z1470&lt;=30,"8-30 d","&gt;30 d"))),IF(AE1470&lt;&gt;"",AE1470,IF(Z1470="NR","NR","")))</f>
        <v/>
      </c>
      <c r="AX1470" s="9">
        <f>IF(ISNUMBER(AW1470),IF(AW1470&gt;450,"Yes","No"),IF(AW1470="NR","NR",""))</f>
        <v/>
      </c>
      <c r="BJ1470" s="9">
        <f>IF(BB1470="","",IF(BB1470="Non-viable","Non-viable",IF(BB1470="Viable","Viable",IF(BB1470="Partially non-viable",IF(OR(BD1470="Total splenectomy",BD1470="Partial splenectomy +/- splenopexy"),"Non-viable","Review"),IF(BB1470="NR",IF(OR(BD1470="Total splenectomy",BD1470="Partial splenectomy +/- splenopexy"),"NR - removed, check reason","NR"),"Not applicable")))))</f>
        <v/>
      </c>
    </row>
    <row r="1471">
      <c r="D1471" s="8" t="n"/>
      <c r="E1471" s="9">
        <f>IF(B1471="","",IF(B1471="OWN","Yes","No"))</f>
        <v/>
      </c>
      <c r="AF1471" s="9">
        <f>IF(ISNUMBER(Z1471),IF(Z1471&lt;=2,"&lt;=2 d",IF(Z1471&lt;=7,"3-7 d",IF(Z1471&lt;=30,"8-30 d","&gt;30 d"))),IF(AE1471&lt;&gt;"",AE1471,IF(Z1471="NR","NR","")))</f>
        <v/>
      </c>
      <c r="AX1471" s="9">
        <f>IF(ISNUMBER(AW1471),IF(AW1471&gt;450,"Yes","No"),IF(AW1471="NR","NR",""))</f>
        <v/>
      </c>
      <c r="BJ1471" s="9">
        <f>IF(BB1471="","",IF(BB1471="Non-viable","Non-viable",IF(BB1471="Viable","Viable",IF(BB1471="Partially non-viable",IF(OR(BD1471="Total splenectomy",BD1471="Partial splenectomy +/- splenopexy"),"Non-viable","Review"),IF(BB1471="NR",IF(OR(BD1471="Total splenectomy",BD1471="Partial splenectomy +/- splenopexy"),"NR - removed, check reason","NR"),"Not applicable")))))</f>
        <v/>
      </c>
    </row>
    <row r="1472">
      <c r="D1472" s="8" t="n"/>
      <c r="E1472" s="9">
        <f>IF(B1472="","",IF(B1472="OWN","Yes","No"))</f>
        <v/>
      </c>
      <c r="AF1472" s="9">
        <f>IF(ISNUMBER(Z1472),IF(Z1472&lt;=2,"&lt;=2 d",IF(Z1472&lt;=7,"3-7 d",IF(Z1472&lt;=30,"8-30 d","&gt;30 d"))),IF(AE1472&lt;&gt;"",AE1472,IF(Z1472="NR","NR","")))</f>
        <v/>
      </c>
      <c r="AX1472" s="9">
        <f>IF(ISNUMBER(AW1472),IF(AW1472&gt;450,"Yes","No"),IF(AW1472="NR","NR",""))</f>
        <v/>
      </c>
      <c r="BJ1472" s="9">
        <f>IF(BB1472="","",IF(BB1472="Non-viable","Non-viable",IF(BB1472="Viable","Viable",IF(BB1472="Partially non-viable",IF(OR(BD1472="Total splenectomy",BD1472="Partial splenectomy +/- splenopexy"),"Non-viable","Review"),IF(BB1472="NR",IF(OR(BD1472="Total splenectomy",BD1472="Partial splenectomy +/- splenopexy"),"NR - removed, check reason","NR"),"Not applicable")))))</f>
        <v/>
      </c>
    </row>
    <row r="1473">
      <c r="D1473" s="8" t="n"/>
      <c r="E1473" s="9">
        <f>IF(B1473="","",IF(B1473="OWN","Yes","No"))</f>
        <v/>
      </c>
      <c r="AF1473" s="9">
        <f>IF(ISNUMBER(Z1473),IF(Z1473&lt;=2,"&lt;=2 d",IF(Z1473&lt;=7,"3-7 d",IF(Z1473&lt;=30,"8-30 d","&gt;30 d"))),IF(AE1473&lt;&gt;"",AE1473,IF(Z1473="NR","NR","")))</f>
        <v/>
      </c>
      <c r="AX1473" s="9">
        <f>IF(ISNUMBER(AW1473),IF(AW1473&gt;450,"Yes","No"),IF(AW1473="NR","NR",""))</f>
        <v/>
      </c>
      <c r="BJ1473" s="9">
        <f>IF(BB1473="","",IF(BB1473="Non-viable","Non-viable",IF(BB1473="Viable","Viable",IF(BB1473="Partially non-viable",IF(OR(BD1473="Total splenectomy",BD1473="Partial splenectomy +/- splenopexy"),"Non-viable","Review"),IF(BB1473="NR",IF(OR(BD1473="Total splenectomy",BD1473="Partial splenectomy +/- splenopexy"),"NR - removed, check reason","NR"),"Not applicable")))))</f>
        <v/>
      </c>
    </row>
    <row r="1474">
      <c r="D1474" s="8" t="n"/>
      <c r="E1474" s="9">
        <f>IF(B1474="","",IF(B1474="OWN","Yes","No"))</f>
        <v/>
      </c>
      <c r="AF1474" s="9">
        <f>IF(ISNUMBER(Z1474),IF(Z1474&lt;=2,"&lt;=2 d",IF(Z1474&lt;=7,"3-7 d",IF(Z1474&lt;=30,"8-30 d","&gt;30 d"))),IF(AE1474&lt;&gt;"",AE1474,IF(Z1474="NR","NR","")))</f>
        <v/>
      </c>
      <c r="AX1474" s="9">
        <f>IF(ISNUMBER(AW1474),IF(AW1474&gt;450,"Yes","No"),IF(AW1474="NR","NR",""))</f>
        <v/>
      </c>
      <c r="BJ1474" s="9">
        <f>IF(BB1474="","",IF(BB1474="Non-viable","Non-viable",IF(BB1474="Viable","Viable",IF(BB1474="Partially non-viable",IF(OR(BD1474="Total splenectomy",BD1474="Partial splenectomy +/- splenopexy"),"Non-viable","Review"),IF(BB1474="NR",IF(OR(BD1474="Total splenectomy",BD1474="Partial splenectomy +/- splenopexy"),"NR - removed, check reason","NR"),"Not applicable")))))</f>
        <v/>
      </c>
    </row>
    <row r="1475">
      <c r="D1475" s="8" t="n"/>
      <c r="E1475" s="9">
        <f>IF(B1475="","",IF(B1475="OWN","Yes","No"))</f>
        <v/>
      </c>
      <c r="AF1475" s="9">
        <f>IF(ISNUMBER(Z1475),IF(Z1475&lt;=2,"&lt;=2 d",IF(Z1475&lt;=7,"3-7 d",IF(Z1475&lt;=30,"8-30 d","&gt;30 d"))),IF(AE1475&lt;&gt;"",AE1475,IF(Z1475="NR","NR","")))</f>
        <v/>
      </c>
      <c r="AX1475" s="9">
        <f>IF(ISNUMBER(AW1475),IF(AW1475&gt;450,"Yes","No"),IF(AW1475="NR","NR",""))</f>
        <v/>
      </c>
      <c r="BJ1475" s="9">
        <f>IF(BB1475="","",IF(BB1475="Non-viable","Non-viable",IF(BB1475="Viable","Viable",IF(BB1475="Partially non-viable",IF(OR(BD1475="Total splenectomy",BD1475="Partial splenectomy +/- splenopexy"),"Non-viable","Review"),IF(BB1475="NR",IF(OR(BD1475="Total splenectomy",BD1475="Partial splenectomy +/- splenopexy"),"NR - removed, check reason","NR"),"Not applicable")))))</f>
        <v/>
      </c>
    </row>
    <row r="1476">
      <c r="D1476" s="8" t="n"/>
      <c r="E1476" s="9">
        <f>IF(B1476="","",IF(B1476="OWN","Yes","No"))</f>
        <v/>
      </c>
      <c r="AF1476" s="9">
        <f>IF(ISNUMBER(Z1476),IF(Z1476&lt;=2,"&lt;=2 d",IF(Z1476&lt;=7,"3-7 d",IF(Z1476&lt;=30,"8-30 d","&gt;30 d"))),IF(AE1476&lt;&gt;"",AE1476,IF(Z1476="NR","NR","")))</f>
        <v/>
      </c>
      <c r="AX1476" s="9">
        <f>IF(ISNUMBER(AW1476),IF(AW1476&gt;450,"Yes","No"),IF(AW1476="NR","NR",""))</f>
        <v/>
      </c>
      <c r="BJ1476" s="9">
        <f>IF(BB1476="","",IF(BB1476="Non-viable","Non-viable",IF(BB1476="Viable","Viable",IF(BB1476="Partially non-viable",IF(OR(BD1476="Total splenectomy",BD1476="Partial splenectomy +/- splenopexy"),"Non-viable","Review"),IF(BB1476="NR",IF(OR(BD1476="Total splenectomy",BD1476="Partial splenectomy +/- splenopexy"),"NR - removed, check reason","NR"),"Not applicable")))))</f>
        <v/>
      </c>
    </row>
    <row r="1477">
      <c r="D1477" s="8" t="n"/>
      <c r="E1477" s="9">
        <f>IF(B1477="","",IF(B1477="OWN","Yes","No"))</f>
        <v/>
      </c>
      <c r="AF1477" s="9">
        <f>IF(ISNUMBER(Z1477),IF(Z1477&lt;=2,"&lt;=2 d",IF(Z1477&lt;=7,"3-7 d",IF(Z1477&lt;=30,"8-30 d","&gt;30 d"))),IF(AE1477&lt;&gt;"",AE1477,IF(Z1477="NR","NR","")))</f>
        <v/>
      </c>
      <c r="AX1477" s="9">
        <f>IF(ISNUMBER(AW1477),IF(AW1477&gt;450,"Yes","No"),IF(AW1477="NR","NR",""))</f>
        <v/>
      </c>
      <c r="BJ1477" s="9">
        <f>IF(BB1477="","",IF(BB1477="Non-viable","Non-viable",IF(BB1477="Viable","Viable",IF(BB1477="Partially non-viable",IF(OR(BD1477="Total splenectomy",BD1477="Partial splenectomy +/- splenopexy"),"Non-viable","Review"),IF(BB1477="NR",IF(OR(BD1477="Total splenectomy",BD1477="Partial splenectomy +/- splenopexy"),"NR - removed, check reason","NR"),"Not applicable")))))</f>
        <v/>
      </c>
    </row>
    <row r="1478">
      <c r="D1478" s="8" t="n"/>
      <c r="E1478" s="9">
        <f>IF(B1478="","",IF(B1478="OWN","Yes","No"))</f>
        <v/>
      </c>
      <c r="AF1478" s="9">
        <f>IF(ISNUMBER(Z1478),IF(Z1478&lt;=2,"&lt;=2 d",IF(Z1478&lt;=7,"3-7 d",IF(Z1478&lt;=30,"8-30 d","&gt;30 d"))),IF(AE1478&lt;&gt;"",AE1478,IF(Z1478="NR","NR","")))</f>
        <v/>
      </c>
      <c r="AX1478" s="9">
        <f>IF(ISNUMBER(AW1478),IF(AW1478&gt;450,"Yes","No"),IF(AW1478="NR","NR",""))</f>
        <v/>
      </c>
      <c r="BJ1478" s="9">
        <f>IF(BB1478="","",IF(BB1478="Non-viable","Non-viable",IF(BB1478="Viable","Viable",IF(BB1478="Partially non-viable",IF(OR(BD1478="Total splenectomy",BD1478="Partial splenectomy +/- splenopexy"),"Non-viable","Review"),IF(BB1478="NR",IF(OR(BD1478="Total splenectomy",BD1478="Partial splenectomy +/- splenopexy"),"NR - removed, check reason","NR"),"Not applicable")))))</f>
        <v/>
      </c>
    </row>
    <row r="1479">
      <c r="D1479" s="8" t="n"/>
      <c r="E1479" s="9">
        <f>IF(B1479="","",IF(B1479="OWN","Yes","No"))</f>
        <v/>
      </c>
      <c r="AF1479" s="9">
        <f>IF(ISNUMBER(Z1479),IF(Z1479&lt;=2,"&lt;=2 d",IF(Z1479&lt;=7,"3-7 d",IF(Z1479&lt;=30,"8-30 d","&gt;30 d"))),IF(AE1479&lt;&gt;"",AE1479,IF(Z1479="NR","NR","")))</f>
        <v/>
      </c>
      <c r="AX1479" s="9">
        <f>IF(ISNUMBER(AW1479),IF(AW1479&gt;450,"Yes","No"),IF(AW1479="NR","NR",""))</f>
        <v/>
      </c>
      <c r="BJ1479" s="9">
        <f>IF(BB1479="","",IF(BB1479="Non-viable","Non-viable",IF(BB1479="Viable","Viable",IF(BB1479="Partially non-viable",IF(OR(BD1479="Total splenectomy",BD1479="Partial splenectomy +/- splenopexy"),"Non-viable","Review"),IF(BB1479="NR",IF(OR(BD1479="Total splenectomy",BD1479="Partial splenectomy +/- splenopexy"),"NR - removed, check reason","NR"),"Not applicable")))))</f>
        <v/>
      </c>
    </row>
    <row r="1480">
      <c r="D1480" s="8" t="n"/>
      <c r="E1480" s="9">
        <f>IF(B1480="","",IF(B1480="OWN","Yes","No"))</f>
        <v/>
      </c>
      <c r="AF1480" s="9">
        <f>IF(ISNUMBER(Z1480),IF(Z1480&lt;=2,"&lt;=2 d",IF(Z1480&lt;=7,"3-7 d",IF(Z1480&lt;=30,"8-30 d","&gt;30 d"))),IF(AE1480&lt;&gt;"",AE1480,IF(Z1480="NR","NR","")))</f>
        <v/>
      </c>
      <c r="AX1480" s="9">
        <f>IF(ISNUMBER(AW1480),IF(AW1480&gt;450,"Yes","No"),IF(AW1480="NR","NR",""))</f>
        <v/>
      </c>
      <c r="BJ1480" s="9">
        <f>IF(BB1480="","",IF(BB1480="Non-viable","Non-viable",IF(BB1480="Viable","Viable",IF(BB1480="Partially non-viable",IF(OR(BD1480="Total splenectomy",BD1480="Partial splenectomy +/- splenopexy"),"Non-viable","Review"),IF(BB1480="NR",IF(OR(BD1480="Total splenectomy",BD1480="Partial splenectomy +/- splenopexy"),"NR - removed, check reason","NR"),"Not applicable")))))</f>
        <v/>
      </c>
    </row>
    <row r="1481">
      <c r="D1481" s="8" t="n"/>
      <c r="E1481" s="9">
        <f>IF(B1481="","",IF(B1481="OWN","Yes","No"))</f>
        <v/>
      </c>
      <c r="AF1481" s="9">
        <f>IF(ISNUMBER(Z1481),IF(Z1481&lt;=2,"&lt;=2 d",IF(Z1481&lt;=7,"3-7 d",IF(Z1481&lt;=30,"8-30 d","&gt;30 d"))),IF(AE1481&lt;&gt;"",AE1481,IF(Z1481="NR","NR","")))</f>
        <v/>
      </c>
      <c r="AX1481" s="9">
        <f>IF(ISNUMBER(AW1481),IF(AW1481&gt;450,"Yes","No"),IF(AW1481="NR","NR",""))</f>
        <v/>
      </c>
      <c r="BJ1481" s="9">
        <f>IF(BB1481="","",IF(BB1481="Non-viable","Non-viable",IF(BB1481="Viable","Viable",IF(BB1481="Partially non-viable",IF(OR(BD1481="Total splenectomy",BD1481="Partial splenectomy +/- splenopexy"),"Non-viable","Review"),IF(BB1481="NR",IF(OR(BD1481="Total splenectomy",BD1481="Partial splenectomy +/- splenopexy"),"NR - removed, check reason","NR"),"Not applicable")))))</f>
        <v/>
      </c>
    </row>
    <row r="1482">
      <c r="D1482" s="8" t="n"/>
      <c r="E1482" s="9">
        <f>IF(B1482="","",IF(B1482="OWN","Yes","No"))</f>
        <v/>
      </c>
      <c r="AF1482" s="9">
        <f>IF(ISNUMBER(Z1482),IF(Z1482&lt;=2,"&lt;=2 d",IF(Z1482&lt;=7,"3-7 d",IF(Z1482&lt;=30,"8-30 d","&gt;30 d"))),IF(AE1482&lt;&gt;"",AE1482,IF(Z1482="NR","NR","")))</f>
        <v/>
      </c>
      <c r="AX1482" s="9">
        <f>IF(ISNUMBER(AW1482),IF(AW1482&gt;450,"Yes","No"),IF(AW1482="NR","NR",""))</f>
        <v/>
      </c>
      <c r="BJ1482" s="9">
        <f>IF(BB1482="","",IF(BB1482="Non-viable","Non-viable",IF(BB1482="Viable","Viable",IF(BB1482="Partially non-viable",IF(OR(BD1482="Total splenectomy",BD1482="Partial splenectomy +/- splenopexy"),"Non-viable","Review"),IF(BB1482="NR",IF(OR(BD1482="Total splenectomy",BD1482="Partial splenectomy +/- splenopexy"),"NR - removed, check reason","NR"),"Not applicable")))))</f>
        <v/>
      </c>
    </row>
    <row r="1483">
      <c r="D1483" s="8" t="n"/>
      <c r="E1483" s="9">
        <f>IF(B1483="","",IF(B1483="OWN","Yes","No"))</f>
        <v/>
      </c>
      <c r="AF1483" s="9">
        <f>IF(ISNUMBER(Z1483),IF(Z1483&lt;=2,"&lt;=2 d",IF(Z1483&lt;=7,"3-7 d",IF(Z1483&lt;=30,"8-30 d","&gt;30 d"))),IF(AE1483&lt;&gt;"",AE1483,IF(Z1483="NR","NR","")))</f>
        <v/>
      </c>
      <c r="AX1483" s="9">
        <f>IF(ISNUMBER(AW1483),IF(AW1483&gt;450,"Yes","No"),IF(AW1483="NR","NR",""))</f>
        <v/>
      </c>
      <c r="BJ1483" s="9">
        <f>IF(BB1483="","",IF(BB1483="Non-viable","Non-viable",IF(BB1483="Viable","Viable",IF(BB1483="Partially non-viable",IF(OR(BD1483="Total splenectomy",BD1483="Partial splenectomy +/- splenopexy"),"Non-viable","Review"),IF(BB1483="NR",IF(OR(BD1483="Total splenectomy",BD1483="Partial splenectomy +/- splenopexy"),"NR - removed, check reason","NR"),"Not applicable")))))</f>
        <v/>
      </c>
    </row>
    <row r="1484">
      <c r="D1484" s="8" t="n"/>
      <c r="E1484" s="9">
        <f>IF(B1484="","",IF(B1484="OWN","Yes","No"))</f>
        <v/>
      </c>
      <c r="AF1484" s="9">
        <f>IF(ISNUMBER(Z1484),IF(Z1484&lt;=2,"&lt;=2 d",IF(Z1484&lt;=7,"3-7 d",IF(Z1484&lt;=30,"8-30 d","&gt;30 d"))),IF(AE1484&lt;&gt;"",AE1484,IF(Z1484="NR","NR","")))</f>
        <v/>
      </c>
      <c r="AX1484" s="9">
        <f>IF(ISNUMBER(AW1484),IF(AW1484&gt;450,"Yes","No"),IF(AW1484="NR","NR",""))</f>
        <v/>
      </c>
      <c r="BJ1484" s="9">
        <f>IF(BB1484="","",IF(BB1484="Non-viable","Non-viable",IF(BB1484="Viable","Viable",IF(BB1484="Partially non-viable",IF(OR(BD1484="Total splenectomy",BD1484="Partial splenectomy +/- splenopexy"),"Non-viable","Review"),IF(BB1484="NR",IF(OR(BD1484="Total splenectomy",BD1484="Partial splenectomy +/- splenopexy"),"NR - removed, check reason","NR"),"Not applicable")))))</f>
        <v/>
      </c>
    </row>
    <row r="1485">
      <c r="D1485" s="8" t="n"/>
      <c r="E1485" s="9">
        <f>IF(B1485="","",IF(B1485="OWN","Yes","No"))</f>
        <v/>
      </c>
      <c r="AF1485" s="9">
        <f>IF(ISNUMBER(Z1485),IF(Z1485&lt;=2,"&lt;=2 d",IF(Z1485&lt;=7,"3-7 d",IF(Z1485&lt;=30,"8-30 d","&gt;30 d"))),IF(AE1485&lt;&gt;"",AE1485,IF(Z1485="NR","NR","")))</f>
        <v/>
      </c>
      <c r="AX1485" s="9">
        <f>IF(ISNUMBER(AW1485),IF(AW1485&gt;450,"Yes","No"),IF(AW1485="NR","NR",""))</f>
        <v/>
      </c>
      <c r="BJ1485" s="9">
        <f>IF(BB1485="","",IF(BB1485="Non-viable","Non-viable",IF(BB1485="Viable","Viable",IF(BB1485="Partially non-viable",IF(OR(BD1485="Total splenectomy",BD1485="Partial splenectomy +/- splenopexy"),"Non-viable","Review"),IF(BB1485="NR",IF(OR(BD1485="Total splenectomy",BD1485="Partial splenectomy +/- splenopexy"),"NR - removed, check reason","NR"),"Not applicable")))))</f>
        <v/>
      </c>
    </row>
    <row r="1486">
      <c r="D1486" s="8" t="n"/>
      <c r="E1486" s="9">
        <f>IF(B1486="","",IF(B1486="OWN","Yes","No"))</f>
        <v/>
      </c>
      <c r="AF1486" s="9">
        <f>IF(ISNUMBER(Z1486),IF(Z1486&lt;=2,"&lt;=2 d",IF(Z1486&lt;=7,"3-7 d",IF(Z1486&lt;=30,"8-30 d","&gt;30 d"))),IF(AE1486&lt;&gt;"",AE1486,IF(Z1486="NR","NR","")))</f>
        <v/>
      </c>
      <c r="AX1486" s="9">
        <f>IF(ISNUMBER(AW1486),IF(AW1486&gt;450,"Yes","No"),IF(AW1486="NR","NR",""))</f>
        <v/>
      </c>
      <c r="BJ1486" s="9">
        <f>IF(BB1486="","",IF(BB1486="Non-viable","Non-viable",IF(BB1486="Viable","Viable",IF(BB1486="Partially non-viable",IF(OR(BD1486="Total splenectomy",BD1486="Partial splenectomy +/- splenopexy"),"Non-viable","Review"),IF(BB1486="NR",IF(OR(BD1486="Total splenectomy",BD1486="Partial splenectomy +/- splenopexy"),"NR - removed, check reason","NR"),"Not applicable")))))</f>
        <v/>
      </c>
    </row>
    <row r="1487">
      <c r="D1487" s="8" t="n"/>
      <c r="E1487" s="9">
        <f>IF(B1487="","",IF(B1487="OWN","Yes","No"))</f>
        <v/>
      </c>
      <c r="AF1487" s="9">
        <f>IF(ISNUMBER(Z1487),IF(Z1487&lt;=2,"&lt;=2 d",IF(Z1487&lt;=7,"3-7 d",IF(Z1487&lt;=30,"8-30 d","&gt;30 d"))),IF(AE1487&lt;&gt;"",AE1487,IF(Z1487="NR","NR","")))</f>
        <v/>
      </c>
      <c r="AX1487" s="9">
        <f>IF(ISNUMBER(AW1487),IF(AW1487&gt;450,"Yes","No"),IF(AW1487="NR","NR",""))</f>
        <v/>
      </c>
      <c r="BJ1487" s="9">
        <f>IF(BB1487="","",IF(BB1487="Non-viable","Non-viable",IF(BB1487="Viable","Viable",IF(BB1487="Partially non-viable",IF(OR(BD1487="Total splenectomy",BD1487="Partial splenectomy +/- splenopexy"),"Non-viable","Review"),IF(BB1487="NR",IF(OR(BD1487="Total splenectomy",BD1487="Partial splenectomy +/- splenopexy"),"NR - removed, check reason","NR"),"Not applicable")))))</f>
        <v/>
      </c>
    </row>
    <row r="1488">
      <c r="D1488" s="8" t="n"/>
      <c r="E1488" s="9">
        <f>IF(B1488="","",IF(B1488="OWN","Yes","No"))</f>
        <v/>
      </c>
      <c r="AF1488" s="9">
        <f>IF(ISNUMBER(Z1488),IF(Z1488&lt;=2,"&lt;=2 d",IF(Z1488&lt;=7,"3-7 d",IF(Z1488&lt;=30,"8-30 d","&gt;30 d"))),IF(AE1488&lt;&gt;"",AE1488,IF(Z1488="NR","NR","")))</f>
        <v/>
      </c>
      <c r="AX1488" s="9">
        <f>IF(ISNUMBER(AW1488),IF(AW1488&gt;450,"Yes","No"),IF(AW1488="NR","NR",""))</f>
        <v/>
      </c>
      <c r="BJ1488" s="9">
        <f>IF(BB1488="","",IF(BB1488="Non-viable","Non-viable",IF(BB1488="Viable","Viable",IF(BB1488="Partially non-viable",IF(OR(BD1488="Total splenectomy",BD1488="Partial splenectomy +/- splenopexy"),"Non-viable","Review"),IF(BB1488="NR",IF(OR(BD1488="Total splenectomy",BD1488="Partial splenectomy +/- splenopexy"),"NR - removed, check reason","NR"),"Not applicable")))))</f>
        <v/>
      </c>
    </row>
    <row r="1489">
      <c r="D1489" s="8" t="n"/>
      <c r="E1489" s="9">
        <f>IF(B1489="","",IF(B1489="OWN","Yes","No"))</f>
        <v/>
      </c>
      <c r="AF1489" s="9">
        <f>IF(ISNUMBER(Z1489),IF(Z1489&lt;=2,"&lt;=2 d",IF(Z1489&lt;=7,"3-7 d",IF(Z1489&lt;=30,"8-30 d","&gt;30 d"))),IF(AE1489&lt;&gt;"",AE1489,IF(Z1489="NR","NR","")))</f>
        <v/>
      </c>
      <c r="AX1489" s="9">
        <f>IF(ISNUMBER(AW1489),IF(AW1489&gt;450,"Yes","No"),IF(AW1489="NR","NR",""))</f>
        <v/>
      </c>
      <c r="BJ1489" s="9">
        <f>IF(BB1489="","",IF(BB1489="Non-viable","Non-viable",IF(BB1489="Viable","Viable",IF(BB1489="Partially non-viable",IF(OR(BD1489="Total splenectomy",BD1489="Partial splenectomy +/- splenopexy"),"Non-viable","Review"),IF(BB1489="NR",IF(OR(BD1489="Total splenectomy",BD1489="Partial splenectomy +/- splenopexy"),"NR - removed, check reason","NR"),"Not applicable")))))</f>
        <v/>
      </c>
    </row>
    <row r="1490">
      <c r="D1490" s="8" t="n"/>
      <c r="E1490" s="9">
        <f>IF(B1490="","",IF(B1490="OWN","Yes","No"))</f>
        <v/>
      </c>
      <c r="AF1490" s="9">
        <f>IF(ISNUMBER(Z1490),IF(Z1490&lt;=2,"&lt;=2 d",IF(Z1490&lt;=7,"3-7 d",IF(Z1490&lt;=30,"8-30 d","&gt;30 d"))),IF(AE1490&lt;&gt;"",AE1490,IF(Z1490="NR","NR","")))</f>
        <v/>
      </c>
      <c r="AX1490" s="9">
        <f>IF(ISNUMBER(AW1490),IF(AW1490&gt;450,"Yes","No"),IF(AW1490="NR","NR",""))</f>
        <v/>
      </c>
      <c r="BJ1490" s="9">
        <f>IF(BB1490="","",IF(BB1490="Non-viable","Non-viable",IF(BB1490="Viable","Viable",IF(BB1490="Partially non-viable",IF(OR(BD1490="Total splenectomy",BD1490="Partial splenectomy +/- splenopexy"),"Non-viable","Review"),IF(BB1490="NR",IF(OR(BD1490="Total splenectomy",BD1490="Partial splenectomy +/- splenopexy"),"NR - removed, check reason","NR"),"Not applicable")))))</f>
        <v/>
      </c>
    </row>
    <row r="1491">
      <c r="D1491" s="8" t="n"/>
      <c r="E1491" s="9">
        <f>IF(B1491="","",IF(B1491="OWN","Yes","No"))</f>
        <v/>
      </c>
      <c r="AF1491" s="9">
        <f>IF(ISNUMBER(Z1491),IF(Z1491&lt;=2,"&lt;=2 d",IF(Z1491&lt;=7,"3-7 d",IF(Z1491&lt;=30,"8-30 d","&gt;30 d"))),IF(AE1491&lt;&gt;"",AE1491,IF(Z1491="NR","NR","")))</f>
        <v/>
      </c>
      <c r="AX1491" s="9">
        <f>IF(ISNUMBER(AW1491),IF(AW1491&gt;450,"Yes","No"),IF(AW1491="NR","NR",""))</f>
        <v/>
      </c>
      <c r="BJ1491" s="9">
        <f>IF(BB1491="","",IF(BB1491="Non-viable","Non-viable",IF(BB1491="Viable","Viable",IF(BB1491="Partially non-viable",IF(OR(BD1491="Total splenectomy",BD1491="Partial splenectomy +/- splenopexy"),"Non-viable","Review"),IF(BB1491="NR",IF(OR(BD1491="Total splenectomy",BD1491="Partial splenectomy +/- splenopexy"),"NR - removed, check reason","NR"),"Not applicable")))))</f>
        <v/>
      </c>
    </row>
    <row r="1492">
      <c r="D1492" s="8" t="n"/>
      <c r="E1492" s="9">
        <f>IF(B1492="","",IF(B1492="OWN","Yes","No"))</f>
        <v/>
      </c>
      <c r="AF1492" s="9">
        <f>IF(ISNUMBER(Z1492),IF(Z1492&lt;=2,"&lt;=2 d",IF(Z1492&lt;=7,"3-7 d",IF(Z1492&lt;=30,"8-30 d","&gt;30 d"))),IF(AE1492&lt;&gt;"",AE1492,IF(Z1492="NR","NR","")))</f>
        <v/>
      </c>
      <c r="AX1492" s="9">
        <f>IF(ISNUMBER(AW1492),IF(AW1492&gt;450,"Yes","No"),IF(AW1492="NR","NR",""))</f>
        <v/>
      </c>
      <c r="BJ1492" s="9">
        <f>IF(BB1492="","",IF(BB1492="Non-viable","Non-viable",IF(BB1492="Viable","Viable",IF(BB1492="Partially non-viable",IF(OR(BD1492="Total splenectomy",BD1492="Partial splenectomy +/- splenopexy"),"Non-viable","Review"),IF(BB1492="NR",IF(OR(BD1492="Total splenectomy",BD1492="Partial splenectomy +/- splenopexy"),"NR - removed, check reason","NR"),"Not applicable")))))</f>
        <v/>
      </c>
    </row>
    <row r="1493">
      <c r="D1493" s="8" t="n"/>
      <c r="E1493" s="9">
        <f>IF(B1493="","",IF(B1493="OWN","Yes","No"))</f>
        <v/>
      </c>
      <c r="AF1493" s="9">
        <f>IF(ISNUMBER(Z1493),IF(Z1493&lt;=2,"&lt;=2 d",IF(Z1493&lt;=7,"3-7 d",IF(Z1493&lt;=30,"8-30 d","&gt;30 d"))),IF(AE1493&lt;&gt;"",AE1493,IF(Z1493="NR","NR","")))</f>
        <v/>
      </c>
      <c r="AX1493" s="9">
        <f>IF(ISNUMBER(AW1493),IF(AW1493&gt;450,"Yes","No"),IF(AW1493="NR","NR",""))</f>
        <v/>
      </c>
      <c r="BJ1493" s="9">
        <f>IF(BB1493="","",IF(BB1493="Non-viable","Non-viable",IF(BB1493="Viable","Viable",IF(BB1493="Partially non-viable",IF(OR(BD1493="Total splenectomy",BD1493="Partial splenectomy +/- splenopexy"),"Non-viable","Review"),IF(BB1493="NR",IF(OR(BD1493="Total splenectomy",BD1493="Partial splenectomy +/- splenopexy"),"NR - removed, check reason","NR"),"Not applicable")))))</f>
        <v/>
      </c>
    </row>
    <row r="1494">
      <c r="D1494" s="8" t="n"/>
      <c r="E1494" s="9">
        <f>IF(B1494="","",IF(B1494="OWN","Yes","No"))</f>
        <v/>
      </c>
      <c r="AF1494" s="9">
        <f>IF(ISNUMBER(Z1494),IF(Z1494&lt;=2,"&lt;=2 d",IF(Z1494&lt;=7,"3-7 d",IF(Z1494&lt;=30,"8-30 d","&gt;30 d"))),IF(AE1494&lt;&gt;"",AE1494,IF(Z1494="NR","NR","")))</f>
        <v/>
      </c>
      <c r="AX1494" s="9">
        <f>IF(ISNUMBER(AW1494),IF(AW1494&gt;450,"Yes","No"),IF(AW1494="NR","NR",""))</f>
        <v/>
      </c>
      <c r="BJ1494" s="9">
        <f>IF(BB1494="","",IF(BB1494="Non-viable","Non-viable",IF(BB1494="Viable","Viable",IF(BB1494="Partially non-viable",IF(OR(BD1494="Total splenectomy",BD1494="Partial splenectomy +/- splenopexy"),"Non-viable","Review"),IF(BB1494="NR",IF(OR(BD1494="Total splenectomy",BD1494="Partial splenectomy +/- splenopexy"),"NR - removed, check reason","NR"),"Not applicable")))))</f>
        <v/>
      </c>
    </row>
    <row r="1495">
      <c r="D1495" s="8" t="n"/>
      <c r="E1495" s="9">
        <f>IF(B1495="","",IF(B1495="OWN","Yes","No"))</f>
        <v/>
      </c>
      <c r="AF1495" s="9">
        <f>IF(ISNUMBER(Z1495),IF(Z1495&lt;=2,"&lt;=2 d",IF(Z1495&lt;=7,"3-7 d",IF(Z1495&lt;=30,"8-30 d","&gt;30 d"))),IF(AE1495&lt;&gt;"",AE1495,IF(Z1495="NR","NR","")))</f>
        <v/>
      </c>
      <c r="AX1495" s="9">
        <f>IF(ISNUMBER(AW1495),IF(AW1495&gt;450,"Yes","No"),IF(AW1495="NR","NR",""))</f>
        <v/>
      </c>
      <c r="BJ1495" s="9">
        <f>IF(BB1495="","",IF(BB1495="Non-viable","Non-viable",IF(BB1495="Viable","Viable",IF(BB1495="Partially non-viable",IF(OR(BD1495="Total splenectomy",BD1495="Partial splenectomy +/- splenopexy"),"Non-viable","Review"),IF(BB1495="NR",IF(OR(BD1495="Total splenectomy",BD1495="Partial splenectomy +/- splenopexy"),"NR - removed, check reason","NR"),"Not applicable")))))</f>
        <v/>
      </c>
    </row>
    <row r="1496">
      <c r="D1496" s="8" t="n"/>
      <c r="E1496" s="9">
        <f>IF(B1496="","",IF(B1496="OWN","Yes","No"))</f>
        <v/>
      </c>
      <c r="AF1496" s="9">
        <f>IF(ISNUMBER(Z1496),IF(Z1496&lt;=2,"&lt;=2 d",IF(Z1496&lt;=7,"3-7 d",IF(Z1496&lt;=30,"8-30 d","&gt;30 d"))),IF(AE1496&lt;&gt;"",AE1496,IF(Z1496="NR","NR","")))</f>
        <v/>
      </c>
      <c r="AX1496" s="9">
        <f>IF(ISNUMBER(AW1496),IF(AW1496&gt;450,"Yes","No"),IF(AW1496="NR","NR",""))</f>
        <v/>
      </c>
      <c r="BJ1496" s="9">
        <f>IF(BB1496="","",IF(BB1496="Non-viable","Non-viable",IF(BB1496="Viable","Viable",IF(BB1496="Partially non-viable",IF(OR(BD1496="Total splenectomy",BD1496="Partial splenectomy +/- splenopexy"),"Non-viable","Review"),IF(BB1496="NR",IF(OR(BD1496="Total splenectomy",BD1496="Partial splenectomy +/- splenopexy"),"NR - removed, check reason","NR"),"Not applicable")))))</f>
        <v/>
      </c>
    </row>
    <row r="1497">
      <c r="D1497" s="8" t="n"/>
      <c r="E1497" s="9">
        <f>IF(B1497="","",IF(B1497="OWN","Yes","No"))</f>
        <v/>
      </c>
      <c r="AF1497" s="9">
        <f>IF(ISNUMBER(Z1497),IF(Z1497&lt;=2,"&lt;=2 d",IF(Z1497&lt;=7,"3-7 d",IF(Z1497&lt;=30,"8-30 d","&gt;30 d"))),IF(AE1497&lt;&gt;"",AE1497,IF(Z1497="NR","NR","")))</f>
        <v/>
      </c>
      <c r="AX1497" s="9">
        <f>IF(ISNUMBER(AW1497),IF(AW1497&gt;450,"Yes","No"),IF(AW1497="NR","NR",""))</f>
        <v/>
      </c>
      <c r="BJ1497" s="9">
        <f>IF(BB1497="","",IF(BB1497="Non-viable","Non-viable",IF(BB1497="Viable","Viable",IF(BB1497="Partially non-viable",IF(OR(BD1497="Total splenectomy",BD1497="Partial splenectomy +/- splenopexy"),"Non-viable","Review"),IF(BB1497="NR",IF(OR(BD1497="Total splenectomy",BD1497="Partial splenectomy +/- splenopexy"),"NR - removed, check reason","NR"),"Not applicable")))))</f>
        <v/>
      </c>
    </row>
    <row r="1498">
      <c r="D1498" s="8" t="n"/>
      <c r="E1498" s="9">
        <f>IF(B1498="","",IF(B1498="OWN","Yes","No"))</f>
        <v/>
      </c>
      <c r="AF1498" s="9">
        <f>IF(ISNUMBER(Z1498),IF(Z1498&lt;=2,"&lt;=2 d",IF(Z1498&lt;=7,"3-7 d",IF(Z1498&lt;=30,"8-30 d","&gt;30 d"))),IF(AE1498&lt;&gt;"",AE1498,IF(Z1498="NR","NR","")))</f>
        <v/>
      </c>
      <c r="AX1498" s="9">
        <f>IF(ISNUMBER(AW1498),IF(AW1498&gt;450,"Yes","No"),IF(AW1498="NR","NR",""))</f>
        <v/>
      </c>
      <c r="BJ1498" s="9">
        <f>IF(BB1498="","",IF(BB1498="Non-viable","Non-viable",IF(BB1498="Viable","Viable",IF(BB1498="Partially non-viable",IF(OR(BD1498="Total splenectomy",BD1498="Partial splenectomy +/- splenopexy"),"Non-viable","Review"),IF(BB1498="NR",IF(OR(BD1498="Total splenectomy",BD1498="Partial splenectomy +/- splenopexy"),"NR - removed, check reason","NR"),"Not applicable")))))</f>
        <v/>
      </c>
    </row>
    <row r="1499">
      <c r="D1499" s="8" t="n"/>
      <c r="E1499" s="9">
        <f>IF(B1499="","",IF(B1499="OWN","Yes","No"))</f>
        <v/>
      </c>
      <c r="AF1499" s="9">
        <f>IF(ISNUMBER(Z1499),IF(Z1499&lt;=2,"&lt;=2 d",IF(Z1499&lt;=7,"3-7 d",IF(Z1499&lt;=30,"8-30 d","&gt;30 d"))),IF(AE1499&lt;&gt;"",AE1499,IF(Z1499="NR","NR","")))</f>
        <v/>
      </c>
      <c r="AX1499" s="9">
        <f>IF(ISNUMBER(AW1499),IF(AW1499&gt;450,"Yes","No"),IF(AW1499="NR","NR",""))</f>
        <v/>
      </c>
      <c r="BJ1499" s="9">
        <f>IF(BB1499="","",IF(BB1499="Non-viable","Non-viable",IF(BB1499="Viable","Viable",IF(BB1499="Partially non-viable",IF(OR(BD1499="Total splenectomy",BD1499="Partial splenectomy +/- splenopexy"),"Non-viable","Review"),IF(BB1499="NR",IF(OR(BD1499="Total splenectomy",BD1499="Partial splenectomy +/- splenopexy"),"NR - removed, check reason","NR"),"Not applicable")))))</f>
        <v/>
      </c>
    </row>
    <row r="1500">
      <c r="D1500" s="8" t="n"/>
      <c r="E1500" s="9">
        <f>IF(B1500="","",IF(B1500="OWN","Yes","No"))</f>
        <v/>
      </c>
      <c r="AF1500" s="9">
        <f>IF(ISNUMBER(Z1500),IF(Z1500&lt;=2,"&lt;=2 d",IF(Z1500&lt;=7,"3-7 d",IF(Z1500&lt;=30,"8-30 d","&gt;30 d"))),IF(AE1500&lt;&gt;"",AE1500,IF(Z1500="NR","NR","")))</f>
        <v/>
      </c>
      <c r="AX1500" s="9">
        <f>IF(ISNUMBER(AW1500),IF(AW1500&gt;450,"Yes","No"),IF(AW1500="NR","NR",""))</f>
        <v/>
      </c>
      <c r="BJ1500" s="9">
        <f>IF(BB1500="","",IF(BB1500="Non-viable","Non-viable",IF(BB1500="Viable","Viable",IF(BB1500="Partially non-viable",IF(OR(BD1500="Total splenectomy",BD1500="Partial splenectomy +/- splenopexy"),"Non-viable","Review"),IF(BB1500="NR",IF(OR(BD1500="Total splenectomy",BD1500="Partial splenectomy +/- splenopexy"),"NR - removed, check reason","NR"),"Not applicable")))))</f>
        <v/>
      </c>
    </row>
    <row r="1501">
      <c r="D1501" s="8" t="n"/>
      <c r="E1501" s="9">
        <f>IF(B1501="","",IF(B1501="OWN","Yes","No"))</f>
        <v/>
      </c>
      <c r="AF1501" s="9">
        <f>IF(ISNUMBER(Z1501),IF(Z1501&lt;=2,"&lt;=2 d",IF(Z1501&lt;=7,"3-7 d",IF(Z1501&lt;=30,"8-30 d","&gt;30 d"))),IF(AE1501&lt;&gt;"",AE1501,IF(Z1501="NR","NR","")))</f>
        <v/>
      </c>
      <c r="AX1501" s="9">
        <f>IF(ISNUMBER(AW1501),IF(AW1501&gt;450,"Yes","No"),IF(AW1501="NR","NR",""))</f>
        <v/>
      </c>
      <c r="BJ1501" s="9">
        <f>IF(BB1501="","",IF(BB1501="Non-viable","Non-viable",IF(BB1501="Viable","Viable",IF(BB1501="Partially non-viable",IF(OR(BD1501="Total splenectomy",BD1501="Partial splenectomy +/- splenopexy"),"Non-viable","Review"),IF(BB1501="NR",IF(OR(BD1501="Total splenectomy",BD1501="Partial splenectomy +/- splenopexy"),"NR - removed, check reason","NR"),"Not applicable")))))</f>
        <v/>
      </c>
    </row>
    <row r="1502">
      <c r="D1502" s="8" t="n"/>
      <c r="E1502" s="9">
        <f>IF(B1502="","",IF(B1502="OWN","Yes","No"))</f>
        <v/>
      </c>
      <c r="AF1502" s="9">
        <f>IF(ISNUMBER(Z1502),IF(Z1502&lt;=2,"&lt;=2 d",IF(Z1502&lt;=7,"3-7 d",IF(Z1502&lt;=30,"8-30 d","&gt;30 d"))),IF(AE1502&lt;&gt;"",AE1502,IF(Z1502="NR","NR","")))</f>
        <v/>
      </c>
      <c r="AX1502" s="9">
        <f>IF(ISNUMBER(AW1502),IF(AW1502&gt;450,"Yes","No"),IF(AW1502="NR","NR",""))</f>
        <v/>
      </c>
      <c r="BJ1502" s="9">
        <f>IF(BB1502="","",IF(BB1502="Non-viable","Non-viable",IF(BB1502="Viable","Viable",IF(BB1502="Partially non-viable",IF(OR(BD1502="Total splenectomy",BD1502="Partial splenectomy +/- splenopexy"),"Non-viable","Review"),IF(BB1502="NR",IF(OR(BD1502="Total splenectomy",BD1502="Partial splenectomy +/- splenopexy"),"NR - removed, check reason","NR"),"Not applicable")))))</f>
        <v/>
      </c>
    </row>
    <row r="1503">
      <c r="D1503" s="8" t="n"/>
      <c r="E1503" s="9">
        <f>IF(B1503="","",IF(B1503="OWN","Yes","No"))</f>
        <v/>
      </c>
      <c r="AF1503" s="9">
        <f>IF(ISNUMBER(Z1503),IF(Z1503&lt;=2,"&lt;=2 d",IF(Z1503&lt;=7,"3-7 d",IF(Z1503&lt;=30,"8-30 d","&gt;30 d"))),IF(AE1503&lt;&gt;"",AE1503,IF(Z1503="NR","NR","")))</f>
        <v/>
      </c>
      <c r="AX1503" s="9">
        <f>IF(ISNUMBER(AW1503),IF(AW1503&gt;450,"Yes","No"),IF(AW1503="NR","NR",""))</f>
        <v/>
      </c>
      <c r="BJ1503" s="9">
        <f>IF(BB1503="","",IF(BB1503="Non-viable","Non-viable",IF(BB1503="Viable","Viable",IF(BB1503="Partially non-viable",IF(OR(BD1503="Total splenectomy",BD1503="Partial splenectomy +/- splenopexy"),"Non-viable","Review"),IF(BB1503="NR",IF(OR(BD1503="Total splenectomy",BD1503="Partial splenectomy +/- splenopexy"),"NR - removed, check reason","NR"),"Not applicable")))))</f>
        <v/>
      </c>
    </row>
  </sheetData>
  <dataValidations count="46">
    <dataValidation sqref="C4:C1503" showDropDown="0" showInputMessage="0" showErrorMessage="1" allowBlank="1" errorTitle="Not in list" error="值不在列表里。请从下拉列表选择；确需例外请在 Notes 里说明。" type="list" errorStyle="warning">
      <formula1>Lists!$X$2:$X$4</formula1>
    </dataValidation>
    <dataValidation sqref="I4:I1503" showDropDown="0" showInputMessage="0" showErrorMessage="1" allowBlank="1" errorTitle="Not in list" error="值不在列表里。请从下拉列表选择；确需例外请在 Notes 里说明。" type="list" errorStyle="warning">
      <formula1>Lists!$C$2:$C$4</formula1>
    </dataValidation>
    <dataValidation sqref="J4:J1503" showDropDown="0" showInputMessage="0" showErrorMessage="1" allowBlank="1" errorTitle="Not in list" error="值不在列表里。请从下拉列表选择；确需例外请在 Notes 里说明。" type="list" errorStyle="warning">
      <formula1>Lists!$B$2:$B$4</formula1>
    </dataValidation>
    <dataValidation sqref="K4:K1503" showDropDown="0" showInputMessage="0" showErrorMessage="1" allowBlank="1" errorTitle="Not in list" error="值不在列表里。请从下拉列表选择；确需例外请在 Notes 里说明。" type="list" errorStyle="warning">
      <formula1>Lists!$B$2:$B$4</formula1>
    </dataValidation>
    <dataValidation sqref="L4:L1503" showDropDown="0" showInputMessage="0" showErrorMessage="1" allowBlank="1" errorTitle="Not in list" error="值不在列表里。请从下拉列表选择；确需例外请在 Notes 里说明。" type="list" errorStyle="warning">
      <formula1>Lists!$B$2:$B$4</formula1>
    </dataValidation>
    <dataValidation sqref="M4:M1503" showDropDown="0" showInputMessage="0" showErrorMessage="1" allowBlank="1" errorTitle="Not in list" error="值不在列表里。请从下拉列表选择；确需例外请在 Notes 里说明。" type="list" errorStyle="warning">
      <formula1>Lists!$B$2:$B$4</formula1>
    </dataValidation>
    <dataValidation sqref="N4:N1503" showDropDown="0" showInputMessage="0" showErrorMessage="1" allowBlank="1" errorTitle="Not in list" error="值不在列表里。请从下拉列表选择；确需例外请在 Notes 里说明。" type="list" errorStyle="warning">
      <formula1>Lists!$B$2:$B$4</formula1>
    </dataValidation>
    <dataValidation sqref="O4:O1503" showDropDown="0" showInputMessage="0" showErrorMessage="1" allowBlank="1" errorTitle="Not in list" error="值不在列表里。请从下拉列表选择；确需例外请在 Notes 里说明。" type="list" errorStyle="warning">
      <formula1>Lists!$B$2:$B$4</formula1>
    </dataValidation>
    <dataValidation sqref="P4:P1503" showDropDown="0" showInputMessage="0" showErrorMessage="1" allowBlank="1" errorTitle="Not in list" error="值不在列表里。请从下拉列表选择；确需例外请在 Notes 里说明。" type="list" errorStyle="warning">
      <formula1>Lists!$B$2:$B$4</formula1>
    </dataValidation>
    <dataValidation sqref="Q4:Q1503" showDropDown="0" showInputMessage="0" showErrorMessage="1" allowBlank="1" errorTitle="Not in list" error="值不在列表里。请从下拉列表选择；确需例外请在 Notes 里说明。" type="list" errorStyle="warning">
      <formula1>Lists!$B$2:$B$4</formula1>
    </dataValidation>
    <dataValidation sqref="U4:U1503" showDropDown="0" showInputMessage="0" showErrorMessage="1" allowBlank="1" errorTitle="Not in list" error="值不在列表里。请从下拉列表选择；确需例外请在 Notes 里说明。" type="list" errorStyle="warning">
      <formula1>Lists!$H$2:$H$4</formula1>
    </dataValidation>
    <dataValidation sqref="W4:W1503" showDropDown="0" showInputMessage="0" showErrorMessage="1" allowBlank="1" errorTitle="Not in list" error="值不在列表里。请从下拉列表选择；确需例外请在 Notes 里说明。" type="list" errorStyle="warning">
      <formula1>Lists!$I$2:$I$6</formula1>
    </dataValidation>
    <dataValidation sqref="X4:X1503" showDropDown="0" showInputMessage="0" showErrorMessage="1" allowBlank="1" errorTitle="Not in list" error="值不在列表里。请从下拉列表选择；确需例外请在 Notes 里说明。" type="list" errorStyle="warning">
      <formula1>Lists!$J$2:$J$7</formula1>
    </dataValidation>
    <dataValidation sqref="Z4:Z1503" showDropDown="0" showInputMessage="0" showErrorMessage="1" allowBlank="1" errorTitle="Number or NR" error="请填数字；报告里没有请填 NR。" type="custom" errorStyle="warning">
      <formula1>OR(ISNUMBER(Z4),Z4="NR")</formula1>
    </dataValidation>
    <dataValidation sqref="AB4:AB1503" showDropDown="0" showInputMessage="0" showErrorMessage="1" allowBlank="1" errorTitle="Not in list" error="值不在列表里。请从下拉列表选择；确需例外请在 Notes 里说明。" type="list" errorStyle="warning">
      <formula1>Lists!$A$2:$A$3</formula1>
    </dataValidation>
    <dataValidation sqref="AC4:AC1503" showDropDown="0" showInputMessage="0" showErrorMessage="1" allowBlank="1" errorTitle="Number or NR" error="请填数字；报告里没有请填 NR。" type="custom" errorStyle="warning">
      <formula1>OR(ISNUMBER(AC4),AC4="NR")</formula1>
    </dataValidation>
    <dataValidation sqref="AD4:AD1503" showDropDown="0" showInputMessage="0" showErrorMessage="1" allowBlank="1" errorTitle="Not in list" error="值不在列表里。请从下拉列表选择；确需例外请在 Notes 里说明。" type="list" errorStyle="warning">
      <formula1>Lists!$A$2:$A$3</formula1>
    </dataValidation>
    <dataValidation sqref="AE4:AE1503" showDropDown="0" showInputMessage="0" showErrorMessage="1" allowBlank="1" errorTitle="Not in list" error="值不在列表里。请从下拉列表选择；确需例外请在 Notes 里说明。" type="list" errorStyle="warning">
      <formula1>Lists!$U$2:$U$5</formula1>
    </dataValidation>
    <dataValidation sqref="AH4:AH1503" showDropDown="0" showInputMessage="0" showErrorMessage="1" allowBlank="1" errorTitle="Number or NR" error="请填数字；报告里没有请填 NR。" type="custom" errorStyle="warning">
      <formula1>OR(ISNUMBER(AH4),AH4="NR")</formula1>
    </dataValidation>
    <dataValidation sqref="AI4:AI1503" showDropDown="0" showInputMessage="0" showErrorMessage="1" allowBlank="1" errorTitle="Integer or NR" error="请填整数；报告里没有请填 NR。" type="custom" errorStyle="warning">
      <formula1>OR(AND(ISNUMBER(AI4),AI4=INT(AI4),AI4&gt;=0),AI4="NR")</formula1>
    </dataValidation>
    <dataValidation sqref="AJ4:AJ1503" showDropDown="0" showInputMessage="0" showErrorMessage="1" allowBlank="1" errorTitle="Not in list" error="值不在列表里。请从下拉列表选择；确需例外请在 Notes 里说明。" type="list" errorStyle="warning">
      <formula1>Lists!$B$2:$B$4</formula1>
    </dataValidation>
    <dataValidation sqref="AM4:AM1503" showDropDown="0" showInputMessage="0" showErrorMessage="1" allowBlank="1" errorTitle="Not in list" error="值不在列表里。请从下拉列表选择；确需例外请在 Notes 里说明。" type="list" errorStyle="warning">
      <formula1>Lists!$B$2:$B$4</formula1>
    </dataValidation>
    <dataValidation sqref="AN4:AN1503" showDropDown="0" showInputMessage="0" showErrorMessage="1" allowBlank="1" errorTitle="Not in list" error="值不在列表里。请从下拉列表选择；确需例外请在 Notes 里说明。" type="list" errorStyle="warning">
      <formula1>Lists!$K$2:$K$6</formula1>
    </dataValidation>
    <dataValidation sqref="AO4:AO1503" showDropDown="0" showInputMessage="0" showErrorMessage="1" allowBlank="1" errorTitle="Number or NR" error="请填数字；报告里没有请填 NR。" type="custom" errorStyle="warning">
      <formula1>OR(ISNUMBER(AO4),AO4="NR")</formula1>
    </dataValidation>
    <dataValidation sqref="AP4:AP1503" showDropDown="0" showInputMessage="0" showErrorMessage="1" allowBlank="1" errorTitle="Not in list" error="值不在列表里。请从下拉列表选择；确需例外请在 Notes 里说明。" type="list" errorStyle="warning">
      <formula1>Lists!$L$2:$L$4</formula1>
    </dataValidation>
    <dataValidation sqref="AQ4:AQ1503" showDropDown="0" showInputMessage="0" showErrorMessage="1" allowBlank="1" errorTitle="Not in list" error="值不在列表里。请从下拉列表选择；确需例外请在 Notes 里说明。" type="list" errorStyle="warning">
      <formula1>Lists!$B$2:$B$4</formula1>
    </dataValidation>
    <dataValidation sqref="AR4:AR1503" showDropDown="0" showInputMessage="0" showErrorMessage="1" allowBlank="1" errorTitle="Not in list" error="值不在列表里。请从下拉列表选择；确需例外请在 Notes 里说明。" type="list" errorStyle="warning">
      <formula1>Lists!$B$2:$B$4</formula1>
    </dataValidation>
    <dataValidation sqref="AS4:AS1503" showDropDown="0" showInputMessage="0" showErrorMessage="1" allowBlank="1" errorTitle="Not in list" error="值不在列表里。请从下拉列表选择；确需例外请在 Notes 里说明。" type="list" errorStyle="warning">
      <formula1>Lists!$B$2:$B$4</formula1>
    </dataValidation>
    <dataValidation sqref="AT4:AT1503" showDropDown="0" showInputMessage="0" showErrorMessage="1" allowBlank="1" errorTitle="Not in list" error="值不在列表里。请从下拉列表选择；确需例外请在 Notes 里说明。" type="list" errorStyle="warning">
      <formula1>Lists!$B$2:$B$4</formula1>
    </dataValidation>
    <dataValidation sqref="AU4:AU1503" showDropDown="0" showInputMessage="0" showErrorMessage="1" allowBlank="1" errorTitle="Not in list" error="值不在列表里。请从下拉列表选择；确需例外请在 Notes 里说明。" type="list" errorStyle="warning">
      <formula1>Lists!$B$2:$B$4</formula1>
    </dataValidation>
    <dataValidation sqref="AV4:AV1503" showDropDown="0" showInputMessage="0" showErrorMessage="1" allowBlank="1" errorTitle="Not in list" error="值不在列表里。请从下拉列表选择；确需例外请在 Notes 里说明。" type="list" errorStyle="warning">
      <formula1>Lists!$M$2:$M$5</formula1>
    </dataValidation>
    <dataValidation sqref="AW4:AW1503" showDropDown="0" showInputMessage="0" showErrorMessage="1" allowBlank="1" errorTitle="Number or NR" error="请填数字；报告里没有请填 NR。" type="custom" errorStyle="warning">
      <formula1>OR(ISNUMBER(AW4),AW4="NR")</formula1>
    </dataValidation>
    <dataValidation sqref="AY4:AY1503" showDropDown="0" showInputMessage="0" showErrorMessage="1" allowBlank="1" errorTitle="Not in list" error="值不在列表里。请从下拉列表选择；确需例外请在 Notes 里说明。" type="list" errorStyle="warning">
      <formula1>Lists!$N$2:$N$6</formula1>
    </dataValidation>
    <dataValidation sqref="AZ4:AZ1503" showDropDown="0" showInputMessage="0" showErrorMessage="1" allowBlank="1" errorTitle="Not in list" error="值不在列表里。请从下拉列表选择；确需例外请在 Notes 里说明。" type="list" errorStyle="warning">
      <formula1>Lists!$B$2:$B$4</formula1>
    </dataValidation>
    <dataValidation sqref="BA4:BA1503" showDropDown="0" showInputMessage="0" showErrorMessage="1" allowBlank="1" errorTitle="Number or NR" error="请填数字；报告里没有请填 NR。" type="custom" errorStyle="warning">
      <formula1>OR(ISNUMBER(BA4),BA4="NR")</formula1>
    </dataValidation>
    <dataValidation sqref="BB4:BB1503" showDropDown="0" showInputMessage="0" showErrorMessage="1" allowBlank="1" errorTitle="Not in list" error="值不在列表里。请从下拉列表选择；确需例外请在 Notes 里说明。" type="list" errorStyle="warning">
      <formula1>Lists!$O$2:$O$6</formula1>
    </dataValidation>
    <dataValidation sqref="BC4:BC1503" showDropDown="0" showInputMessage="0" showErrorMessage="1" allowBlank="1" errorTitle="Not in list" error="值不在列表里。请从下拉列表选择；确需例外请在 Notes 里说明。" type="list" errorStyle="warning">
      <formula1>Lists!$P$2:$P$6</formula1>
    </dataValidation>
    <dataValidation sqref="BD4:BD1503" showDropDown="0" showInputMessage="0" showErrorMessage="1" allowBlank="1" errorTitle="Not in list" error="值不在列表里。请从下拉列表选择；确需例外请在 Notes 里说明。" type="list" errorStyle="warning">
      <formula1>Lists!$Q$2:$Q$8</formula1>
    </dataValidation>
    <dataValidation sqref="BF4:BF1503" showDropDown="0" showInputMessage="0" showErrorMessage="1" allowBlank="1" errorTitle="Not in list" error="值不在列表里。请从下拉列表选择；确需例外请在 Notes 里说明。" type="list" errorStyle="warning">
      <formula1>Lists!$R$2:$R$8</formula1>
    </dataValidation>
    <dataValidation sqref="BH4:BH1503" showDropDown="0" showInputMessage="0" showErrorMessage="1" allowBlank="1" errorTitle="Number or NR" error="请填数字；报告里没有请填 NR。" type="custom" errorStyle="warning">
      <formula1>OR(ISNUMBER(BH4),BH4="NR")</formula1>
    </dataValidation>
    <dataValidation sqref="BI4:BI1503" showDropDown="0" showInputMessage="0" showErrorMessage="1" allowBlank="1" errorTitle="Not in list" error="值不在列表里。请从下拉列表选择；确需例外请在 Notes 里说明。" type="list" errorStyle="warning">
      <formula1>Lists!$S$2:$S$5</formula1>
    </dataValidation>
    <dataValidation sqref="BK4:BK1503" showDropDown="0" showInputMessage="0" showErrorMessage="1" allowBlank="1" errorTitle="Number or NR" error="请填数字；报告里没有请填 NR。" type="custom" errorStyle="warning">
      <formula1>OR(ISNUMBER(BK4),BK4="NR")</formula1>
    </dataValidation>
    <dataValidation sqref="BL4:BL1503" showDropDown="0" showInputMessage="0" showErrorMessage="1" allowBlank="1" errorTitle="Not in list" error="值不在列表里。请从下拉列表选择；确需例外请在 Notes 里说明。" type="list" errorStyle="warning">
      <formula1>Lists!$B$2:$B$4</formula1>
    </dataValidation>
    <dataValidation sqref="BM4:BM1503" showDropDown="0" showInputMessage="0" showErrorMessage="1" allowBlank="1" errorTitle="Not in list" error="值不在列表里。请从下拉列表选择；确需例外请在 Notes 里说明。" type="list" errorStyle="warning">
      <formula1>Lists!$B$2:$B$4</formula1>
    </dataValidation>
    <dataValidation sqref="BO4:BO1503" showDropDown="0" showInputMessage="0" showErrorMessage="1" allowBlank="1" errorTitle="Not in list" error="值不在列表里。请从下拉列表选择；确需例外请在 Notes 里说明。" type="list" errorStyle="warning">
      <formula1>Lists!$T$2:$T$5</formula1>
    </dataValidation>
    <dataValidation sqref="G4:G1503" showDropDown="0" showInputMessage="0" showErrorMessage="1" allowBlank="1" errorTitle="Age" error="年龄应为小于 18 的数字，或 NR。≥18 岁的患者不符合纳入标准。" type="custom" errorStyle="warning">
      <formula1>OR(AND(ISNUMBER(G4),G4&gt;=0,G4&lt;18),G4="NR")</formula1>
    </dataValidation>
  </dataValidations>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70" customWidth="1" min="3" max="3"/>
  </cols>
  <sheetData>
    <row r="1">
      <c r="A1" s="14" t="inlineStr">
        <is>
          <t>Rules for converting reported durations (protocol Appendix C, verbatim) / 时间换算规则</t>
        </is>
      </c>
    </row>
    <row r="2">
      <c r="A2" s="15" t="inlineStr">
        <is>
          <t>Rule</t>
        </is>
      </c>
      <c r="B2" s="15" t="inlineStr">
        <is>
          <t>Protocol text</t>
        </is>
      </c>
      <c r="C2" s="15" t="inlineStr">
        <is>
          <t>中文说明</t>
        </is>
      </c>
    </row>
    <row r="3" ht="32" customHeight="1">
      <c r="A3" s="16" t="n">
        <v>1</v>
      </c>
      <c r="B3" s="16" t="inlineStr">
        <is>
          <t>Hours are converted to days (hours ÷ 24, one decimal).</t>
        </is>
      </c>
      <c r="C3" s="16" t="inlineStr">
        <is>
          <t>小时换算为天（小时 ÷ 24，保留一位小数）。</t>
        </is>
      </c>
    </row>
    <row r="4" ht="32" customHeight="1">
      <c r="A4" s="16" t="n">
        <v>2</v>
      </c>
      <c r="B4" s="16" t="inlineStr">
        <is>
          <t>Weeks × 7; months × 30.4; years × 365.</t>
        </is>
      </c>
      <c r="C4" s="16" t="inlineStr">
        <is>
          <t>周 × 7；月 × 30.4；年 × 365。</t>
        </is>
      </c>
    </row>
    <row r="5" ht="32" customHeight="1">
      <c r="A5" s="16" t="n">
        <v>3</v>
      </c>
      <c r="B5" s="16" t="inlineStr">
        <is>
          <t>Ranges take the midpoint (for example, 3–5 days is coded as 4 days).</t>
        </is>
      </c>
      <c r="C5" s="16" t="inlineStr">
        <is>
          <t>范围取中点（如 3–5 天记为 4 天）。</t>
        </is>
      </c>
    </row>
    <row r="6" ht="32" customHeight="1">
      <c r="A6" s="16" t="n">
        <v>4</v>
      </c>
      <c r="B6" s="16" t="inlineStr">
        <is>
          <t>“Less than 24 hours”, “a few hours” or “overnight” is coded as 0.5 days.</t>
        </is>
      </c>
      <c r="C6" s="16" t="inlineStr">
        <is>
          <t>'不足 24 小时''几小时''一夜'记为 0.5 天。</t>
        </is>
      </c>
    </row>
    <row r="7" ht="64" customHeight="1">
      <c r="A7" s="16" t="n">
        <v>5</v>
      </c>
      <c r="B7" s="16" t="inlineStr">
        <is>
          <t>Imprecise terms (“several days”, “some weeks”, “a long history”) are coded as missing on the continuous scale, and assigned a category only if every plausible reading falls in the same category.</t>
        </is>
      </c>
      <c r="C7" s="16" t="inlineStr">
        <is>
          <t>含糊说法（'数天''数周''病史很长'）在连续尺度上记为缺失（idx_dur_days 填 NR）；只有所有合理理解都落在同一类别时，才在 idx_dur_cat_imprecise 里指定类别。</t>
        </is>
      </c>
    </row>
    <row r="8" ht="80" customHeight="1">
      <c r="A8" s="16" t="n">
        <v>6</v>
      </c>
      <c r="B8" s="16" t="inlineStr">
        <is>
          <t>Intermittent or worsening presentations (for example, “intermittent pain for one week, worse for two days”): the primary coding uses the whole stated period of the current presentation (7 days); the alternative coding uses the period of worsening (2 days) and is used in sensitivity analysis 4.</t>
        </is>
      </c>
      <c r="C8" s="16" t="inlineStr">
        <is>
          <t>间歇或加重型表现（如'间歇腹痛一周，最近两天加重'）：主要编码用当前这次发作的整个叙述时段（7 天）；备选编码用加重时段（2 天），填在 idx_dur_alt_days，用于敏感性分析 4；同时 idx_dur_intermittent 填 Yes。</t>
        </is>
      </c>
    </row>
    <row r="9" ht="48" customHeight="1">
      <c r="A9" s="16" t="n">
        <v>7</v>
      </c>
      <c r="B9" s="16" t="inlineStr">
        <is>
          <t>A planned interval between discharge and a scheduled elective operation is excluded from the index episode and recorded as the waiting interval.</t>
        </is>
      </c>
      <c r="C9" s="16" t="inlineStr">
        <is>
          <t>出院后到择期手术之间的计划间隔不计入指数发作，另记为 waiting_interval_days。</t>
        </is>
      </c>
    </row>
    <row r="10" ht="32" customHeight="1">
      <c r="A10" s="16" t="n">
        <v>8</v>
      </c>
      <c r="B10" s="16" t="inlineStr">
        <is>
          <t>When dates of symptom onset and of operation are both given, the interval is calculated exactly.</t>
        </is>
      </c>
      <c r="C10" s="16" t="inlineStr">
        <is>
          <t>报告同时给出症状开始日期和手术日期时，按日期精确计算。</t>
        </is>
      </c>
    </row>
    <row r="11" ht="80" customHeight="1">
      <c r="A11" s="16" t="n">
        <v>9</v>
      </c>
      <c r="B11" s="16" t="inlineStr">
        <is>
          <t>When a report gives symptom duration at admission but not the timing of operation within the admission: an operation described as immediate or emergency adds nothing; an operation on hospital day N adds N days; otherwise the duration at admission is used and flagged as a lower bound.</t>
        </is>
      </c>
      <c r="C11" s="16" t="inlineStr">
        <is>
          <t>报告给了入院时的症状持续时间，但没给入院后手术的时间：描述为'立即/急诊'手术的不加天数；'住院第 N 天手术'加 N 天；其他情况用入院时的持续时间，并在 idx_dur_lower_bound 标为 Yes。</t>
        </is>
      </c>
    </row>
    <row r="13">
      <c r="A13" s="14" t="inlineStr">
        <is>
          <t>Definitions (protocol, abridged) / 协议里的定义</t>
        </is>
      </c>
    </row>
    <row r="14" ht="96" customHeight="1">
      <c r="A14" s="16" t="inlineStr">
        <is>
          <t>Primary exposure (protocol Section 8)</t>
        </is>
      </c>
      <c r="B14" s="16" t="inlineStr">
        <is>
          <t>Time from onset of the symptoms of the presentation that led to operation until the operation, in days. Time spent in hospital before operation during the same admission is included; a planned interval between discharge and a scheduled elective operation is not (it is recorded separately as a waiting interval).</t>
        </is>
      </c>
      <c r="C14" s="16" t="inlineStr">
        <is>
          <t>指数发作时长：导致手术的这次发作的症状开始到手术的天数；同一次住院期间手术前的住院时间计入；出院后到择期手术之间的计划间隔不计入，另记为等待间隔。</t>
        </is>
      </c>
    </row>
    <row r="15" ht="32" customHeight="1">
      <c r="A15" s="16" t="inlineStr">
        <is>
          <t>Secondary exposures (Section 8)</t>
        </is>
      </c>
      <c r="B15" s="16" t="inlineStr">
        <is>
          <t>Total symptom history; missed diagnosis; known diagnosis with deferred surgery.</t>
        </is>
      </c>
      <c r="C15" s="16" t="inlineStr">
        <is>
          <t>总症状史；漏诊；已知诊断但推迟手术。</t>
        </is>
      </c>
    </row>
    <row r="16" ht="96" customHeight="1">
      <c r="A16" s="16" t="inlineStr">
        <is>
          <t>Primary outcome (Section 12)</t>
        </is>
      </c>
      <c r="B16" s="16" t="inlineStr">
        <is>
          <t>Non-viable spleen at the index operation: total splenectomy, or partial splenectomy, performed because of infarction, necrosis or failure to reperfuse after detorsion, as judged at operation and/or on histology. A spleen that was viable at operation but removed for another reason counts as viable for this outcome and is reported under additional outcomes.</t>
        </is>
      </c>
      <c r="C16" s="16" t="inlineStr">
        <is>
          <t>主要结局：指数手术时脾脏已无活力（因梗死、坏死或松解后未恢复灌注而做全脾或部分脾切除，由术中和/或组织学判断）。手术时有活力但因其他原因被切除的脾脏，对本结局算有活力，在附加结局里另报。</t>
        </is>
      </c>
    </row>
    <row r="18">
      <c r="A18" s="14" t="inlineStr">
        <is>
          <t>Derived columns (grey) / 衍生列（Claude 的读法，待三位确认）</t>
        </is>
      </c>
    </row>
    <row r="19" ht="32" customHeight="1">
      <c r="A19" s="16" t="inlineStr">
        <is>
          <t>D1 own_patient</t>
        </is>
      </c>
      <c r="B19" s="16" t="inlineStr">
        <is>
          <t>report_id = OWN → Yes，否则 No。用于敏感性分析 1（排除本机构 5 例）。</t>
        </is>
      </c>
      <c r="C19" s="22" t="n"/>
    </row>
    <row r="20" ht="80" customHeight="1">
      <c r="A20" s="16" t="inlineStr">
        <is>
          <t>D2 idx_dur_category</t>
        </is>
      </c>
      <c r="B20" s="16" t="inlineStr">
        <is>
          <t>按 idx_dur_days：&lt;=2 d；大于 2 且 &lt;=7 → 3-7 d；大于 7 且 &lt;=30 → 8-30 d；大于 30 → &gt;30 d。协议的四类是按整数天写的（2 天及以下、3–7 天、8–30 天、30 天以上），非整数天（如 2.5、7.5）的归类是 Claude 的读法：边界值归较低一类（2.0 → &lt;=2 d；7.0 → 3-7 d；30.0 → 8-30 d）。idx_dur_days 为 NR 时，用 idx_dur_cat_imprecise；两者都没有则显示 NR。</t>
        </is>
      </c>
      <c r="C20" s="22" t="n"/>
    </row>
    <row r="21" ht="96" customHeight="1">
      <c r="A21" s="16" t="inlineStr">
        <is>
          <t>D3 primary_outcome</t>
        </is>
      </c>
      <c r="B21" s="16" t="inlineStr">
        <is>
          <t>viability = Non-viable → Non-viable；Viable → Viable（即使被切除，也按协议算有活力）；Partially non-viable 且做了全脾或部分脾切除 → Non-viable（协议第 12 节：因梗死做部分脾切除算无活力；敏感性分析 3 把它改算保脾）；Partially non-viable 但没有切除 → Review（由共识判断）；NR 且做了切除 → 'NR - removed, check reason'（要回原文看是否因为无活力）；其他 NR；Not applicable（未手术）。这是 Claude 对第 12 节的读法，须三位确认。</t>
        </is>
      </c>
      <c r="C21" s="22" t="n"/>
    </row>
    <row r="22" ht="32" customHeight="1">
      <c r="A22" s="16" t="inlineStr">
        <is>
          <t>D4 thrombocytosis</t>
        </is>
      </c>
      <c r="B22" s="16" t="inlineStr">
        <is>
          <t>platelets &gt; 450 ×10⁹/L → Yes（协议第 13 节）。</t>
        </is>
      </c>
      <c r="C22" s="22" t="n"/>
    </row>
    <row r="23" ht="32" customHeight="1">
      <c r="A23" s="16" t="inlineStr">
        <is>
          <t>D5 pub_period</t>
        </is>
      </c>
      <c r="B23" s="16" t="inlineStr">
        <is>
          <t>year &lt; 2000 → before 2000；2000–2014 → 2000-2014；&gt;= 2015 → 2015 onward（协议第 16 节主要分析的校正变量）。</t>
        </is>
      </c>
      <c r="C23" s="22" t="n"/>
    </row>
  </sheetData>
  <mergeCells count="5">
    <mergeCell ref="B21:C21"/>
    <mergeCell ref="B19:C19"/>
    <mergeCell ref="B20:C20"/>
    <mergeCell ref="B23:C23"/>
    <mergeCell ref="B22:C22"/>
  </mergeCell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34" customWidth="1" min="1" max="1"/>
    <col width="11" customWidth="1" min="2" max="2"/>
    <col width="14" customWidth="1" min="3" max="3"/>
    <col width="11" customWidth="1" min="4" max="4"/>
    <col width="38" customWidth="1" min="5" max="5"/>
    <col width="14" customWidth="1" min="6" max="6"/>
    <col width="16" customWidth="1" min="7" max="7"/>
  </cols>
  <sheetData>
    <row r="1">
      <c r="A1" s="17" t="inlineStr">
        <is>
          <t>Duration calculator — 辅助工具，规则 1–4 的机械换算；含糊说法、规则 5–9 的判断请人工处理，把结果抄到 Patients 表。</t>
        </is>
      </c>
    </row>
    <row r="2">
      <c r="A2" s="5" t="inlineStr">
        <is>
          <t>Verbatim text</t>
        </is>
      </c>
      <c r="B2" s="5" t="inlineStr">
        <is>
          <t>Low value</t>
        </is>
      </c>
      <c r="C2" s="5" t="inlineStr">
        <is>
          <t>High value (if a range)</t>
        </is>
      </c>
      <c r="D2" s="5" t="inlineStr">
        <is>
          <t>Unit</t>
        </is>
      </c>
      <c r="E2" s="5" t="inlineStr">
        <is>
          <t>Phrase (rule 4)</t>
        </is>
      </c>
      <c r="F2" s="5" t="inlineStr">
        <is>
          <t>Days (calculated)</t>
        </is>
      </c>
      <c r="G2" s="5" t="inlineStr">
        <is>
          <t>Category (calculated)</t>
        </is>
      </c>
    </row>
    <row r="3">
      <c r="A3" s="18" t="n"/>
      <c r="B3" s="18" t="n"/>
      <c r="C3" s="18" t="n"/>
      <c r="D3" s="18" t="n"/>
      <c r="E3" s="18" t="n"/>
      <c r="F3" s="19">
        <f>IF(E3="Less than 24 hours / a few hours / overnight",0.5,IF(OR(B3="",D3=""),"",ROUND(IF(C3="",B3,(B3+C3)/2)*IF(D3="hours",1/24,IF(D3="days",1,IF(D3="weeks",7,IF(D3="months",30.4,IF(D3="years",365,""))))),1)))</f>
        <v/>
      </c>
      <c r="G3" s="19">
        <f>IF(ISNUMBER(F3),IF(F3&lt;=2,"&lt;=2 d",IF(F3&lt;=7,"3-7 d",IF(F3&lt;=30,"8-30 d","&gt;30 d"))),"")</f>
        <v/>
      </c>
    </row>
    <row r="4">
      <c r="A4" s="18" t="n"/>
      <c r="B4" s="18" t="n"/>
      <c r="C4" s="18" t="n"/>
      <c r="D4" s="18" t="n"/>
      <c r="E4" s="18" t="n"/>
      <c r="F4" s="19">
        <f>IF(E4="Less than 24 hours / a few hours / overnight",0.5,IF(OR(B4="",D4=""),"",ROUND(IF(C4="",B4,(B4+C4)/2)*IF(D4="hours",1/24,IF(D4="days",1,IF(D4="weeks",7,IF(D4="months",30.4,IF(D4="years",365,""))))),1)))</f>
        <v/>
      </c>
      <c r="G4" s="19">
        <f>IF(ISNUMBER(F4),IF(F4&lt;=2,"&lt;=2 d",IF(F4&lt;=7,"3-7 d",IF(F4&lt;=30,"8-30 d","&gt;30 d"))),"")</f>
        <v/>
      </c>
    </row>
    <row r="5">
      <c r="A5" s="18" t="n"/>
      <c r="B5" s="18" t="n"/>
      <c r="C5" s="18" t="n"/>
      <c r="D5" s="18" t="n"/>
      <c r="E5" s="18" t="n"/>
      <c r="F5" s="19">
        <f>IF(E5="Less than 24 hours / a few hours / overnight",0.5,IF(OR(B5="",D5=""),"",ROUND(IF(C5="",B5,(B5+C5)/2)*IF(D5="hours",1/24,IF(D5="days",1,IF(D5="weeks",7,IF(D5="months",30.4,IF(D5="years",365,""))))),1)))</f>
        <v/>
      </c>
      <c r="G5" s="19">
        <f>IF(ISNUMBER(F5),IF(F5&lt;=2,"&lt;=2 d",IF(F5&lt;=7,"3-7 d",IF(F5&lt;=30,"8-30 d","&gt;30 d"))),"")</f>
        <v/>
      </c>
    </row>
    <row r="6">
      <c r="A6" s="18" t="n"/>
      <c r="B6" s="18" t="n"/>
      <c r="C6" s="18" t="n"/>
      <c r="D6" s="18" t="n"/>
      <c r="E6" s="18" t="n"/>
      <c r="F6" s="19">
        <f>IF(E6="Less than 24 hours / a few hours / overnight",0.5,IF(OR(B6="",D6=""),"",ROUND(IF(C6="",B6,(B6+C6)/2)*IF(D6="hours",1/24,IF(D6="days",1,IF(D6="weeks",7,IF(D6="months",30.4,IF(D6="years",365,""))))),1)))</f>
        <v/>
      </c>
      <c r="G6" s="19">
        <f>IF(ISNUMBER(F6),IF(F6&lt;=2,"&lt;=2 d",IF(F6&lt;=7,"3-7 d",IF(F6&lt;=30,"8-30 d","&gt;30 d"))),"")</f>
        <v/>
      </c>
    </row>
    <row r="7">
      <c r="A7" s="18" t="n"/>
      <c r="B7" s="18" t="n"/>
      <c r="C7" s="18" t="n"/>
      <c r="D7" s="18" t="n"/>
      <c r="E7" s="18" t="n"/>
      <c r="F7" s="19">
        <f>IF(E7="Less than 24 hours / a few hours / overnight",0.5,IF(OR(B7="",D7=""),"",ROUND(IF(C7="",B7,(B7+C7)/2)*IF(D7="hours",1/24,IF(D7="days",1,IF(D7="weeks",7,IF(D7="months",30.4,IF(D7="years",365,""))))),1)))</f>
        <v/>
      </c>
      <c r="G7" s="19">
        <f>IF(ISNUMBER(F7),IF(F7&lt;=2,"&lt;=2 d",IF(F7&lt;=7,"3-7 d",IF(F7&lt;=30,"8-30 d","&gt;30 d"))),"")</f>
        <v/>
      </c>
    </row>
    <row r="8">
      <c r="A8" s="18" t="n"/>
      <c r="B8" s="18" t="n"/>
      <c r="C8" s="18" t="n"/>
      <c r="D8" s="18" t="n"/>
      <c r="E8" s="18" t="n"/>
      <c r="F8" s="19">
        <f>IF(E8="Less than 24 hours / a few hours / overnight",0.5,IF(OR(B8="",D8=""),"",ROUND(IF(C8="",B8,(B8+C8)/2)*IF(D8="hours",1/24,IF(D8="days",1,IF(D8="weeks",7,IF(D8="months",30.4,IF(D8="years",365,""))))),1)))</f>
        <v/>
      </c>
      <c r="G8" s="19">
        <f>IF(ISNUMBER(F8),IF(F8&lt;=2,"&lt;=2 d",IF(F8&lt;=7,"3-7 d",IF(F8&lt;=30,"8-30 d","&gt;30 d"))),"")</f>
        <v/>
      </c>
    </row>
    <row r="9">
      <c r="A9" s="18" t="n"/>
      <c r="B9" s="18" t="n"/>
      <c r="C9" s="18" t="n"/>
      <c r="D9" s="18" t="n"/>
      <c r="E9" s="18" t="n"/>
      <c r="F9" s="19">
        <f>IF(E9="Less than 24 hours / a few hours / overnight",0.5,IF(OR(B9="",D9=""),"",ROUND(IF(C9="",B9,(B9+C9)/2)*IF(D9="hours",1/24,IF(D9="days",1,IF(D9="weeks",7,IF(D9="months",30.4,IF(D9="years",365,""))))),1)))</f>
        <v/>
      </c>
      <c r="G9" s="19">
        <f>IF(ISNUMBER(F9),IF(F9&lt;=2,"&lt;=2 d",IF(F9&lt;=7,"3-7 d",IF(F9&lt;=30,"8-30 d","&gt;30 d"))),"")</f>
        <v/>
      </c>
    </row>
    <row r="10">
      <c r="A10" s="18" t="n"/>
      <c r="B10" s="18" t="n"/>
      <c r="C10" s="18" t="n"/>
      <c r="D10" s="18" t="n"/>
      <c r="E10" s="18" t="n"/>
      <c r="F10" s="19">
        <f>IF(E10="Less than 24 hours / a few hours / overnight",0.5,IF(OR(B10="",D10=""),"",ROUND(IF(C10="",B10,(B10+C10)/2)*IF(D10="hours",1/24,IF(D10="days",1,IF(D10="weeks",7,IF(D10="months",30.4,IF(D10="years",365,""))))),1)))</f>
        <v/>
      </c>
      <c r="G10" s="19">
        <f>IF(ISNUMBER(F10),IF(F10&lt;=2,"&lt;=2 d",IF(F10&lt;=7,"3-7 d",IF(F10&lt;=30,"8-30 d","&gt;30 d"))),"")</f>
        <v/>
      </c>
    </row>
    <row r="11">
      <c r="A11" s="18" t="n"/>
      <c r="B11" s="18" t="n"/>
      <c r="C11" s="18" t="n"/>
      <c r="D11" s="18" t="n"/>
      <c r="E11" s="18" t="n"/>
      <c r="F11" s="19">
        <f>IF(E11="Less than 24 hours / a few hours / overnight",0.5,IF(OR(B11="",D11=""),"",ROUND(IF(C11="",B11,(B11+C11)/2)*IF(D11="hours",1/24,IF(D11="days",1,IF(D11="weeks",7,IF(D11="months",30.4,IF(D11="years",365,""))))),1)))</f>
        <v/>
      </c>
      <c r="G11" s="19">
        <f>IF(ISNUMBER(F11),IF(F11&lt;=2,"&lt;=2 d",IF(F11&lt;=7,"3-7 d",IF(F11&lt;=30,"8-30 d","&gt;30 d"))),"")</f>
        <v/>
      </c>
    </row>
    <row r="12">
      <c r="A12" s="18" t="n"/>
      <c r="B12" s="18" t="n"/>
      <c r="C12" s="18" t="n"/>
      <c r="D12" s="18" t="n"/>
      <c r="E12" s="18" t="n"/>
      <c r="F12" s="19">
        <f>IF(E12="Less than 24 hours / a few hours / overnight",0.5,IF(OR(B12="",D12=""),"",ROUND(IF(C12="",B12,(B12+C12)/2)*IF(D12="hours",1/24,IF(D12="days",1,IF(D12="weeks",7,IF(D12="months",30.4,IF(D12="years",365,""))))),1)))</f>
        <v/>
      </c>
      <c r="G12" s="19">
        <f>IF(ISNUMBER(F12),IF(F12&lt;=2,"&lt;=2 d",IF(F12&lt;=7,"3-7 d",IF(F12&lt;=30,"8-30 d","&gt;30 d"))),"")</f>
        <v/>
      </c>
    </row>
    <row r="13">
      <c r="A13" s="18" t="n"/>
      <c r="B13" s="18" t="n"/>
      <c r="C13" s="18" t="n"/>
      <c r="D13" s="18" t="n"/>
      <c r="E13" s="18" t="n"/>
      <c r="F13" s="19">
        <f>IF(E13="Less than 24 hours / a few hours / overnight",0.5,IF(OR(B13="",D13=""),"",ROUND(IF(C13="",B13,(B13+C13)/2)*IF(D13="hours",1/24,IF(D13="days",1,IF(D13="weeks",7,IF(D13="months",30.4,IF(D13="years",365,""))))),1)))</f>
        <v/>
      </c>
      <c r="G13" s="19">
        <f>IF(ISNUMBER(F13),IF(F13&lt;=2,"&lt;=2 d",IF(F13&lt;=7,"3-7 d",IF(F13&lt;=30,"8-30 d","&gt;30 d"))),"")</f>
        <v/>
      </c>
    </row>
    <row r="14">
      <c r="A14" s="18" t="n"/>
      <c r="B14" s="18" t="n"/>
      <c r="C14" s="18" t="n"/>
      <c r="D14" s="18" t="n"/>
      <c r="E14" s="18" t="n"/>
      <c r="F14" s="19">
        <f>IF(E14="Less than 24 hours / a few hours / overnight",0.5,IF(OR(B14="",D14=""),"",ROUND(IF(C14="",B14,(B14+C14)/2)*IF(D14="hours",1/24,IF(D14="days",1,IF(D14="weeks",7,IF(D14="months",30.4,IF(D14="years",365,""))))),1)))</f>
        <v/>
      </c>
      <c r="G14" s="19">
        <f>IF(ISNUMBER(F14),IF(F14&lt;=2,"&lt;=2 d",IF(F14&lt;=7,"3-7 d",IF(F14&lt;=30,"8-30 d","&gt;30 d"))),"")</f>
        <v/>
      </c>
    </row>
    <row r="15">
      <c r="A15" s="18" t="n"/>
      <c r="B15" s="18" t="n"/>
      <c r="C15" s="18" t="n"/>
      <c r="D15" s="18" t="n"/>
      <c r="E15" s="18" t="n"/>
      <c r="F15" s="19">
        <f>IF(E15="Less than 24 hours / a few hours / overnight",0.5,IF(OR(B15="",D15=""),"",ROUND(IF(C15="",B15,(B15+C15)/2)*IF(D15="hours",1/24,IF(D15="days",1,IF(D15="weeks",7,IF(D15="months",30.4,IF(D15="years",365,""))))),1)))</f>
        <v/>
      </c>
      <c r="G15" s="19">
        <f>IF(ISNUMBER(F15),IF(F15&lt;=2,"&lt;=2 d",IF(F15&lt;=7,"3-7 d",IF(F15&lt;=30,"8-30 d","&gt;30 d"))),"")</f>
        <v/>
      </c>
    </row>
    <row r="16">
      <c r="A16" s="18" t="n"/>
      <c r="B16" s="18" t="n"/>
      <c r="C16" s="18" t="n"/>
      <c r="D16" s="18" t="n"/>
      <c r="E16" s="18" t="n"/>
      <c r="F16" s="19">
        <f>IF(E16="Less than 24 hours / a few hours / overnight",0.5,IF(OR(B16="",D16=""),"",ROUND(IF(C16="",B16,(B16+C16)/2)*IF(D16="hours",1/24,IF(D16="days",1,IF(D16="weeks",7,IF(D16="months",30.4,IF(D16="years",365,""))))),1)))</f>
        <v/>
      </c>
      <c r="G16" s="19">
        <f>IF(ISNUMBER(F16),IF(F16&lt;=2,"&lt;=2 d",IF(F16&lt;=7,"3-7 d",IF(F16&lt;=30,"8-30 d","&gt;30 d"))),"")</f>
        <v/>
      </c>
    </row>
    <row r="17">
      <c r="A17" s="18" t="n"/>
      <c r="B17" s="18" t="n"/>
      <c r="C17" s="18" t="n"/>
      <c r="D17" s="18" t="n"/>
      <c r="E17" s="18" t="n"/>
      <c r="F17" s="19">
        <f>IF(E17="Less than 24 hours / a few hours / overnight",0.5,IF(OR(B17="",D17=""),"",ROUND(IF(C17="",B17,(B17+C17)/2)*IF(D17="hours",1/24,IF(D17="days",1,IF(D17="weeks",7,IF(D17="months",30.4,IF(D17="years",365,""))))),1)))</f>
        <v/>
      </c>
      <c r="G17" s="19">
        <f>IF(ISNUMBER(F17),IF(F17&lt;=2,"&lt;=2 d",IF(F17&lt;=7,"3-7 d",IF(F17&lt;=30,"8-30 d","&gt;30 d"))),"")</f>
        <v/>
      </c>
    </row>
    <row r="18">
      <c r="A18" s="18" t="n"/>
      <c r="B18" s="18" t="n"/>
      <c r="C18" s="18" t="n"/>
      <c r="D18" s="18" t="n"/>
      <c r="E18" s="18" t="n"/>
      <c r="F18" s="19">
        <f>IF(E18="Less than 24 hours / a few hours / overnight",0.5,IF(OR(B18="",D18=""),"",ROUND(IF(C18="",B18,(B18+C18)/2)*IF(D18="hours",1/24,IF(D18="days",1,IF(D18="weeks",7,IF(D18="months",30.4,IF(D18="years",365,""))))),1)))</f>
        <v/>
      </c>
      <c r="G18" s="19">
        <f>IF(ISNUMBER(F18),IF(F18&lt;=2,"&lt;=2 d",IF(F18&lt;=7,"3-7 d",IF(F18&lt;=30,"8-30 d","&gt;30 d"))),"")</f>
        <v/>
      </c>
    </row>
    <row r="19">
      <c r="A19" s="18" t="n"/>
      <c r="B19" s="18" t="n"/>
      <c r="C19" s="18" t="n"/>
      <c r="D19" s="18" t="n"/>
      <c r="E19" s="18" t="n"/>
      <c r="F19" s="19">
        <f>IF(E19="Less than 24 hours / a few hours / overnight",0.5,IF(OR(B19="",D19=""),"",ROUND(IF(C19="",B19,(B19+C19)/2)*IF(D19="hours",1/24,IF(D19="days",1,IF(D19="weeks",7,IF(D19="months",30.4,IF(D19="years",365,""))))),1)))</f>
        <v/>
      </c>
      <c r="G19" s="19">
        <f>IF(ISNUMBER(F19),IF(F19&lt;=2,"&lt;=2 d",IF(F19&lt;=7,"3-7 d",IF(F19&lt;=30,"8-30 d","&gt;30 d"))),"")</f>
        <v/>
      </c>
    </row>
    <row r="20">
      <c r="A20" s="18" t="n"/>
      <c r="B20" s="18" t="n"/>
      <c r="C20" s="18" t="n"/>
      <c r="D20" s="18" t="n"/>
      <c r="E20" s="18" t="n"/>
      <c r="F20" s="19">
        <f>IF(E20="Less than 24 hours / a few hours / overnight",0.5,IF(OR(B20="",D20=""),"",ROUND(IF(C20="",B20,(B20+C20)/2)*IF(D20="hours",1/24,IF(D20="days",1,IF(D20="weeks",7,IF(D20="months",30.4,IF(D20="years",365,""))))),1)))</f>
        <v/>
      </c>
      <c r="G20" s="19">
        <f>IF(ISNUMBER(F20),IF(F20&lt;=2,"&lt;=2 d",IF(F20&lt;=7,"3-7 d",IF(F20&lt;=30,"8-30 d","&gt;30 d"))),"")</f>
        <v/>
      </c>
    </row>
    <row r="21">
      <c r="A21" s="18" t="n"/>
      <c r="B21" s="18" t="n"/>
      <c r="C21" s="18" t="n"/>
      <c r="D21" s="18" t="n"/>
      <c r="E21" s="18" t="n"/>
      <c r="F21" s="19">
        <f>IF(E21="Less than 24 hours / a few hours / overnight",0.5,IF(OR(B21="",D21=""),"",ROUND(IF(C21="",B21,(B21+C21)/2)*IF(D21="hours",1/24,IF(D21="days",1,IF(D21="weeks",7,IF(D21="months",30.4,IF(D21="years",365,""))))),1)))</f>
        <v/>
      </c>
      <c r="G21" s="19">
        <f>IF(ISNUMBER(F21),IF(F21&lt;=2,"&lt;=2 d",IF(F21&lt;=7,"3-7 d",IF(F21&lt;=30,"8-30 d","&gt;30 d"))),"")</f>
        <v/>
      </c>
    </row>
    <row r="22">
      <c r="A22" s="18" t="n"/>
      <c r="B22" s="18" t="n"/>
      <c r="C22" s="18" t="n"/>
      <c r="D22" s="18" t="n"/>
      <c r="E22" s="18" t="n"/>
      <c r="F22" s="19">
        <f>IF(E22="Less than 24 hours / a few hours / overnight",0.5,IF(OR(B22="",D22=""),"",ROUND(IF(C22="",B22,(B22+C22)/2)*IF(D22="hours",1/24,IF(D22="days",1,IF(D22="weeks",7,IF(D22="months",30.4,IF(D22="years",365,""))))),1)))</f>
        <v/>
      </c>
      <c r="G22" s="19">
        <f>IF(ISNUMBER(F22),IF(F22&lt;=2,"&lt;=2 d",IF(F22&lt;=7,"3-7 d",IF(F22&lt;=30,"8-30 d","&gt;30 d"))),"")</f>
        <v/>
      </c>
    </row>
    <row r="23">
      <c r="A23" s="18" t="n"/>
      <c r="B23" s="18" t="n"/>
      <c r="C23" s="18" t="n"/>
      <c r="D23" s="18" t="n"/>
      <c r="E23" s="18" t="n"/>
      <c r="F23" s="19">
        <f>IF(E23="Less than 24 hours / a few hours / overnight",0.5,IF(OR(B23="",D23=""),"",ROUND(IF(C23="",B23,(B23+C23)/2)*IF(D23="hours",1/24,IF(D23="days",1,IF(D23="weeks",7,IF(D23="months",30.4,IF(D23="years",365,""))))),1)))</f>
        <v/>
      </c>
      <c r="G23" s="19">
        <f>IF(ISNUMBER(F23),IF(F23&lt;=2,"&lt;=2 d",IF(F23&lt;=7,"3-7 d",IF(F23&lt;=30,"8-30 d","&gt;30 d"))),"")</f>
        <v/>
      </c>
    </row>
    <row r="24">
      <c r="A24" s="18" t="n"/>
      <c r="B24" s="18" t="n"/>
      <c r="C24" s="18" t="n"/>
      <c r="D24" s="18" t="n"/>
      <c r="E24" s="18" t="n"/>
      <c r="F24" s="19">
        <f>IF(E24="Less than 24 hours / a few hours / overnight",0.5,IF(OR(B24="",D24=""),"",ROUND(IF(C24="",B24,(B24+C24)/2)*IF(D24="hours",1/24,IF(D24="days",1,IF(D24="weeks",7,IF(D24="months",30.4,IF(D24="years",365,""))))),1)))</f>
        <v/>
      </c>
      <c r="G24" s="19">
        <f>IF(ISNUMBER(F24),IF(F24&lt;=2,"&lt;=2 d",IF(F24&lt;=7,"3-7 d",IF(F24&lt;=30,"8-30 d","&gt;30 d"))),"")</f>
        <v/>
      </c>
    </row>
    <row r="25">
      <c r="A25" s="18" t="n"/>
      <c r="B25" s="18" t="n"/>
      <c r="C25" s="18" t="n"/>
      <c r="D25" s="18" t="n"/>
      <c r="E25" s="18" t="n"/>
      <c r="F25" s="19">
        <f>IF(E25="Less than 24 hours / a few hours / overnight",0.5,IF(OR(B25="",D25=""),"",ROUND(IF(C25="",B25,(B25+C25)/2)*IF(D25="hours",1/24,IF(D25="days",1,IF(D25="weeks",7,IF(D25="months",30.4,IF(D25="years",365,""))))),1)))</f>
        <v/>
      </c>
      <c r="G25" s="19">
        <f>IF(ISNUMBER(F25),IF(F25&lt;=2,"&lt;=2 d",IF(F25&lt;=7,"3-7 d",IF(F25&lt;=30,"8-30 d","&gt;30 d"))),"")</f>
        <v/>
      </c>
    </row>
    <row r="26">
      <c r="A26" s="18" t="n"/>
      <c r="B26" s="18" t="n"/>
      <c r="C26" s="18" t="n"/>
      <c r="D26" s="18" t="n"/>
      <c r="E26" s="18" t="n"/>
      <c r="F26" s="19">
        <f>IF(E26="Less than 24 hours / a few hours / overnight",0.5,IF(OR(B26="",D26=""),"",ROUND(IF(C26="",B26,(B26+C26)/2)*IF(D26="hours",1/24,IF(D26="days",1,IF(D26="weeks",7,IF(D26="months",30.4,IF(D26="years",365,""))))),1)))</f>
        <v/>
      </c>
      <c r="G26" s="19">
        <f>IF(ISNUMBER(F26),IF(F26&lt;=2,"&lt;=2 d",IF(F26&lt;=7,"3-7 d",IF(F26&lt;=30,"8-30 d","&gt;30 d"))),"")</f>
        <v/>
      </c>
    </row>
    <row r="27">
      <c r="A27" s="18" t="n"/>
      <c r="B27" s="18" t="n"/>
      <c r="C27" s="18" t="n"/>
      <c r="D27" s="18" t="n"/>
      <c r="E27" s="18" t="n"/>
      <c r="F27" s="19">
        <f>IF(E27="Less than 24 hours / a few hours / overnight",0.5,IF(OR(B27="",D27=""),"",ROUND(IF(C27="",B27,(B27+C27)/2)*IF(D27="hours",1/24,IF(D27="days",1,IF(D27="weeks",7,IF(D27="months",30.4,IF(D27="years",365,""))))),1)))</f>
        <v/>
      </c>
      <c r="G27" s="19">
        <f>IF(ISNUMBER(F27),IF(F27&lt;=2,"&lt;=2 d",IF(F27&lt;=7,"3-7 d",IF(F27&lt;=30,"8-30 d","&gt;30 d"))),"")</f>
        <v/>
      </c>
    </row>
    <row r="28">
      <c r="A28" s="18" t="n"/>
      <c r="B28" s="18" t="n"/>
      <c r="C28" s="18" t="n"/>
      <c r="D28" s="18" t="n"/>
      <c r="E28" s="18" t="n"/>
      <c r="F28" s="19">
        <f>IF(E28="Less than 24 hours / a few hours / overnight",0.5,IF(OR(B28="",D28=""),"",ROUND(IF(C28="",B28,(B28+C28)/2)*IF(D28="hours",1/24,IF(D28="days",1,IF(D28="weeks",7,IF(D28="months",30.4,IF(D28="years",365,""))))),1)))</f>
        <v/>
      </c>
      <c r="G28" s="19">
        <f>IF(ISNUMBER(F28),IF(F28&lt;=2,"&lt;=2 d",IF(F28&lt;=7,"3-7 d",IF(F28&lt;=30,"8-30 d","&gt;30 d"))),"")</f>
        <v/>
      </c>
    </row>
    <row r="29">
      <c r="A29" s="18" t="n"/>
      <c r="B29" s="18" t="n"/>
      <c r="C29" s="18" t="n"/>
      <c r="D29" s="18" t="n"/>
      <c r="E29" s="18" t="n"/>
      <c r="F29" s="19">
        <f>IF(E29="Less than 24 hours / a few hours / overnight",0.5,IF(OR(B29="",D29=""),"",ROUND(IF(C29="",B29,(B29+C29)/2)*IF(D29="hours",1/24,IF(D29="days",1,IF(D29="weeks",7,IF(D29="months",30.4,IF(D29="years",365,""))))),1)))</f>
        <v/>
      </c>
      <c r="G29" s="19">
        <f>IF(ISNUMBER(F29),IF(F29&lt;=2,"&lt;=2 d",IF(F29&lt;=7,"3-7 d",IF(F29&lt;=30,"8-30 d","&gt;30 d"))),"")</f>
        <v/>
      </c>
    </row>
    <row r="30">
      <c r="A30" s="18" t="n"/>
      <c r="B30" s="18" t="n"/>
      <c r="C30" s="18" t="n"/>
      <c r="D30" s="18" t="n"/>
      <c r="E30" s="18" t="n"/>
      <c r="F30" s="19">
        <f>IF(E30="Less than 24 hours / a few hours / overnight",0.5,IF(OR(B30="",D30=""),"",ROUND(IF(C30="",B30,(B30+C30)/2)*IF(D30="hours",1/24,IF(D30="days",1,IF(D30="weeks",7,IF(D30="months",30.4,IF(D30="years",365,""))))),1)))</f>
        <v/>
      </c>
      <c r="G30" s="19">
        <f>IF(ISNUMBER(F30),IF(F30&lt;=2,"&lt;=2 d",IF(F30&lt;=7,"3-7 d",IF(F30&lt;=30,"8-30 d","&gt;30 d"))),"")</f>
        <v/>
      </c>
    </row>
    <row r="31">
      <c r="A31" s="18" t="n"/>
      <c r="B31" s="18" t="n"/>
      <c r="C31" s="18" t="n"/>
      <c r="D31" s="18" t="n"/>
      <c r="E31" s="18" t="n"/>
      <c r="F31" s="19">
        <f>IF(E31="Less than 24 hours / a few hours / overnight",0.5,IF(OR(B31="",D31=""),"",ROUND(IF(C31="",B31,(B31+C31)/2)*IF(D31="hours",1/24,IF(D31="days",1,IF(D31="weeks",7,IF(D31="months",30.4,IF(D31="years",365,""))))),1)))</f>
        <v/>
      </c>
      <c r="G31" s="19">
        <f>IF(ISNUMBER(F31),IF(F31&lt;=2,"&lt;=2 d",IF(F31&lt;=7,"3-7 d",IF(F31&lt;=30,"8-30 d","&gt;30 d"))),"")</f>
        <v/>
      </c>
    </row>
    <row r="32">
      <c r="A32" s="18" t="n"/>
      <c r="B32" s="18" t="n"/>
      <c r="C32" s="18" t="n"/>
      <c r="D32" s="18" t="n"/>
      <c r="E32" s="18" t="n"/>
      <c r="F32" s="19">
        <f>IF(E32="Less than 24 hours / a few hours / overnight",0.5,IF(OR(B32="",D32=""),"",ROUND(IF(C32="",B32,(B32+C32)/2)*IF(D32="hours",1/24,IF(D32="days",1,IF(D32="weeks",7,IF(D32="months",30.4,IF(D32="years",365,""))))),1)))</f>
        <v/>
      </c>
      <c r="G32" s="19">
        <f>IF(ISNUMBER(F32),IF(F32&lt;=2,"&lt;=2 d",IF(F32&lt;=7,"3-7 d",IF(F32&lt;=30,"8-30 d","&gt;30 d"))),"")</f>
        <v/>
      </c>
    </row>
    <row r="33">
      <c r="A33" s="18" t="n"/>
      <c r="B33" s="18" t="n"/>
      <c r="C33" s="18" t="n"/>
      <c r="D33" s="18" t="n"/>
      <c r="E33" s="18" t="n"/>
      <c r="F33" s="19">
        <f>IF(E33="Less than 24 hours / a few hours / overnight",0.5,IF(OR(B33="",D33=""),"",ROUND(IF(C33="",B33,(B33+C33)/2)*IF(D33="hours",1/24,IF(D33="days",1,IF(D33="weeks",7,IF(D33="months",30.4,IF(D33="years",365,""))))),1)))</f>
        <v/>
      </c>
      <c r="G33" s="19">
        <f>IF(ISNUMBER(F33),IF(F33&lt;=2,"&lt;=2 d",IF(F33&lt;=7,"3-7 d",IF(F33&lt;=30,"8-30 d","&gt;30 d"))),"")</f>
        <v/>
      </c>
    </row>
    <row r="34">
      <c r="A34" s="18" t="n"/>
      <c r="B34" s="18" t="n"/>
      <c r="C34" s="18" t="n"/>
      <c r="D34" s="18" t="n"/>
      <c r="E34" s="18" t="n"/>
      <c r="F34" s="19">
        <f>IF(E34="Less than 24 hours / a few hours / overnight",0.5,IF(OR(B34="",D34=""),"",ROUND(IF(C34="",B34,(B34+C34)/2)*IF(D34="hours",1/24,IF(D34="days",1,IF(D34="weeks",7,IF(D34="months",30.4,IF(D34="years",365,""))))),1)))</f>
        <v/>
      </c>
      <c r="G34" s="19">
        <f>IF(ISNUMBER(F34),IF(F34&lt;=2,"&lt;=2 d",IF(F34&lt;=7,"3-7 d",IF(F34&lt;=30,"8-30 d","&gt;30 d"))),"")</f>
        <v/>
      </c>
    </row>
    <row r="35">
      <c r="A35" s="18" t="n"/>
      <c r="B35" s="18" t="n"/>
      <c r="C35" s="18" t="n"/>
      <c r="D35" s="18" t="n"/>
      <c r="E35" s="18" t="n"/>
      <c r="F35" s="19">
        <f>IF(E35="Less than 24 hours / a few hours / overnight",0.5,IF(OR(B35="",D35=""),"",ROUND(IF(C35="",B35,(B35+C35)/2)*IF(D35="hours",1/24,IF(D35="days",1,IF(D35="weeks",7,IF(D35="months",30.4,IF(D35="years",365,""))))),1)))</f>
        <v/>
      </c>
      <c r="G35" s="19">
        <f>IF(ISNUMBER(F35),IF(F35&lt;=2,"&lt;=2 d",IF(F35&lt;=7,"3-7 d",IF(F35&lt;=30,"8-30 d","&gt;30 d"))),"")</f>
        <v/>
      </c>
    </row>
    <row r="36">
      <c r="A36" s="18" t="n"/>
      <c r="B36" s="18" t="n"/>
      <c r="C36" s="18" t="n"/>
      <c r="D36" s="18" t="n"/>
      <c r="E36" s="18" t="n"/>
      <c r="F36" s="19">
        <f>IF(E36="Less than 24 hours / a few hours / overnight",0.5,IF(OR(B36="",D36=""),"",ROUND(IF(C36="",B36,(B36+C36)/2)*IF(D36="hours",1/24,IF(D36="days",1,IF(D36="weeks",7,IF(D36="months",30.4,IF(D36="years",365,""))))),1)))</f>
        <v/>
      </c>
      <c r="G36" s="19">
        <f>IF(ISNUMBER(F36),IF(F36&lt;=2,"&lt;=2 d",IF(F36&lt;=7,"3-7 d",IF(F36&lt;=30,"8-30 d","&gt;30 d"))),"")</f>
        <v/>
      </c>
    </row>
    <row r="37">
      <c r="A37" s="18" t="n"/>
      <c r="B37" s="18" t="n"/>
      <c r="C37" s="18" t="n"/>
      <c r="D37" s="18" t="n"/>
      <c r="E37" s="18" t="n"/>
      <c r="F37" s="19">
        <f>IF(E37="Less than 24 hours / a few hours / overnight",0.5,IF(OR(B37="",D37=""),"",ROUND(IF(C37="",B37,(B37+C37)/2)*IF(D37="hours",1/24,IF(D37="days",1,IF(D37="weeks",7,IF(D37="months",30.4,IF(D37="years",365,""))))),1)))</f>
        <v/>
      </c>
      <c r="G37" s="19">
        <f>IF(ISNUMBER(F37),IF(F37&lt;=2,"&lt;=2 d",IF(F37&lt;=7,"3-7 d",IF(F37&lt;=30,"8-30 d","&gt;30 d"))),"")</f>
        <v/>
      </c>
    </row>
    <row r="38">
      <c r="A38" s="18" t="n"/>
      <c r="B38" s="18" t="n"/>
      <c r="C38" s="18" t="n"/>
      <c r="D38" s="18" t="n"/>
      <c r="E38" s="18" t="n"/>
      <c r="F38" s="19">
        <f>IF(E38="Less than 24 hours / a few hours / overnight",0.5,IF(OR(B38="",D38=""),"",ROUND(IF(C38="",B38,(B38+C38)/2)*IF(D38="hours",1/24,IF(D38="days",1,IF(D38="weeks",7,IF(D38="months",30.4,IF(D38="years",365,""))))),1)))</f>
        <v/>
      </c>
      <c r="G38" s="19">
        <f>IF(ISNUMBER(F38),IF(F38&lt;=2,"&lt;=2 d",IF(F38&lt;=7,"3-7 d",IF(F38&lt;=30,"8-30 d","&gt;30 d"))),"")</f>
        <v/>
      </c>
    </row>
    <row r="39">
      <c r="A39" s="18" t="n"/>
      <c r="B39" s="18" t="n"/>
      <c r="C39" s="18" t="n"/>
      <c r="D39" s="18" t="n"/>
      <c r="E39" s="18" t="n"/>
      <c r="F39" s="19">
        <f>IF(E39="Less than 24 hours / a few hours / overnight",0.5,IF(OR(B39="",D39=""),"",ROUND(IF(C39="",B39,(B39+C39)/2)*IF(D39="hours",1/24,IF(D39="days",1,IF(D39="weeks",7,IF(D39="months",30.4,IF(D39="years",365,""))))),1)))</f>
        <v/>
      </c>
      <c r="G39" s="19">
        <f>IF(ISNUMBER(F39),IF(F39&lt;=2,"&lt;=2 d",IF(F39&lt;=7,"3-7 d",IF(F39&lt;=30,"8-30 d","&gt;30 d"))),"")</f>
        <v/>
      </c>
    </row>
    <row r="40">
      <c r="A40" s="18" t="n"/>
      <c r="B40" s="18" t="n"/>
      <c r="C40" s="18" t="n"/>
      <c r="D40" s="18" t="n"/>
      <c r="E40" s="18" t="n"/>
      <c r="F40" s="19">
        <f>IF(E40="Less than 24 hours / a few hours / overnight",0.5,IF(OR(B40="",D40=""),"",ROUND(IF(C40="",B40,(B40+C40)/2)*IF(D40="hours",1/24,IF(D40="days",1,IF(D40="weeks",7,IF(D40="months",30.4,IF(D40="years",365,""))))),1)))</f>
        <v/>
      </c>
      <c r="G40" s="19">
        <f>IF(ISNUMBER(F40),IF(F40&lt;=2,"&lt;=2 d",IF(F40&lt;=7,"3-7 d",IF(F40&lt;=30,"8-30 d","&gt;30 d"))),"")</f>
        <v/>
      </c>
    </row>
    <row r="41">
      <c r="A41" s="18" t="n"/>
      <c r="B41" s="18" t="n"/>
      <c r="C41" s="18" t="n"/>
      <c r="D41" s="18" t="n"/>
      <c r="E41" s="18" t="n"/>
      <c r="F41" s="19">
        <f>IF(E41="Less than 24 hours / a few hours / overnight",0.5,IF(OR(B41="",D41=""),"",ROUND(IF(C41="",B41,(B41+C41)/2)*IF(D41="hours",1/24,IF(D41="days",1,IF(D41="weeks",7,IF(D41="months",30.4,IF(D41="years",365,""))))),1)))</f>
        <v/>
      </c>
      <c r="G41" s="19">
        <f>IF(ISNUMBER(F41),IF(F41&lt;=2,"&lt;=2 d",IF(F41&lt;=7,"3-7 d",IF(F41&lt;=30,"8-30 d","&gt;30 d"))),"")</f>
        <v/>
      </c>
    </row>
    <row r="42">
      <c r="A42" s="18" t="n"/>
      <c r="B42" s="18" t="n"/>
      <c r="C42" s="18" t="n"/>
      <c r="D42" s="18" t="n"/>
      <c r="E42" s="18" t="n"/>
      <c r="F42" s="19">
        <f>IF(E42="Less than 24 hours / a few hours / overnight",0.5,IF(OR(B42="",D42=""),"",ROUND(IF(C42="",B42,(B42+C42)/2)*IF(D42="hours",1/24,IF(D42="days",1,IF(D42="weeks",7,IF(D42="months",30.4,IF(D42="years",365,""))))),1)))</f>
        <v/>
      </c>
      <c r="G42" s="19">
        <f>IF(ISNUMBER(F42),IF(F42&lt;=2,"&lt;=2 d",IF(F42&lt;=7,"3-7 d",IF(F42&lt;=30,"8-30 d","&gt;30 d"))),"")</f>
        <v/>
      </c>
    </row>
  </sheetData>
  <dataValidations count="2">
    <dataValidation sqref="D3:D42" showDropDown="0" showInputMessage="0" showErrorMessage="0" allowBlank="1" type="list">
      <formula1>Lists!$V$2:$V$6</formula1>
    </dataValidation>
    <dataValidation sqref="E3:E42" showDropDown="0" showInputMessage="0" showErrorMessage="0" allowBlank="1" type="list">
      <formula1>Lists!$W$2:$W$3</formula1>
    </dataValidation>
  </dataValidations>
  <pageMargins left="0.75" right="0.75" top="1" bottom="1" header="0.5" footer="0.5"/>
</worksheet>
</file>

<file path=xl/worksheets/sheet7.xml><?xml version="1.0" encoding="utf-8"?>
<worksheet xmlns="http://schemas.openxmlformats.org/spreadsheetml/2006/main">
  <sheetPr>
    <tabColor rgb="00BBBBBB"/>
    <outlinePr summaryBelow="1" summaryRight="1"/>
    <pageSetUpPr/>
  </sheetPr>
  <dimension ref="A1:AF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6" customWidth="1" min="6" max="6"/>
    <col width="14" customWidth="1" min="7" max="7"/>
    <col width="14" customWidth="1" min="8" max="8"/>
    <col width="44" customWidth="1" min="9" max="9"/>
    <col width="25" customWidth="1" min="10" max="10"/>
    <col width="30" customWidth="1" min="11" max="11"/>
    <col width="16" customWidth="1" min="12" max="12"/>
    <col width="14" customWidth="1" min="13" max="13"/>
    <col width="16" customWidth="1" min="14" max="14"/>
    <col width="22" customWidth="1" min="15" max="15"/>
    <col width="16" customWidth="1" min="16" max="16"/>
    <col width="36" customWidth="1" min="17" max="17"/>
    <col width="42" customWidth="1" min="18" max="18"/>
    <col width="22" customWidth="1" min="19" max="19"/>
    <col width="21" customWidth="1" min="20" max="20"/>
    <col width="14" customWidth="1" min="21" max="21"/>
    <col width="14" customWidth="1" min="22" max="22"/>
    <col width="44" customWidth="1" min="23" max="23"/>
    <col width="14" customWidth="1" min="24" max="24"/>
    <col width="14" customWidth="1" min="25" max="25"/>
    <col width="14" customWidth="1" min="26" max="26"/>
    <col width="30" customWidth="1" min="27" max="27"/>
    <col width="40" customWidth="1" min="28" max="28"/>
    <col width="37" customWidth="1" min="29" max="29"/>
    <col width="14" customWidth="1" min="30" max="30"/>
    <col width="18" customWidth="1" min="31" max="31"/>
    <col width="14" customWidth="1" min="32" max="32"/>
  </cols>
  <sheetData>
    <row r="1">
      <c r="A1" s="17" t="inlineStr">
        <is>
          <t>yn</t>
        </is>
      </c>
      <c r="B1" s="17" t="inlineStr">
        <is>
          <t>yn_nr</t>
        </is>
      </c>
      <c r="C1" s="17" t="inlineStr">
        <is>
          <t>sex</t>
        </is>
      </c>
      <c r="D1" s="17" t="inlineStr">
        <is>
          <t>lang</t>
        </is>
      </c>
      <c r="E1" s="17" t="inlineStr">
        <is>
          <t>ft_lang</t>
        </is>
      </c>
      <c r="F1" s="17" t="inlineStr">
        <is>
          <t>design</t>
        </is>
      </c>
      <c r="G1" s="17" t="inlineStr">
        <is>
          <t>consecutive</t>
        </is>
      </c>
      <c r="H1" s="17" t="inlineStr">
        <is>
          <t>aetiology</t>
        </is>
      </c>
      <c r="I1" s="17" t="inlineStr">
        <is>
          <t>ws_basis</t>
        </is>
      </c>
      <c r="J1" s="17" t="inlineStr">
        <is>
          <t>presentation</t>
        </is>
      </c>
      <c r="K1" s="17" t="inlineStr">
        <is>
          <t>deferred_reason</t>
        </is>
      </c>
      <c r="L1" s="17" t="inlineStr">
        <is>
          <t>torsion_awaiting</t>
        </is>
      </c>
      <c r="M1" s="17" t="inlineStr">
        <is>
          <t>perfusion</t>
        </is>
      </c>
      <c r="N1" s="17" t="inlineStr">
        <is>
          <t>approach</t>
        </is>
      </c>
      <c r="O1" s="17" t="inlineStr">
        <is>
          <t>viability</t>
        </is>
      </c>
      <c r="P1" s="17" t="inlineStr">
        <is>
          <t>viab_basis</t>
        </is>
      </c>
      <c r="Q1" s="17" t="inlineStr">
        <is>
          <t>procedure</t>
        </is>
      </c>
      <c r="R1" s="17" t="inlineStr">
        <is>
          <t>fixation</t>
        </is>
      </c>
      <c r="S1" s="17" t="inlineStr">
        <is>
          <t>reason_removed</t>
        </is>
      </c>
      <c r="T1" s="17" t="inlineStr">
        <is>
          <t>status_fu</t>
        </is>
      </c>
      <c r="U1" s="17" t="inlineStr">
        <is>
          <t>dur_category</t>
        </is>
      </c>
      <c r="V1" s="17" t="inlineStr">
        <is>
          <t>units</t>
        </is>
      </c>
      <c r="W1" s="17" t="inlineStr">
        <is>
          <t>phrase</t>
        </is>
      </c>
      <c r="X1" s="17" t="inlineStr">
        <is>
          <t>extractor</t>
        </is>
      </c>
      <c r="Y1" s="17" t="inlineStr">
        <is>
          <t>ft_reviewer</t>
        </is>
      </c>
      <c r="Z1" s="17" t="inlineStr">
        <is>
          <t>ft_decision</t>
        </is>
      </c>
      <c r="AA1" s="17" t="inlineStr">
        <is>
          <t>ft_reason</t>
        </is>
      </c>
      <c r="AB1" s="17" t="inlineStr">
        <is>
          <t>route</t>
        </is>
      </c>
      <c r="AC1" s="17" t="inlineStr">
        <is>
          <t>ipd_final</t>
        </is>
      </c>
      <c r="AD1" s="17" t="inlineStr">
        <is>
          <t>ipd_received</t>
        </is>
      </c>
      <c r="AE1" s="17" t="inlineStr">
        <is>
          <t>ipd_delivery</t>
        </is>
      </c>
      <c r="AF1" s="17" t="inlineStr">
        <is>
          <t>ipd_reached</t>
        </is>
      </c>
    </row>
    <row r="2">
      <c r="A2" t="inlineStr">
        <is>
          <t>Yes</t>
        </is>
      </c>
      <c r="B2" t="inlineStr">
        <is>
          <t>Yes</t>
        </is>
      </c>
      <c r="C2" t="inlineStr">
        <is>
          <t>M</t>
        </is>
      </c>
      <c r="D2" t="inlineStr">
        <is>
          <t>English</t>
        </is>
      </c>
      <c r="E2" t="inlineStr">
        <is>
          <t>English</t>
        </is>
      </c>
      <c r="F2" t="inlineStr">
        <is>
          <t>Case report</t>
        </is>
      </c>
      <c r="G2" t="inlineStr">
        <is>
          <t>Yes</t>
        </is>
      </c>
      <c r="H2" t="inlineStr">
        <is>
          <t>Congenital</t>
        </is>
      </c>
      <c r="I2" t="inlineStr">
        <is>
          <t>Imaging shows ectopic position or mobility</t>
        </is>
      </c>
      <c r="J2" t="inlineStr">
        <is>
          <t>Acute</t>
        </is>
      </c>
      <c r="K2" t="inlineStr">
        <is>
          <t>Family declined</t>
        </is>
      </c>
      <c r="L2" t="inlineStr">
        <is>
          <t>Yes</t>
        </is>
      </c>
      <c r="M2" t="inlineStr">
        <is>
          <t>Normal</t>
        </is>
      </c>
      <c r="N2" t="inlineStr">
        <is>
          <t>Open</t>
        </is>
      </c>
      <c r="O2" t="inlineStr">
        <is>
          <t>Viable</t>
        </is>
      </c>
      <c r="P2" t="inlineStr">
        <is>
          <t>Intraoperative</t>
        </is>
      </c>
      <c r="Q2" t="inlineStr">
        <is>
          <t>Detorsion only</t>
        </is>
      </c>
      <c r="R2" t="inlineStr">
        <is>
          <t>Mesh</t>
        </is>
      </c>
      <c r="S2" t="inlineStr">
        <is>
          <t>Failure of fixation</t>
        </is>
      </c>
      <c r="T2" t="inlineStr">
        <is>
          <t>Preserved</t>
        </is>
      </c>
      <c r="U2" t="inlineStr">
        <is>
          <t>&lt;=2 d</t>
        </is>
      </c>
      <c r="V2" t="inlineStr">
        <is>
          <t>hours</t>
        </is>
      </c>
      <c r="W2" t="inlineStr">
        <is>
          <t>none</t>
        </is>
      </c>
      <c r="X2" t="inlineStr">
        <is>
          <t>E1</t>
        </is>
      </c>
      <c r="Y2" t="inlineStr">
        <is>
          <t>R1</t>
        </is>
      </c>
      <c r="Z2" t="inlineStr">
        <is>
          <t>Include</t>
        </is>
      </c>
      <c r="AA2" t="inlineStr">
        <is>
          <t>L other language</t>
        </is>
      </c>
      <c r="AB2" t="inlineStr">
        <is>
          <t>Publisher or open access</t>
        </is>
      </c>
      <c r="AC2" t="inlineStr">
        <is>
          <t>Pending</t>
        </is>
      </c>
      <c r="AD2" t="inlineStr">
        <is>
          <t>No</t>
        </is>
      </c>
      <c r="AE2" t="inlineStr">
        <is>
          <t>Not yet sent</t>
        </is>
      </c>
      <c r="AF2" t="inlineStr">
        <is>
          <t>Pending</t>
        </is>
      </c>
    </row>
    <row r="3">
      <c r="A3" t="inlineStr">
        <is>
          <t>No</t>
        </is>
      </c>
      <c r="B3" t="inlineStr">
        <is>
          <t>No</t>
        </is>
      </c>
      <c r="C3" t="inlineStr">
        <is>
          <t>F</t>
        </is>
      </c>
      <c r="D3" t="inlineStr">
        <is>
          <t>Chinese</t>
        </is>
      </c>
      <c r="E3" t="inlineStr">
        <is>
          <t>Chinese</t>
        </is>
      </c>
      <c r="F3" t="inlineStr">
        <is>
          <t>Case series</t>
        </is>
      </c>
      <c r="G3" t="inlineStr">
        <is>
          <t>No</t>
        </is>
      </c>
      <c r="H3" t="inlineStr">
        <is>
          <t>Acquired</t>
        </is>
      </c>
      <c r="I3" t="inlineStr">
        <is>
          <t>Operation shows ectopic position or mobility</t>
        </is>
      </c>
      <c r="J3" t="inlineStr">
        <is>
          <t>Chronic or intermittent</t>
        </is>
      </c>
      <c r="K3" t="inlineStr">
        <is>
          <t>Observation advised</t>
        </is>
      </c>
      <c r="L3" t="inlineStr">
        <is>
          <t>No</t>
        </is>
      </c>
      <c r="M3" t="inlineStr">
        <is>
          <t>Reduced</t>
        </is>
      </c>
      <c r="N3" t="inlineStr">
        <is>
          <t>Laparoscopic</t>
        </is>
      </c>
      <c r="O3" t="inlineStr">
        <is>
          <t>Partially non-viable</t>
        </is>
      </c>
      <c r="P3" t="inlineStr">
        <is>
          <t>Histology</t>
        </is>
      </c>
      <c r="Q3" t="inlineStr">
        <is>
          <t>Splenopexy</t>
        </is>
      </c>
      <c r="R3" t="inlineStr">
        <is>
          <t>Retroperitoneal or extraperitoneal pouch</t>
        </is>
      </c>
      <c r="S3" t="inlineStr">
        <is>
          <t>Surgeon's preference</t>
        </is>
      </c>
      <c r="T3" t="inlineStr">
        <is>
          <t>Partially preserved</t>
        </is>
      </c>
      <c r="U3" t="inlineStr">
        <is>
          <t>3-7 d</t>
        </is>
      </c>
      <c r="V3" t="inlineStr">
        <is>
          <t>days</t>
        </is>
      </c>
      <c r="W3" t="inlineStr">
        <is>
          <t>Less than 24 hours / a few hours / overnight</t>
        </is>
      </c>
      <c r="X3" t="inlineStr">
        <is>
          <t>E2</t>
        </is>
      </c>
      <c r="Y3" t="inlineStr">
        <is>
          <t>R2</t>
        </is>
      </c>
      <c r="Z3" t="inlineStr">
        <is>
          <t>Exclude</t>
        </is>
      </c>
      <c r="AA3" t="inlineStr">
        <is>
          <t>D no full text</t>
        </is>
      </c>
      <c r="AB3" t="inlineStr">
        <is>
          <t>Library subscription</t>
        </is>
      </c>
      <c r="AC3" t="inlineStr">
        <is>
          <t>Included with IPD</t>
        </is>
      </c>
      <c r="AD3" t="inlineStr">
        <is>
          <t>Yes</t>
        </is>
      </c>
      <c r="AE3" t="inlineStr">
        <is>
          <t>Sent, no bounce</t>
        </is>
      </c>
      <c r="AF3" t="inlineStr">
        <is>
          <t>Yes</t>
        </is>
      </c>
    </row>
    <row r="4">
      <c r="B4" t="inlineStr">
        <is>
          <t>NR</t>
        </is>
      </c>
      <c r="C4" t="inlineStr">
        <is>
          <t>NR</t>
        </is>
      </c>
      <c r="E4" t="inlineStr">
        <is>
          <t>Other</t>
        </is>
      </c>
      <c r="F4" t="inlineStr">
        <is>
          <t>Cohort</t>
        </is>
      </c>
      <c r="G4" t="inlineStr">
        <is>
          <t>Unclear</t>
        </is>
      </c>
      <c r="H4" t="inlineStr">
        <is>
          <t>NR</t>
        </is>
      </c>
      <c r="I4" t="inlineStr">
        <is>
          <t>Imaging and operation</t>
        </is>
      </c>
      <c r="J4" t="inlineStr">
        <is>
          <t>Acute on chronic</t>
        </is>
      </c>
      <c r="K4" t="inlineStr">
        <is>
          <t>Elective operation scheduled</t>
        </is>
      </c>
      <c r="L4" t="inlineStr">
        <is>
          <t>Not applicable</t>
        </is>
      </c>
      <c r="M4" t="inlineStr">
        <is>
          <t>Absent</t>
        </is>
      </c>
      <c r="N4" t="inlineStr">
        <is>
          <t>Converted</t>
        </is>
      </c>
      <c r="O4" t="inlineStr">
        <is>
          <t>Non-viable</t>
        </is>
      </c>
      <c r="P4" t="inlineStr">
        <is>
          <t>Both</t>
        </is>
      </c>
      <c r="Q4" t="inlineStr">
        <is>
          <t>Partial splenectomy +/- splenopexy</t>
        </is>
      </c>
      <c r="R4" t="inlineStr">
        <is>
          <t>Omental wrap</t>
        </is>
      </c>
      <c r="S4" t="inlineStr">
        <is>
          <t>Other</t>
        </is>
      </c>
      <c r="T4" t="inlineStr">
        <is>
          <t>Lost</t>
        </is>
      </c>
      <c r="U4" t="inlineStr">
        <is>
          <t>8-30 d</t>
        </is>
      </c>
      <c r="V4" t="inlineStr">
        <is>
          <t>weeks</t>
        </is>
      </c>
      <c r="X4" t="inlineStr">
        <is>
          <t>Consensus</t>
        </is>
      </c>
      <c r="Y4" t="inlineStr">
        <is>
          <t>Consensus</t>
        </is>
      </c>
      <c r="Z4" t="inlineStr">
        <is>
          <t>Pending IPD</t>
        </is>
      </c>
      <c r="AA4" t="inlineStr">
        <is>
          <t>E1 non-human</t>
        </is>
      </c>
      <c r="AB4" t="inlineStr">
        <is>
          <t>Interlibrary loan or document delivery</t>
        </is>
      </c>
      <c r="AC4" t="inlineStr">
        <is>
          <t>Narrative only (no individual data)</t>
        </is>
      </c>
      <c r="AD4" t="inlineStr">
        <is>
          <t>Partial</t>
        </is>
      </c>
      <c r="AE4" t="inlineStr">
        <is>
          <t>Bounced</t>
        </is>
      </c>
      <c r="AF4" t="inlineStr">
        <is>
          <t>No</t>
        </is>
      </c>
    </row>
    <row r="5">
      <c r="F5" t="inlineStr">
        <is>
          <t>Letter</t>
        </is>
      </c>
      <c r="I5" t="inlineStr">
        <is>
          <t>Named wandering spleen, no detail</t>
        </is>
      </c>
      <c r="J5" t="inlineStr">
        <is>
          <t>Asymptomatic</t>
        </is>
      </c>
      <c r="K5" t="inlineStr">
        <is>
          <t>Other</t>
        </is>
      </c>
      <c r="M5" t="inlineStr">
        <is>
          <t>NR</t>
        </is>
      </c>
      <c r="N5" t="inlineStr">
        <is>
          <t>Not applicable</t>
        </is>
      </c>
      <c r="O5" t="inlineStr">
        <is>
          <t>NR</t>
        </is>
      </c>
      <c r="P5" t="inlineStr">
        <is>
          <t>NR</t>
        </is>
      </c>
      <c r="Q5" t="inlineStr">
        <is>
          <t>Total splenectomy</t>
        </is>
      </c>
      <c r="R5" t="inlineStr">
        <is>
          <t>Direct suture</t>
        </is>
      </c>
      <c r="S5" t="inlineStr">
        <is>
          <t>Not applicable</t>
        </is>
      </c>
      <c r="T5" t="inlineStr">
        <is>
          <t>NR</t>
        </is>
      </c>
      <c r="U5" t="inlineStr">
        <is>
          <t>&gt;30 d</t>
        </is>
      </c>
      <c r="V5" t="inlineStr">
        <is>
          <t>months</t>
        </is>
      </c>
      <c r="AA5" t="inlineStr">
        <is>
          <t>E2 not wandering spleen</t>
        </is>
      </c>
      <c r="AB5" t="inlineStr">
        <is>
          <t>CNKI or Wanfang</t>
        </is>
      </c>
      <c r="AC5" t="inlineStr">
        <is>
          <t>Not eligible after check</t>
        </is>
      </c>
      <c r="AE5" t="inlineStr">
        <is>
          <t>No address found</t>
        </is>
      </c>
    </row>
    <row r="6">
      <c r="F6" t="inlineStr">
        <is>
          <t>Review with new patients</t>
        </is>
      </c>
      <c r="I6" t="inlineStr">
        <is>
          <t>Torsion only, position not stated</t>
        </is>
      </c>
      <c r="J6" t="inlineStr">
        <is>
          <t>Mass only</t>
        </is>
      </c>
      <c r="K6" t="inlineStr">
        <is>
          <t>Not applicable</t>
        </is>
      </c>
      <c r="N6" t="inlineStr">
        <is>
          <t>NR</t>
        </is>
      </c>
      <c r="O6" t="inlineStr">
        <is>
          <t>Not applicable</t>
        </is>
      </c>
      <c r="P6" t="inlineStr">
        <is>
          <t>Not applicable</t>
        </is>
      </c>
      <c r="Q6" t="inlineStr">
        <is>
          <t>Autotransplantation</t>
        </is>
      </c>
      <c r="R6" t="inlineStr">
        <is>
          <t>Other (specify)</t>
        </is>
      </c>
      <c r="V6" t="inlineStr">
        <is>
          <t>years</t>
        </is>
      </c>
      <c r="AA6" t="inlineStr">
        <is>
          <t>E3 adults only</t>
        </is>
      </c>
      <c r="AB6" t="inlineStr">
        <is>
          <t>Contact author</t>
        </is>
      </c>
    </row>
    <row r="7">
      <c r="J7" t="inlineStr">
        <is>
          <t>NR</t>
        </is>
      </c>
      <c r="Q7" t="inlineStr">
        <is>
          <t>No operation</t>
        </is>
      </c>
      <c r="R7" t="inlineStr">
        <is>
          <t>Not applicable</t>
        </is>
      </c>
      <c r="AA7" t="inlineStr">
        <is>
          <t>E4 no original patient data</t>
        </is>
      </c>
      <c r="AB7" t="inlineStr">
        <is>
          <t>Other</t>
        </is>
      </c>
    </row>
    <row r="8">
      <c r="Q8" t="inlineStr">
        <is>
          <t>NR</t>
        </is>
      </c>
      <c r="R8" t="inlineStr">
        <is>
          <t>NR</t>
        </is>
      </c>
      <c r="AA8" t="inlineStr">
        <is>
          <t>E5 not a formal article</t>
        </is>
      </c>
      <c r="AB8" t="inlineStr">
        <is>
          <t>Not obtained</t>
        </is>
      </c>
    </row>
    <row r="9">
      <c r="AA9" t="inlineStr">
        <is>
          <t>E6 other</t>
        </is>
      </c>
    </row>
    <row r="10">
      <c r="AA10" t="inlineStr">
        <is>
          <t>A aggregate data only</t>
        </is>
      </c>
    </row>
    <row r="11">
      <c r="AA11" t="inlineStr">
        <is>
          <t>N age not confirmed under 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Wandering spleen SR team</dc:creator>
  <dc:title xmlns:dc="http://purl.org/dc/elements/1.1/">Extraction DRAFT own series (from manuscript, not chart-checked)</dc:title>
  <dcterms:created xmlns:dcterms="http://purl.org/dc/terms/" xmlns:xsi="http://www.w3.org/2001/XMLSchema-instance" xsi:type="dcterms:W3CDTF">2026-10-25T04:42:07Z</dcterms:created>
  <dcterms:modified xmlns:dcterms="http://purl.org/dc/terms/" xmlns:xsi="http://www.w3.org/2001/XMLSchema-instance" xsi:type="dcterms:W3CDTF">2026-10-25T04:42:08Z</dcterms:modified>
</cp:coreProperties>
</file>